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05587\Downloads\"/>
    </mc:Choice>
  </mc:AlternateContent>
  <bookViews>
    <workbookView xWindow="0" yWindow="0" windowWidth="5670" windowHeight="3570" activeTab="3"/>
  </bookViews>
  <sheets>
    <sheet name="Regis Usu." sheetId="2" r:id="rId1"/>
    <sheet name="GASTOS" sheetId="5" r:id="rId2"/>
    <sheet name="calculos" sheetId="4" r:id="rId3"/>
    <sheet name="IFORME POR USUARIO" sheetId="6" r:id="rId4"/>
  </sheets>
  <definedNames>
    <definedName name="_xlnm.Print_Area" localSheetId="3">'IFORME POR USUARIO'!$A$3:$AA$26</definedName>
    <definedName name="_xlnm.Print_Area" localSheetId="0">'Regis Usu.'!$A$1:$Q$572</definedName>
    <definedName name="ENERO">GASTOS!$B$7:$B$31</definedName>
    <definedName name="Rmensual">'Regis Usu.'!$F$585:$Q$585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8" i="2" l="1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 s="1"/>
  <c r="AD7" i="2"/>
  <c r="AT584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T136" i="2"/>
  <c r="AT137" i="2"/>
  <c r="AT138" i="2"/>
  <c r="AT139" i="2"/>
  <c r="AT140" i="2"/>
  <c r="AT141" i="2"/>
  <c r="AT142" i="2"/>
  <c r="AT143" i="2"/>
  <c r="AT144" i="2"/>
  <c r="AT145" i="2"/>
  <c r="AT146" i="2"/>
  <c r="AT147" i="2"/>
  <c r="AT148" i="2"/>
  <c r="AT149" i="2"/>
  <c r="AT150" i="2"/>
  <c r="AT151" i="2"/>
  <c r="AT152" i="2"/>
  <c r="AT153" i="2"/>
  <c r="AT154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69" i="2"/>
  <c r="AT170" i="2"/>
  <c r="AT171" i="2"/>
  <c r="AT172" i="2"/>
  <c r="AT173" i="2"/>
  <c r="AT174" i="2"/>
  <c r="AT175" i="2"/>
  <c r="AT176" i="2"/>
  <c r="AT177" i="2"/>
  <c r="AT178" i="2"/>
  <c r="AT179" i="2"/>
  <c r="AT180" i="2"/>
  <c r="AT181" i="2"/>
  <c r="AT182" i="2"/>
  <c r="AT183" i="2"/>
  <c r="AT184" i="2"/>
  <c r="AT185" i="2"/>
  <c r="AT186" i="2"/>
  <c r="AT187" i="2"/>
  <c r="AT188" i="2"/>
  <c r="AT189" i="2"/>
  <c r="AT190" i="2"/>
  <c r="AT191" i="2"/>
  <c r="AT192" i="2"/>
  <c r="AT193" i="2"/>
  <c r="AT194" i="2"/>
  <c r="AT195" i="2"/>
  <c r="AT196" i="2"/>
  <c r="AT197" i="2"/>
  <c r="AT198" i="2"/>
  <c r="AT199" i="2"/>
  <c r="AT200" i="2"/>
  <c r="AT201" i="2"/>
  <c r="AT202" i="2"/>
  <c r="AT203" i="2"/>
  <c r="AT204" i="2"/>
  <c r="AT205" i="2"/>
  <c r="AT206" i="2"/>
  <c r="AT207" i="2"/>
  <c r="AT208" i="2"/>
  <c r="AT209" i="2"/>
  <c r="AT210" i="2"/>
  <c r="AT211" i="2"/>
  <c r="AT212" i="2"/>
  <c r="AT213" i="2"/>
  <c r="AT214" i="2"/>
  <c r="AT215" i="2"/>
  <c r="AT216" i="2"/>
  <c r="AT217" i="2"/>
  <c r="AT218" i="2"/>
  <c r="AT219" i="2"/>
  <c r="AT220" i="2"/>
  <c r="AT221" i="2"/>
  <c r="AT222" i="2"/>
  <c r="AT223" i="2"/>
  <c r="AT224" i="2"/>
  <c r="AT225" i="2"/>
  <c r="AT226" i="2"/>
  <c r="AT227" i="2"/>
  <c r="AT228" i="2"/>
  <c r="AT229" i="2"/>
  <c r="AT230" i="2"/>
  <c r="AT231" i="2"/>
  <c r="AT232" i="2"/>
  <c r="AT233" i="2"/>
  <c r="AT234" i="2"/>
  <c r="AT235" i="2"/>
  <c r="AT236" i="2"/>
  <c r="AT237" i="2"/>
  <c r="AT238" i="2"/>
  <c r="AT239" i="2"/>
  <c r="AT240" i="2"/>
  <c r="AT241" i="2"/>
  <c r="AT242" i="2"/>
  <c r="AT243" i="2"/>
  <c r="AT244" i="2"/>
  <c r="AT245" i="2"/>
  <c r="AT246" i="2"/>
  <c r="AT247" i="2"/>
  <c r="AT248" i="2"/>
  <c r="AT249" i="2"/>
  <c r="AT250" i="2"/>
  <c r="AT251" i="2"/>
  <c r="AT252" i="2"/>
  <c r="AT253" i="2"/>
  <c r="AT254" i="2"/>
  <c r="AT255" i="2"/>
  <c r="AT256" i="2"/>
  <c r="AT257" i="2"/>
  <c r="AT258" i="2"/>
  <c r="AT259" i="2"/>
  <c r="AT260" i="2"/>
  <c r="AT261" i="2"/>
  <c r="AT262" i="2"/>
  <c r="AT263" i="2"/>
  <c r="AT264" i="2"/>
  <c r="AT265" i="2"/>
  <c r="AT266" i="2"/>
  <c r="AT267" i="2"/>
  <c r="AT268" i="2"/>
  <c r="AT269" i="2"/>
  <c r="AT270" i="2"/>
  <c r="AT271" i="2"/>
  <c r="AT272" i="2"/>
  <c r="AT273" i="2"/>
  <c r="AT274" i="2"/>
  <c r="AT275" i="2"/>
  <c r="AT276" i="2"/>
  <c r="AT277" i="2"/>
  <c r="AT278" i="2"/>
  <c r="AT279" i="2"/>
  <c r="AT280" i="2"/>
  <c r="AT281" i="2"/>
  <c r="AT282" i="2"/>
  <c r="AT283" i="2"/>
  <c r="AT284" i="2"/>
  <c r="AT285" i="2"/>
  <c r="AT286" i="2"/>
  <c r="AT287" i="2"/>
  <c r="AT288" i="2"/>
  <c r="AT289" i="2"/>
  <c r="AT290" i="2"/>
  <c r="AT291" i="2"/>
  <c r="AT292" i="2"/>
  <c r="AT293" i="2"/>
  <c r="AT294" i="2"/>
  <c r="AT295" i="2"/>
  <c r="AT296" i="2"/>
  <c r="AT297" i="2"/>
  <c r="AT298" i="2"/>
  <c r="AT299" i="2"/>
  <c r="AT300" i="2"/>
  <c r="AT301" i="2"/>
  <c r="AT302" i="2"/>
  <c r="AT303" i="2"/>
  <c r="AT304" i="2"/>
  <c r="AT305" i="2"/>
  <c r="AT306" i="2"/>
  <c r="AT307" i="2"/>
  <c r="AT308" i="2"/>
  <c r="AT309" i="2"/>
  <c r="AT310" i="2"/>
  <c r="AT311" i="2"/>
  <c r="AT312" i="2"/>
  <c r="AT313" i="2"/>
  <c r="AT314" i="2"/>
  <c r="AT315" i="2"/>
  <c r="AT316" i="2"/>
  <c r="AT317" i="2"/>
  <c r="AT318" i="2"/>
  <c r="AT319" i="2"/>
  <c r="AT320" i="2"/>
  <c r="AT321" i="2"/>
  <c r="AT322" i="2"/>
  <c r="AT323" i="2"/>
  <c r="AT324" i="2"/>
  <c r="AT325" i="2"/>
  <c r="AT326" i="2"/>
  <c r="AT327" i="2"/>
  <c r="AT328" i="2"/>
  <c r="AT329" i="2"/>
  <c r="AT330" i="2"/>
  <c r="AT331" i="2"/>
  <c r="AT332" i="2"/>
  <c r="AT333" i="2"/>
  <c r="AT334" i="2"/>
  <c r="AT335" i="2"/>
  <c r="AT336" i="2"/>
  <c r="AT337" i="2"/>
  <c r="AT338" i="2"/>
  <c r="AT339" i="2"/>
  <c r="AT340" i="2"/>
  <c r="AT341" i="2"/>
  <c r="AT342" i="2"/>
  <c r="AT343" i="2"/>
  <c r="AT344" i="2"/>
  <c r="AT345" i="2"/>
  <c r="AT346" i="2"/>
  <c r="AT347" i="2"/>
  <c r="AT348" i="2"/>
  <c r="AT349" i="2"/>
  <c r="AT350" i="2"/>
  <c r="AT351" i="2"/>
  <c r="AT352" i="2"/>
  <c r="AT353" i="2"/>
  <c r="AT354" i="2"/>
  <c r="AT355" i="2"/>
  <c r="AT356" i="2"/>
  <c r="AT357" i="2"/>
  <c r="AT358" i="2"/>
  <c r="AT359" i="2"/>
  <c r="AT360" i="2"/>
  <c r="AT361" i="2"/>
  <c r="AT362" i="2"/>
  <c r="AT363" i="2"/>
  <c r="AT364" i="2"/>
  <c r="AT365" i="2"/>
  <c r="AT366" i="2"/>
  <c r="AT367" i="2"/>
  <c r="AT368" i="2"/>
  <c r="AT369" i="2"/>
  <c r="AT370" i="2"/>
  <c r="AT371" i="2"/>
  <c r="AT372" i="2"/>
  <c r="AT373" i="2"/>
  <c r="AT374" i="2"/>
  <c r="AT375" i="2"/>
  <c r="AT376" i="2"/>
  <c r="AT377" i="2"/>
  <c r="AT378" i="2"/>
  <c r="AT379" i="2"/>
  <c r="AT380" i="2"/>
  <c r="AT381" i="2"/>
  <c r="AT382" i="2"/>
  <c r="AT383" i="2"/>
  <c r="AT384" i="2"/>
  <c r="AT385" i="2"/>
  <c r="AT386" i="2"/>
  <c r="AT387" i="2"/>
  <c r="AT388" i="2"/>
  <c r="AT389" i="2"/>
  <c r="AT390" i="2"/>
  <c r="AT391" i="2"/>
  <c r="AT392" i="2"/>
  <c r="AT393" i="2"/>
  <c r="AT394" i="2"/>
  <c r="AT395" i="2"/>
  <c r="AT396" i="2"/>
  <c r="AT397" i="2"/>
  <c r="AT398" i="2"/>
  <c r="AT399" i="2"/>
  <c r="AT400" i="2"/>
  <c r="AT401" i="2"/>
  <c r="AT402" i="2"/>
  <c r="AT403" i="2"/>
  <c r="AT404" i="2"/>
  <c r="AT405" i="2"/>
  <c r="AT406" i="2"/>
  <c r="AT407" i="2"/>
  <c r="AT408" i="2"/>
  <c r="AT409" i="2"/>
  <c r="AT410" i="2"/>
  <c r="AT411" i="2"/>
  <c r="AT412" i="2"/>
  <c r="AT413" i="2"/>
  <c r="AT414" i="2"/>
  <c r="AT415" i="2"/>
  <c r="AT416" i="2"/>
  <c r="AT417" i="2"/>
  <c r="AT418" i="2"/>
  <c r="AT419" i="2"/>
  <c r="AT420" i="2"/>
  <c r="AT421" i="2"/>
  <c r="AT422" i="2"/>
  <c r="AT423" i="2"/>
  <c r="AT424" i="2"/>
  <c r="AT425" i="2"/>
  <c r="AT426" i="2"/>
  <c r="AT427" i="2"/>
  <c r="AT428" i="2"/>
  <c r="AT429" i="2"/>
  <c r="AT430" i="2"/>
  <c r="AT431" i="2"/>
  <c r="AT432" i="2"/>
  <c r="AT433" i="2"/>
  <c r="AT434" i="2"/>
  <c r="AT435" i="2"/>
  <c r="AT436" i="2"/>
  <c r="AT437" i="2"/>
  <c r="AT438" i="2"/>
  <c r="AT439" i="2"/>
  <c r="AT440" i="2"/>
  <c r="AT441" i="2"/>
  <c r="AT442" i="2"/>
  <c r="AT443" i="2"/>
  <c r="AT444" i="2"/>
  <c r="AT445" i="2"/>
  <c r="AT446" i="2"/>
  <c r="AT447" i="2"/>
  <c r="AT448" i="2"/>
  <c r="AT449" i="2"/>
  <c r="AT450" i="2"/>
  <c r="AT451" i="2"/>
  <c r="AT452" i="2"/>
  <c r="AT453" i="2"/>
  <c r="AT454" i="2"/>
  <c r="AT455" i="2"/>
  <c r="AT456" i="2"/>
  <c r="AT457" i="2"/>
  <c r="AT458" i="2"/>
  <c r="AT459" i="2"/>
  <c r="AT460" i="2"/>
  <c r="AT461" i="2"/>
  <c r="AT462" i="2"/>
  <c r="AT463" i="2"/>
  <c r="AT464" i="2"/>
  <c r="AT465" i="2"/>
  <c r="AT466" i="2"/>
  <c r="AT467" i="2"/>
  <c r="AT468" i="2"/>
  <c r="AT469" i="2"/>
  <c r="AT470" i="2"/>
  <c r="AT471" i="2"/>
  <c r="AT472" i="2"/>
  <c r="AT473" i="2"/>
  <c r="AT474" i="2"/>
  <c r="AT475" i="2"/>
  <c r="AT476" i="2"/>
  <c r="AT477" i="2"/>
  <c r="AT478" i="2"/>
  <c r="AT479" i="2"/>
  <c r="AT480" i="2"/>
  <c r="AT481" i="2"/>
  <c r="AT482" i="2"/>
  <c r="AT483" i="2"/>
  <c r="AT484" i="2"/>
  <c r="AT485" i="2"/>
  <c r="AT486" i="2"/>
  <c r="AT487" i="2"/>
  <c r="AT488" i="2"/>
  <c r="AT489" i="2"/>
  <c r="AT490" i="2"/>
  <c r="AT491" i="2"/>
  <c r="AT492" i="2"/>
  <c r="AT493" i="2"/>
  <c r="AT494" i="2"/>
  <c r="AT495" i="2"/>
  <c r="AT496" i="2"/>
  <c r="AT497" i="2"/>
  <c r="AT498" i="2"/>
  <c r="AT499" i="2"/>
  <c r="AT500" i="2"/>
  <c r="AT501" i="2"/>
  <c r="AT502" i="2"/>
  <c r="AT503" i="2"/>
  <c r="AT504" i="2"/>
  <c r="AT505" i="2"/>
  <c r="AT506" i="2"/>
  <c r="AT507" i="2"/>
  <c r="AT508" i="2"/>
  <c r="AT509" i="2"/>
  <c r="AT510" i="2"/>
  <c r="AT511" i="2"/>
  <c r="AT512" i="2"/>
  <c r="AT513" i="2"/>
  <c r="AT514" i="2"/>
  <c r="AT515" i="2"/>
  <c r="AT516" i="2"/>
  <c r="AT517" i="2"/>
  <c r="AT518" i="2"/>
  <c r="AT519" i="2"/>
  <c r="AT520" i="2"/>
  <c r="AT521" i="2"/>
  <c r="AT522" i="2"/>
  <c r="AT523" i="2"/>
  <c r="AT524" i="2"/>
  <c r="AT525" i="2"/>
  <c r="AT526" i="2"/>
  <c r="AT527" i="2"/>
  <c r="AT528" i="2"/>
  <c r="AT529" i="2"/>
  <c r="AT530" i="2"/>
  <c r="AT531" i="2"/>
  <c r="AT532" i="2"/>
  <c r="AT533" i="2"/>
  <c r="AT534" i="2"/>
  <c r="AT535" i="2"/>
  <c r="AT536" i="2"/>
  <c r="AT537" i="2"/>
  <c r="AT538" i="2"/>
  <c r="AT539" i="2"/>
  <c r="AT540" i="2"/>
  <c r="AT541" i="2"/>
  <c r="AT542" i="2"/>
  <c r="AT543" i="2"/>
  <c r="AT544" i="2"/>
  <c r="AT545" i="2"/>
  <c r="AT546" i="2"/>
  <c r="AT547" i="2"/>
  <c r="AT548" i="2"/>
  <c r="AT549" i="2"/>
  <c r="AT550" i="2"/>
  <c r="AT551" i="2"/>
  <c r="AT552" i="2"/>
  <c r="AT553" i="2"/>
  <c r="AT554" i="2"/>
  <c r="AT555" i="2"/>
  <c r="AT556" i="2"/>
  <c r="AT557" i="2"/>
  <c r="AT558" i="2"/>
  <c r="AT559" i="2"/>
  <c r="AT560" i="2"/>
  <c r="AT561" i="2"/>
  <c r="AT562" i="2"/>
  <c r="AT563" i="2"/>
  <c r="AT564" i="2"/>
  <c r="AT565" i="2"/>
  <c r="AT566" i="2"/>
  <c r="AT567" i="2"/>
  <c r="AT568" i="2"/>
  <c r="AT569" i="2"/>
  <c r="AT570" i="2"/>
  <c r="AT571" i="2"/>
  <c r="AT572" i="2"/>
  <c r="AT573" i="2"/>
  <c r="AT574" i="2"/>
  <c r="AT575" i="2"/>
  <c r="AT576" i="2"/>
  <c r="AT577" i="2"/>
  <c r="AT578" i="2"/>
  <c r="AT579" i="2"/>
  <c r="AT580" i="2"/>
  <c r="AT581" i="2"/>
  <c r="AT582" i="2"/>
  <c r="AT583" i="2"/>
  <c r="AT7" i="2"/>
  <c r="AT585" i="2" l="1"/>
  <c r="AG7" i="2"/>
  <c r="AH7" i="2"/>
  <c r="AI7" i="2"/>
  <c r="AJ7" i="2"/>
  <c r="AK7" i="2"/>
  <c r="AL7" i="2"/>
  <c r="AM7" i="2"/>
  <c r="AN7" i="2"/>
  <c r="AO7" i="2"/>
  <c r="AP7" i="2"/>
  <c r="AQ7" i="2"/>
  <c r="AR7" i="2"/>
  <c r="AX7" i="2"/>
  <c r="AS7" i="2" l="1"/>
  <c r="F585" i="2"/>
  <c r="A7" i="2"/>
  <c r="AR582" i="2"/>
  <c r="AR583" i="2"/>
  <c r="AR584" i="2"/>
  <c r="AQ582" i="2"/>
  <c r="AQ583" i="2"/>
  <c r="AQ584" i="2"/>
  <c r="AP582" i="2"/>
  <c r="AP583" i="2"/>
  <c r="AP584" i="2"/>
  <c r="AO582" i="2"/>
  <c r="AO583" i="2"/>
  <c r="AO584" i="2"/>
  <c r="AN582" i="2"/>
  <c r="AN583" i="2"/>
  <c r="AN584" i="2"/>
  <c r="AM582" i="2"/>
  <c r="AM583" i="2"/>
  <c r="AM584" i="2"/>
  <c r="AL582" i="2"/>
  <c r="AL583" i="2"/>
  <c r="AL584" i="2"/>
  <c r="AK582" i="2"/>
  <c r="AK583" i="2"/>
  <c r="AK584" i="2"/>
  <c r="AJ582" i="2"/>
  <c r="AJ583" i="2"/>
  <c r="AJ584" i="2"/>
  <c r="AI582" i="2"/>
  <c r="AI583" i="2"/>
  <c r="AI584" i="2"/>
  <c r="AH582" i="2"/>
  <c r="AH583" i="2"/>
  <c r="AH584" i="2"/>
  <c r="AG582" i="2"/>
  <c r="AG583" i="2"/>
  <c r="AG584" i="2"/>
  <c r="R591" i="2"/>
  <c r="AR8" i="2"/>
  <c r="AR9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7" i="2"/>
  <c r="AR48" i="2"/>
  <c r="AR49" i="2"/>
  <c r="AR50" i="2"/>
  <c r="AR51" i="2"/>
  <c r="AR52" i="2"/>
  <c r="AR53" i="2"/>
  <c r="AR54" i="2"/>
  <c r="AR55" i="2"/>
  <c r="AR56" i="2"/>
  <c r="AR57" i="2"/>
  <c r="AR58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03" i="2"/>
  <c r="AR104" i="2"/>
  <c r="AR105" i="2"/>
  <c r="AR106" i="2"/>
  <c r="AR107" i="2"/>
  <c r="AR108" i="2"/>
  <c r="AR109" i="2"/>
  <c r="AR110" i="2"/>
  <c r="AR111" i="2"/>
  <c r="AR112" i="2"/>
  <c r="AR113" i="2"/>
  <c r="AR114" i="2"/>
  <c r="AR115" i="2"/>
  <c r="AR116" i="2"/>
  <c r="AR117" i="2"/>
  <c r="AR118" i="2"/>
  <c r="AR119" i="2"/>
  <c r="AR120" i="2"/>
  <c r="AR121" i="2"/>
  <c r="AR122" i="2"/>
  <c r="AR123" i="2"/>
  <c r="AR124" i="2"/>
  <c r="AR125" i="2"/>
  <c r="AR126" i="2"/>
  <c r="AR127" i="2"/>
  <c r="AR128" i="2"/>
  <c r="AR129" i="2"/>
  <c r="AR130" i="2"/>
  <c r="AR131" i="2"/>
  <c r="AR132" i="2"/>
  <c r="AR133" i="2"/>
  <c r="AR134" i="2"/>
  <c r="AR135" i="2"/>
  <c r="AR136" i="2"/>
  <c r="AR137" i="2"/>
  <c r="AR138" i="2"/>
  <c r="AR139" i="2"/>
  <c r="AR140" i="2"/>
  <c r="AR141" i="2"/>
  <c r="AR142" i="2"/>
  <c r="AR143" i="2"/>
  <c r="AR144" i="2"/>
  <c r="AR145" i="2"/>
  <c r="AR146" i="2"/>
  <c r="AR147" i="2"/>
  <c r="AR148" i="2"/>
  <c r="AR149" i="2"/>
  <c r="AR150" i="2"/>
  <c r="AR151" i="2"/>
  <c r="AR152" i="2"/>
  <c r="AR153" i="2"/>
  <c r="AR154" i="2"/>
  <c r="AR155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AR170" i="2"/>
  <c r="AR171" i="2"/>
  <c r="AR172" i="2"/>
  <c r="AR173" i="2"/>
  <c r="AR174" i="2"/>
  <c r="AR175" i="2"/>
  <c r="AR176" i="2"/>
  <c r="AR177" i="2"/>
  <c r="AR178" i="2"/>
  <c r="AR179" i="2"/>
  <c r="AR180" i="2"/>
  <c r="AR181" i="2"/>
  <c r="AR182" i="2"/>
  <c r="AR183" i="2"/>
  <c r="AR184" i="2"/>
  <c r="AR185" i="2"/>
  <c r="AR186" i="2"/>
  <c r="AR187" i="2"/>
  <c r="AR188" i="2"/>
  <c r="AR189" i="2"/>
  <c r="AR190" i="2"/>
  <c r="AR191" i="2"/>
  <c r="AR192" i="2"/>
  <c r="AR193" i="2"/>
  <c r="AR194" i="2"/>
  <c r="AR195" i="2"/>
  <c r="AR196" i="2"/>
  <c r="AR197" i="2"/>
  <c r="AR198" i="2"/>
  <c r="AR199" i="2"/>
  <c r="AR200" i="2"/>
  <c r="AR201" i="2"/>
  <c r="AR202" i="2"/>
  <c r="AR203" i="2"/>
  <c r="AR204" i="2"/>
  <c r="AR205" i="2"/>
  <c r="AR206" i="2"/>
  <c r="AR207" i="2"/>
  <c r="AR208" i="2"/>
  <c r="AR209" i="2"/>
  <c r="AR210" i="2"/>
  <c r="AR211" i="2"/>
  <c r="AR212" i="2"/>
  <c r="AR213" i="2"/>
  <c r="AR214" i="2"/>
  <c r="AR215" i="2"/>
  <c r="AR216" i="2"/>
  <c r="AR217" i="2"/>
  <c r="AR218" i="2"/>
  <c r="AR219" i="2"/>
  <c r="AR220" i="2"/>
  <c r="AR221" i="2"/>
  <c r="AR222" i="2"/>
  <c r="AR223" i="2"/>
  <c r="AR224" i="2"/>
  <c r="AR225" i="2"/>
  <c r="AR226" i="2"/>
  <c r="AR227" i="2"/>
  <c r="AR228" i="2"/>
  <c r="AR229" i="2"/>
  <c r="AR230" i="2"/>
  <c r="AR231" i="2"/>
  <c r="AR232" i="2"/>
  <c r="AR233" i="2"/>
  <c r="AR234" i="2"/>
  <c r="AR235" i="2"/>
  <c r="AR236" i="2"/>
  <c r="AR237" i="2"/>
  <c r="AR238" i="2"/>
  <c r="AR239" i="2"/>
  <c r="AR240" i="2"/>
  <c r="AR241" i="2"/>
  <c r="AR242" i="2"/>
  <c r="AR243" i="2"/>
  <c r="AR244" i="2"/>
  <c r="AR245" i="2"/>
  <c r="AR246" i="2"/>
  <c r="AR247" i="2"/>
  <c r="AR248" i="2"/>
  <c r="AR249" i="2"/>
  <c r="AR250" i="2"/>
  <c r="AR251" i="2"/>
  <c r="AR252" i="2"/>
  <c r="AR253" i="2"/>
  <c r="AR254" i="2"/>
  <c r="AR255" i="2"/>
  <c r="AR256" i="2"/>
  <c r="AR257" i="2"/>
  <c r="AR258" i="2"/>
  <c r="AR259" i="2"/>
  <c r="AR260" i="2"/>
  <c r="AR261" i="2"/>
  <c r="AR262" i="2"/>
  <c r="AR263" i="2"/>
  <c r="AR264" i="2"/>
  <c r="AR265" i="2"/>
  <c r="AR266" i="2"/>
  <c r="AR267" i="2"/>
  <c r="AR268" i="2"/>
  <c r="AR269" i="2"/>
  <c r="AR270" i="2"/>
  <c r="AR271" i="2"/>
  <c r="AR272" i="2"/>
  <c r="AR273" i="2"/>
  <c r="AR274" i="2"/>
  <c r="AR275" i="2"/>
  <c r="AR276" i="2"/>
  <c r="AR277" i="2"/>
  <c r="AR278" i="2"/>
  <c r="AR279" i="2"/>
  <c r="AR280" i="2"/>
  <c r="AR281" i="2"/>
  <c r="AR282" i="2"/>
  <c r="AR283" i="2"/>
  <c r="AR284" i="2"/>
  <c r="AR285" i="2"/>
  <c r="AR286" i="2"/>
  <c r="AR287" i="2"/>
  <c r="AR288" i="2"/>
  <c r="AR289" i="2"/>
  <c r="AR290" i="2"/>
  <c r="AR291" i="2"/>
  <c r="AR292" i="2"/>
  <c r="AR293" i="2"/>
  <c r="AR294" i="2"/>
  <c r="AR295" i="2"/>
  <c r="AR296" i="2"/>
  <c r="AR297" i="2"/>
  <c r="AR298" i="2"/>
  <c r="AR299" i="2"/>
  <c r="AR300" i="2"/>
  <c r="AR301" i="2"/>
  <c r="AR302" i="2"/>
  <c r="AR303" i="2"/>
  <c r="AR304" i="2"/>
  <c r="AR305" i="2"/>
  <c r="AR306" i="2"/>
  <c r="AR307" i="2"/>
  <c r="AR308" i="2"/>
  <c r="AR309" i="2"/>
  <c r="AR310" i="2"/>
  <c r="AR311" i="2"/>
  <c r="AR312" i="2"/>
  <c r="AR313" i="2"/>
  <c r="AR314" i="2"/>
  <c r="AR315" i="2"/>
  <c r="AR316" i="2"/>
  <c r="AR317" i="2"/>
  <c r="AR318" i="2"/>
  <c r="AR319" i="2"/>
  <c r="AR320" i="2"/>
  <c r="AR321" i="2"/>
  <c r="AR322" i="2"/>
  <c r="AR323" i="2"/>
  <c r="AR324" i="2"/>
  <c r="AR325" i="2"/>
  <c r="AR326" i="2"/>
  <c r="AR327" i="2"/>
  <c r="AR328" i="2"/>
  <c r="AR329" i="2"/>
  <c r="AR330" i="2"/>
  <c r="AR331" i="2"/>
  <c r="AR332" i="2"/>
  <c r="AR333" i="2"/>
  <c r="AR334" i="2"/>
  <c r="AR335" i="2"/>
  <c r="AR336" i="2"/>
  <c r="AR337" i="2"/>
  <c r="AR338" i="2"/>
  <c r="AR339" i="2"/>
  <c r="AR340" i="2"/>
  <c r="AR341" i="2"/>
  <c r="AR342" i="2"/>
  <c r="AR343" i="2"/>
  <c r="AR344" i="2"/>
  <c r="AR345" i="2"/>
  <c r="AR346" i="2"/>
  <c r="AR347" i="2"/>
  <c r="AR348" i="2"/>
  <c r="AR349" i="2"/>
  <c r="AR350" i="2"/>
  <c r="AR351" i="2"/>
  <c r="AR352" i="2"/>
  <c r="AR353" i="2"/>
  <c r="AR354" i="2"/>
  <c r="AR355" i="2"/>
  <c r="AR356" i="2"/>
  <c r="AR357" i="2"/>
  <c r="AR358" i="2"/>
  <c r="AR359" i="2"/>
  <c r="AR360" i="2"/>
  <c r="AR361" i="2"/>
  <c r="AR362" i="2"/>
  <c r="AR363" i="2"/>
  <c r="AR364" i="2"/>
  <c r="AR365" i="2"/>
  <c r="AR366" i="2"/>
  <c r="AR367" i="2"/>
  <c r="AR368" i="2"/>
  <c r="AR369" i="2"/>
  <c r="AR370" i="2"/>
  <c r="AR371" i="2"/>
  <c r="AR372" i="2"/>
  <c r="AR373" i="2"/>
  <c r="AR374" i="2"/>
  <c r="AR375" i="2"/>
  <c r="AR376" i="2"/>
  <c r="AR377" i="2"/>
  <c r="AR378" i="2"/>
  <c r="AR379" i="2"/>
  <c r="AR380" i="2"/>
  <c r="AR381" i="2"/>
  <c r="AR382" i="2"/>
  <c r="AR383" i="2"/>
  <c r="AR384" i="2"/>
  <c r="AR385" i="2"/>
  <c r="AR386" i="2"/>
  <c r="AR387" i="2"/>
  <c r="AR388" i="2"/>
  <c r="AR389" i="2"/>
  <c r="AR390" i="2"/>
  <c r="AR391" i="2"/>
  <c r="AR392" i="2"/>
  <c r="AR393" i="2"/>
  <c r="AR394" i="2"/>
  <c r="AR395" i="2"/>
  <c r="AR396" i="2"/>
  <c r="AR397" i="2"/>
  <c r="AR398" i="2"/>
  <c r="AR399" i="2"/>
  <c r="AR400" i="2"/>
  <c r="AR401" i="2"/>
  <c r="AR402" i="2"/>
  <c r="AR403" i="2"/>
  <c r="AR404" i="2"/>
  <c r="AR405" i="2"/>
  <c r="AR406" i="2"/>
  <c r="AR407" i="2"/>
  <c r="AR408" i="2"/>
  <c r="AR409" i="2"/>
  <c r="AR410" i="2"/>
  <c r="AR411" i="2"/>
  <c r="AR412" i="2"/>
  <c r="AR413" i="2"/>
  <c r="AR414" i="2"/>
  <c r="AR415" i="2"/>
  <c r="AR416" i="2"/>
  <c r="AR417" i="2"/>
  <c r="AR418" i="2"/>
  <c r="AR419" i="2"/>
  <c r="AR420" i="2"/>
  <c r="AR421" i="2"/>
  <c r="AR422" i="2"/>
  <c r="AR423" i="2"/>
  <c r="AR424" i="2"/>
  <c r="AR425" i="2"/>
  <c r="AR426" i="2"/>
  <c r="AR427" i="2"/>
  <c r="AR428" i="2"/>
  <c r="AR429" i="2"/>
  <c r="AR430" i="2"/>
  <c r="AR431" i="2"/>
  <c r="AR432" i="2"/>
  <c r="AR433" i="2"/>
  <c r="AR434" i="2"/>
  <c r="AR435" i="2"/>
  <c r="AR436" i="2"/>
  <c r="AR437" i="2"/>
  <c r="AR438" i="2"/>
  <c r="AR439" i="2"/>
  <c r="AR440" i="2"/>
  <c r="AR441" i="2"/>
  <c r="AR442" i="2"/>
  <c r="AR443" i="2"/>
  <c r="AR444" i="2"/>
  <c r="AR445" i="2"/>
  <c r="AR446" i="2"/>
  <c r="AR447" i="2"/>
  <c r="AR448" i="2"/>
  <c r="AR449" i="2"/>
  <c r="AR450" i="2"/>
  <c r="AR451" i="2"/>
  <c r="AR452" i="2"/>
  <c r="AR453" i="2"/>
  <c r="AR454" i="2"/>
  <c r="AR455" i="2"/>
  <c r="AR456" i="2"/>
  <c r="AR457" i="2"/>
  <c r="AR458" i="2"/>
  <c r="AR459" i="2"/>
  <c r="AR460" i="2"/>
  <c r="AR461" i="2"/>
  <c r="AR462" i="2"/>
  <c r="AR463" i="2"/>
  <c r="AR464" i="2"/>
  <c r="AR465" i="2"/>
  <c r="AR466" i="2"/>
  <c r="AR467" i="2"/>
  <c r="AR468" i="2"/>
  <c r="AR469" i="2"/>
  <c r="AR470" i="2"/>
  <c r="AR471" i="2"/>
  <c r="AR472" i="2"/>
  <c r="AR473" i="2"/>
  <c r="AR474" i="2"/>
  <c r="AR475" i="2"/>
  <c r="AR476" i="2"/>
  <c r="AR477" i="2"/>
  <c r="AR478" i="2"/>
  <c r="AR479" i="2"/>
  <c r="AR480" i="2"/>
  <c r="AR481" i="2"/>
  <c r="AR482" i="2"/>
  <c r="AR483" i="2"/>
  <c r="AR484" i="2"/>
  <c r="AR485" i="2"/>
  <c r="AR486" i="2"/>
  <c r="AR487" i="2"/>
  <c r="AR488" i="2"/>
  <c r="AR489" i="2"/>
  <c r="AR490" i="2"/>
  <c r="AR491" i="2"/>
  <c r="AR492" i="2"/>
  <c r="AR493" i="2"/>
  <c r="AR494" i="2"/>
  <c r="AR495" i="2"/>
  <c r="AR496" i="2"/>
  <c r="AR497" i="2"/>
  <c r="AR498" i="2"/>
  <c r="AR499" i="2"/>
  <c r="AR500" i="2"/>
  <c r="AR501" i="2"/>
  <c r="AR502" i="2"/>
  <c r="AR503" i="2"/>
  <c r="AR504" i="2"/>
  <c r="AR505" i="2"/>
  <c r="AR506" i="2"/>
  <c r="AR507" i="2"/>
  <c r="AR508" i="2"/>
  <c r="AR509" i="2"/>
  <c r="AR510" i="2"/>
  <c r="AR511" i="2"/>
  <c r="AR512" i="2"/>
  <c r="AR513" i="2"/>
  <c r="AR514" i="2"/>
  <c r="AR515" i="2"/>
  <c r="AR516" i="2"/>
  <c r="AR517" i="2"/>
  <c r="AR518" i="2"/>
  <c r="AR519" i="2"/>
  <c r="AR520" i="2"/>
  <c r="AR521" i="2"/>
  <c r="AR522" i="2"/>
  <c r="AR523" i="2"/>
  <c r="AR524" i="2"/>
  <c r="AR525" i="2"/>
  <c r="AR526" i="2"/>
  <c r="AR527" i="2"/>
  <c r="AR528" i="2"/>
  <c r="AR529" i="2"/>
  <c r="AR530" i="2"/>
  <c r="AR531" i="2"/>
  <c r="AR532" i="2"/>
  <c r="AR533" i="2"/>
  <c r="AR534" i="2"/>
  <c r="AR535" i="2"/>
  <c r="AR536" i="2"/>
  <c r="AR537" i="2"/>
  <c r="AR538" i="2"/>
  <c r="AR539" i="2"/>
  <c r="AR540" i="2"/>
  <c r="AR541" i="2"/>
  <c r="AR542" i="2"/>
  <c r="AR543" i="2"/>
  <c r="AR544" i="2"/>
  <c r="AR545" i="2"/>
  <c r="AR546" i="2"/>
  <c r="AR547" i="2"/>
  <c r="AR548" i="2"/>
  <c r="AR549" i="2"/>
  <c r="AR550" i="2"/>
  <c r="AR551" i="2"/>
  <c r="AR552" i="2"/>
  <c r="AR553" i="2"/>
  <c r="AR554" i="2"/>
  <c r="AR555" i="2"/>
  <c r="AR556" i="2"/>
  <c r="AR557" i="2"/>
  <c r="AR558" i="2"/>
  <c r="AR559" i="2"/>
  <c r="AR560" i="2"/>
  <c r="AR561" i="2"/>
  <c r="AR562" i="2"/>
  <c r="AR563" i="2"/>
  <c r="AR564" i="2"/>
  <c r="AR565" i="2"/>
  <c r="AR566" i="2"/>
  <c r="AR567" i="2"/>
  <c r="AR568" i="2"/>
  <c r="AR569" i="2"/>
  <c r="AR570" i="2"/>
  <c r="AR571" i="2"/>
  <c r="AR572" i="2"/>
  <c r="AR573" i="2"/>
  <c r="AR574" i="2"/>
  <c r="AR575" i="2"/>
  <c r="AR576" i="2"/>
  <c r="AR577" i="2"/>
  <c r="AR578" i="2"/>
  <c r="AR579" i="2"/>
  <c r="AR580" i="2"/>
  <c r="AR581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118" i="2"/>
  <c r="AQ119" i="2"/>
  <c r="AQ120" i="2"/>
  <c r="AQ121" i="2"/>
  <c r="AQ122" i="2"/>
  <c r="AQ123" i="2"/>
  <c r="AQ124" i="2"/>
  <c r="AQ125" i="2"/>
  <c r="AQ126" i="2"/>
  <c r="AQ127" i="2"/>
  <c r="AQ128" i="2"/>
  <c r="AQ129" i="2"/>
  <c r="AQ130" i="2"/>
  <c r="AQ131" i="2"/>
  <c r="AQ132" i="2"/>
  <c r="AQ133" i="2"/>
  <c r="AQ134" i="2"/>
  <c r="AQ135" i="2"/>
  <c r="AQ136" i="2"/>
  <c r="AQ137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5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70" i="2"/>
  <c r="AQ171" i="2"/>
  <c r="AQ172" i="2"/>
  <c r="AQ173" i="2"/>
  <c r="AQ174" i="2"/>
  <c r="AQ175" i="2"/>
  <c r="AQ176" i="2"/>
  <c r="AQ177" i="2"/>
  <c r="AQ178" i="2"/>
  <c r="AQ179" i="2"/>
  <c r="AQ180" i="2"/>
  <c r="AQ181" i="2"/>
  <c r="AQ182" i="2"/>
  <c r="AQ183" i="2"/>
  <c r="AQ184" i="2"/>
  <c r="AQ185" i="2"/>
  <c r="AQ186" i="2"/>
  <c r="AQ187" i="2"/>
  <c r="AQ188" i="2"/>
  <c r="AQ189" i="2"/>
  <c r="AQ190" i="2"/>
  <c r="AQ191" i="2"/>
  <c r="AQ192" i="2"/>
  <c r="AQ193" i="2"/>
  <c r="AQ194" i="2"/>
  <c r="AQ195" i="2"/>
  <c r="AQ196" i="2"/>
  <c r="AQ197" i="2"/>
  <c r="AQ198" i="2"/>
  <c r="AQ199" i="2"/>
  <c r="AQ200" i="2"/>
  <c r="AQ201" i="2"/>
  <c r="AQ202" i="2"/>
  <c r="AQ203" i="2"/>
  <c r="AQ204" i="2"/>
  <c r="AQ205" i="2"/>
  <c r="AQ206" i="2"/>
  <c r="AQ207" i="2"/>
  <c r="AQ208" i="2"/>
  <c r="AQ209" i="2"/>
  <c r="AQ210" i="2"/>
  <c r="AQ211" i="2"/>
  <c r="AQ212" i="2"/>
  <c r="AQ213" i="2"/>
  <c r="AQ214" i="2"/>
  <c r="AQ215" i="2"/>
  <c r="AQ216" i="2"/>
  <c r="AQ217" i="2"/>
  <c r="AQ218" i="2"/>
  <c r="AQ219" i="2"/>
  <c r="AQ220" i="2"/>
  <c r="AQ221" i="2"/>
  <c r="AQ222" i="2"/>
  <c r="AQ223" i="2"/>
  <c r="AQ224" i="2"/>
  <c r="AQ225" i="2"/>
  <c r="AQ226" i="2"/>
  <c r="AQ227" i="2"/>
  <c r="AQ228" i="2"/>
  <c r="AQ229" i="2"/>
  <c r="AQ230" i="2"/>
  <c r="AQ231" i="2"/>
  <c r="AQ232" i="2"/>
  <c r="AQ233" i="2"/>
  <c r="AQ234" i="2"/>
  <c r="AQ235" i="2"/>
  <c r="AQ236" i="2"/>
  <c r="AQ237" i="2"/>
  <c r="AQ238" i="2"/>
  <c r="AQ239" i="2"/>
  <c r="AQ240" i="2"/>
  <c r="AQ241" i="2"/>
  <c r="AQ242" i="2"/>
  <c r="AQ243" i="2"/>
  <c r="AQ244" i="2"/>
  <c r="AQ245" i="2"/>
  <c r="AQ246" i="2"/>
  <c r="AQ247" i="2"/>
  <c r="AQ248" i="2"/>
  <c r="AQ249" i="2"/>
  <c r="AQ250" i="2"/>
  <c r="AQ251" i="2"/>
  <c r="AQ252" i="2"/>
  <c r="AQ253" i="2"/>
  <c r="AQ254" i="2"/>
  <c r="AQ255" i="2"/>
  <c r="AQ256" i="2"/>
  <c r="AQ257" i="2"/>
  <c r="AQ258" i="2"/>
  <c r="AQ259" i="2"/>
  <c r="AQ260" i="2"/>
  <c r="AQ261" i="2"/>
  <c r="AQ262" i="2"/>
  <c r="AQ263" i="2"/>
  <c r="AQ264" i="2"/>
  <c r="AQ265" i="2"/>
  <c r="AQ266" i="2"/>
  <c r="AQ267" i="2"/>
  <c r="AQ268" i="2"/>
  <c r="AQ269" i="2"/>
  <c r="AQ270" i="2"/>
  <c r="AQ271" i="2"/>
  <c r="AQ272" i="2"/>
  <c r="AQ273" i="2"/>
  <c r="AQ274" i="2"/>
  <c r="AQ275" i="2"/>
  <c r="AQ276" i="2"/>
  <c r="AQ277" i="2"/>
  <c r="AQ278" i="2"/>
  <c r="AQ279" i="2"/>
  <c r="AQ280" i="2"/>
  <c r="AQ281" i="2"/>
  <c r="AQ282" i="2"/>
  <c r="AQ283" i="2"/>
  <c r="AQ284" i="2"/>
  <c r="AQ285" i="2"/>
  <c r="AQ286" i="2"/>
  <c r="AQ287" i="2"/>
  <c r="AQ288" i="2"/>
  <c r="AQ289" i="2"/>
  <c r="AQ290" i="2"/>
  <c r="AQ291" i="2"/>
  <c r="AQ292" i="2"/>
  <c r="AQ293" i="2"/>
  <c r="AQ294" i="2"/>
  <c r="AQ295" i="2"/>
  <c r="AQ296" i="2"/>
  <c r="AQ297" i="2"/>
  <c r="AQ298" i="2"/>
  <c r="AQ299" i="2"/>
  <c r="AQ300" i="2"/>
  <c r="AQ301" i="2"/>
  <c r="AQ302" i="2"/>
  <c r="AQ303" i="2"/>
  <c r="AQ304" i="2"/>
  <c r="AQ305" i="2"/>
  <c r="AQ306" i="2"/>
  <c r="AQ307" i="2"/>
  <c r="AQ308" i="2"/>
  <c r="AQ309" i="2"/>
  <c r="AQ310" i="2"/>
  <c r="AQ311" i="2"/>
  <c r="AQ312" i="2"/>
  <c r="AQ313" i="2"/>
  <c r="AQ314" i="2"/>
  <c r="AQ315" i="2"/>
  <c r="AQ316" i="2"/>
  <c r="AQ317" i="2"/>
  <c r="AQ318" i="2"/>
  <c r="AQ319" i="2"/>
  <c r="AQ320" i="2"/>
  <c r="AQ321" i="2"/>
  <c r="AQ322" i="2"/>
  <c r="AQ323" i="2"/>
  <c r="AQ324" i="2"/>
  <c r="AQ325" i="2"/>
  <c r="AQ326" i="2"/>
  <c r="AQ327" i="2"/>
  <c r="AQ328" i="2"/>
  <c r="AQ329" i="2"/>
  <c r="AQ330" i="2"/>
  <c r="AQ331" i="2"/>
  <c r="AQ332" i="2"/>
  <c r="AQ333" i="2"/>
  <c r="AQ334" i="2"/>
  <c r="AQ335" i="2"/>
  <c r="AQ336" i="2"/>
  <c r="AQ337" i="2"/>
  <c r="AQ338" i="2"/>
  <c r="AQ339" i="2"/>
  <c r="AQ340" i="2"/>
  <c r="AQ341" i="2"/>
  <c r="AQ342" i="2"/>
  <c r="AQ343" i="2"/>
  <c r="AQ344" i="2"/>
  <c r="AQ345" i="2"/>
  <c r="AQ346" i="2"/>
  <c r="AQ347" i="2"/>
  <c r="AQ348" i="2"/>
  <c r="AQ349" i="2"/>
  <c r="AQ350" i="2"/>
  <c r="AQ351" i="2"/>
  <c r="AQ352" i="2"/>
  <c r="AQ353" i="2"/>
  <c r="AQ354" i="2"/>
  <c r="AQ355" i="2"/>
  <c r="AQ356" i="2"/>
  <c r="AQ357" i="2"/>
  <c r="AQ358" i="2"/>
  <c r="AQ359" i="2"/>
  <c r="AQ360" i="2"/>
  <c r="AQ361" i="2"/>
  <c r="AQ362" i="2"/>
  <c r="AQ363" i="2"/>
  <c r="AQ364" i="2"/>
  <c r="AQ365" i="2"/>
  <c r="AQ366" i="2"/>
  <c r="AQ367" i="2"/>
  <c r="AQ368" i="2"/>
  <c r="AQ369" i="2"/>
  <c r="AQ370" i="2"/>
  <c r="AQ371" i="2"/>
  <c r="AQ372" i="2"/>
  <c r="AQ373" i="2"/>
  <c r="AQ374" i="2"/>
  <c r="AQ375" i="2"/>
  <c r="AQ376" i="2"/>
  <c r="AQ377" i="2"/>
  <c r="AQ378" i="2"/>
  <c r="AQ379" i="2"/>
  <c r="AQ380" i="2"/>
  <c r="AQ381" i="2"/>
  <c r="AQ382" i="2"/>
  <c r="AQ383" i="2"/>
  <c r="AQ384" i="2"/>
  <c r="AQ385" i="2"/>
  <c r="AQ386" i="2"/>
  <c r="AQ387" i="2"/>
  <c r="AQ388" i="2"/>
  <c r="AQ389" i="2"/>
  <c r="AQ390" i="2"/>
  <c r="AQ391" i="2"/>
  <c r="AQ392" i="2"/>
  <c r="AQ393" i="2"/>
  <c r="AQ394" i="2"/>
  <c r="AQ395" i="2"/>
  <c r="AQ396" i="2"/>
  <c r="AQ397" i="2"/>
  <c r="AQ398" i="2"/>
  <c r="AQ399" i="2"/>
  <c r="AQ400" i="2"/>
  <c r="AQ401" i="2"/>
  <c r="AQ402" i="2"/>
  <c r="AQ403" i="2"/>
  <c r="AQ404" i="2"/>
  <c r="AQ405" i="2"/>
  <c r="AQ406" i="2"/>
  <c r="AQ407" i="2"/>
  <c r="AQ408" i="2"/>
  <c r="AQ409" i="2"/>
  <c r="AQ410" i="2"/>
  <c r="AQ411" i="2"/>
  <c r="AQ412" i="2"/>
  <c r="AQ413" i="2"/>
  <c r="AQ414" i="2"/>
  <c r="AQ415" i="2"/>
  <c r="AQ416" i="2"/>
  <c r="AQ417" i="2"/>
  <c r="AQ418" i="2"/>
  <c r="AQ419" i="2"/>
  <c r="AQ420" i="2"/>
  <c r="AQ421" i="2"/>
  <c r="AQ422" i="2"/>
  <c r="AQ423" i="2"/>
  <c r="AQ424" i="2"/>
  <c r="AQ425" i="2"/>
  <c r="AQ426" i="2"/>
  <c r="AQ427" i="2"/>
  <c r="AQ428" i="2"/>
  <c r="AQ429" i="2"/>
  <c r="AQ430" i="2"/>
  <c r="AQ431" i="2"/>
  <c r="AQ432" i="2"/>
  <c r="AQ433" i="2"/>
  <c r="AQ434" i="2"/>
  <c r="AQ435" i="2"/>
  <c r="AQ436" i="2"/>
  <c r="AQ437" i="2"/>
  <c r="AQ438" i="2"/>
  <c r="AQ439" i="2"/>
  <c r="AQ440" i="2"/>
  <c r="AQ441" i="2"/>
  <c r="AQ442" i="2"/>
  <c r="AQ443" i="2"/>
  <c r="AQ444" i="2"/>
  <c r="AQ445" i="2"/>
  <c r="AQ446" i="2"/>
  <c r="AQ447" i="2"/>
  <c r="AQ448" i="2"/>
  <c r="AQ449" i="2"/>
  <c r="AQ450" i="2"/>
  <c r="AQ451" i="2"/>
  <c r="AQ452" i="2"/>
  <c r="AQ453" i="2"/>
  <c r="AQ454" i="2"/>
  <c r="AQ455" i="2"/>
  <c r="AQ456" i="2"/>
  <c r="AQ457" i="2"/>
  <c r="AQ458" i="2"/>
  <c r="AQ459" i="2"/>
  <c r="AQ460" i="2"/>
  <c r="AQ461" i="2"/>
  <c r="AQ462" i="2"/>
  <c r="AQ463" i="2"/>
  <c r="AQ464" i="2"/>
  <c r="AQ465" i="2"/>
  <c r="AQ466" i="2"/>
  <c r="AQ467" i="2"/>
  <c r="AQ468" i="2"/>
  <c r="AQ469" i="2"/>
  <c r="AQ470" i="2"/>
  <c r="AQ471" i="2"/>
  <c r="AQ472" i="2"/>
  <c r="AQ473" i="2"/>
  <c r="AQ474" i="2"/>
  <c r="AQ475" i="2"/>
  <c r="AQ476" i="2"/>
  <c r="AQ477" i="2"/>
  <c r="AQ478" i="2"/>
  <c r="AQ479" i="2"/>
  <c r="AQ480" i="2"/>
  <c r="AQ481" i="2"/>
  <c r="AQ482" i="2"/>
  <c r="AQ483" i="2"/>
  <c r="AQ484" i="2"/>
  <c r="AQ485" i="2"/>
  <c r="AQ486" i="2"/>
  <c r="AQ487" i="2"/>
  <c r="AQ488" i="2"/>
  <c r="AQ489" i="2"/>
  <c r="AQ490" i="2"/>
  <c r="AQ491" i="2"/>
  <c r="AQ492" i="2"/>
  <c r="AQ493" i="2"/>
  <c r="AQ494" i="2"/>
  <c r="AQ495" i="2"/>
  <c r="AQ496" i="2"/>
  <c r="AQ497" i="2"/>
  <c r="AQ498" i="2"/>
  <c r="AQ499" i="2"/>
  <c r="AQ500" i="2"/>
  <c r="AQ501" i="2"/>
  <c r="AQ502" i="2"/>
  <c r="AQ503" i="2"/>
  <c r="AQ504" i="2"/>
  <c r="AQ505" i="2"/>
  <c r="AQ506" i="2"/>
  <c r="AQ507" i="2"/>
  <c r="AQ508" i="2"/>
  <c r="AQ509" i="2"/>
  <c r="AQ510" i="2"/>
  <c r="AQ511" i="2"/>
  <c r="AQ512" i="2"/>
  <c r="AQ513" i="2"/>
  <c r="AQ514" i="2"/>
  <c r="AQ515" i="2"/>
  <c r="AQ516" i="2"/>
  <c r="AQ517" i="2"/>
  <c r="AQ518" i="2"/>
  <c r="AQ519" i="2"/>
  <c r="AQ520" i="2"/>
  <c r="AQ521" i="2"/>
  <c r="AQ522" i="2"/>
  <c r="AQ523" i="2"/>
  <c r="AQ524" i="2"/>
  <c r="AQ525" i="2"/>
  <c r="AQ526" i="2"/>
  <c r="AQ527" i="2"/>
  <c r="AQ528" i="2"/>
  <c r="AQ529" i="2"/>
  <c r="AQ530" i="2"/>
  <c r="AQ531" i="2"/>
  <c r="AQ532" i="2"/>
  <c r="AQ533" i="2"/>
  <c r="AQ534" i="2"/>
  <c r="AQ535" i="2"/>
  <c r="AQ536" i="2"/>
  <c r="AQ537" i="2"/>
  <c r="AQ538" i="2"/>
  <c r="AQ539" i="2"/>
  <c r="AQ540" i="2"/>
  <c r="AQ541" i="2"/>
  <c r="AQ542" i="2"/>
  <c r="AQ543" i="2"/>
  <c r="AQ544" i="2"/>
  <c r="AQ545" i="2"/>
  <c r="AQ546" i="2"/>
  <c r="AQ547" i="2"/>
  <c r="AQ548" i="2"/>
  <c r="AQ549" i="2"/>
  <c r="AQ550" i="2"/>
  <c r="AQ551" i="2"/>
  <c r="AQ552" i="2"/>
  <c r="AQ553" i="2"/>
  <c r="AQ554" i="2"/>
  <c r="AQ555" i="2"/>
  <c r="AQ556" i="2"/>
  <c r="AQ557" i="2"/>
  <c r="AQ558" i="2"/>
  <c r="AQ559" i="2"/>
  <c r="AQ560" i="2"/>
  <c r="AQ561" i="2"/>
  <c r="AQ562" i="2"/>
  <c r="AQ563" i="2"/>
  <c r="AQ564" i="2"/>
  <c r="AQ565" i="2"/>
  <c r="AQ566" i="2"/>
  <c r="AQ567" i="2"/>
  <c r="AQ568" i="2"/>
  <c r="AQ569" i="2"/>
  <c r="AQ570" i="2"/>
  <c r="AQ571" i="2"/>
  <c r="AQ572" i="2"/>
  <c r="AQ573" i="2"/>
  <c r="AQ574" i="2"/>
  <c r="AQ575" i="2"/>
  <c r="AQ576" i="2"/>
  <c r="AQ577" i="2"/>
  <c r="AQ578" i="2"/>
  <c r="AQ579" i="2"/>
  <c r="AQ580" i="2"/>
  <c r="AQ581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334" i="2"/>
  <c r="AP335" i="2"/>
  <c r="AP336" i="2"/>
  <c r="AP337" i="2"/>
  <c r="AP338" i="2"/>
  <c r="AP339" i="2"/>
  <c r="AP340" i="2"/>
  <c r="AP341" i="2"/>
  <c r="AP342" i="2"/>
  <c r="AP343" i="2"/>
  <c r="AP344" i="2"/>
  <c r="AP345" i="2"/>
  <c r="AP346" i="2"/>
  <c r="AP347" i="2"/>
  <c r="AP348" i="2"/>
  <c r="AP349" i="2"/>
  <c r="AP350" i="2"/>
  <c r="AP351" i="2"/>
  <c r="AP352" i="2"/>
  <c r="AP353" i="2"/>
  <c r="AP354" i="2"/>
  <c r="AP355" i="2"/>
  <c r="AP356" i="2"/>
  <c r="AP357" i="2"/>
  <c r="AP358" i="2"/>
  <c r="AP359" i="2"/>
  <c r="AP360" i="2"/>
  <c r="AP361" i="2"/>
  <c r="AP362" i="2"/>
  <c r="AP363" i="2"/>
  <c r="AP364" i="2"/>
  <c r="AP365" i="2"/>
  <c r="AP366" i="2"/>
  <c r="AP367" i="2"/>
  <c r="AP368" i="2"/>
  <c r="AP369" i="2"/>
  <c r="AP370" i="2"/>
  <c r="AP371" i="2"/>
  <c r="AP372" i="2"/>
  <c r="AP373" i="2"/>
  <c r="AP374" i="2"/>
  <c r="AP375" i="2"/>
  <c r="AP376" i="2"/>
  <c r="AP377" i="2"/>
  <c r="AP378" i="2"/>
  <c r="AP379" i="2"/>
  <c r="AP380" i="2"/>
  <c r="AP381" i="2"/>
  <c r="AP382" i="2"/>
  <c r="AP383" i="2"/>
  <c r="AP384" i="2"/>
  <c r="AP385" i="2"/>
  <c r="AP386" i="2"/>
  <c r="AP387" i="2"/>
  <c r="AP388" i="2"/>
  <c r="AP389" i="2"/>
  <c r="AP390" i="2"/>
  <c r="AP391" i="2"/>
  <c r="AP392" i="2"/>
  <c r="AP393" i="2"/>
  <c r="AP394" i="2"/>
  <c r="AP395" i="2"/>
  <c r="AP396" i="2"/>
  <c r="AP397" i="2"/>
  <c r="AP398" i="2"/>
  <c r="AP399" i="2"/>
  <c r="AP400" i="2"/>
  <c r="AP401" i="2"/>
  <c r="AP402" i="2"/>
  <c r="AP403" i="2"/>
  <c r="AP404" i="2"/>
  <c r="AP405" i="2"/>
  <c r="AP406" i="2"/>
  <c r="AP407" i="2"/>
  <c r="AP408" i="2"/>
  <c r="AP409" i="2"/>
  <c r="AP410" i="2"/>
  <c r="AP411" i="2"/>
  <c r="AP412" i="2"/>
  <c r="AP413" i="2"/>
  <c r="AP414" i="2"/>
  <c r="AP415" i="2"/>
  <c r="AP416" i="2"/>
  <c r="AP417" i="2"/>
  <c r="AP418" i="2"/>
  <c r="AP419" i="2"/>
  <c r="AP420" i="2"/>
  <c r="AP421" i="2"/>
  <c r="AP422" i="2"/>
  <c r="AP423" i="2"/>
  <c r="AP424" i="2"/>
  <c r="AP425" i="2"/>
  <c r="AP426" i="2"/>
  <c r="AP427" i="2"/>
  <c r="AP428" i="2"/>
  <c r="AP429" i="2"/>
  <c r="AP430" i="2"/>
  <c r="AP431" i="2"/>
  <c r="AP432" i="2"/>
  <c r="AP433" i="2"/>
  <c r="AP434" i="2"/>
  <c r="AP435" i="2"/>
  <c r="AP436" i="2"/>
  <c r="AP437" i="2"/>
  <c r="AP438" i="2"/>
  <c r="AP439" i="2"/>
  <c r="AP440" i="2"/>
  <c r="AP441" i="2"/>
  <c r="AP442" i="2"/>
  <c r="AP443" i="2"/>
  <c r="AP444" i="2"/>
  <c r="AP445" i="2"/>
  <c r="AP446" i="2"/>
  <c r="AP447" i="2"/>
  <c r="AP448" i="2"/>
  <c r="AP449" i="2"/>
  <c r="AP450" i="2"/>
  <c r="AP451" i="2"/>
  <c r="AP452" i="2"/>
  <c r="AP453" i="2"/>
  <c r="AP454" i="2"/>
  <c r="AP455" i="2"/>
  <c r="AP456" i="2"/>
  <c r="AP457" i="2"/>
  <c r="AP458" i="2"/>
  <c r="AP459" i="2"/>
  <c r="AP460" i="2"/>
  <c r="AP461" i="2"/>
  <c r="AP462" i="2"/>
  <c r="AP463" i="2"/>
  <c r="AP464" i="2"/>
  <c r="AP465" i="2"/>
  <c r="AP466" i="2"/>
  <c r="AP467" i="2"/>
  <c r="AP468" i="2"/>
  <c r="AP469" i="2"/>
  <c r="AP470" i="2"/>
  <c r="AP471" i="2"/>
  <c r="AP472" i="2"/>
  <c r="AP473" i="2"/>
  <c r="AP474" i="2"/>
  <c r="AP475" i="2"/>
  <c r="AP476" i="2"/>
  <c r="AP477" i="2"/>
  <c r="AP478" i="2"/>
  <c r="AP479" i="2"/>
  <c r="AP480" i="2"/>
  <c r="AP481" i="2"/>
  <c r="AP482" i="2"/>
  <c r="AP483" i="2"/>
  <c r="AP484" i="2"/>
  <c r="AP485" i="2"/>
  <c r="AP486" i="2"/>
  <c r="AP487" i="2"/>
  <c r="AP488" i="2"/>
  <c r="AP489" i="2"/>
  <c r="AP490" i="2"/>
  <c r="AP491" i="2"/>
  <c r="AP492" i="2"/>
  <c r="AP493" i="2"/>
  <c r="AP494" i="2"/>
  <c r="AP495" i="2"/>
  <c r="AP496" i="2"/>
  <c r="AP497" i="2"/>
  <c r="AP498" i="2"/>
  <c r="AP499" i="2"/>
  <c r="AP500" i="2"/>
  <c r="AP501" i="2"/>
  <c r="AP502" i="2"/>
  <c r="AP503" i="2"/>
  <c r="AP504" i="2"/>
  <c r="AP505" i="2"/>
  <c r="AP506" i="2"/>
  <c r="AP507" i="2"/>
  <c r="AP508" i="2"/>
  <c r="AP509" i="2"/>
  <c r="AP510" i="2"/>
  <c r="AP511" i="2"/>
  <c r="AP512" i="2"/>
  <c r="AP513" i="2"/>
  <c r="AP514" i="2"/>
  <c r="AP515" i="2"/>
  <c r="AP516" i="2"/>
  <c r="AP517" i="2"/>
  <c r="AP518" i="2"/>
  <c r="AP519" i="2"/>
  <c r="AP520" i="2"/>
  <c r="AP521" i="2"/>
  <c r="AP522" i="2"/>
  <c r="AP523" i="2"/>
  <c r="AP524" i="2"/>
  <c r="AP525" i="2"/>
  <c r="AP526" i="2"/>
  <c r="AP527" i="2"/>
  <c r="AP528" i="2"/>
  <c r="AP529" i="2"/>
  <c r="AP530" i="2"/>
  <c r="AP531" i="2"/>
  <c r="AP532" i="2"/>
  <c r="AP533" i="2"/>
  <c r="AP534" i="2"/>
  <c r="AP535" i="2"/>
  <c r="AP536" i="2"/>
  <c r="AP537" i="2"/>
  <c r="AP538" i="2"/>
  <c r="AP539" i="2"/>
  <c r="AP540" i="2"/>
  <c r="AP541" i="2"/>
  <c r="AP542" i="2"/>
  <c r="AP543" i="2"/>
  <c r="AP544" i="2"/>
  <c r="AP545" i="2"/>
  <c r="AP546" i="2"/>
  <c r="AP547" i="2"/>
  <c r="AP548" i="2"/>
  <c r="AP549" i="2"/>
  <c r="AP550" i="2"/>
  <c r="AP551" i="2"/>
  <c r="AP552" i="2"/>
  <c r="AP553" i="2"/>
  <c r="AP554" i="2"/>
  <c r="AP555" i="2"/>
  <c r="AP556" i="2"/>
  <c r="AP557" i="2"/>
  <c r="AP558" i="2"/>
  <c r="AP559" i="2"/>
  <c r="AP560" i="2"/>
  <c r="AP561" i="2"/>
  <c r="AP562" i="2"/>
  <c r="AP563" i="2"/>
  <c r="AP564" i="2"/>
  <c r="AP565" i="2"/>
  <c r="AP566" i="2"/>
  <c r="AP567" i="2"/>
  <c r="AP568" i="2"/>
  <c r="AP569" i="2"/>
  <c r="AP570" i="2"/>
  <c r="AP571" i="2"/>
  <c r="AP572" i="2"/>
  <c r="AP573" i="2"/>
  <c r="AP574" i="2"/>
  <c r="AP575" i="2"/>
  <c r="AP576" i="2"/>
  <c r="AP577" i="2"/>
  <c r="AP578" i="2"/>
  <c r="AP579" i="2"/>
  <c r="AP580" i="2"/>
  <c r="AP581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AO352" i="2"/>
  <c r="AO353" i="2"/>
  <c r="AO354" i="2"/>
  <c r="AO355" i="2"/>
  <c r="AO356" i="2"/>
  <c r="AO357" i="2"/>
  <c r="AO358" i="2"/>
  <c r="AO359" i="2"/>
  <c r="AO360" i="2"/>
  <c r="AO361" i="2"/>
  <c r="AO362" i="2"/>
  <c r="AO363" i="2"/>
  <c r="AO364" i="2"/>
  <c r="AO365" i="2"/>
  <c r="AO366" i="2"/>
  <c r="AO367" i="2"/>
  <c r="AO368" i="2"/>
  <c r="AO369" i="2"/>
  <c r="AO370" i="2"/>
  <c r="AO371" i="2"/>
  <c r="AO372" i="2"/>
  <c r="AO373" i="2"/>
  <c r="AO374" i="2"/>
  <c r="AO375" i="2"/>
  <c r="AO376" i="2"/>
  <c r="AO377" i="2"/>
  <c r="AO378" i="2"/>
  <c r="AO379" i="2"/>
  <c r="AO380" i="2"/>
  <c r="AO381" i="2"/>
  <c r="AO382" i="2"/>
  <c r="AO383" i="2"/>
  <c r="AO384" i="2"/>
  <c r="AO385" i="2"/>
  <c r="AO386" i="2"/>
  <c r="AO387" i="2"/>
  <c r="AO388" i="2"/>
  <c r="AO389" i="2"/>
  <c r="AO390" i="2"/>
  <c r="AO391" i="2"/>
  <c r="AO392" i="2"/>
  <c r="AO393" i="2"/>
  <c r="AO394" i="2"/>
  <c r="AO395" i="2"/>
  <c r="AO396" i="2"/>
  <c r="AO397" i="2"/>
  <c r="AO398" i="2"/>
  <c r="AO399" i="2"/>
  <c r="AO400" i="2"/>
  <c r="AO401" i="2"/>
  <c r="AO402" i="2"/>
  <c r="AO403" i="2"/>
  <c r="AO404" i="2"/>
  <c r="AO405" i="2"/>
  <c r="AO406" i="2"/>
  <c r="AO407" i="2"/>
  <c r="AO408" i="2"/>
  <c r="AO409" i="2"/>
  <c r="AO410" i="2"/>
  <c r="AO411" i="2"/>
  <c r="AO412" i="2"/>
  <c r="AO413" i="2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AO426" i="2"/>
  <c r="AO427" i="2"/>
  <c r="AO428" i="2"/>
  <c r="AO429" i="2"/>
  <c r="AO430" i="2"/>
  <c r="AO431" i="2"/>
  <c r="AO432" i="2"/>
  <c r="AO433" i="2"/>
  <c r="AO434" i="2"/>
  <c r="AO435" i="2"/>
  <c r="AO436" i="2"/>
  <c r="AO437" i="2"/>
  <c r="AO438" i="2"/>
  <c r="AO439" i="2"/>
  <c r="AO440" i="2"/>
  <c r="AO441" i="2"/>
  <c r="AO442" i="2"/>
  <c r="AO443" i="2"/>
  <c r="AO444" i="2"/>
  <c r="AO445" i="2"/>
  <c r="AO446" i="2"/>
  <c r="AO447" i="2"/>
  <c r="AO448" i="2"/>
  <c r="AO449" i="2"/>
  <c r="AO450" i="2"/>
  <c r="AO451" i="2"/>
  <c r="AO452" i="2"/>
  <c r="AO453" i="2"/>
  <c r="AO454" i="2"/>
  <c r="AO455" i="2"/>
  <c r="AO456" i="2"/>
  <c r="AO457" i="2"/>
  <c r="AO458" i="2"/>
  <c r="AO459" i="2"/>
  <c r="AO460" i="2"/>
  <c r="AO461" i="2"/>
  <c r="AO462" i="2"/>
  <c r="AO463" i="2"/>
  <c r="AO464" i="2"/>
  <c r="AO465" i="2"/>
  <c r="AO466" i="2"/>
  <c r="AO467" i="2"/>
  <c r="AO468" i="2"/>
  <c r="AO469" i="2"/>
  <c r="AO470" i="2"/>
  <c r="AO471" i="2"/>
  <c r="AO472" i="2"/>
  <c r="AO473" i="2"/>
  <c r="AO474" i="2"/>
  <c r="AO475" i="2"/>
  <c r="AO476" i="2"/>
  <c r="AO477" i="2"/>
  <c r="AO478" i="2"/>
  <c r="AO479" i="2"/>
  <c r="AO480" i="2"/>
  <c r="AO481" i="2"/>
  <c r="AO482" i="2"/>
  <c r="AO483" i="2"/>
  <c r="AO484" i="2"/>
  <c r="AO485" i="2"/>
  <c r="AO486" i="2"/>
  <c r="AO487" i="2"/>
  <c r="AO488" i="2"/>
  <c r="AO489" i="2"/>
  <c r="AO490" i="2"/>
  <c r="AO491" i="2"/>
  <c r="AO492" i="2"/>
  <c r="AO493" i="2"/>
  <c r="AO494" i="2"/>
  <c r="AO495" i="2"/>
  <c r="AO496" i="2"/>
  <c r="AO497" i="2"/>
  <c r="AO498" i="2"/>
  <c r="AO499" i="2"/>
  <c r="AO500" i="2"/>
  <c r="AO501" i="2"/>
  <c r="AO502" i="2"/>
  <c r="AO503" i="2"/>
  <c r="AO504" i="2"/>
  <c r="AO505" i="2"/>
  <c r="AO506" i="2"/>
  <c r="AO507" i="2"/>
  <c r="AO508" i="2"/>
  <c r="AO509" i="2"/>
  <c r="AO510" i="2"/>
  <c r="AO511" i="2"/>
  <c r="AO512" i="2"/>
  <c r="AO513" i="2"/>
  <c r="AO514" i="2"/>
  <c r="AO515" i="2"/>
  <c r="AO516" i="2"/>
  <c r="AO517" i="2"/>
  <c r="AO518" i="2"/>
  <c r="AO519" i="2"/>
  <c r="AO520" i="2"/>
  <c r="AO521" i="2"/>
  <c r="AO522" i="2"/>
  <c r="AO523" i="2"/>
  <c r="AO524" i="2"/>
  <c r="AO525" i="2"/>
  <c r="AO526" i="2"/>
  <c r="AO527" i="2"/>
  <c r="AO528" i="2"/>
  <c r="AO529" i="2"/>
  <c r="AO530" i="2"/>
  <c r="AO531" i="2"/>
  <c r="AO532" i="2"/>
  <c r="AO533" i="2"/>
  <c r="AO534" i="2"/>
  <c r="AO535" i="2"/>
  <c r="AO536" i="2"/>
  <c r="AO537" i="2"/>
  <c r="AO538" i="2"/>
  <c r="AO539" i="2"/>
  <c r="AO540" i="2"/>
  <c r="AO541" i="2"/>
  <c r="AO542" i="2"/>
  <c r="AO543" i="2"/>
  <c r="AO544" i="2"/>
  <c r="AO545" i="2"/>
  <c r="AO546" i="2"/>
  <c r="AO547" i="2"/>
  <c r="AO548" i="2"/>
  <c r="AO549" i="2"/>
  <c r="AO550" i="2"/>
  <c r="AO551" i="2"/>
  <c r="AO552" i="2"/>
  <c r="AO553" i="2"/>
  <c r="AO554" i="2"/>
  <c r="AO555" i="2"/>
  <c r="AO556" i="2"/>
  <c r="AO557" i="2"/>
  <c r="AO558" i="2"/>
  <c r="AO559" i="2"/>
  <c r="AO560" i="2"/>
  <c r="AO561" i="2"/>
  <c r="AO562" i="2"/>
  <c r="AO563" i="2"/>
  <c r="AO564" i="2"/>
  <c r="AO565" i="2"/>
  <c r="AO566" i="2"/>
  <c r="AO567" i="2"/>
  <c r="AO568" i="2"/>
  <c r="AO569" i="2"/>
  <c r="AO570" i="2"/>
  <c r="AO571" i="2"/>
  <c r="AO572" i="2"/>
  <c r="AO573" i="2"/>
  <c r="AO574" i="2"/>
  <c r="AO575" i="2"/>
  <c r="AO576" i="2"/>
  <c r="AO577" i="2"/>
  <c r="AO578" i="2"/>
  <c r="AO579" i="2"/>
  <c r="AO580" i="2"/>
  <c r="AO581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170" i="2"/>
  <c r="AN171" i="2"/>
  <c r="AN172" i="2"/>
  <c r="AN173" i="2"/>
  <c r="AN174" i="2"/>
  <c r="AN175" i="2"/>
  <c r="AN176" i="2"/>
  <c r="AN177" i="2"/>
  <c r="AN178" i="2"/>
  <c r="AN179" i="2"/>
  <c r="AN180" i="2"/>
  <c r="AN181" i="2"/>
  <c r="AN182" i="2"/>
  <c r="AN183" i="2"/>
  <c r="AN184" i="2"/>
  <c r="AN185" i="2"/>
  <c r="AN186" i="2"/>
  <c r="AN187" i="2"/>
  <c r="AN188" i="2"/>
  <c r="AN189" i="2"/>
  <c r="AN190" i="2"/>
  <c r="AN191" i="2"/>
  <c r="AN192" i="2"/>
  <c r="AN193" i="2"/>
  <c r="AN194" i="2"/>
  <c r="AN195" i="2"/>
  <c r="AN196" i="2"/>
  <c r="AN197" i="2"/>
  <c r="AN198" i="2"/>
  <c r="AN199" i="2"/>
  <c r="AN200" i="2"/>
  <c r="AN201" i="2"/>
  <c r="AN202" i="2"/>
  <c r="AN203" i="2"/>
  <c r="AN204" i="2"/>
  <c r="AN205" i="2"/>
  <c r="AN206" i="2"/>
  <c r="AN207" i="2"/>
  <c r="AN208" i="2"/>
  <c r="AN209" i="2"/>
  <c r="AN210" i="2"/>
  <c r="AN211" i="2"/>
  <c r="AN212" i="2"/>
  <c r="AN213" i="2"/>
  <c r="AN214" i="2"/>
  <c r="AN215" i="2"/>
  <c r="AN216" i="2"/>
  <c r="AN217" i="2"/>
  <c r="AN218" i="2"/>
  <c r="AN219" i="2"/>
  <c r="AN220" i="2"/>
  <c r="AN221" i="2"/>
  <c r="AN222" i="2"/>
  <c r="AN223" i="2"/>
  <c r="AN224" i="2"/>
  <c r="AN225" i="2"/>
  <c r="AN226" i="2"/>
  <c r="AN227" i="2"/>
  <c r="AN228" i="2"/>
  <c r="AN229" i="2"/>
  <c r="AN230" i="2"/>
  <c r="AN231" i="2"/>
  <c r="AN232" i="2"/>
  <c r="AN233" i="2"/>
  <c r="AN234" i="2"/>
  <c r="AN235" i="2"/>
  <c r="AN236" i="2"/>
  <c r="AN237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AN250" i="2"/>
  <c r="AN251" i="2"/>
  <c r="AN252" i="2"/>
  <c r="AN253" i="2"/>
  <c r="AN254" i="2"/>
  <c r="AN255" i="2"/>
  <c r="AN256" i="2"/>
  <c r="AN257" i="2"/>
  <c r="AN258" i="2"/>
  <c r="AN259" i="2"/>
  <c r="AN260" i="2"/>
  <c r="AN261" i="2"/>
  <c r="AN262" i="2"/>
  <c r="AN263" i="2"/>
  <c r="AN264" i="2"/>
  <c r="AN265" i="2"/>
  <c r="AN266" i="2"/>
  <c r="AN267" i="2"/>
  <c r="AN268" i="2"/>
  <c r="AN269" i="2"/>
  <c r="AN270" i="2"/>
  <c r="AN271" i="2"/>
  <c r="AN272" i="2"/>
  <c r="AN273" i="2"/>
  <c r="AN274" i="2"/>
  <c r="AN275" i="2"/>
  <c r="AN276" i="2"/>
  <c r="AN277" i="2"/>
  <c r="AN278" i="2"/>
  <c r="AN279" i="2"/>
  <c r="AN280" i="2"/>
  <c r="AN281" i="2"/>
  <c r="AN282" i="2"/>
  <c r="AN283" i="2"/>
  <c r="AN284" i="2"/>
  <c r="AN285" i="2"/>
  <c r="AN286" i="2"/>
  <c r="AN287" i="2"/>
  <c r="AN288" i="2"/>
  <c r="AN289" i="2"/>
  <c r="AN290" i="2"/>
  <c r="AN291" i="2"/>
  <c r="AN292" i="2"/>
  <c r="AN293" i="2"/>
  <c r="AN294" i="2"/>
  <c r="AN295" i="2"/>
  <c r="AN296" i="2"/>
  <c r="AN297" i="2"/>
  <c r="AN298" i="2"/>
  <c r="AN299" i="2"/>
  <c r="AN300" i="2"/>
  <c r="AN301" i="2"/>
  <c r="AN302" i="2"/>
  <c r="AN303" i="2"/>
  <c r="AN304" i="2"/>
  <c r="AN305" i="2"/>
  <c r="AN306" i="2"/>
  <c r="AN307" i="2"/>
  <c r="AN308" i="2"/>
  <c r="AN309" i="2"/>
  <c r="AN310" i="2"/>
  <c r="AN311" i="2"/>
  <c r="AN312" i="2"/>
  <c r="AN313" i="2"/>
  <c r="AN314" i="2"/>
  <c r="AN315" i="2"/>
  <c r="AN316" i="2"/>
  <c r="AN317" i="2"/>
  <c r="AN318" i="2"/>
  <c r="AN319" i="2"/>
  <c r="AN320" i="2"/>
  <c r="AN321" i="2"/>
  <c r="AN322" i="2"/>
  <c r="AN323" i="2"/>
  <c r="AN324" i="2"/>
  <c r="AN325" i="2"/>
  <c r="AN326" i="2"/>
  <c r="AN327" i="2"/>
  <c r="AN328" i="2"/>
  <c r="AN329" i="2"/>
  <c r="AN330" i="2"/>
  <c r="AN331" i="2"/>
  <c r="AN332" i="2"/>
  <c r="AN333" i="2"/>
  <c r="AN334" i="2"/>
  <c r="AN335" i="2"/>
  <c r="AN336" i="2"/>
  <c r="AN337" i="2"/>
  <c r="AN338" i="2"/>
  <c r="AN339" i="2"/>
  <c r="AN340" i="2"/>
  <c r="AN341" i="2"/>
  <c r="AN342" i="2"/>
  <c r="AN343" i="2"/>
  <c r="AN344" i="2"/>
  <c r="AN345" i="2"/>
  <c r="AN346" i="2"/>
  <c r="AN347" i="2"/>
  <c r="AN348" i="2"/>
  <c r="AN349" i="2"/>
  <c r="AN350" i="2"/>
  <c r="AN351" i="2"/>
  <c r="AN352" i="2"/>
  <c r="AN353" i="2"/>
  <c r="AN354" i="2"/>
  <c r="AN355" i="2"/>
  <c r="AN356" i="2"/>
  <c r="AN357" i="2"/>
  <c r="AN358" i="2"/>
  <c r="AN359" i="2"/>
  <c r="AN360" i="2"/>
  <c r="AN361" i="2"/>
  <c r="AN362" i="2"/>
  <c r="AN363" i="2"/>
  <c r="AN364" i="2"/>
  <c r="AN365" i="2"/>
  <c r="AN366" i="2"/>
  <c r="AN367" i="2"/>
  <c r="AN368" i="2"/>
  <c r="AN369" i="2"/>
  <c r="AN370" i="2"/>
  <c r="AN371" i="2"/>
  <c r="AN372" i="2"/>
  <c r="AN373" i="2"/>
  <c r="AN374" i="2"/>
  <c r="AN375" i="2"/>
  <c r="AN376" i="2"/>
  <c r="AN377" i="2"/>
  <c r="AN378" i="2"/>
  <c r="AN379" i="2"/>
  <c r="AN380" i="2"/>
  <c r="AN381" i="2"/>
  <c r="AN382" i="2"/>
  <c r="AN383" i="2"/>
  <c r="AN384" i="2"/>
  <c r="AN385" i="2"/>
  <c r="AN386" i="2"/>
  <c r="AN387" i="2"/>
  <c r="AN388" i="2"/>
  <c r="AN389" i="2"/>
  <c r="AN390" i="2"/>
  <c r="AN391" i="2"/>
  <c r="AN392" i="2"/>
  <c r="AN393" i="2"/>
  <c r="AN394" i="2"/>
  <c r="AN395" i="2"/>
  <c r="AN396" i="2"/>
  <c r="AN397" i="2"/>
  <c r="AN398" i="2"/>
  <c r="AN399" i="2"/>
  <c r="AN400" i="2"/>
  <c r="AN401" i="2"/>
  <c r="AN402" i="2"/>
  <c r="AN403" i="2"/>
  <c r="AN404" i="2"/>
  <c r="AN405" i="2"/>
  <c r="AN406" i="2"/>
  <c r="AN407" i="2"/>
  <c r="AN408" i="2"/>
  <c r="AN409" i="2"/>
  <c r="AN410" i="2"/>
  <c r="AN411" i="2"/>
  <c r="AN412" i="2"/>
  <c r="AN413" i="2"/>
  <c r="AN414" i="2"/>
  <c r="AN415" i="2"/>
  <c r="AN416" i="2"/>
  <c r="AN417" i="2"/>
  <c r="AN418" i="2"/>
  <c r="AN419" i="2"/>
  <c r="AN420" i="2"/>
  <c r="AN421" i="2"/>
  <c r="AN422" i="2"/>
  <c r="AN423" i="2"/>
  <c r="AN424" i="2"/>
  <c r="AN425" i="2"/>
  <c r="AN426" i="2"/>
  <c r="AN427" i="2"/>
  <c r="AN428" i="2"/>
  <c r="AN429" i="2"/>
  <c r="AN430" i="2"/>
  <c r="AN431" i="2"/>
  <c r="AN432" i="2"/>
  <c r="AN433" i="2"/>
  <c r="AN434" i="2"/>
  <c r="AN435" i="2"/>
  <c r="AN436" i="2"/>
  <c r="AN437" i="2"/>
  <c r="AN438" i="2"/>
  <c r="AN439" i="2"/>
  <c r="AN440" i="2"/>
  <c r="AN441" i="2"/>
  <c r="AN442" i="2"/>
  <c r="AN443" i="2"/>
  <c r="AN444" i="2"/>
  <c r="AN445" i="2"/>
  <c r="AN446" i="2"/>
  <c r="AN447" i="2"/>
  <c r="AN448" i="2"/>
  <c r="AN449" i="2"/>
  <c r="AN450" i="2"/>
  <c r="AN451" i="2"/>
  <c r="AN452" i="2"/>
  <c r="AN453" i="2"/>
  <c r="AN454" i="2"/>
  <c r="AN455" i="2"/>
  <c r="AN456" i="2"/>
  <c r="AN457" i="2"/>
  <c r="AN458" i="2"/>
  <c r="AN459" i="2"/>
  <c r="AN460" i="2"/>
  <c r="AN461" i="2"/>
  <c r="AN462" i="2"/>
  <c r="AN463" i="2"/>
  <c r="AN464" i="2"/>
  <c r="AN465" i="2"/>
  <c r="AN466" i="2"/>
  <c r="AN467" i="2"/>
  <c r="AN468" i="2"/>
  <c r="AN469" i="2"/>
  <c r="AN470" i="2"/>
  <c r="AN471" i="2"/>
  <c r="AN472" i="2"/>
  <c r="AN473" i="2"/>
  <c r="AN474" i="2"/>
  <c r="AN475" i="2"/>
  <c r="AN476" i="2"/>
  <c r="AN477" i="2"/>
  <c r="AN478" i="2"/>
  <c r="AN479" i="2"/>
  <c r="AN480" i="2"/>
  <c r="AN481" i="2"/>
  <c r="AN482" i="2"/>
  <c r="AN483" i="2"/>
  <c r="AN484" i="2"/>
  <c r="AN485" i="2"/>
  <c r="AN486" i="2"/>
  <c r="AN487" i="2"/>
  <c r="AN488" i="2"/>
  <c r="AN489" i="2"/>
  <c r="AN490" i="2"/>
  <c r="AN491" i="2"/>
  <c r="AN492" i="2"/>
  <c r="AN493" i="2"/>
  <c r="AN494" i="2"/>
  <c r="AN495" i="2"/>
  <c r="AN496" i="2"/>
  <c r="AN497" i="2"/>
  <c r="AN498" i="2"/>
  <c r="AN499" i="2"/>
  <c r="AN500" i="2"/>
  <c r="AN501" i="2"/>
  <c r="AN502" i="2"/>
  <c r="AN503" i="2"/>
  <c r="AN504" i="2"/>
  <c r="AN505" i="2"/>
  <c r="AN506" i="2"/>
  <c r="AN507" i="2"/>
  <c r="AN508" i="2"/>
  <c r="AN509" i="2"/>
  <c r="AN510" i="2"/>
  <c r="AN511" i="2"/>
  <c r="AN512" i="2"/>
  <c r="AN513" i="2"/>
  <c r="AN514" i="2"/>
  <c r="AN515" i="2"/>
  <c r="AN516" i="2"/>
  <c r="AN517" i="2"/>
  <c r="AN518" i="2"/>
  <c r="AN519" i="2"/>
  <c r="AN520" i="2"/>
  <c r="AN521" i="2"/>
  <c r="AN522" i="2"/>
  <c r="AN523" i="2"/>
  <c r="AN524" i="2"/>
  <c r="AN525" i="2"/>
  <c r="AN526" i="2"/>
  <c r="AN527" i="2"/>
  <c r="AN528" i="2"/>
  <c r="AN529" i="2"/>
  <c r="AN530" i="2"/>
  <c r="AN531" i="2"/>
  <c r="AN532" i="2"/>
  <c r="AN533" i="2"/>
  <c r="AN534" i="2"/>
  <c r="AN535" i="2"/>
  <c r="AN536" i="2"/>
  <c r="AN537" i="2"/>
  <c r="AN538" i="2"/>
  <c r="AN539" i="2"/>
  <c r="AN540" i="2"/>
  <c r="AN541" i="2"/>
  <c r="AN542" i="2"/>
  <c r="AN543" i="2"/>
  <c r="AN544" i="2"/>
  <c r="AN545" i="2"/>
  <c r="AN546" i="2"/>
  <c r="AN547" i="2"/>
  <c r="AN548" i="2"/>
  <c r="AN549" i="2"/>
  <c r="AN550" i="2"/>
  <c r="AN551" i="2"/>
  <c r="AN552" i="2"/>
  <c r="AN553" i="2"/>
  <c r="AN554" i="2"/>
  <c r="AN555" i="2"/>
  <c r="AN556" i="2"/>
  <c r="AN557" i="2"/>
  <c r="AN558" i="2"/>
  <c r="AN559" i="2"/>
  <c r="AN560" i="2"/>
  <c r="AN561" i="2"/>
  <c r="AN562" i="2"/>
  <c r="AN563" i="2"/>
  <c r="AN564" i="2"/>
  <c r="AN565" i="2"/>
  <c r="AN566" i="2"/>
  <c r="AN567" i="2"/>
  <c r="AN568" i="2"/>
  <c r="AN569" i="2"/>
  <c r="AN570" i="2"/>
  <c r="AN571" i="2"/>
  <c r="AN572" i="2"/>
  <c r="AN573" i="2"/>
  <c r="AN574" i="2"/>
  <c r="AN575" i="2"/>
  <c r="AN576" i="2"/>
  <c r="AN577" i="2"/>
  <c r="AN578" i="2"/>
  <c r="AN579" i="2"/>
  <c r="AN580" i="2"/>
  <c r="AN581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131" i="2"/>
  <c r="AM132" i="2"/>
  <c r="AM133" i="2"/>
  <c r="AM134" i="2"/>
  <c r="AM135" i="2"/>
  <c r="AM136" i="2"/>
  <c r="AM137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4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69" i="2"/>
  <c r="AM170" i="2"/>
  <c r="AM171" i="2"/>
  <c r="AM172" i="2"/>
  <c r="AM173" i="2"/>
  <c r="AM174" i="2"/>
  <c r="AM175" i="2"/>
  <c r="AM176" i="2"/>
  <c r="AM177" i="2"/>
  <c r="AM178" i="2"/>
  <c r="AM179" i="2"/>
  <c r="AM180" i="2"/>
  <c r="AM181" i="2"/>
  <c r="AM182" i="2"/>
  <c r="AM183" i="2"/>
  <c r="AM184" i="2"/>
  <c r="AM185" i="2"/>
  <c r="AM186" i="2"/>
  <c r="AM187" i="2"/>
  <c r="AM188" i="2"/>
  <c r="AM189" i="2"/>
  <c r="AM190" i="2"/>
  <c r="AM191" i="2"/>
  <c r="AM192" i="2"/>
  <c r="AM193" i="2"/>
  <c r="AM194" i="2"/>
  <c r="AM195" i="2"/>
  <c r="AM196" i="2"/>
  <c r="AM197" i="2"/>
  <c r="AM198" i="2"/>
  <c r="AM199" i="2"/>
  <c r="AM200" i="2"/>
  <c r="AM201" i="2"/>
  <c r="AM202" i="2"/>
  <c r="AM203" i="2"/>
  <c r="AM204" i="2"/>
  <c r="AM205" i="2"/>
  <c r="AM206" i="2"/>
  <c r="AM207" i="2"/>
  <c r="AM208" i="2"/>
  <c r="AM209" i="2"/>
  <c r="AM210" i="2"/>
  <c r="AM211" i="2"/>
  <c r="AM212" i="2"/>
  <c r="AM213" i="2"/>
  <c r="AM214" i="2"/>
  <c r="AM215" i="2"/>
  <c r="AM216" i="2"/>
  <c r="AM217" i="2"/>
  <c r="AM218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32" i="2"/>
  <c r="AM233" i="2"/>
  <c r="AM234" i="2"/>
  <c r="AM235" i="2"/>
  <c r="AM236" i="2"/>
  <c r="AM237" i="2"/>
  <c r="AM238" i="2"/>
  <c r="AM239" i="2"/>
  <c r="AM240" i="2"/>
  <c r="AM241" i="2"/>
  <c r="AM242" i="2"/>
  <c r="AM243" i="2"/>
  <c r="AM244" i="2"/>
  <c r="AM245" i="2"/>
  <c r="AM246" i="2"/>
  <c r="AM247" i="2"/>
  <c r="AM248" i="2"/>
  <c r="AM249" i="2"/>
  <c r="AM250" i="2"/>
  <c r="AM251" i="2"/>
  <c r="AM252" i="2"/>
  <c r="AM253" i="2"/>
  <c r="AM254" i="2"/>
  <c r="AM255" i="2"/>
  <c r="AM256" i="2"/>
  <c r="AM257" i="2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292" i="2"/>
  <c r="AM293" i="2"/>
  <c r="AM294" i="2"/>
  <c r="AM295" i="2"/>
  <c r="AM296" i="2"/>
  <c r="AM297" i="2"/>
  <c r="AM298" i="2"/>
  <c r="AM299" i="2"/>
  <c r="AM300" i="2"/>
  <c r="AM301" i="2"/>
  <c r="AM302" i="2"/>
  <c r="AM303" i="2"/>
  <c r="AM304" i="2"/>
  <c r="AM305" i="2"/>
  <c r="AM306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M329" i="2"/>
  <c r="AM330" i="2"/>
  <c r="AM331" i="2"/>
  <c r="AM332" i="2"/>
  <c r="AM333" i="2"/>
  <c r="AM334" i="2"/>
  <c r="AM335" i="2"/>
  <c r="AM336" i="2"/>
  <c r="AM337" i="2"/>
  <c r="AM338" i="2"/>
  <c r="AM339" i="2"/>
  <c r="AM340" i="2"/>
  <c r="AM341" i="2"/>
  <c r="AM342" i="2"/>
  <c r="AM343" i="2"/>
  <c r="AM344" i="2"/>
  <c r="AM345" i="2"/>
  <c r="AM346" i="2"/>
  <c r="AM347" i="2"/>
  <c r="AM348" i="2"/>
  <c r="AM349" i="2"/>
  <c r="AM350" i="2"/>
  <c r="AM351" i="2"/>
  <c r="AM352" i="2"/>
  <c r="AM353" i="2"/>
  <c r="AM354" i="2"/>
  <c r="AM355" i="2"/>
  <c r="AM356" i="2"/>
  <c r="AM357" i="2"/>
  <c r="AM358" i="2"/>
  <c r="AM359" i="2"/>
  <c r="AM360" i="2"/>
  <c r="AM361" i="2"/>
  <c r="AM362" i="2"/>
  <c r="AM363" i="2"/>
  <c r="AM364" i="2"/>
  <c r="AM365" i="2"/>
  <c r="AM366" i="2"/>
  <c r="AM367" i="2"/>
  <c r="AM368" i="2"/>
  <c r="AM369" i="2"/>
  <c r="AM370" i="2"/>
  <c r="AM371" i="2"/>
  <c r="AM372" i="2"/>
  <c r="AM373" i="2"/>
  <c r="AM374" i="2"/>
  <c r="AM375" i="2"/>
  <c r="AM376" i="2"/>
  <c r="AM377" i="2"/>
  <c r="AM378" i="2"/>
  <c r="AM379" i="2"/>
  <c r="AM380" i="2"/>
  <c r="AM381" i="2"/>
  <c r="AM382" i="2"/>
  <c r="AM383" i="2"/>
  <c r="AM384" i="2"/>
  <c r="AM385" i="2"/>
  <c r="AM386" i="2"/>
  <c r="AM387" i="2"/>
  <c r="AM388" i="2"/>
  <c r="AM389" i="2"/>
  <c r="AM390" i="2"/>
  <c r="AM391" i="2"/>
  <c r="AM392" i="2"/>
  <c r="AM393" i="2"/>
  <c r="AM394" i="2"/>
  <c r="AM395" i="2"/>
  <c r="AM396" i="2"/>
  <c r="AM397" i="2"/>
  <c r="AM398" i="2"/>
  <c r="AM399" i="2"/>
  <c r="AM400" i="2"/>
  <c r="AM401" i="2"/>
  <c r="AM402" i="2"/>
  <c r="AM403" i="2"/>
  <c r="AM404" i="2"/>
  <c r="AM405" i="2"/>
  <c r="AM406" i="2"/>
  <c r="AM407" i="2"/>
  <c r="AM408" i="2"/>
  <c r="AM409" i="2"/>
  <c r="AM410" i="2"/>
  <c r="AM411" i="2"/>
  <c r="AM412" i="2"/>
  <c r="AM413" i="2"/>
  <c r="AM414" i="2"/>
  <c r="AM415" i="2"/>
  <c r="AM416" i="2"/>
  <c r="AM417" i="2"/>
  <c r="AM418" i="2"/>
  <c r="AM419" i="2"/>
  <c r="AM420" i="2"/>
  <c r="AM421" i="2"/>
  <c r="AM422" i="2"/>
  <c r="AM423" i="2"/>
  <c r="AM424" i="2"/>
  <c r="AM425" i="2"/>
  <c r="AM426" i="2"/>
  <c r="AM427" i="2"/>
  <c r="AM428" i="2"/>
  <c r="AM429" i="2"/>
  <c r="AM430" i="2"/>
  <c r="AM431" i="2"/>
  <c r="AM432" i="2"/>
  <c r="AM433" i="2"/>
  <c r="AM434" i="2"/>
  <c r="AM435" i="2"/>
  <c r="AM436" i="2"/>
  <c r="AM437" i="2"/>
  <c r="AM438" i="2"/>
  <c r="AM439" i="2"/>
  <c r="AM440" i="2"/>
  <c r="AM441" i="2"/>
  <c r="AM442" i="2"/>
  <c r="AM443" i="2"/>
  <c r="AM444" i="2"/>
  <c r="AM445" i="2"/>
  <c r="AM446" i="2"/>
  <c r="AM447" i="2"/>
  <c r="AM448" i="2"/>
  <c r="AM449" i="2"/>
  <c r="AM450" i="2"/>
  <c r="AM451" i="2"/>
  <c r="AM452" i="2"/>
  <c r="AM453" i="2"/>
  <c r="AM454" i="2"/>
  <c r="AM455" i="2"/>
  <c r="AM456" i="2"/>
  <c r="AM457" i="2"/>
  <c r="AM458" i="2"/>
  <c r="AM459" i="2"/>
  <c r="AM460" i="2"/>
  <c r="AM461" i="2"/>
  <c r="AM462" i="2"/>
  <c r="AM463" i="2"/>
  <c r="AM464" i="2"/>
  <c r="AM465" i="2"/>
  <c r="AM466" i="2"/>
  <c r="AM467" i="2"/>
  <c r="AM468" i="2"/>
  <c r="AM469" i="2"/>
  <c r="AM470" i="2"/>
  <c r="AM471" i="2"/>
  <c r="AM472" i="2"/>
  <c r="AM473" i="2"/>
  <c r="AM474" i="2"/>
  <c r="AM475" i="2"/>
  <c r="AM476" i="2"/>
  <c r="AM477" i="2"/>
  <c r="AM478" i="2"/>
  <c r="AM479" i="2"/>
  <c r="AM480" i="2"/>
  <c r="AM481" i="2"/>
  <c r="AM482" i="2"/>
  <c r="AM483" i="2"/>
  <c r="AM484" i="2"/>
  <c r="AM485" i="2"/>
  <c r="AM486" i="2"/>
  <c r="AM487" i="2"/>
  <c r="AM488" i="2"/>
  <c r="AM489" i="2"/>
  <c r="AM490" i="2"/>
  <c r="AM491" i="2"/>
  <c r="AM492" i="2"/>
  <c r="AM493" i="2"/>
  <c r="AM494" i="2"/>
  <c r="AM495" i="2"/>
  <c r="AM496" i="2"/>
  <c r="AM497" i="2"/>
  <c r="AM498" i="2"/>
  <c r="AM499" i="2"/>
  <c r="AM500" i="2"/>
  <c r="AM501" i="2"/>
  <c r="AM502" i="2"/>
  <c r="AM503" i="2"/>
  <c r="AM504" i="2"/>
  <c r="AM505" i="2"/>
  <c r="AM506" i="2"/>
  <c r="AM507" i="2"/>
  <c r="AM508" i="2"/>
  <c r="AM509" i="2"/>
  <c r="AM510" i="2"/>
  <c r="AM511" i="2"/>
  <c r="AM512" i="2"/>
  <c r="AM513" i="2"/>
  <c r="AM514" i="2"/>
  <c r="AM515" i="2"/>
  <c r="AM516" i="2"/>
  <c r="AM517" i="2"/>
  <c r="AM518" i="2"/>
  <c r="AM519" i="2"/>
  <c r="AM520" i="2"/>
  <c r="AM521" i="2"/>
  <c r="AM522" i="2"/>
  <c r="AM523" i="2"/>
  <c r="AM524" i="2"/>
  <c r="AM525" i="2"/>
  <c r="AM526" i="2"/>
  <c r="AM527" i="2"/>
  <c r="AM528" i="2"/>
  <c r="AM529" i="2"/>
  <c r="AM530" i="2"/>
  <c r="AM531" i="2"/>
  <c r="AM532" i="2"/>
  <c r="AM533" i="2"/>
  <c r="AM534" i="2"/>
  <c r="AM535" i="2"/>
  <c r="AM536" i="2"/>
  <c r="AM537" i="2"/>
  <c r="AM538" i="2"/>
  <c r="AM539" i="2"/>
  <c r="AM540" i="2"/>
  <c r="AM541" i="2"/>
  <c r="AM542" i="2"/>
  <c r="AM543" i="2"/>
  <c r="AM544" i="2"/>
  <c r="AM545" i="2"/>
  <c r="AM546" i="2"/>
  <c r="AM547" i="2"/>
  <c r="AM548" i="2"/>
  <c r="AM549" i="2"/>
  <c r="AM550" i="2"/>
  <c r="AM551" i="2"/>
  <c r="AM552" i="2"/>
  <c r="AM553" i="2"/>
  <c r="AM554" i="2"/>
  <c r="AM555" i="2"/>
  <c r="AM556" i="2"/>
  <c r="AM557" i="2"/>
  <c r="AM558" i="2"/>
  <c r="AM559" i="2"/>
  <c r="AM560" i="2"/>
  <c r="AM561" i="2"/>
  <c r="AM562" i="2"/>
  <c r="AM563" i="2"/>
  <c r="AM564" i="2"/>
  <c r="AM565" i="2"/>
  <c r="AM566" i="2"/>
  <c r="AM567" i="2"/>
  <c r="AM568" i="2"/>
  <c r="AM569" i="2"/>
  <c r="AM570" i="2"/>
  <c r="AM571" i="2"/>
  <c r="AM572" i="2"/>
  <c r="AM573" i="2"/>
  <c r="AM574" i="2"/>
  <c r="AM575" i="2"/>
  <c r="AM576" i="2"/>
  <c r="AM577" i="2"/>
  <c r="AM578" i="2"/>
  <c r="AM579" i="2"/>
  <c r="AM580" i="2"/>
  <c r="AM581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09" i="2"/>
  <c r="AL310" i="2"/>
  <c r="AL311" i="2"/>
  <c r="AL312" i="2"/>
  <c r="AL313" i="2"/>
  <c r="AL314" i="2"/>
  <c r="AL315" i="2"/>
  <c r="AL316" i="2"/>
  <c r="AL317" i="2"/>
  <c r="AL318" i="2"/>
  <c r="AL319" i="2"/>
  <c r="AL320" i="2"/>
  <c r="AL321" i="2"/>
  <c r="AL322" i="2"/>
  <c r="AL323" i="2"/>
  <c r="AL324" i="2"/>
  <c r="AL325" i="2"/>
  <c r="AL326" i="2"/>
  <c r="AL327" i="2"/>
  <c r="AL328" i="2"/>
  <c r="AL329" i="2"/>
  <c r="AL330" i="2"/>
  <c r="AL331" i="2"/>
  <c r="AL332" i="2"/>
  <c r="AL333" i="2"/>
  <c r="AL334" i="2"/>
  <c r="AL335" i="2"/>
  <c r="AL336" i="2"/>
  <c r="AL337" i="2"/>
  <c r="AL338" i="2"/>
  <c r="AL339" i="2"/>
  <c r="AL340" i="2"/>
  <c r="AL341" i="2"/>
  <c r="AL342" i="2"/>
  <c r="AL343" i="2"/>
  <c r="AL344" i="2"/>
  <c r="AL345" i="2"/>
  <c r="AL346" i="2"/>
  <c r="AL347" i="2"/>
  <c r="AL348" i="2"/>
  <c r="AL349" i="2"/>
  <c r="AL350" i="2"/>
  <c r="AL351" i="2"/>
  <c r="AL352" i="2"/>
  <c r="AL353" i="2"/>
  <c r="AL354" i="2"/>
  <c r="AL355" i="2"/>
  <c r="AL356" i="2"/>
  <c r="AL357" i="2"/>
  <c r="AL358" i="2"/>
  <c r="AL359" i="2"/>
  <c r="AL360" i="2"/>
  <c r="AL361" i="2"/>
  <c r="AL362" i="2"/>
  <c r="AL363" i="2"/>
  <c r="AL364" i="2"/>
  <c r="AL365" i="2"/>
  <c r="AL366" i="2"/>
  <c r="AL367" i="2"/>
  <c r="AL368" i="2"/>
  <c r="AL369" i="2"/>
  <c r="AL370" i="2"/>
  <c r="AL371" i="2"/>
  <c r="AL372" i="2"/>
  <c r="AL373" i="2"/>
  <c r="AL374" i="2"/>
  <c r="AL375" i="2"/>
  <c r="AL376" i="2"/>
  <c r="AL377" i="2"/>
  <c r="AL378" i="2"/>
  <c r="AL379" i="2"/>
  <c r="AL380" i="2"/>
  <c r="AL381" i="2"/>
  <c r="AL382" i="2"/>
  <c r="AL383" i="2"/>
  <c r="AL384" i="2"/>
  <c r="AL385" i="2"/>
  <c r="AL386" i="2"/>
  <c r="AL387" i="2"/>
  <c r="AL388" i="2"/>
  <c r="AL389" i="2"/>
  <c r="AL390" i="2"/>
  <c r="AL391" i="2"/>
  <c r="AL392" i="2"/>
  <c r="AL393" i="2"/>
  <c r="AL394" i="2"/>
  <c r="AL395" i="2"/>
  <c r="AL396" i="2"/>
  <c r="AL397" i="2"/>
  <c r="AL398" i="2"/>
  <c r="AL399" i="2"/>
  <c r="AL400" i="2"/>
  <c r="AL401" i="2"/>
  <c r="AL402" i="2"/>
  <c r="AL403" i="2"/>
  <c r="AL404" i="2"/>
  <c r="AL405" i="2"/>
  <c r="AL406" i="2"/>
  <c r="AL407" i="2"/>
  <c r="AL408" i="2"/>
  <c r="AL409" i="2"/>
  <c r="AL410" i="2"/>
  <c r="AL411" i="2"/>
  <c r="AL412" i="2"/>
  <c r="AL413" i="2"/>
  <c r="AL414" i="2"/>
  <c r="AL415" i="2"/>
  <c r="AL416" i="2"/>
  <c r="AL417" i="2"/>
  <c r="AL418" i="2"/>
  <c r="AL419" i="2"/>
  <c r="AL420" i="2"/>
  <c r="AL421" i="2"/>
  <c r="AL422" i="2"/>
  <c r="AL423" i="2"/>
  <c r="AL424" i="2"/>
  <c r="AL425" i="2"/>
  <c r="AL426" i="2"/>
  <c r="AL427" i="2"/>
  <c r="AL428" i="2"/>
  <c r="AL429" i="2"/>
  <c r="AL430" i="2"/>
  <c r="AL431" i="2"/>
  <c r="AL432" i="2"/>
  <c r="AL433" i="2"/>
  <c r="AL434" i="2"/>
  <c r="AL435" i="2"/>
  <c r="AL436" i="2"/>
  <c r="AL437" i="2"/>
  <c r="AL438" i="2"/>
  <c r="AL439" i="2"/>
  <c r="AL440" i="2"/>
  <c r="AL441" i="2"/>
  <c r="AL442" i="2"/>
  <c r="AL443" i="2"/>
  <c r="AL444" i="2"/>
  <c r="AL445" i="2"/>
  <c r="AL446" i="2"/>
  <c r="AL447" i="2"/>
  <c r="AL448" i="2"/>
  <c r="AL449" i="2"/>
  <c r="AL450" i="2"/>
  <c r="AL451" i="2"/>
  <c r="AL452" i="2"/>
  <c r="AL453" i="2"/>
  <c r="AL454" i="2"/>
  <c r="AL455" i="2"/>
  <c r="AL456" i="2"/>
  <c r="AL457" i="2"/>
  <c r="AL458" i="2"/>
  <c r="AL459" i="2"/>
  <c r="AL460" i="2"/>
  <c r="AL461" i="2"/>
  <c r="AL462" i="2"/>
  <c r="AL463" i="2"/>
  <c r="AL464" i="2"/>
  <c r="AL465" i="2"/>
  <c r="AL466" i="2"/>
  <c r="AL467" i="2"/>
  <c r="AL468" i="2"/>
  <c r="AL469" i="2"/>
  <c r="AL470" i="2"/>
  <c r="AL471" i="2"/>
  <c r="AL472" i="2"/>
  <c r="AL473" i="2"/>
  <c r="AL474" i="2"/>
  <c r="AL475" i="2"/>
  <c r="AL476" i="2"/>
  <c r="AL477" i="2"/>
  <c r="AL478" i="2"/>
  <c r="AL479" i="2"/>
  <c r="AL480" i="2"/>
  <c r="AL481" i="2"/>
  <c r="AL482" i="2"/>
  <c r="AL483" i="2"/>
  <c r="AL484" i="2"/>
  <c r="AL485" i="2"/>
  <c r="AL486" i="2"/>
  <c r="AL487" i="2"/>
  <c r="AL488" i="2"/>
  <c r="AL489" i="2"/>
  <c r="AL490" i="2"/>
  <c r="AL491" i="2"/>
  <c r="AL492" i="2"/>
  <c r="AL493" i="2"/>
  <c r="AL494" i="2"/>
  <c r="AL495" i="2"/>
  <c r="AL496" i="2"/>
  <c r="AL497" i="2"/>
  <c r="AL498" i="2"/>
  <c r="AL499" i="2"/>
  <c r="AL500" i="2"/>
  <c r="AL501" i="2"/>
  <c r="AL502" i="2"/>
  <c r="AL503" i="2"/>
  <c r="AL504" i="2"/>
  <c r="AL505" i="2"/>
  <c r="AL506" i="2"/>
  <c r="AL507" i="2"/>
  <c r="AL508" i="2"/>
  <c r="AL509" i="2"/>
  <c r="AL510" i="2"/>
  <c r="AL511" i="2"/>
  <c r="AL512" i="2"/>
  <c r="AL513" i="2"/>
  <c r="AL514" i="2"/>
  <c r="AL515" i="2"/>
  <c r="AL516" i="2"/>
  <c r="AL517" i="2"/>
  <c r="AL518" i="2"/>
  <c r="AL519" i="2"/>
  <c r="AL520" i="2"/>
  <c r="AL521" i="2"/>
  <c r="AL522" i="2"/>
  <c r="AL523" i="2"/>
  <c r="AL524" i="2"/>
  <c r="AL525" i="2"/>
  <c r="AL526" i="2"/>
  <c r="AL527" i="2"/>
  <c r="AL528" i="2"/>
  <c r="AL529" i="2"/>
  <c r="AL530" i="2"/>
  <c r="AL531" i="2"/>
  <c r="AL532" i="2"/>
  <c r="AL533" i="2"/>
  <c r="AL534" i="2"/>
  <c r="AL535" i="2"/>
  <c r="AL536" i="2"/>
  <c r="AL537" i="2"/>
  <c r="AL538" i="2"/>
  <c r="AL539" i="2"/>
  <c r="AL540" i="2"/>
  <c r="AL541" i="2"/>
  <c r="AL542" i="2"/>
  <c r="AL543" i="2"/>
  <c r="AL544" i="2"/>
  <c r="AL545" i="2"/>
  <c r="AL546" i="2"/>
  <c r="AL547" i="2"/>
  <c r="AL548" i="2"/>
  <c r="AL549" i="2"/>
  <c r="AL550" i="2"/>
  <c r="AL551" i="2"/>
  <c r="AL552" i="2"/>
  <c r="AL553" i="2"/>
  <c r="AL554" i="2"/>
  <c r="AL555" i="2"/>
  <c r="AL556" i="2"/>
  <c r="AL557" i="2"/>
  <c r="AL558" i="2"/>
  <c r="AL559" i="2"/>
  <c r="AL560" i="2"/>
  <c r="AL561" i="2"/>
  <c r="AL562" i="2"/>
  <c r="AL563" i="2"/>
  <c r="AL564" i="2"/>
  <c r="AL565" i="2"/>
  <c r="AL566" i="2"/>
  <c r="AL567" i="2"/>
  <c r="AL568" i="2"/>
  <c r="AL569" i="2"/>
  <c r="AL570" i="2"/>
  <c r="AL571" i="2"/>
  <c r="AL572" i="2"/>
  <c r="AL573" i="2"/>
  <c r="AL574" i="2"/>
  <c r="AL575" i="2"/>
  <c r="AL576" i="2"/>
  <c r="AL577" i="2"/>
  <c r="AL578" i="2"/>
  <c r="AL579" i="2"/>
  <c r="AL580" i="2"/>
  <c r="AL581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284" i="2"/>
  <c r="AH285" i="2"/>
  <c r="AH286" i="2"/>
  <c r="AH287" i="2"/>
  <c r="AH288" i="2"/>
  <c r="AH289" i="2"/>
  <c r="AH290" i="2"/>
  <c r="AH291" i="2"/>
  <c r="AH292" i="2"/>
  <c r="AH293" i="2"/>
  <c r="AH294" i="2"/>
  <c r="AH295" i="2"/>
  <c r="AH296" i="2"/>
  <c r="AH297" i="2"/>
  <c r="AH298" i="2"/>
  <c r="AH299" i="2"/>
  <c r="AH300" i="2"/>
  <c r="AH301" i="2"/>
  <c r="AH302" i="2"/>
  <c r="AH303" i="2"/>
  <c r="AH304" i="2"/>
  <c r="AH305" i="2"/>
  <c r="AH306" i="2"/>
  <c r="AH307" i="2"/>
  <c r="AH308" i="2"/>
  <c r="AH309" i="2"/>
  <c r="AH310" i="2"/>
  <c r="AH311" i="2"/>
  <c r="AH312" i="2"/>
  <c r="AH313" i="2"/>
  <c r="AH314" i="2"/>
  <c r="AH315" i="2"/>
  <c r="AH316" i="2"/>
  <c r="AH317" i="2"/>
  <c r="AH318" i="2"/>
  <c r="AH319" i="2"/>
  <c r="AH320" i="2"/>
  <c r="AH321" i="2"/>
  <c r="AH322" i="2"/>
  <c r="AH323" i="2"/>
  <c r="AH324" i="2"/>
  <c r="AH325" i="2"/>
  <c r="AH326" i="2"/>
  <c r="AH327" i="2"/>
  <c r="AH328" i="2"/>
  <c r="AH329" i="2"/>
  <c r="AH330" i="2"/>
  <c r="AH331" i="2"/>
  <c r="AH332" i="2"/>
  <c r="AH333" i="2"/>
  <c r="AH334" i="2"/>
  <c r="AH335" i="2"/>
  <c r="AH336" i="2"/>
  <c r="AH337" i="2"/>
  <c r="AH338" i="2"/>
  <c r="AH339" i="2"/>
  <c r="AH340" i="2"/>
  <c r="AH341" i="2"/>
  <c r="AH342" i="2"/>
  <c r="AH343" i="2"/>
  <c r="AH344" i="2"/>
  <c r="AH345" i="2"/>
  <c r="AH346" i="2"/>
  <c r="AH347" i="2"/>
  <c r="AH348" i="2"/>
  <c r="AH349" i="2"/>
  <c r="AH350" i="2"/>
  <c r="AH351" i="2"/>
  <c r="AH352" i="2"/>
  <c r="AH353" i="2"/>
  <c r="AH354" i="2"/>
  <c r="AH355" i="2"/>
  <c r="AH356" i="2"/>
  <c r="AH357" i="2"/>
  <c r="AH358" i="2"/>
  <c r="AH359" i="2"/>
  <c r="AH360" i="2"/>
  <c r="AH361" i="2"/>
  <c r="AH362" i="2"/>
  <c r="AH363" i="2"/>
  <c r="AH364" i="2"/>
  <c r="AH365" i="2"/>
  <c r="AH366" i="2"/>
  <c r="AH367" i="2"/>
  <c r="AH368" i="2"/>
  <c r="AH369" i="2"/>
  <c r="AH370" i="2"/>
  <c r="AH371" i="2"/>
  <c r="AH372" i="2"/>
  <c r="AH373" i="2"/>
  <c r="AH374" i="2"/>
  <c r="AH375" i="2"/>
  <c r="AH376" i="2"/>
  <c r="AH377" i="2"/>
  <c r="AH378" i="2"/>
  <c r="AH379" i="2"/>
  <c r="AH380" i="2"/>
  <c r="AH381" i="2"/>
  <c r="AH382" i="2"/>
  <c r="AH383" i="2"/>
  <c r="AH384" i="2"/>
  <c r="AH385" i="2"/>
  <c r="AH386" i="2"/>
  <c r="AH387" i="2"/>
  <c r="AH388" i="2"/>
  <c r="AH389" i="2"/>
  <c r="AH390" i="2"/>
  <c r="AH391" i="2"/>
  <c r="AH392" i="2"/>
  <c r="AH393" i="2"/>
  <c r="AH394" i="2"/>
  <c r="AH395" i="2"/>
  <c r="AH396" i="2"/>
  <c r="AH397" i="2"/>
  <c r="AH398" i="2"/>
  <c r="AH399" i="2"/>
  <c r="AH400" i="2"/>
  <c r="AH401" i="2"/>
  <c r="AH402" i="2"/>
  <c r="AH403" i="2"/>
  <c r="AH404" i="2"/>
  <c r="AH405" i="2"/>
  <c r="AH406" i="2"/>
  <c r="AH407" i="2"/>
  <c r="AH408" i="2"/>
  <c r="AH409" i="2"/>
  <c r="AH410" i="2"/>
  <c r="AH411" i="2"/>
  <c r="AH412" i="2"/>
  <c r="AH413" i="2"/>
  <c r="AH414" i="2"/>
  <c r="AH415" i="2"/>
  <c r="AH416" i="2"/>
  <c r="AH417" i="2"/>
  <c r="AH418" i="2"/>
  <c r="AH419" i="2"/>
  <c r="AH420" i="2"/>
  <c r="AH421" i="2"/>
  <c r="AH422" i="2"/>
  <c r="AH423" i="2"/>
  <c r="AH424" i="2"/>
  <c r="AH425" i="2"/>
  <c r="AH426" i="2"/>
  <c r="AH427" i="2"/>
  <c r="AH428" i="2"/>
  <c r="AH429" i="2"/>
  <c r="AH430" i="2"/>
  <c r="AH431" i="2"/>
  <c r="AH432" i="2"/>
  <c r="AH433" i="2"/>
  <c r="AH434" i="2"/>
  <c r="AH435" i="2"/>
  <c r="AH436" i="2"/>
  <c r="AH437" i="2"/>
  <c r="AH438" i="2"/>
  <c r="AH439" i="2"/>
  <c r="AH440" i="2"/>
  <c r="AH441" i="2"/>
  <c r="AH442" i="2"/>
  <c r="AH443" i="2"/>
  <c r="AH444" i="2"/>
  <c r="AH445" i="2"/>
  <c r="AH446" i="2"/>
  <c r="AH447" i="2"/>
  <c r="AH448" i="2"/>
  <c r="AH449" i="2"/>
  <c r="AH450" i="2"/>
  <c r="AH451" i="2"/>
  <c r="AH452" i="2"/>
  <c r="AH453" i="2"/>
  <c r="AH454" i="2"/>
  <c r="AH455" i="2"/>
  <c r="AH456" i="2"/>
  <c r="AH457" i="2"/>
  <c r="AH458" i="2"/>
  <c r="AH459" i="2"/>
  <c r="AH460" i="2"/>
  <c r="AH461" i="2"/>
  <c r="AH462" i="2"/>
  <c r="AH463" i="2"/>
  <c r="AH464" i="2"/>
  <c r="AH465" i="2"/>
  <c r="AH466" i="2"/>
  <c r="AH467" i="2"/>
  <c r="AH468" i="2"/>
  <c r="AH469" i="2"/>
  <c r="AH470" i="2"/>
  <c r="AH471" i="2"/>
  <c r="AH472" i="2"/>
  <c r="AH473" i="2"/>
  <c r="AH474" i="2"/>
  <c r="AH475" i="2"/>
  <c r="AH476" i="2"/>
  <c r="AH477" i="2"/>
  <c r="AH478" i="2"/>
  <c r="AH479" i="2"/>
  <c r="AH480" i="2"/>
  <c r="AH481" i="2"/>
  <c r="AH482" i="2"/>
  <c r="AH483" i="2"/>
  <c r="AH484" i="2"/>
  <c r="AH485" i="2"/>
  <c r="AH486" i="2"/>
  <c r="AH487" i="2"/>
  <c r="AH488" i="2"/>
  <c r="AH489" i="2"/>
  <c r="AH490" i="2"/>
  <c r="AH491" i="2"/>
  <c r="AH492" i="2"/>
  <c r="AH493" i="2"/>
  <c r="AH494" i="2"/>
  <c r="AH495" i="2"/>
  <c r="AH496" i="2"/>
  <c r="AH497" i="2"/>
  <c r="AH498" i="2"/>
  <c r="AH499" i="2"/>
  <c r="AH500" i="2"/>
  <c r="AH501" i="2"/>
  <c r="AH502" i="2"/>
  <c r="AH503" i="2"/>
  <c r="AH504" i="2"/>
  <c r="AH505" i="2"/>
  <c r="AH506" i="2"/>
  <c r="AH507" i="2"/>
  <c r="AH508" i="2"/>
  <c r="AH509" i="2"/>
  <c r="AH510" i="2"/>
  <c r="AH511" i="2"/>
  <c r="AH512" i="2"/>
  <c r="AH513" i="2"/>
  <c r="AH514" i="2"/>
  <c r="AH515" i="2"/>
  <c r="AH516" i="2"/>
  <c r="AH517" i="2"/>
  <c r="AH518" i="2"/>
  <c r="AH519" i="2"/>
  <c r="AH520" i="2"/>
  <c r="AH521" i="2"/>
  <c r="AH522" i="2"/>
  <c r="AH523" i="2"/>
  <c r="AH524" i="2"/>
  <c r="AH525" i="2"/>
  <c r="AH526" i="2"/>
  <c r="AH527" i="2"/>
  <c r="AH528" i="2"/>
  <c r="AH529" i="2"/>
  <c r="AH530" i="2"/>
  <c r="AH531" i="2"/>
  <c r="AH532" i="2"/>
  <c r="AH533" i="2"/>
  <c r="AH534" i="2"/>
  <c r="AH535" i="2"/>
  <c r="AH536" i="2"/>
  <c r="AH537" i="2"/>
  <c r="AH538" i="2"/>
  <c r="AH539" i="2"/>
  <c r="AH540" i="2"/>
  <c r="AH541" i="2"/>
  <c r="AH542" i="2"/>
  <c r="AH543" i="2"/>
  <c r="AH544" i="2"/>
  <c r="AH545" i="2"/>
  <c r="AH546" i="2"/>
  <c r="AH547" i="2"/>
  <c r="AH548" i="2"/>
  <c r="AH549" i="2"/>
  <c r="AH550" i="2"/>
  <c r="AH551" i="2"/>
  <c r="AH552" i="2"/>
  <c r="AH553" i="2"/>
  <c r="AH554" i="2"/>
  <c r="AH555" i="2"/>
  <c r="AH556" i="2"/>
  <c r="AH557" i="2"/>
  <c r="AH558" i="2"/>
  <c r="AH559" i="2"/>
  <c r="AH560" i="2"/>
  <c r="AH561" i="2"/>
  <c r="AH562" i="2"/>
  <c r="AH563" i="2"/>
  <c r="AH564" i="2"/>
  <c r="AH565" i="2"/>
  <c r="AH566" i="2"/>
  <c r="AH567" i="2"/>
  <c r="AH568" i="2"/>
  <c r="AH569" i="2"/>
  <c r="AH570" i="2"/>
  <c r="AH571" i="2"/>
  <c r="AH572" i="2"/>
  <c r="AH573" i="2"/>
  <c r="AH574" i="2"/>
  <c r="AH575" i="2"/>
  <c r="AH576" i="2"/>
  <c r="AH577" i="2"/>
  <c r="AH578" i="2"/>
  <c r="AH579" i="2"/>
  <c r="AH580" i="2"/>
  <c r="AH581" i="2"/>
  <c r="AG8" i="2"/>
  <c r="AS8" i="2" s="1"/>
  <c r="AG9" i="2"/>
  <c r="AG10" i="2"/>
  <c r="AS10" i="2" s="1"/>
  <c r="AG11" i="2"/>
  <c r="AG12" i="2"/>
  <c r="AS12" i="2" s="1"/>
  <c r="AG13" i="2"/>
  <c r="AS13" i="2" s="1"/>
  <c r="AG14" i="2"/>
  <c r="AS14" i="2" s="1"/>
  <c r="AG15" i="2"/>
  <c r="AG16" i="2"/>
  <c r="AS16" i="2" s="1"/>
  <c r="AG17" i="2"/>
  <c r="AG18" i="2"/>
  <c r="AS18" i="2" s="1"/>
  <c r="AG19" i="2"/>
  <c r="AG20" i="2"/>
  <c r="AS20" i="2" s="1"/>
  <c r="AG21" i="2"/>
  <c r="AS21" i="2" s="1"/>
  <c r="AG22" i="2"/>
  <c r="AS22" i="2" s="1"/>
  <c r="AG23" i="2"/>
  <c r="AG24" i="2"/>
  <c r="AS24" i="2" s="1"/>
  <c r="AG25" i="2"/>
  <c r="AG26" i="2"/>
  <c r="AS26" i="2" s="1"/>
  <c r="AG27" i="2"/>
  <c r="AG28" i="2"/>
  <c r="AS28" i="2" s="1"/>
  <c r="AG29" i="2"/>
  <c r="AS29" i="2" s="1"/>
  <c r="AG30" i="2"/>
  <c r="AS30" i="2" s="1"/>
  <c r="AG31" i="2"/>
  <c r="AG32" i="2"/>
  <c r="AS32" i="2" s="1"/>
  <c r="AG33" i="2"/>
  <c r="AG34" i="2"/>
  <c r="AS34" i="2" s="1"/>
  <c r="AG35" i="2"/>
  <c r="AG36" i="2"/>
  <c r="AS36" i="2" s="1"/>
  <c r="AG37" i="2"/>
  <c r="AS37" i="2" s="1"/>
  <c r="AG38" i="2"/>
  <c r="AS38" i="2" s="1"/>
  <c r="AG39" i="2"/>
  <c r="AG40" i="2"/>
  <c r="AS40" i="2" s="1"/>
  <c r="AG41" i="2"/>
  <c r="AG42" i="2"/>
  <c r="AS42" i="2" s="1"/>
  <c r="AG43" i="2"/>
  <c r="AG44" i="2"/>
  <c r="AS44" i="2" s="1"/>
  <c r="AG45" i="2"/>
  <c r="AS45" i="2" s="1"/>
  <c r="AG46" i="2"/>
  <c r="AS46" i="2" s="1"/>
  <c r="AG47" i="2"/>
  <c r="AG48" i="2"/>
  <c r="AS48" i="2" s="1"/>
  <c r="AG49" i="2"/>
  <c r="AG50" i="2"/>
  <c r="AS50" i="2" s="1"/>
  <c r="AG51" i="2"/>
  <c r="AG52" i="2"/>
  <c r="AS52" i="2" s="1"/>
  <c r="AG53" i="2"/>
  <c r="AS53" i="2" s="1"/>
  <c r="AG54" i="2"/>
  <c r="AS54" i="2" s="1"/>
  <c r="AG55" i="2"/>
  <c r="AG56" i="2"/>
  <c r="AS56" i="2" s="1"/>
  <c r="AG57" i="2"/>
  <c r="AG58" i="2"/>
  <c r="AS58" i="2" s="1"/>
  <c r="AG59" i="2"/>
  <c r="AG60" i="2"/>
  <c r="AS60" i="2" s="1"/>
  <c r="AG61" i="2"/>
  <c r="AS61" i="2" s="1"/>
  <c r="AG62" i="2"/>
  <c r="AS62" i="2" s="1"/>
  <c r="AG63" i="2"/>
  <c r="AG64" i="2"/>
  <c r="AS64" i="2" s="1"/>
  <c r="AG65" i="2"/>
  <c r="AG66" i="2"/>
  <c r="AS66" i="2" s="1"/>
  <c r="AG67" i="2"/>
  <c r="AG68" i="2"/>
  <c r="AS68" i="2" s="1"/>
  <c r="AG69" i="2"/>
  <c r="AS69" i="2" s="1"/>
  <c r="AG70" i="2"/>
  <c r="AS70" i="2" s="1"/>
  <c r="AG71" i="2"/>
  <c r="AG72" i="2"/>
  <c r="AS72" i="2" s="1"/>
  <c r="AG73" i="2"/>
  <c r="AG74" i="2"/>
  <c r="AS74" i="2" s="1"/>
  <c r="AG75" i="2"/>
  <c r="AG76" i="2"/>
  <c r="AS76" i="2" s="1"/>
  <c r="AG77" i="2"/>
  <c r="AS77" i="2" s="1"/>
  <c r="AG78" i="2"/>
  <c r="AS78" i="2" s="1"/>
  <c r="AG79" i="2"/>
  <c r="AG80" i="2"/>
  <c r="AS80" i="2" s="1"/>
  <c r="AG81" i="2"/>
  <c r="AG82" i="2"/>
  <c r="AS82" i="2" s="1"/>
  <c r="AG83" i="2"/>
  <c r="AG84" i="2"/>
  <c r="AS84" i="2" s="1"/>
  <c r="AG85" i="2"/>
  <c r="AS85" i="2" s="1"/>
  <c r="AG86" i="2"/>
  <c r="AS86" i="2" s="1"/>
  <c r="AG87" i="2"/>
  <c r="AG88" i="2"/>
  <c r="AS88" i="2" s="1"/>
  <c r="AG89" i="2"/>
  <c r="AG90" i="2"/>
  <c r="AS90" i="2" s="1"/>
  <c r="AG91" i="2"/>
  <c r="AG92" i="2"/>
  <c r="AS92" i="2" s="1"/>
  <c r="AG93" i="2"/>
  <c r="AS93" i="2" s="1"/>
  <c r="AG94" i="2"/>
  <c r="AS94" i="2" s="1"/>
  <c r="AG95" i="2"/>
  <c r="AG96" i="2"/>
  <c r="AS96" i="2" s="1"/>
  <c r="AG97" i="2"/>
  <c r="AG98" i="2"/>
  <c r="AS98" i="2" s="1"/>
  <c r="AG99" i="2"/>
  <c r="AG100" i="2"/>
  <c r="AS100" i="2" s="1"/>
  <c r="AG101" i="2"/>
  <c r="AS101" i="2" s="1"/>
  <c r="AG102" i="2"/>
  <c r="AS102" i="2" s="1"/>
  <c r="AG103" i="2"/>
  <c r="AG104" i="2"/>
  <c r="AS104" i="2" s="1"/>
  <c r="AG105" i="2"/>
  <c r="AG106" i="2"/>
  <c r="AS106" i="2" s="1"/>
  <c r="AG107" i="2"/>
  <c r="AG108" i="2"/>
  <c r="AS108" i="2" s="1"/>
  <c r="AG109" i="2"/>
  <c r="AS109" i="2" s="1"/>
  <c r="AG110" i="2"/>
  <c r="AS110" i="2" s="1"/>
  <c r="AG111" i="2"/>
  <c r="AG112" i="2"/>
  <c r="AS112" i="2" s="1"/>
  <c r="AG113" i="2"/>
  <c r="AG114" i="2"/>
  <c r="AS114" i="2" s="1"/>
  <c r="AG115" i="2"/>
  <c r="AG116" i="2"/>
  <c r="AS116" i="2" s="1"/>
  <c r="AG117" i="2"/>
  <c r="AS117" i="2" s="1"/>
  <c r="AG118" i="2"/>
  <c r="AS118" i="2" s="1"/>
  <c r="AG119" i="2"/>
  <c r="AG120" i="2"/>
  <c r="AS120" i="2" s="1"/>
  <c r="AG121" i="2"/>
  <c r="AG122" i="2"/>
  <c r="AS122" i="2" s="1"/>
  <c r="AG123" i="2"/>
  <c r="AG124" i="2"/>
  <c r="AS124" i="2" s="1"/>
  <c r="AG125" i="2"/>
  <c r="AS125" i="2" s="1"/>
  <c r="AG126" i="2"/>
  <c r="AS126" i="2" s="1"/>
  <c r="AG127" i="2"/>
  <c r="AG128" i="2"/>
  <c r="AS128" i="2" s="1"/>
  <c r="AG129" i="2"/>
  <c r="AG130" i="2"/>
  <c r="AS130" i="2" s="1"/>
  <c r="AG131" i="2"/>
  <c r="AG132" i="2"/>
  <c r="AS132" i="2" s="1"/>
  <c r="AG133" i="2"/>
  <c r="AS133" i="2" s="1"/>
  <c r="AG134" i="2"/>
  <c r="AS134" i="2" s="1"/>
  <c r="AG135" i="2"/>
  <c r="AG136" i="2"/>
  <c r="AS136" i="2" s="1"/>
  <c r="AG137" i="2"/>
  <c r="AG138" i="2"/>
  <c r="AS138" i="2" s="1"/>
  <c r="AG139" i="2"/>
  <c r="AG140" i="2"/>
  <c r="AS140" i="2" s="1"/>
  <c r="AG141" i="2"/>
  <c r="AS141" i="2" s="1"/>
  <c r="AG142" i="2"/>
  <c r="AS142" i="2" s="1"/>
  <c r="AG143" i="2"/>
  <c r="AG144" i="2"/>
  <c r="AS144" i="2" s="1"/>
  <c r="AG145" i="2"/>
  <c r="AG146" i="2"/>
  <c r="AS146" i="2" s="1"/>
  <c r="AG147" i="2"/>
  <c r="AG148" i="2"/>
  <c r="AS148" i="2" s="1"/>
  <c r="AG149" i="2"/>
  <c r="AS149" i="2" s="1"/>
  <c r="AG150" i="2"/>
  <c r="AS150" i="2" s="1"/>
  <c r="AG151" i="2"/>
  <c r="AG152" i="2"/>
  <c r="AS152" i="2" s="1"/>
  <c r="AG153" i="2"/>
  <c r="AG154" i="2"/>
  <c r="AS154" i="2" s="1"/>
  <c r="AG155" i="2"/>
  <c r="AG156" i="2"/>
  <c r="AS156" i="2" s="1"/>
  <c r="AG157" i="2"/>
  <c r="AS157" i="2" s="1"/>
  <c r="AG158" i="2"/>
  <c r="AS158" i="2" s="1"/>
  <c r="AG159" i="2"/>
  <c r="AG160" i="2"/>
  <c r="AS160" i="2" s="1"/>
  <c r="AG161" i="2"/>
  <c r="AG162" i="2"/>
  <c r="AS162" i="2" s="1"/>
  <c r="AG163" i="2"/>
  <c r="AG164" i="2"/>
  <c r="AS164" i="2" s="1"/>
  <c r="AG165" i="2"/>
  <c r="AS165" i="2" s="1"/>
  <c r="AG166" i="2"/>
  <c r="AS166" i="2" s="1"/>
  <c r="AG167" i="2"/>
  <c r="AG168" i="2"/>
  <c r="AS168" i="2" s="1"/>
  <c r="AG169" i="2"/>
  <c r="AG170" i="2"/>
  <c r="AS170" i="2" s="1"/>
  <c r="AG171" i="2"/>
  <c r="AG172" i="2"/>
  <c r="AS172" i="2" s="1"/>
  <c r="AG173" i="2"/>
  <c r="AS173" i="2" s="1"/>
  <c r="AG174" i="2"/>
  <c r="AS174" i="2" s="1"/>
  <c r="AG175" i="2"/>
  <c r="AG176" i="2"/>
  <c r="AS176" i="2" s="1"/>
  <c r="AG177" i="2"/>
  <c r="AG178" i="2"/>
  <c r="AS178" i="2" s="1"/>
  <c r="AG179" i="2"/>
  <c r="AG180" i="2"/>
  <c r="AS180" i="2" s="1"/>
  <c r="AG181" i="2"/>
  <c r="AS181" i="2" s="1"/>
  <c r="AG182" i="2"/>
  <c r="AS182" i="2" s="1"/>
  <c r="AG183" i="2"/>
  <c r="AG184" i="2"/>
  <c r="AS184" i="2" s="1"/>
  <c r="AG185" i="2"/>
  <c r="AG186" i="2"/>
  <c r="AS186" i="2" s="1"/>
  <c r="AG187" i="2"/>
  <c r="AG188" i="2"/>
  <c r="AS188" i="2" s="1"/>
  <c r="AG189" i="2"/>
  <c r="AS189" i="2" s="1"/>
  <c r="AG190" i="2"/>
  <c r="AS190" i="2" s="1"/>
  <c r="AG191" i="2"/>
  <c r="AG192" i="2"/>
  <c r="AS192" i="2" s="1"/>
  <c r="AG193" i="2"/>
  <c r="AG194" i="2"/>
  <c r="AS194" i="2" s="1"/>
  <c r="AG195" i="2"/>
  <c r="AG196" i="2"/>
  <c r="AS196" i="2" s="1"/>
  <c r="AG197" i="2"/>
  <c r="AS197" i="2" s="1"/>
  <c r="AG198" i="2"/>
  <c r="AS198" i="2" s="1"/>
  <c r="AG199" i="2"/>
  <c r="AG200" i="2"/>
  <c r="AS200" i="2" s="1"/>
  <c r="AG201" i="2"/>
  <c r="AG202" i="2"/>
  <c r="AS202" i="2" s="1"/>
  <c r="AG203" i="2"/>
  <c r="AG204" i="2"/>
  <c r="AS204" i="2" s="1"/>
  <c r="AG205" i="2"/>
  <c r="AS205" i="2" s="1"/>
  <c r="AG206" i="2"/>
  <c r="AS206" i="2" s="1"/>
  <c r="AG207" i="2"/>
  <c r="AG208" i="2"/>
  <c r="AS208" i="2" s="1"/>
  <c r="AG209" i="2"/>
  <c r="AG210" i="2"/>
  <c r="AS210" i="2" s="1"/>
  <c r="AG211" i="2"/>
  <c r="AG212" i="2"/>
  <c r="AS212" i="2" s="1"/>
  <c r="AG213" i="2"/>
  <c r="AS213" i="2" s="1"/>
  <c r="AG214" i="2"/>
  <c r="AS214" i="2" s="1"/>
  <c r="AG215" i="2"/>
  <c r="AG216" i="2"/>
  <c r="AS216" i="2" s="1"/>
  <c r="AG217" i="2"/>
  <c r="AG218" i="2"/>
  <c r="AS218" i="2" s="1"/>
  <c r="AG219" i="2"/>
  <c r="AG220" i="2"/>
  <c r="AS220" i="2" s="1"/>
  <c r="AG221" i="2"/>
  <c r="AS221" i="2" s="1"/>
  <c r="AG222" i="2"/>
  <c r="AS222" i="2" s="1"/>
  <c r="AG223" i="2"/>
  <c r="AG224" i="2"/>
  <c r="AS224" i="2" s="1"/>
  <c r="AG225" i="2"/>
  <c r="AG226" i="2"/>
  <c r="AS226" i="2" s="1"/>
  <c r="AG227" i="2"/>
  <c r="AG228" i="2"/>
  <c r="AS228" i="2" s="1"/>
  <c r="AG229" i="2"/>
  <c r="AS229" i="2" s="1"/>
  <c r="AG230" i="2"/>
  <c r="AS230" i="2" s="1"/>
  <c r="AG231" i="2"/>
  <c r="AG232" i="2"/>
  <c r="AS232" i="2" s="1"/>
  <c r="AG233" i="2"/>
  <c r="AG234" i="2"/>
  <c r="AS234" i="2" s="1"/>
  <c r="AG235" i="2"/>
  <c r="AG236" i="2"/>
  <c r="AS236" i="2" s="1"/>
  <c r="AG237" i="2"/>
  <c r="AS237" i="2" s="1"/>
  <c r="AG238" i="2"/>
  <c r="AS238" i="2" s="1"/>
  <c r="AG239" i="2"/>
  <c r="AG240" i="2"/>
  <c r="AS240" i="2" s="1"/>
  <c r="AG241" i="2"/>
  <c r="AG242" i="2"/>
  <c r="AS242" i="2" s="1"/>
  <c r="AG243" i="2"/>
  <c r="AG244" i="2"/>
  <c r="AS244" i="2" s="1"/>
  <c r="AG245" i="2"/>
  <c r="AS245" i="2" s="1"/>
  <c r="AG246" i="2"/>
  <c r="AS246" i="2" s="1"/>
  <c r="AG247" i="2"/>
  <c r="AG248" i="2"/>
  <c r="AS248" i="2" s="1"/>
  <c r="AG249" i="2"/>
  <c r="AG250" i="2"/>
  <c r="AS250" i="2" s="1"/>
  <c r="AG251" i="2"/>
  <c r="AG252" i="2"/>
  <c r="AS252" i="2" s="1"/>
  <c r="AG253" i="2"/>
  <c r="AS253" i="2" s="1"/>
  <c r="AG254" i="2"/>
  <c r="AS254" i="2" s="1"/>
  <c r="AG255" i="2"/>
  <c r="AG256" i="2"/>
  <c r="AS256" i="2" s="1"/>
  <c r="AG257" i="2"/>
  <c r="AG258" i="2"/>
  <c r="AS258" i="2" s="1"/>
  <c r="AG259" i="2"/>
  <c r="AG260" i="2"/>
  <c r="AS260" i="2" s="1"/>
  <c r="AG261" i="2"/>
  <c r="AS261" i="2" s="1"/>
  <c r="AG262" i="2"/>
  <c r="AS262" i="2" s="1"/>
  <c r="AG263" i="2"/>
  <c r="AG264" i="2"/>
  <c r="AS264" i="2" s="1"/>
  <c r="AG265" i="2"/>
  <c r="AG266" i="2"/>
  <c r="AS266" i="2" s="1"/>
  <c r="AG267" i="2"/>
  <c r="AG268" i="2"/>
  <c r="AS268" i="2" s="1"/>
  <c r="AG269" i="2"/>
  <c r="AS269" i="2" s="1"/>
  <c r="AG270" i="2"/>
  <c r="AS270" i="2" s="1"/>
  <c r="AG271" i="2"/>
  <c r="AG272" i="2"/>
  <c r="AS272" i="2" s="1"/>
  <c r="AG273" i="2"/>
  <c r="AG274" i="2"/>
  <c r="AS274" i="2" s="1"/>
  <c r="AG275" i="2"/>
  <c r="AG276" i="2"/>
  <c r="AS276" i="2" s="1"/>
  <c r="AG277" i="2"/>
  <c r="AS277" i="2" s="1"/>
  <c r="AG278" i="2"/>
  <c r="AS278" i="2" s="1"/>
  <c r="AG279" i="2"/>
  <c r="AG280" i="2"/>
  <c r="AS280" i="2" s="1"/>
  <c r="AG281" i="2"/>
  <c r="AG282" i="2"/>
  <c r="AS282" i="2" s="1"/>
  <c r="AG283" i="2"/>
  <c r="AG284" i="2"/>
  <c r="AS284" i="2" s="1"/>
  <c r="AG285" i="2"/>
  <c r="AS285" i="2" s="1"/>
  <c r="AG286" i="2"/>
  <c r="AS286" i="2" s="1"/>
  <c r="AG287" i="2"/>
  <c r="AG288" i="2"/>
  <c r="AS288" i="2" s="1"/>
  <c r="AG289" i="2"/>
  <c r="AG290" i="2"/>
  <c r="AS290" i="2" s="1"/>
  <c r="AG291" i="2"/>
  <c r="AG292" i="2"/>
  <c r="AS292" i="2" s="1"/>
  <c r="AG293" i="2"/>
  <c r="AS293" i="2" s="1"/>
  <c r="AG294" i="2"/>
  <c r="AS294" i="2" s="1"/>
  <c r="AG295" i="2"/>
  <c r="AG296" i="2"/>
  <c r="AS296" i="2" s="1"/>
  <c r="AG297" i="2"/>
  <c r="AG298" i="2"/>
  <c r="AS298" i="2" s="1"/>
  <c r="AG299" i="2"/>
  <c r="AG300" i="2"/>
  <c r="AS300" i="2" s="1"/>
  <c r="AG301" i="2"/>
  <c r="AS301" i="2" s="1"/>
  <c r="AG302" i="2"/>
  <c r="AS302" i="2" s="1"/>
  <c r="AG303" i="2"/>
  <c r="AG304" i="2"/>
  <c r="AS304" i="2" s="1"/>
  <c r="AG305" i="2"/>
  <c r="AG306" i="2"/>
  <c r="AS306" i="2" s="1"/>
  <c r="AG307" i="2"/>
  <c r="AG308" i="2"/>
  <c r="AS308" i="2" s="1"/>
  <c r="AG309" i="2"/>
  <c r="AS309" i="2" s="1"/>
  <c r="AG310" i="2"/>
  <c r="AS310" i="2" s="1"/>
  <c r="AG311" i="2"/>
  <c r="AG312" i="2"/>
  <c r="AS312" i="2" s="1"/>
  <c r="AG313" i="2"/>
  <c r="AG314" i="2"/>
  <c r="AS314" i="2" s="1"/>
  <c r="AG315" i="2"/>
  <c r="AG316" i="2"/>
  <c r="AS316" i="2" s="1"/>
  <c r="AG317" i="2"/>
  <c r="AS317" i="2" s="1"/>
  <c r="AG318" i="2"/>
  <c r="AS318" i="2" s="1"/>
  <c r="AG319" i="2"/>
  <c r="AG320" i="2"/>
  <c r="AS320" i="2" s="1"/>
  <c r="AG321" i="2"/>
  <c r="AG322" i="2"/>
  <c r="AS322" i="2" s="1"/>
  <c r="AG323" i="2"/>
  <c r="AG324" i="2"/>
  <c r="AS324" i="2" s="1"/>
  <c r="AG325" i="2"/>
  <c r="AS325" i="2" s="1"/>
  <c r="AG326" i="2"/>
  <c r="AS326" i="2" s="1"/>
  <c r="AG327" i="2"/>
  <c r="AG328" i="2"/>
  <c r="AS328" i="2" s="1"/>
  <c r="AG329" i="2"/>
  <c r="AG330" i="2"/>
  <c r="AS330" i="2" s="1"/>
  <c r="AG331" i="2"/>
  <c r="AG332" i="2"/>
  <c r="AS332" i="2" s="1"/>
  <c r="AG333" i="2"/>
  <c r="AS333" i="2" s="1"/>
  <c r="AG334" i="2"/>
  <c r="AS334" i="2" s="1"/>
  <c r="AG335" i="2"/>
  <c r="AG336" i="2"/>
  <c r="AS336" i="2" s="1"/>
  <c r="AG337" i="2"/>
  <c r="AG338" i="2"/>
  <c r="AS338" i="2" s="1"/>
  <c r="AG339" i="2"/>
  <c r="AG340" i="2"/>
  <c r="AS340" i="2" s="1"/>
  <c r="AG341" i="2"/>
  <c r="AS341" i="2" s="1"/>
  <c r="AG342" i="2"/>
  <c r="AS342" i="2" s="1"/>
  <c r="AG343" i="2"/>
  <c r="AG344" i="2"/>
  <c r="AS344" i="2" s="1"/>
  <c r="AG345" i="2"/>
  <c r="AG346" i="2"/>
  <c r="AS346" i="2" s="1"/>
  <c r="AG347" i="2"/>
  <c r="AG348" i="2"/>
  <c r="AS348" i="2" s="1"/>
  <c r="AG349" i="2"/>
  <c r="AS349" i="2" s="1"/>
  <c r="AG350" i="2"/>
  <c r="AS350" i="2" s="1"/>
  <c r="AG351" i="2"/>
  <c r="AG352" i="2"/>
  <c r="AS352" i="2" s="1"/>
  <c r="AG353" i="2"/>
  <c r="AG354" i="2"/>
  <c r="AS354" i="2" s="1"/>
  <c r="AG355" i="2"/>
  <c r="AG356" i="2"/>
  <c r="AS356" i="2" s="1"/>
  <c r="AG357" i="2"/>
  <c r="AS357" i="2" s="1"/>
  <c r="AG358" i="2"/>
  <c r="AS358" i="2" s="1"/>
  <c r="AG359" i="2"/>
  <c r="AG360" i="2"/>
  <c r="AS360" i="2" s="1"/>
  <c r="AG361" i="2"/>
  <c r="AG362" i="2"/>
  <c r="AS362" i="2" s="1"/>
  <c r="AG363" i="2"/>
  <c r="AG364" i="2"/>
  <c r="AS364" i="2" s="1"/>
  <c r="AG365" i="2"/>
  <c r="AS365" i="2" s="1"/>
  <c r="AG366" i="2"/>
  <c r="AS366" i="2" s="1"/>
  <c r="AG367" i="2"/>
  <c r="AG368" i="2"/>
  <c r="AS368" i="2" s="1"/>
  <c r="AG369" i="2"/>
  <c r="AG370" i="2"/>
  <c r="AS370" i="2" s="1"/>
  <c r="AG371" i="2"/>
  <c r="AG372" i="2"/>
  <c r="AS372" i="2" s="1"/>
  <c r="AG373" i="2"/>
  <c r="AS373" i="2" s="1"/>
  <c r="AG374" i="2"/>
  <c r="AS374" i="2" s="1"/>
  <c r="AG375" i="2"/>
  <c r="AG376" i="2"/>
  <c r="AS376" i="2" s="1"/>
  <c r="AG377" i="2"/>
  <c r="AG378" i="2"/>
  <c r="AS378" i="2" s="1"/>
  <c r="AG379" i="2"/>
  <c r="AG380" i="2"/>
  <c r="AS380" i="2" s="1"/>
  <c r="AG381" i="2"/>
  <c r="AS381" i="2" s="1"/>
  <c r="AG382" i="2"/>
  <c r="AS382" i="2" s="1"/>
  <c r="AG383" i="2"/>
  <c r="AG384" i="2"/>
  <c r="AS384" i="2" s="1"/>
  <c r="AG385" i="2"/>
  <c r="AG386" i="2"/>
  <c r="AS386" i="2" s="1"/>
  <c r="AG387" i="2"/>
  <c r="AG388" i="2"/>
  <c r="AS388" i="2" s="1"/>
  <c r="AG389" i="2"/>
  <c r="AS389" i="2" s="1"/>
  <c r="AG390" i="2"/>
  <c r="AS390" i="2" s="1"/>
  <c r="AG391" i="2"/>
  <c r="AG392" i="2"/>
  <c r="AS392" i="2" s="1"/>
  <c r="AG393" i="2"/>
  <c r="AG394" i="2"/>
  <c r="AS394" i="2" s="1"/>
  <c r="AG395" i="2"/>
  <c r="AG396" i="2"/>
  <c r="AS396" i="2" s="1"/>
  <c r="AG397" i="2"/>
  <c r="AS397" i="2" s="1"/>
  <c r="AG398" i="2"/>
  <c r="AS398" i="2" s="1"/>
  <c r="AG399" i="2"/>
  <c r="AG400" i="2"/>
  <c r="AS400" i="2" s="1"/>
  <c r="AG401" i="2"/>
  <c r="AG402" i="2"/>
  <c r="AS402" i="2" s="1"/>
  <c r="AG403" i="2"/>
  <c r="AG404" i="2"/>
  <c r="AS404" i="2" s="1"/>
  <c r="AG405" i="2"/>
  <c r="AS405" i="2" s="1"/>
  <c r="AG406" i="2"/>
  <c r="AS406" i="2" s="1"/>
  <c r="AG407" i="2"/>
  <c r="AG408" i="2"/>
  <c r="AS408" i="2" s="1"/>
  <c r="AG409" i="2"/>
  <c r="AG410" i="2"/>
  <c r="AS410" i="2" s="1"/>
  <c r="AG411" i="2"/>
  <c r="AG412" i="2"/>
  <c r="AS412" i="2" s="1"/>
  <c r="AG413" i="2"/>
  <c r="AS413" i="2" s="1"/>
  <c r="AG414" i="2"/>
  <c r="AS414" i="2" s="1"/>
  <c r="AG415" i="2"/>
  <c r="AG416" i="2"/>
  <c r="AS416" i="2" s="1"/>
  <c r="AG417" i="2"/>
  <c r="AG418" i="2"/>
  <c r="AS418" i="2" s="1"/>
  <c r="AG419" i="2"/>
  <c r="AG420" i="2"/>
  <c r="AS420" i="2" s="1"/>
  <c r="AG421" i="2"/>
  <c r="AS421" i="2" s="1"/>
  <c r="AG422" i="2"/>
  <c r="AS422" i="2" s="1"/>
  <c r="AG423" i="2"/>
  <c r="AG424" i="2"/>
  <c r="AS424" i="2" s="1"/>
  <c r="AG425" i="2"/>
  <c r="AG426" i="2"/>
  <c r="AS426" i="2" s="1"/>
  <c r="AG427" i="2"/>
  <c r="AG428" i="2"/>
  <c r="AS428" i="2" s="1"/>
  <c r="AG429" i="2"/>
  <c r="AS429" i="2" s="1"/>
  <c r="AG430" i="2"/>
  <c r="AS430" i="2" s="1"/>
  <c r="AG431" i="2"/>
  <c r="AG432" i="2"/>
  <c r="AS432" i="2" s="1"/>
  <c r="AG433" i="2"/>
  <c r="AG434" i="2"/>
  <c r="AS434" i="2" s="1"/>
  <c r="AG435" i="2"/>
  <c r="AG436" i="2"/>
  <c r="AS436" i="2" s="1"/>
  <c r="AG437" i="2"/>
  <c r="AS437" i="2" s="1"/>
  <c r="AG438" i="2"/>
  <c r="AS438" i="2" s="1"/>
  <c r="AG439" i="2"/>
  <c r="AG440" i="2"/>
  <c r="AS440" i="2" s="1"/>
  <c r="AG441" i="2"/>
  <c r="AG442" i="2"/>
  <c r="AS442" i="2" s="1"/>
  <c r="AG443" i="2"/>
  <c r="AG444" i="2"/>
  <c r="AS444" i="2" s="1"/>
  <c r="AG445" i="2"/>
  <c r="AS445" i="2" s="1"/>
  <c r="AG446" i="2"/>
  <c r="AS446" i="2" s="1"/>
  <c r="AG447" i="2"/>
  <c r="AG448" i="2"/>
  <c r="AS448" i="2" s="1"/>
  <c r="AG449" i="2"/>
  <c r="AG450" i="2"/>
  <c r="AS450" i="2" s="1"/>
  <c r="AG451" i="2"/>
  <c r="AG452" i="2"/>
  <c r="AS452" i="2" s="1"/>
  <c r="AG453" i="2"/>
  <c r="AS453" i="2" s="1"/>
  <c r="AG454" i="2"/>
  <c r="AS454" i="2" s="1"/>
  <c r="AG455" i="2"/>
  <c r="AG456" i="2"/>
  <c r="AS456" i="2" s="1"/>
  <c r="AG457" i="2"/>
  <c r="AG458" i="2"/>
  <c r="AS458" i="2" s="1"/>
  <c r="AG459" i="2"/>
  <c r="AG460" i="2"/>
  <c r="AS460" i="2" s="1"/>
  <c r="AG461" i="2"/>
  <c r="AS461" i="2" s="1"/>
  <c r="AG462" i="2"/>
  <c r="AS462" i="2" s="1"/>
  <c r="AG463" i="2"/>
  <c r="AG464" i="2"/>
  <c r="AS464" i="2" s="1"/>
  <c r="AG465" i="2"/>
  <c r="AG466" i="2"/>
  <c r="AS466" i="2" s="1"/>
  <c r="AG467" i="2"/>
  <c r="AG468" i="2"/>
  <c r="AS468" i="2" s="1"/>
  <c r="AG469" i="2"/>
  <c r="AS469" i="2" s="1"/>
  <c r="AG470" i="2"/>
  <c r="AS470" i="2" s="1"/>
  <c r="AG471" i="2"/>
  <c r="AG472" i="2"/>
  <c r="AS472" i="2" s="1"/>
  <c r="AG473" i="2"/>
  <c r="AG474" i="2"/>
  <c r="AS474" i="2" s="1"/>
  <c r="AG475" i="2"/>
  <c r="AG476" i="2"/>
  <c r="AS476" i="2" s="1"/>
  <c r="AG477" i="2"/>
  <c r="AS477" i="2" s="1"/>
  <c r="AG478" i="2"/>
  <c r="AS478" i="2" s="1"/>
  <c r="AG479" i="2"/>
  <c r="AG480" i="2"/>
  <c r="AS480" i="2" s="1"/>
  <c r="AG481" i="2"/>
  <c r="AG482" i="2"/>
  <c r="AS482" i="2" s="1"/>
  <c r="AG483" i="2"/>
  <c r="AG484" i="2"/>
  <c r="AS484" i="2" s="1"/>
  <c r="AG485" i="2"/>
  <c r="AS485" i="2" s="1"/>
  <c r="AG486" i="2"/>
  <c r="AS486" i="2" s="1"/>
  <c r="AG487" i="2"/>
  <c r="AG488" i="2"/>
  <c r="AS488" i="2" s="1"/>
  <c r="AG489" i="2"/>
  <c r="AG490" i="2"/>
  <c r="AS490" i="2" s="1"/>
  <c r="AG491" i="2"/>
  <c r="AG492" i="2"/>
  <c r="AS492" i="2" s="1"/>
  <c r="AG493" i="2"/>
  <c r="AS493" i="2" s="1"/>
  <c r="AG494" i="2"/>
  <c r="AS494" i="2" s="1"/>
  <c r="AG495" i="2"/>
  <c r="AG496" i="2"/>
  <c r="AS496" i="2" s="1"/>
  <c r="AG497" i="2"/>
  <c r="AG498" i="2"/>
  <c r="AS498" i="2" s="1"/>
  <c r="AG499" i="2"/>
  <c r="AG500" i="2"/>
  <c r="AS500" i="2" s="1"/>
  <c r="AG501" i="2"/>
  <c r="AS501" i="2" s="1"/>
  <c r="AG502" i="2"/>
  <c r="AS502" i="2" s="1"/>
  <c r="AG503" i="2"/>
  <c r="AG504" i="2"/>
  <c r="AS504" i="2" s="1"/>
  <c r="AG505" i="2"/>
  <c r="AG506" i="2"/>
  <c r="AS506" i="2" s="1"/>
  <c r="AG507" i="2"/>
  <c r="AG508" i="2"/>
  <c r="AS508" i="2" s="1"/>
  <c r="AG509" i="2"/>
  <c r="AS509" i="2" s="1"/>
  <c r="AG510" i="2"/>
  <c r="AS510" i="2" s="1"/>
  <c r="AG511" i="2"/>
  <c r="AG512" i="2"/>
  <c r="AS512" i="2" s="1"/>
  <c r="AG513" i="2"/>
  <c r="AG514" i="2"/>
  <c r="AS514" i="2" s="1"/>
  <c r="AG515" i="2"/>
  <c r="AG516" i="2"/>
  <c r="AS516" i="2" s="1"/>
  <c r="AG517" i="2"/>
  <c r="AS517" i="2" s="1"/>
  <c r="AG518" i="2"/>
  <c r="AS518" i="2" s="1"/>
  <c r="AG519" i="2"/>
  <c r="AG520" i="2"/>
  <c r="AS520" i="2" s="1"/>
  <c r="AG521" i="2"/>
  <c r="AG522" i="2"/>
  <c r="AS522" i="2" s="1"/>
  <c r="AG523" i="2"/>
  <c r="AG524" i="2"/>
  <c r="AS524" i="2" s="1"/>
  <c r="AG525" i="2"/>
  <c r="AS525" i="2" s="1"/>
  <c r="AG526" i="2"/>
  <c r="AS526" i="2" s="1"/>
  <c r="AG527" i="2"/>
  <c r="AG528" i="2"/>
  <c r="AS528" i="2" s="1"/>
  <c r="AG529" i="2"/>
  <c r="AG530" i="2"/>
  <c r="AS530" i="2" s="1"/>
  <c r="AG531" i="2"/>
  <c r="AG532" i="2"/>
  <c r="AS532" i="2" s="1"/>
  <c r="AG533" i="2"/>
  <c r="AS533" i="2" s="1"/>
  <c r="AG534" i="2"/>
  <c r="AS534" i="2" s="1"/>
  <c r="AG535" i="2"/>
  <c r="AG536" i="2"/>
  <c r="AS536" i="2" s="1"/>
  <c r="AG537" i="2"/>
  <c r="AG538" i="2"/>
  <c r="AS538" i="2" s="1"/>
  <c r="AG539" i="2"/>
  <c r="AG540" i="2"/>
  <c r="AS540" i="2" s="1"/>
  <c r="AG541" i="2"/>
  <c r="AS541" i="2" s="1"/>
  <c r="AG542" i="2"/>
  <c r="AS542" i="2" s="1"/>
  <c r="AG543" i="2"/>
  <c r="AG544" i="2"/>
  <c r="AS544" i="2" s="1"/>
  <c r="AG545" i="2"/>
  <c r="AG546" i="2"/>
  <c r="AS546" i="2" s="1"/>
  <c r="AG547" i="2"/>
  <c r="AG548" i="2"/>
  <c r="AS548" i="2" s="1"/>
  <c r="AG549" i="2"/>
  <c r="AS549" i="2" s="1"/>
  <c r="AG550" i="2"/>
  <c r="AS550" i="2" s="1"/>
  <c r="AG551" i="2"/>
  <c r="AG552" i="2"/>
  <c r="AS552" i="2" s="1"/>
  <c r="AG553" i="2"/>
  <c r="AG554" i="2"/>
  <c r="AS554" i="2" s="1"/>
  <c r="AG555" i="2"/>
  <c r="AG556" i="2"/>
  <c r="AS556" i="2" s="1"/>
  <c r="AG557" i="2"/>
  <c r="AS557" i="2" s="1"/>
  <c r="AG558" i="2"/>
  <c r="AS558" i="2" s="1"/>
  <c r="AG559" i="2"/>
  <c r="AG560" i="2"/>
  <c r="AS560" i="2" s="1"/>
  <c r="AG561" i="2"/>
  <c r="AG562" i="2"/>
  <c r="AS562" i="2" s="1"/>
  <c r="AG563" i="2"/>
  <c r="AG564" i="2"/>
  <c r="AS564" i="2" s="1"/>
  <c r="AG565" i="2"/>
  <c r="AS565" i="2" s="1"/>
  <c r="AG566" i="2"/>
  <c r="AS566" i="2" s="1"/>
  <c r="AG567" i="2"/>
  <c r="AG568" i="2"/>
  <c r="AS568" i="2" s="1"/>
  <c r="AG569" i="2"/>
  <c r="AG570" i="2"/>
  <c r="AS570" i="2" s="1"/>
  <c r="AG571" i="2"/>
  <c r="AG572" i="2"/>
  <c r="AS572" i="2" s="1"/>
  <c r="AG573" i="2"/>
  <c r="AS573" i="2" s="1"/>
  <c r="AG574" i="2"/>
  <c r="AS574" i="2" s="1"/>
  <c r="AG575" i="2"/>
  <c r="AG576" i="2"/>
  <c r="AS576" i="2" s="1"/>
  <c r="AG577" i="2"/>
  <c r="AG578" i="2"/>
  <c r="AS578" i="2" s="1"/>
  <c r="AG579" i="2"/>
  <c r="AG580" i="2"/>
  <c r="AS580" i="2" s="1"/>
  <c r="AG581" i="2"/>
  <c r="AS581" i="2" s="1"/>
  <c r="AS579" i="2" l="1"/>
  <c r="AS571" i="2"/>
  <c r="AS563" i="2"/>
  <c r="AS555" i="2"/>
  <c r="AS547" i="2"/>
  <c r="AS539" i="2"/>
  <c r="AS531" i="2"/>
  <c r="AS523" i="2"/>
  <c r="AS515" i="2"/>
  <c r="AS507" i="2"/>
  <c r="AS499" i="2"/>
  <c r="AS491" i="2"/>
  <c r="AS483" i="2"/>
  <c r="AS475" i="2"/>
  <c r="AS467" i="2"/>
  <c r="AS459" i="2"/>
  <c r="AS451" i="2"/>
  <c r="AS443" i="2"/>
  <c r="AS435" i="2"/>
  <c r="AS427" i="2"/>
  <c r="AS419" i="2"/>
  <c r="AS411" i="2"/>
  <c r="AS403" i="2"/>
  <c r="AS395" i="2"/>
  <c r="AS387" i="2"/>
  <c r="AS379" i="2"/>
  <c r="AS371" i="2"/>
  <c r="AS363" i="2"/>
  <c r="AS355" i="2"/>
  <c r="AS347" i="2"/>
  <c r="AS339" i="2"/>
  <c r="AS331" i="2"/>
  <c r="AS323" i="2"/>
  <c r="AS315" i="2"/>
  <c r="AS307" i="2"/>
  <c r="AS299" i="2"/>
  <c r="AS291" i="2"/>
  <c r="AS283" i="2"/>
  <c r="AS275" i="2"/>
  <c r="AS267" i="2"/>
  <c r="AS259" i="2"/>
  <c r="AS251" i="2"/>
  <c r="AS243" i="2"/>
  <c r="AS235" i="2"/>
  <c r="AS227" i="2"/>
  <c r="AS219" i="2"/>
  <c r="AS211" i="2"/>
  <c r="AS203" i="2"/>
  <c r="AS195" i="2"/>
  <c r="AS187" i="2"/>
  <c r="AS179" i="2"/>
  <c r="AS171" i="2"/>
  <c r="AS163" i="2"/>
  <c r="AS155" i="2"/>
  <c r="AS147" i="2"/>
  <c r="AS139" i="2"/>
  <c r="AS131" i="2"/>
  <c r="AS123" i="2"/>
  <c r="AS115" i="2"/>
  <c r="AS107" i="2"/>
  <c r="AS99" i="2"/>
  <c r="AS91" i="2"/>
  <c r="AS83" i="2"/>
  <c r="AS75" i="2"/>
  <c r="AS67" i="2"/>
  <c r="AS59" i="2"/>
  <c r="AS51" i="2"/>
  <c r="AS43" i="2"/>
  <c r="AS35" i="2"/>
  <c r="AS27" i="2"/>
  <c r="AS19" i="2"/>
  <c r="AS11" i="2"/>
  <c r="AS577" i="2"/>
  <c r="AS569" i="2"/>
  <c r="AS561" i="2"/>
  <c r="AS553" i="2"/>
  <c r="AS545" i="2"/>
  <c r="AS537" i="2"/>
  <c r="AS529" i="2"/>
  <c r="AS521" i="2"/>
  <c r="AS513" i="2"/>
  <c r="AS505" i="2"/>
  <c r="AS497" i="2"/>
  <c r="AS489" i="2"/>
  <c r="AS481" i="2"/>
  <c r="AS473" i="2"/>
  <c r="AS465" i="2"/>
  <c r="AS457" i="2"/>
  <c r="AS449" i="2"/>
  <c r="AS441" i="2"/>
  <c r="AS433" i="2"/>
  <c r="AS425" i="2"/>
  <c r="AS417" i="2"/>
  <c r="AS409" i="2"/>
  <c r="AS401" i="2"/>
  <c r="AS393" i="2"/>
  <c r="AS385" i="2"/>
  <c r="AS377" i="2"/>
  <c r="AS369" i="2"/>
  <c r="AS361" i="2"/>
  <c r="AS353" i="2"/>
  <c r="AS345" i="2"/>
  <c r="AS337" i="2"/>
  <c r="AS329" i="2"/>
  <c r="AS321" i="2"/>
  <c r="AS313" i="2"/>
  <c r="AS305" i="2"/>
  <c r="AS297" i="2"/>
  <c r="AS289" i="2"/>
  <c r="AS281" i="2"/>
  <c r="AS273" i="2"/>
  <c r="AS265" i="2"/>
  <c r="AS257" i="2"/>
  <c r="AS249" i="2"/>
  <c r="AS241" i="2"/>
  <c r="AS225" i="2"/>
  <c r="AS217" i="2"/>
  <c r="AS209" i="2"/>
  <c r="AS201" i="2"/>
  <c r="AS193" i="2"/>
  <c r="AS185" i="2"/>
  <c r="AS177" i="2"/>
  <c r="AS169" i="2"/>
  <c r="AS161" i="2"/>
  <c r="AS153" i="2"/>
  <c r="AS145" i="2"/>
  <c r="AS137" i="2"/>
  <c r="AS129" i="2"/>
  <c r="AS121" i="2"/>
  <c r="AS113" i="2"/>
  <c r="AS105" i="2"/>
  <c r="AS97" i="2"/>
  <c r="AS89" i="2"/>
  <c r="AS81" i="2"/>
  <c r="AS73" i="2"/>
  <c r="AS65" i="2"/>
  <c r="AS57" i="2"/>
  <c r="AS49" i="2"/>
  <c r="AS41" i="2"/>
  <c r="AS33" i="2"/>
  <c r="AS25" i="2"/>
  <c r="AS17" i="2"/>
  <c r="AS9" i="2"/>
  <c r="AS575" i="2"/>
  <c r="X575" i="2" s="1"/>
  <c r="Y575" i="2" s="1"/>
  <c r="AS559" i="2"/>
  <c r="AS543" i="2"/>
  <c r="AS527" i="2"/>
  <c r="AS511" i="2"/>
  <c r="AS495" i="2"/>
  <c r="AS479" i="2"/>
  <c r="AS463" i="2"/>
  <c r="AS447" i="2"/>
  <c r="AS431" i="2"/>
  <c r="AS415" i="2"/>
  <c r="AS399" i="2"/>
  <c r="AS383" i="2"/>
  <c r="AS367" i="2"/>
  <c r="AS351" i="2"/>
  <c r="AS335" i="2"/>
  <c r="AS319" i="2"/>
  <c r="AS303" i="2"/>
  <c r="AS287" i="2"/>
  <c r="AS271" i="2"/>
  <c r="AS255" i="2"/>
  <c r="AS239" i="2"/>
  <c r="AS223" i="2"/>
  <c r="AS215" i="2"/>
  <c r="AS199" i="2"/>
  <c r="AS183" i="2"/>
  <c r="AS167" i="2"/>
  <c r="AS151" i="2"/>
  <c r="AS135" i="2"/>
  <c r="AS119" i="2"/>
  <c r="AS103" i="2"/>
  <c r="AS79" i="2"/>
  <c r="AS63" i="2"/>
  <c r="AS47" i="2"/>
  <c r="AS31" i="2"/>
  <c r="AS15" i="2"/>
  <c r="AS567" i="2"/>
  <c r="AS551" i="2"/>
  <c r="AS535" i="2"/>
  <c r="AS519" i="2"/>
  <c r="AS503" i="2"/>
  <c r="AS487" i="2"/>
  <c r="AS471" i="2"/>
  <c r="AS455" i="2"/>
  <c r="AS439" i="2"/>
  <c r="AS423" i="2"/>
  <c r="AS407" i="2"/>
  <c r="AS391" i="2"/>
  <c r="AS375" i="2"/>
  <c r="AS359" i="2"/>
  <c r="AS343" i="2"/>
  <c r="AS327" i="2"/>
  <c r="AS311" i="2"/>
  <c r="AS295" i="2"/>
  <c r="AS279" i="2"/>
  <c r="AS263" i="2"/>
  <c r="AS247" i="2"/>
  <c r="AS231" i="2"/>
  <c r="AS207" i="2"/>
  <c r="AS191" i="2"/>
  <c r="AS175" i="2"/>
  <c r="AS159" i="2"/>
  <c r="AS143" i="2"/>
  <c r="AS127" i="2"/>
  <c r="AS111" i="2"/>
  <c r="AS95" i="2"/>
  <c r="AS87" i="2"/>
  <c r="AS71" i="2"/>
  <c r="AS55" i="2"/>
  <c r="AS39" i="2"/>
  <c r="AS23" i="2"/>
  <c r="AS233" i="2"/>
  <c r="AS584" i="2"/>
  <c r="X584" i="2" s="1"/>
  <c r="Y584" i="2" s="1"/>
  <c r="AS582" i="2"/>
  <c r="AS583" i="2"/>
  <c r="X579" i="2"/>
  <c r="Y579" i="2" s="1"/>
  <c r="X348" i="2"/>
  <c r="Y348" i="2" s="1"/>
  <c r="X170" i="2"/>
  <c r="Y170" i="2" s="1"/>
  <c r="X520" i="2"/>
  <c r="Y520" i="2" s="1"/>
  <c r="Z575" i="2"/>
  <c r="Z534" i="2"/>
  <c r="Z535" i="2"/>
  <c r="Z536" i="2"/>
  <c r="Z537" i="2"/>
  <c r="R575" i="2"/>
  <c r="R534" i="2"/>
  <c r="R535" i="2"/>
  <c r="R536" i="2"/>
  <c r="R537" i="2"/>
  <c r="X534" i="2"/>
  <c r="Y534" i="2" s="1"/>
  <c r="X535" i="2"/>
  <c r="Y535" i="2" s="1"/>
  <c r="X536" i="2"/>
  <c r="Y536" i="2" s="1"/>
  <c r="X537" i="2"/>
  <c r="Y537" i="2" s="1"/>
  <c r="X578" i="2"/>
  <c r="Y578" i="2" s="1"/>
  <c r="Z584" i="2"/>
  <c r="Z577" i="2"/>
  <c r="Z348" i="2"/>
  <c r="Z520" i="2"/>
  <c r="Z578" i="2"/>
  <c r="Z170" i="2"/>
  <c r="Z579" i="2"/>
  <c r="R584" i="2"/>
  <c r="R577" i="2"/>
  <c r="R348" i="2"/>
  <c r="R520" i="2"/>
  <c r="R578" i="2"/>
  <c r="R170" i="2"/>
  <c r="R579" i="2"/>
  <c r="X577" i="2"/>
  <c r="Y577" i="2" s="1"/>
  <c r="Z387" i="2"/>
  <c r="Z583" i="2"/>
  <c r="Z582" i="2"/>
  <c r="Z169" i="2"/>
  <c r="Z64" i="2"/>
  <c r="R387" i="2"/>
  <c r="R583" i="2"/>
  <c r="R582" i="2"/>
  <c r="R169" i="2"/>
  <c r="R64" i="2"/>
  <c r="AA534" i="2" l="1"/>
  <c r="AB534" i="2" s="1"/>
  <c r="AA577" i="2"/>
  <c r="AB577" i="2" s="1"/>
  <c r="AV536" i="2"/>
  <c r="AA584" i="2"/>
  <c r="AB584" i="2" s="1"/>
  <c r="AA537" i="2"/>
  <c r="AB537" i="2" s="1"/>
  <c r="AA575" i="2"/>
  <c r="AB575" i="2" s="1"/>
  <c r="AA535" i="2"/>
  <c r="AB535" i="2" s="1"/>
  <c r="AA536" i="2"/>
  <c r="AB536" i="2" s="1"/>
  <c r="AA170" i="2"/>
  <c r="AB170" i="2" s="1"/>
  <c r="AA520" i="2"/>
  <c r="AB520" i="2" s="1"/>
  <c r="AA579" i="2"/>
  <c r="AB579" i="2" s="1"/>
  <c r="AA578" i="2"/>
  <c r="AB578" i="2" s="1"/>
  <c r="AA348" i="2"/>
  <c r="AB348" i="2" s="1"/>
  <c r="X64" i="2"/>
  <c r="Y64" i="2" s="1"/>
  <c r="X582" i="2"/>
  <c r="Y582" i="2" s="1"/>
  <c r="X387" i="2"/>
  <c r="Y387" i="2" s="1"/>
  <c r="X169" i="2"/>
  <c r="Y169" i="2" s="1"/>
  <c r="X583" i="2"/>
  <c r="Y583" i="2" s="1"/>
  <c r="F19" i="6"/>
  <c r="F18" i="6"/>
  <c r="F17" i="6"/>
  <c r="B19" i="6"/>
  <c r="B18" i="6"/>
  <c r="B17" i="6"/>
  <c r="B16" i="6"/>
  <c r="B15" i="6"/>
  <c r="B14" i="6"/>
  <c r="D17" i="6"/>
  <c r="D18" i="6"/>
  <c r="D19" i="6"/>
  <c r="A14" i="6"/>
  <c r="A19" i="6"/>
  <c r="A18" i="6"/>
  <c r="A17" i="6"/>
  <c r="A16" i="6"/>
  <c r="A15" i="6"/>
  <c r="B6" i="6"/>
  <c r="AA582" i="2" l="1"/>
  <c r="AB582" i="2" s="1"/>
  <c r="AA64" i="2"/>
  <c r="AB64" i="2" s="1"/>
  <c r="AA387" i="2"/>
  <c r="AB387" i="2" s="1"/>
  <c r="AA169" i="2"/>
  <c r="AB169" i="2" s="1"/>
  <c r="AA583" i="2"/>
  <c r="AB583" i="2" s="1"/>
  <c r="Z7" i="2"/>
  <c r="Z14" i="2"/>
  <c r="Z18" i="2"/>
  <c r="Z16" i="2"/>
  <c r="Z8" i="2"/>
  <c r="Z9" i="2"/>
  <c r="Z15" i="2"/>
  <c r="Z10" i="2"/>
  <c r="Z17" i="2"/>
  <c r="Z11" i="2"/>
  <c r="Z12" i="2"/>
  <c r="Z13" i="2"/>
  <c r="Z20" i="2"/>
  <c r="Z19" i="2"/>
  <c r="Z44" i="2"/>
  <c r="Z68" i="2"/>
  <c r="Z66" i="2"/>
  <c r="Z21" i="2"/>
  <c r="Z42" i="2"/>
  <c r="Z52" i="2"/>
  <c r="Z34" i="2"/>
  <c r="Z62" i="2"/>
  <c r="Z43" i="2"/>
  <c r="Z22" i="2"/>
  <c r="Z67" i="2"/>
  <c r="Z38" i="2"/>
  <c r="Z39" i="2"/>
  <c r="Z50" i="2"/>
  <c r="Z53" i="2"/>
  <c r="Z32" i="2"/>
  <c r="Z35" i="2"/>
  <c r="Z56" i="2"/>
  <c r="Z23" i="2"/>
  <c r="Z40" i="2"/>
  <c r="Z36" i="2"/>
  <c r="Z46" i="2"/>
  <c r="Z48" i="2"/>
  <c r="Z45" i="2"/>
  <c r="Z49" i="2"/>
  <c r="Z57" i="2"/>
  <c r="Z24" i="2"/>
  <c r="Z25" i="2"/>
  <c r="Z60" i="2"/>
  <c r="Z51" i="2"/>
  <c r="Z33" i="2"/>
  <c r="Z54" i="2"/>
  <c r="Z61" i="2"/>
  <c r="Z58" i="2"/>
  <c r="Z26" i="2"/>
  <c r="Z27" i="2"/>
  <c r="Z28" i="2"/>
  <c r="Z55" i="2"/>
  <c r="Z59" i="2"/>
  <c r="Z41" i="2"/>
  <c r="Z47" i="2"/>
  <c r="Z29" i="2"/>
  <c r="Z63" i="2"/>
  <c r="Z30" i="2"/>
  <c r="Z65" i="2"/>
  <c r="Z37" i="2"/>
  <c r="Z31" i="2"/>
  <c r="Z69" i="2"/>
  <c r="Z104" i="2"/>
  <c r="Z129" i="2"/>
  <c r="Z134" i="2"/>
  <c r="Z106" i="2"/>
  <c r="Z107" i="2"/>
  <c r="Z108" i="2"/>
  <c r="Z125" i="2"/>
  <c r="Z126" i="2"/>
  <c r="Z74" i="2"/>
  <c r="Z76" i="2"/>
  <c r="Z70" i="2"/>
  <c r="Z75" i="2"/>
  <c r="Z71" i="2"/>
  <c r="Z72" i="2"/>
  <c r="Z73" i="2"/>
  <c r="Z77" i="2"/>
  <c r="Z78" i="2"/>
  <c r="Z79" i="2"/>
  <c r="Z80" i="2"/>
  <c r="Z81" i="2"/>
  <c r="Z82" i="2"/>
  <c r="Z97" i="2"/>
  <c r="Z100" i="2"/>
  <c r="Z83" i="2"/>
  <c r="Z84" i="2"/>
  <c r="Z85" i="2"/>
  <c r="Z102" i="2"/>
  <c r="Z94" i="2"/>
  <c r="Z86" i="2"/>
  <c r="Z87" i="2"/>
  <c r="Z103" i="2"/>
  <c r="Z95" i="2"/>
  <c r="Z88" i="2"/>
  <c r="Z99" i="2"/>
  <c r="Z89" i="2"/>
  <c r="Z90" i="2"/>
  <c r="Z91" i="2"/>
  <c r="Z96" i="2"/>
  <c r="Z92" i="2"/>
  <c r="Z98" i="2"/>
  <c r="Z93" i="2"/>
  <c r="Z101" i="2"/>
  <c r="Z105" i="2"/>
  <c r="Z109" i="2"/>
  <c r="Z132" i="2"/>
  <c r="Z127" i="2"/>
  <c r="Z110" i="2"/>
  <c r="Z111" i="2"/>
  <c r="Z112" i="2"/>
  <c r="Z130" i="2"/>
  <c r="Z133" i="2"/>
  <c r="Z124" i="2"/>
  <c r="Z113" i="2"/>
  <c r="Z114" i="2"/>
  <c r="Z115" i="2"/>
  <c r="Z116" i="2"/>
  <c r="Z117" i="2"/>
  <c r="Z128" i="2"/>
  <c r="Z118" i="2"/>
  <c r="Z119" i="2"/>
  <c r="Z123" i="2"/>
  <c r="Z120" i="2"/>
  <c r="Z121" i="2"/>
  <c r="Z122" i="2"/>
  <c r="Z131" i="2"/>
  <c r="Z136" i="2"/>
  <c r="Z135" i="2"/>
  <c r="Z149" i="2"/>
  <c r="Z151" i="2"/>
  <c r="Z137" i="2"/>
  <c r="Z138" i="2"/>
  <c r="Z147" i="2"/>
  <c r="Z139" i="2"/>
  <c r="Z140" i="2"/>
  <c r="Z141" i="2"/>
  <c r="Z148" i="2"/>
  <c r="Z142" i="2"/>
  <c r="Z153" i="2"/>
  <c r="Z155" i="2"/>
  <c r="Z154" i="2"/>
  <c r="Z152" i="2"/>
  <c r="Z146" i="2"/>
  <c r="Z150" i="2"/>
  <c r="Z143" i="2"/>
  <c r="Z144" i="2"/>
  <c r="Z145" i="2"/>
  <c r="Z156" i="2"/>
  <c r="Z157" i="2"/>
  <c r="Z158" i="2"/>
  <c r="Z167" i="2"/>
  <c r="Z166" i="2"/>
  <c r="Z159" i="2"/>
  <c r="Z163" i="2"/>
  <c r="Z165" i="2"/>
  <c r="Z160" i="2"/>
  <c r="Z168" i="2"/>
  <c r="Z162" i="2"/>
  <c r="Z161" i="2"/>
  <c r="Z164" i="2"/>
  <c r="Z196" i="2"/>
  <c r="Z171" i="2"/>
  <c r="Z183" i="2"/>
  <c r="Z172" i="2"/>
  <c r="Z197" i="2"/>
  <c r="Z185" i="2"/>
  <c r="Z186" i="2"/>
  <c r="Z192" i="2"/>
  <c r="Z179" i="2"/>
  <c r="Z193" i="2"/>
  <c r="Z173" i="2"/>
  <c r="Z174" i="2"/>
  <c r="Z188" i="2"/>
  <c r="Z180" i="2"/>
  <c r="Z194" i="2"/>
  <c r="Z182" i="2"/>
  <c r="Z195" i="2"/>
  <c r="Z175" i="2"/>
  <c r="Z176" i="2"/>
  <c r="Z181" i="2"/>
  <c r="Z189" i="2"/>
  <c r="Z191" i="2"/>
  <c r="Z177" i="2"/>
  <c r="Z187" i="2"/>
  <c r="Z190" i="2"/>
  <c r="Z184" i="2"/>
  <c r="Z178" i="2"/>
  <c r="Z198" i="2"/>
  <c r="Z199" i="2"/>
  <c r="Z200" i="2"/>
  <c r="Z201" i="2"/>
  <c r="Z215" i="2"/>
  <c r="Z202" i="2"/>
  <c r="Z203" i="2"/>
  <c r="Z204" i="2"/>
  <c r="Z217" i="2"/>
  <c r="Z205" i="2"/>
  <c r="Z206" i="2"/>
  <c r="Z207" i="2"/>
  <c r="Z208" i="2"/>
  <c r="Z209" i="2"/>
  <c r="Z213" i="2"/>
  <c r="Z210" i="2"/>
  <c r="Z214" i="2"/>
  <c r="Z216" i="2"/>
  <c r="Z211" i="2"/>
  <c r="Z212" i="2"/>
  <c r="Z218" i="2"/>
  <c r="Z219" i="2"/>
  <c r="Z220" i="2"/>
  <c r="Z221" i="2"/>
  <c r="Z222" i="2"/>
  <c r="Z223" i="2"/>
  <c r="Z224" i="2"/>
  <c r="Z225" i="2"/>
  <c r="Z226" i="2"/>
  <c r="Z227" i="2"/>
  <c r="Z239" i="2"/>
  <c r="Z237" i="2"/>
  <c r="Z243" i="2"/>
  <c r="Z228" i="2"/>
  <c r="Z236" i="2"/>
  <c r="Z229" i="2"/>
  <c r="Z230" i="2"/>
  <c r="Z238" i="2"/>
  <c r="Z241" i="2"/>
  <c r="Z231" i="2"/>
  <c r="Z232" i="2"/>
  <c r="Z240" i="2"/>
  <c r="Z233" i="2"/>
  <c r="Z234" i="2"/>
  <c r="Z242" i="2"/>
  <c r="Z235" i="2"/>
  <c r="Z297" i="2"/>
  <c r="Z244" i="2"/>
  <c r="Z318" i="2"/>
  <c r="Z245" i="2"/>
  <c r="Z305" i="2"/>
  <c r="Z246" i="2"/>
  <c r="Z326" i="2"/>
  <c r="Z306" i="2"/>
  <c r="Z337" i="2"/>
  <c r="Z322" i="2"/>
  <c r="Z247" i="2"/>
  <c r="Z307" i="2"/>
  <c r="Z344" i="2"/>
  <c r="Z327" i="2"/>
  <c r="Z303" i="2"/>
  <c r="Z341" i="2"/>
  <c r="Z248" i="2"/>
  <c r="Z249" i="2"/>
  <c r="Z330" i="2"/>
  <c r="Z250" i="2"/>
  <c r="Z251" i="2"/>
  <c r="Z342" i="2"/>
  <c r="Z252" i="2"/>
  <c r="Z319" i="2"/>
  <c r="Z253" i="2"/>
  <c r="Z339" i="2"/>
  <c r="Z308" i="2"/>
  <c r="Z254" i="2"/>
  <c r="Z255" i="2"/>
  <c r="Z300" i="2"/>
  <c r="Z256" i="2"/>
  <c r="Z298" i="2"/>
  <c r="Z257" i="2"/>
  <c r="Z350" i="2"/>
  <c r="Z309" i="2"/>
  <c r="Z338" i="2"/>
  <c r="Z258" i="2"/>
  <c r="Z259" i="2"/>
  <c r="Z260" i="2"/>
  <c r="Z261" i="2"/>
  <c r="Z262" i="2"/>
  <c r="Z263" i="2"/>
  <c r="Z331" i="2"/>
  <c r="Z313" i="2"/>
  <c r="Z264" i="2"/>
  <c r="Z310" i="2"/>
  <c r="Z265" i="2"/>
  <c r="Z301" i="2"/>
  <c r="Z266" i="2"/>
  <c r="Z267" i="2"/>
  <c r="Z268" i="2"/>
  <c r="Z311" i="2"/>
  <c r="Z315" i="2"/>
  <c r="Z299" i="2"/>
  <c r="Z335" i="2"/>
  <c r="Z316" i="2"/>
  <c r="Z328" i="2"/>
  <c r="Z317" i="2"/>
  <c r="Z320" i="2"/>
  <c r="Z269" i="2"/>
  <c r="Z343" i="2"/>
  <c r="Z270" i="2"/>
  <c r="Z271" i="2"/>
  <c r="Z272" i="2"/>
  <c r="Z273" i="2"/>
  <c r="Z274" i="2"/>
  <c r="Z329" i="2"/>
  <c r="Z312" i="2"/>
  <c r="Z336" i="2"/>
  <c r="Z323" i="2"/>
  <c r="Z275" i="2"/>
  <c r="Z349" i="2"/>
  <c r="Z276" i="2"/>
  <c r="Z352" i="2"/>
  <c r="Z277" i="2"/>
  <c r="Z278" i="2"/>
  <c r="Z340" i="2"/>
  <c r="Z279" i="2"/>
  <c r="Z314" i="2"/>
  <c r="Z321" i="2"/>
  <c r="Z334" i="2"/>
  <c r="Z332" i="2"/>
  <c r="Z345" i="2"/>
  <c r="Z280" i="2"/>
  <c r="Z281" i="2"/>
  <c r="Z282" i="2"/>
  <c r="Z283" i="2"/>
  <c r="Z304" i="2"/>
  <c r="Z284" i="2"/>
  <c r="Z346" i="2"/>
  <c r="Z347" i="2"/>
  <c r="Z285" i="2"/>
  <c r="Z286" i="2"/>
  <c r="Z324" i="2"/>
  <c r="Z287" i="2"/>
  <c r="Z288" i="2"/>
  <c r="Z325" i="2"/>
  <c r="Z289" i="2"/>
  <c r="Z290" i="2"/>
  <c r="Z291" i="2"/>
  <c r="Z302" i="2"/>
  <c r="Z351" i="2"/>
  <c r="Z292" i="2"/>
  <c r="Z333" i="2"/>
  <c r="Z293" i="2"/>
  <c r="Z294" i="2"/>
  <c r="Z295" i="2"/>
  <c r="Z296" i="2"/>
  <c r="Z353" i="2"/>
  <c r="Z360" i="2"/>
  <c r="Z354" i="2"/>
  <c r="Z359" i="2"/>
  <c r="Z355" i="2"/>
  <c r="Z357" i="2"/>
  <c r="Z356" i="2"/>
  <c r="Z358" i="2"/>
  <c r="Z371" i="2"/>
  <c r="Z384" i="2"/>
  <c r="Z372" i="2"/>
  <c r="Z361" i="2"/>
  <c r="Z385" i="2"/>
  <c r="Z370" i="2"/>
  <c r="Z383" i="2"/>
  <c r="Z378" i="2"/>
  <c r="Z379" i="2"/>
  <c r="Z382" i="2"/>
  <c r="Z373" i="2"/>
  <c r="Z386" i="2"/>
  <c r="Z374" i="2"/>
  <c r="Z377" i="2"/>
  <c r="Z362" i="2"/>
  <c r="Z363" i="2"/>
  <c r="Z375" i="2"/>
  <c r="Z364" i="2"/>
  <c r="Z365" i="2"/>
  <c r="Z366" i="2"/>
  <c r="Z380" i="2"/>
  <c r="Z381" i="2"/>
  <c r="Z367" i="2"/>
  <c r="Z368" i="2"/>
  <c r="Z376" i="2"/>
  <c r="Z369" i="2"/>
  <c r="Z413" i="2"/>
  <c r="Z407" i="2"/>
  <c r="Z403" i="2"/>
  <c r="Z389" i="2"/>
  <c r="Z390" i="2"/>
  <c r="Z391" i="2"/>
  <c r="Z408" i="2"/>
  <c r="Z392" i="2"/>
  <c r="Z393" i="2"/>
  <c r="Z411" i="2"/>
  <c r="Z404" i="2"/>
  <c r="Z394" i="2"/>
  <c r="Z400" i="2"/>
  <c r="Z395" i="2"/>
  <c r="Z396" i="2"/>
  <c r="Z401" i="2"/>
  <c r="Z406" i="2"/>
  <c r="Z410" i="2"/>
  <c r="Z405" i="2"/>
  <c r="Z409" i="2"/>
  <c r="Z412" i="2"/>
  <c r="Z397" i="2"/>
  <c r="Z402" i="2"/>
  <c r="Z398" i="2"/>
  <c r="Z399" i="2"/>
  <c r="Z454" i="2"/>
  <c r="Z447" i="2"/>
  <c r="Z414" i="2"/>
  <c r="Z468" i="2"/>
  <c r="Z459" i="2"/>
  <c r="Z415" i="2"/>
  <c r="Z416" i="2"/>
  <c r="Z470" i="2"/>
  <c r="Z455" i="2"/>
  <c r="Z452" i="2"/>
  <c r="Z417" i="2"/>
  <c r="Z465" i="2"/>
  <c r="Z457" i="2"/>
  <c r="Z418" i="2"/>
  <c r="Z419" i="2"/>
  <c r="Z420" i="2"/>
  <c r="Z421" i="2"/>
  <c r="Z422" i="2"/>
  <c r="Z469" i="2"/>
  <c r="Z461" i="2"/>
  <c r="Z473" i="2"/>
  <c r="Z423" i="2"/>
  <c r="Z424" i="2"/>
  <c r="Z425" i="2"/>
  <c r="Z460" i="2"/>
  <c r="Z426" i="2"/>
  <c r="Z462" i="2"/>
  <c r="Z449" i="2"/>
  <c r="Z445" i="2"/>
  <c r="Z458" i="2"/>
  <c r="Z450" i="2"/>
  <c r="Z427" i="2"/>
  <c r="Z428" i="2"/>
  <c r="Z453" i="2"/>
  <c r="Z429" i="2"/>
  <c r="Z463" i="2"/>
  <c r="Z430" i="2"/>
  <c r="Z446" i="2"/>
  <c r="Z431" i="2"/>
  <c r="Z432" i="2"/>
  <c r="Z433" i="2"/>
  <c r="Z434" i="2"/>
  <c r="Z435" i="2"/>
  <c r="Z436" i="2"/>
  <c r="Z437" i="2"/>
  <c r="Z464" i="2"/>
  <c r="Z448" i="2"/>
  <c r="Z467" i="2"/>
  <c r="Z438" i="2"/>
  <c r="Z451" i="2"/>
  <c r="Z439" i="2"/>
  <c r="Z466" i="2"/>
  <c r="Z471" i="2"/>
  <c r="Z440" i="2"/>
  <c r="Z441" i="2"/>
  <c r="Z456" i="2"/>
  <c r="Z472" i="2"/>
  <c r="Z442" i="2"/>
  <c r="Z443" i="2"/>
  <c r="Z444" i="2"/>
  <c r="Z484" i="2"/>
  <c r="Z485" i="2"/>
  <c r="Z474" i="2"/>
  <c r="Z475" i="2"/>
  <c r="Z483" i="2"/>
  <c r="Z481" i="2"/>
  <c r="Z478" i="2"/>
  <c r="Z479" i="2"/>
  <c r="Z476" i="2"/>
  <c r="Z477" i="2"/>
  <c r="Z482" i="2"/>
  <c r="Z486" i="2"/>
  <c r="Z487" i="2"/>
  <c r="Z488" i="2"/>
  <c r="Z492" i="2"/>
  <c r="Z489" i="2"/>
  <c r="Z494" i="2"/>
  <c r="Z493" i="2"/>
  <c r="Z495" i="2"/>
  <c r="Z491" i="2"/>
  <c r="Z490" i="2"/>
  <c r="Z480" i="2"/>
  <c r="Z506" i="2"/>
  <c r="Z521" i="2"/>
  <c r="Z509" i="2"/>
  <c r="Z518" i="2"/>
  <c r="Z519" i="2"/>
  <c r="Z510" i="2"/>
  <c r="Z496" i="2"/>
  <c r="Z497" i="2"/>
  <c r="Z498" i="2"/>
  <c r="Z503" i="2"/>
  <c r="Z515" i="2"/>
  <c r="Z511" i="2"/>
  <c r="Z499" i="2"/>
  <c r="Z512" i="2"/>
  <c r="Z500" i="2"/>
  <c r="Z505" i="2"/>
  <c r="Z501" i="2"/>
  <c r="Z513" i="2"/>
  <c r="Z516" i="2"/>
  <c r="Z517" i="2"/>
  <c r="Z508" i="2"/>
  <c r="Z504" i="2"/>
  <c r="Z507" i="2"/>
  <c r="Z514" i="2"/>
  <c r="Z502" i="2"/>
  <c r="Z567" i="2"/>
  <c r="Z523" i="2"/>
  <c r="Z581" i="2"/>
  <c r="Z561" i="2"/>
  <c r="Z573" i="2"/>
  <c r="Z580" i="2"/>
  <c r="Z524" i="2"/>
  <c r="Z563" i="2"/>
  <c r="Z538" i="2"/>
  <c r="Z552" i="2"/>
  <c r="Z540" i="2"/>
  <c r="Z544" i="2"/>
  <c r="Z553" i="2"/>
  <c r="Z554" i="2"/>
  <c r="Z572" i="2"/>
  <c r="Z551" i="2"/>
  <c r="Z555" i="2"/>
  <c r="Z547" i="2"/>
  <c r="Z570" i="2"/>
  <c r="Z574" i="2"/>
  <c r="Z576" i="2"/>
  <c r="Z545" i="2"/>
  <c r="Z556" i="2"/>
  <c r="Z541" i="2"/>
  <c r="Z549" i="2"/>
  <c r="Z525" i="2"/>
  <c r="Z548" i="2"/>
  <c r="Z526" i="2"/>
  <c r="Z557" i="2"/>
  <c r="Z571" i="2"/>
  <c r="Z568" i="2"/>
  <c r="Z546" i="2"/>
  <c r="Z527" i="2"/>
  <c r="Z543" i="2"/>
  <c r="Z528" i="2"/>
  <c r="Z529" i="2"/>
  <c r="Z558" i="2"/>
  <c r="Z564" i="2"/>
  <c r="Z530" i="2"/>
  <c r="Z542" i="2"/>
  <c r="Z565" i="2"/>
  <c r="Z569" i="2"/>
  <c r="Z531" i="2"/>
  <c r="Z559" i="2"/>
  <c r="Z532" i="2"/>
  <c r="Z550" i="2"/>
  <c r="Z562" i="2"/>
  <c r="Z560" i="2"/>
  <c r="Z566" i="2"/>
  <c r="Z539" i="2"/>
  <c r="Z533" i="2"/>
  <c r="Z522" i="2"/>
  <c r="Z388" i="2"/>
  <c r="W585" i="2"/>
  <c r="Z585" i="2" l="1"/>
  <c r="X222" i="2"/>
  <c r="Y222" i="2" s="1"/>
  <c r="X226" i="2"/>
  <c r="Y226" i="2" s="1"/>
  <c r="X486" i="2"/>
  <c r="Y486" i="2" s="1"/>
  <c r="X488" i="2"/>
  <c r="Y488" i="2" s="1"/>
  <c r="X513" i="2"/>
  <c r="Y513" i="2" s="1"/>
  <c r="X549" i="2"/>
  <c r="Y549" i="2" s="1"/>
  <c r="X565" i="2"/>
  <c r="Y565" i="2" s="1"/>
  <c r="X388" i="2"/>
  <c r="X220" i="2"/>
  <c r="Y220" i="2" s="1"/>
  <c r="X224" i="2"/>
  <c r="Y224" i="2" s="1"/>
  <c r="X258" i="2"/>
  <c r="Y258" i="2" s="1"/>
  <c r="X259" i="2"/>
  <c r="Y259" i="2" s="1"/>
  <c r="X260" i="2"/>
  <c r="Y260" i="2" s="1"/>
  <c r="X261" i="2"/>
  <c r="Y261" i="2" s="1"/>
  <c r="X262" i="2"/>
  <c r="Y262" i="2" s="1"/>
  <c r="X263" i="2"/>
  <c r="Y263" i="2" s="1"/>
  <c r="X264" i="2"/>
  <c r="Y264" i="2" s="1"/>
  <c r="X268" i="2"/>
  <c r="Y268" i="2" s="1"/>
  <c r="X290" i="2"/>
  <c r="Y290" i="2" s="1"/>
  <c r="X295" i="2"/>
  <c r="Y295" i="2" s="1"/>
  <c r="X355" i="2"/>
  <c r="Y355" i="2" s="1"/>
  <c r="X413" i="2"/>
  <c r="Y413" i="2" s="1"/>
  <c r="X389" i="2"/>
  <c r="Y389" i="2" s="1"/>
  <c r="X390" i="2"/>
  <c r="Y390" i="2" s="1"/>
  <c r="X400" i="2"/>
  <c r="Y400" i="2" s="1"/>
  <c r="X395" i="2"/>
  <c r="Y395" i="2" s="1"/>
  <c r="X396" i="2"/>
  <c r="Y396" i="2" s="1"/>
  <c r="X397" i="2"/>
  <c r="Y397" i="2" s="1"/>
  <c r="X415" i="2"/>
  <c r="Y415" i="2" s="1"/>
  <c r="X423" i="2"/>
  <c r="Y423" i="2" s="1"/>
  <c r="X487" i="2"/>
  <c r="Y487" i="2" s="1"/>
  <c r="X508" i="2"/>
  <c r="AV395" i="2" l="1"/>
  <c r="Y508" i="2"/>
  <c r="AV579" i="2"/>
  <c r="Y388" i="2"/>
  <c r="AV260" i="2"/>
  <c r="AV258" i="2"/>
  <c r="AV259" i="2"/>
  <c r="AV549" i="2"/>
  <c r="X550" i="2"/>
  <c r="Y550" i="2" s="1"/>
  <c r="X479" i="2"/>
  <c r="Y479" i="2" s="1"/>
  <c r="X476" i="2"/>
  <c r="Y476" i="2" s="1"/>
  <c r="X505" i="2"/>
  <c r="Y505" i="2" s="1"/>
  <c r="X477" i="2"/>
  <c r="Y477" i="2" s="1"/>
  <c r="X302" i="2"/>
  <c r="Y302" i="2" s="1"/>
  <c r="X427" i="2"/>
  <c r="X286" i="2"/>
  <c r="Y286" i="2" s="1"/>
  <c r="X284" i="2"/>
  <c r="Y284" i="2" s="1"/>
  <c r="X276" i="2"/>
  <c r="Y276" i="2" s="1"/>
  <c r="X502" i="2"/>
  <c r="Y502" i="2" s="1"/>
  <c r="X478" i="2"/>
  <c r="X474" i="2"/>
  <c r="Y474" i="2" s="1"/>
  <c r="X531" i="2"/>
  <c r="Y531" i="2" s="1"/>
  <c r="X206" i="2"/>
  <c r="Y206" i="2" s="1"/>
  <c r="X198" i="2"/>
  <c r="Y198" i="2" s="1"/>
  <c r="X194" i="2"/>
  <c r="Y194" i="2" s="1"/>
  <c r="X190" i="2"/>
  <c r="Y190" i="2" s="1"/>
  <c r="X186" i="2"/>
  <c r="Y186" i="2" s="1"/>
  <c r="X182" i="2"/>
  <c r="Y182" i="2" s="1"/>
  <c r="X178" i="2"/>
  <c r="Y178" i="2" s="1"/>
  <c r="X172" i="2"/>
  <c r="Y172" i="2" s="1"/>
  <c r="X160" i="2"/>
  <c r="Y160" i="2" s="1"/>
  <c r="X156" i="2"/>
  <c r="Y156" i="2" s="1"/>
  <c r="X140" i="2"/>
  <c r="Y140" i="2" s="1"/>
  <c r="X136" i="2"/>
  <c r="X121" i="2"/>
  <c r="Y121" i="2" s="1"/>
  <c r="X128" i="2"/>
  <c r="Y128" i="2" s="1"/>
  <c r="X120" i="2"/>
  <c r="Y120" i="2" s="1"/>
  <c r="X116" i="2"/>
  <c r="Y116" i="2" s="1"/>
  <c r="X112" i="2"/>
  <c r="X100" i="2"/>
  <c r="Y100" i="2" s="1"/>
  <c r="X96" i="2"/>
  <c r="Y96" i="2" s="1"/>
  <c r="X92" i="2"/>
  <c r="Y92" i="2" s="1"/>
  <c r="X88" i="2"/>
  <c r="Y88" i="2" s="1"/>
  <c r="X84" i="2"/>
  <c r="Y84" i="2" s="1"/>
  <c r="X80" i="2"/>
  <c r="Y80" i="2" s="1"/>
  <c r="X76" i="2"/>
  <c r="Y76" i="2" s="1"/>
  <c r="X72" i="2"/>
  <c r="Y72" i="2" s="1"/>
  <c r="X129" i="2"/>
  <c r="Y129" i="2" s="1"/>
  <c r="X107" i="2"/>
  <c r="Y107" i="2" s="1"/>
  <c r="X63" i="2"/>
  <c r="Y63" i="2" s="1"/>
  <c r="X522" i="2"/>
  <c r="Y522" i="2" s="1"/>
  <c r="X458" i="2"/>
  <c r="Y458" i="2" s="1"/>
  <c r="X454" i="2"/>
  <c r="Y454" i="2" s="1"/>
  <c r="X452" i="2"/>
  <c r="Y452" i="2" s="1"/>
  <c r="X450" i="2"/>
  <c r="Y450" i="2" s="1"/>
  <c r="X448" i="2"/>
  <c r="Y448" i="2" s="1"/>
  <c r="X446" i="2"/>
  <c r="Y446" i="2" s="1"/>
  <c r="X444" i="2"/>
  <c r="Y444" i="2" s="1"/>
  <c r="X442" i="2"/>
  <c r="X440" i="2"/>
  <c r="X438" i="2"/>
  <c r="X296" i="2"/>
  <c r="Y296" i="2" s="1"/>
  <c r="X352" i="2"/>
  <c r="X350" i="2"/>
  <c r="Y350" i="2" s="1"/>
  <c r="X347" i="2"/>
  <c r="Y347" i="2" s="1"/>
  <c r="X291" i="2"/>
  <c r="Y291" i="2" s="1"/>
  <c r="X289" i="2"/>
  <c r="Y289" i="2" s="1"/>
  <c r="X341" i="2"/>
  <c r="Y341" i="2" s="1"/>
  <c r="X339" i="2"/>
  <c r="Y339" i="2" s="1"/>
  <c r="X285" i="2"/>
  <c r="Y285" i="2" s="1"/>
  <c r="X335" i="2"/>
  <c r="Y335" i="2" s="1"/>
  <c r="X333" i="2"/>
  <c r="Y333" i="2" s="1"/>
  <c r="X331" i="2"/>
  <c r="Y331" i="2" s="1"/>
  <c r="X329" i="2"/>
  <c r="Y329" i="2" s="1"/>
  <c r="X327" i="2"/>
  <c r="X325" i="2"/>
  <c r="Y325" i="2" s="1"/>
  <c r="X279" i="2"/>
  <c r="Y279" i="2" s="1"/>
  <c r="X321" i="2"/>
  <c r="Y321" i="2" s="1"/>
  <c r="X319" i="2"/>
  <c r="Y319" i="2" s="1"/>
  <c r="X317" i="2"/>
  <c r="Y317" i="2" s="1"/>
  <c r="X315" i="2"/>
  <c r="Y315" i="2" s="1"/>
  <c r="X313" i="2"/>
  <c r="Y313" i="2" s="1"/>
  <c r="X311" i="2"/>
  <c r="Y311" i="2" s="1"/>
  <c r="X309" i="2"/>
  <c r="Y309" i="2" s="1"/>
  <c r="X307" i="2"/>
  <c r="Y307" i="2" s="1"/>
  <c r="X269" i="2"/>
  <c r="X303" i="2"/>
  <c r="Y303" i="2" s="1"/>
  <c r="X301" i="2"/>
  <c r="Y301" i="2" s="1"/>
  <c r="X299" i="2"/>
  <c r="Y299" i="2" s="1"/>
  <c r="X297" i="2"/>
  <c r="Y297" i="2" s="1"/>
  <c r="X267" i="2"/>
  <c r="Y267" i="2" s="1"/>
  <c r="X225" i="2"/>
  <c r="Y225" i="2" s="1"/>
  <c r="X221" i="2"/>
  <c r="Y221" i="2" s="1"/>
  <c r="X219" i="2"/>
  <c r="X217" i="2"/>
  <c r="Y217" i="2" s="1"/>
  <c r="X243" i="2"/>
  <c r="Y243" i="2" s="1"/>
  <c r="X241" i="2"/>
  <c r="X239" i="2"/>
  <c r="X235" i="2"/>
  <c r="X233" i="2"/>
  <c r="Y233" i="2" s="1"/>
  <c r="X215" i="2"/>
  <c r="Y215" i="2" s="1"/>
  <c r="X213" i="2"/>
  <c r="Y213" i="2" s="1"/>
  <c r="X211" i="2"/>
  <c r="Y211" i="2" s="1"/>
  <c r="X209" i="2"/>
  <c r="Y209" i="2" s="1"/>
  <c r="X205" i="2"/>
  <c r="Y205" i="2" s="1"/>
  <c r="X201" i="2"/>
  <c r="X199" i="2"/>
  <c r="Y199" i="2" s="1"/>
  <c r="X197" i="2"/>
  <c r="Y197" i="2" s="1"/>
  <c r="X195" i="2"/>
  <c r="X191" i="2"/>
  <c r="Y191" i="2" s="1"/>
  <c r="X189" i="2"/>
  <c r="X187" i="2"/>
  <c r="Y187" i="2" s="1"/>
  <c r="X185" i="2"/>
  <c r="X179" i="2"/>
  <c r="X171" i="2"/>
  <c r="Y171" i="2" s="1"/>
  <c r="X167" i="2"/>
  <c r="Y167" i="2" s="1"/>
  <c r="X165" i="2"/>
  <c r="Y165" i="2" s="1"/>
  <c r="X163" i="2"/>
  <c r="Y163" i="2" s="1"/>
  <c r="X161" i="2"/>
  <c r="Y161" i="2" s="1"/>
  <c r="X159" i="2"/>
  <c r="Y159" i="2" s="1"/>
  <c r="X157" i="2"/>
  <c r="Y157" i="2" s="1"/>
  <c r="X155" i="2"/>
  <c r="X153" i="2"/>
  <c r="Y153" i="2" s="1"/>
  <c r="X143" i="2"/>
  <c r="Y143" i="2" s="1"/>
  <c r="X139" i="2"/>
  <c r="Y139" i="2" s="1"/>
  <c r="X137" i="2"/>
  <c r="Y137" i="2" s="1"/>
  <c r="X122" i="2"/>
  <c r="X133" i="2"/>
  <c r="Y133" i="2" s="1"/>
  <c r="X130" i="2"/>
  <c r="Y130" i="2" s="1"/>
  <c r="X127" i="2"/>
  <c r="Y127" i="2" s="1"/>
  <c r="X123" i="2"/>
  <c r="X119" i="2"/>
  <c r="X117" i="2"/>
  <c r="Y117" i="2" s="1"/>
  <c r="X115" i="2"/>
  <c r="Y115" i="2" s="1"/>
  <c r="X113" i="2"/>
  <c r="Y113" i="2" s="1"/>
  <c r="X111" i="2"/>
  <c r="Y111" i="2" s="1"/>
  <c r="X109" i="2"/>
  <c r="Y109" i="2" s="1"/>
  <c r="X103" i="2"/>
  <c r="Y103" i="2" s="1"/>
  <c r="X99" i="2"/>
  <c r="Y99" i="2" s="1"/>
  <c r="X97" i="2"/>
  <c r="Y97" i="2" s="1"/>
  <c r="X95" i="2"/>
  <c r="Y95" i="2" s="1"/>
  <c r="X93" i="2"/>
  <c r="Y93" i="2" s="1"/>
  <c r="X91" i="2"/>
  <c r="Y91" i="2" s="1"/>
  <c r="X87" i="2"/>
  <c r="Y87" i="2" s="1"/>
  <c r="X85" i="2"/>
  <c r="Y85" i="2" s="1"/>
  <c r="X83" i="2"/>
  <c r="Y83" i="2" s="1"/>
  <c r="X79" i="2"/>
  <c r="Y79" i="2" s="1"/>
  <c r="X77" i="2"/>
  <c r="Y77" i="2" s="1"/>
  <c r="X75" i="2"/>
  <c r="Y75" i="2" s="1"/>
  <c r="X71" i="2"/>
  <c r="Y71" i="2" s="1"/>
  <c r="X69" i="2"/>
  <c r="Y69" i="2" s="1"/>
  <c r="X67" i="2"/>
  <c r="Y67" i="2" s="1"/>
  <c r="X62" i="2"/>
  <c r="Y62" i="2" s="1"/>
  <c r="X60" i="2"/>
  <c r="X58" i="2"/>
  <c r="Y58" i="2" s="1"/>
  <c r="X451" i="2"/>
  <c r="Y451" i="2" s="1"/>
  <c r="X248" i="2"/>
  <c r="Y248" i="2" s="1"/>
  <c r="X232" i="2"/>
  <c r="Y232" i="2" s="1"/>
  <c r="X391" i="2"/>
  <c r="Y391" i="2" s="1"/>
  <c r="X503" i="2"/>
  <c r="Y503" i="2" s="1"/>
  <c r="X402" i="2"/>
  <c r="Y402" i="2" s="1"/>
  <c r="X230" i="2"/>
  <c r="X367" i="2"/>
  <c r="X266" i="2"/>
  <c r="Y266" i="2" s="1"/>
  <c r="X256" i="2"/>
  <c r="Y256" i="2" s="1"/>
  <c r="X216" i="2"/>
  <c r="Y216" i="2" s="1"/>
  <c r="X425" i="2"/>
  <c r="X353" i="2"/>
  <c r="Y353" i="2" s="1"/>
  <c r="X365" i="2"/>
  <c r="Y365" i="2" s="1"/>
  <c r="X55" i="2"/>
  <c r="Y55" i="2" s="1"/>
  <c r="X144" i="2"/>
  <c r="X152" i="2"/>
  <c r="Y152" i="2" s="1"/>
  <c r="X459" i="2"/>
  <c r="Y459" i="2" s="1"/>
  <c r="X566" i="2"/>
  <c r="X562" i="2"/>
  <c r="Y562" i="2" s="1"/>
  <c r="X530" i="2"/>
  <c r="Y530" i="2" s="1"/>
  <c r="X558" i="2"/>
  <c r="X528" i="2"/>
  <c r="Y528" i="2" s="1"/>
  <c r="X568" i="2"/>
  <c r="Y568" i="2" s="1"/>
  <c r="X548" i="2"/>
  <c r="Y548" i="2" s="1"/>
  <c r="X556" i="2"/>
  <c r="X570" i="2"/>
  <c r="Y570" i="2" s="1"/>
  <c r="X572" i="2"/>
  <c r="X538" i="2"/>
  <c r="Y538" i="2" s="1"/>
  <c r="X524" i="2"/>
  <c r="Y524" i="2" s="1"/>
  <c r="X514" i="2"/>
  <c r="Y514" i="2" s="1"/>
  <c r="X504" i="2"/>
  <c r="Y504" i="2" s="1"/>
  <c r="X512" i="2"/>
  <c r="Y512" i="2" s="1"/>
  <c r="X510" i="2"/>
  <c r="Y510" i="2" s="1"/>
  <c r="X518" i="2"/>
  <c r="Y518" i="2" s="1"/>
  <c r="X491" i="2"/>
  <c r="Y491" i="2" s="1"/>
  <c r="X493" i="2"/>
  <c r="Y493" i="2" s="1"/>
  <c r="X489" i="2"/>
  <c r="Y489" i="2" s="1"/>
  <c r="X481" i="2"/>
  <c r="Y481" i="2" s="1"/>
  <c r="X485" i="2"/>
  <c r="Y485" i="2" s="1"/>
  <c r="X456" i="2"/>
  <c r="X464" i="2"/>
  <c r="Y464" i="2" s="1"/>
  <c r="X436" i="2"/>
  <c r="X434" i="2"/>
  <c r="X432" i="2"/>
  <c r="Y432" i="2" s="1"/>
  <c r="X426" i="2"/>
  <c r="Y426" i="2" s="1"/>
  <c r="X422" i="2"/>
  <c r="Y422" i="2" s="1"/>
  <c r="X420" i="2"/>
  <c r="X418" i="2"/>
  <c r="Y418" i="2" s="1"/>
  <c r="X470" i="2"/>
  <c r="Y470" i="2" s="1"/>
  <c r="X399" i="2"/>
  <c r="Y399" i="2" s="1"/>
  <c r="X393" i="2"/>
  <c r="Y393" i="2" s="1"/>
  <c r="X403" i="2"/>
  <c r="Y403" i="2" s="1"/>
  <c r="X380" i="2"/>
  <c r="Y380" i="2" s="1"/>
  <c r="X362" i="2"/>
  <c r="Y362" i="2" s="1"/>
  <c r="X372" i="2"/>
  <c r="Y372" i="2" s="1"/>
  <c r="X356" i="2"/>
  <c r="Y356" i="2" s="1"/>
  <c r="X354" i="2"/>
  <c r="Y354" i="2" s="1"/>
  <c r="X287" i="2"/>
  <c r="Y287" i="2" s="1"/>
  <c r="X283" i="2"/>
  <c r="Y283" i="2" s="1"/>
  <c r="X281" i="2"/>
  <c r="X277" i="2"/>
  <c r="Y277" i="2" s="1"/>
  <c r="X275" i="2"/>
  <c r="Y275" i="2" s="1"/>
  <c r="X273" i="2"/>
  <c r="Y273" i="2" s="1"/>
  <c r="X271" i="2"/>
  <c r="Y271" i="2" s="1"/>
  <c r="X257" i="2"/>
  <c r="Y257" i="2" s="1"/>
  <c r="X255" i="2"/>
  <c r="X253" i="2"/>
  <c r="Y253" i="2" s="1"/>
  <c r="X251" i="2"/>
  <c r="X141" i="2"/>
  <c r="X89" i="2"/>
  <c r="Y89" i="2" s="1"/>
  <c r="X28" i="2"/>
  <c r="Y28" i="2" s="1"/>
  <c r="X26" i="2"/>
  <c r="Y26" i="2" s="1"/>
  <c r="X24" i="2"/>
  <c r="Y24" i="2" s="1"/>
  <c r="X406" i="2"/>
  <c r="Y406" i="2" s="1"/>
  <c r="X475" i="2"/>
  <c r="Y475" i="2" s="1"/>
  <c r="X557" i="2"/>
  <c r="Y557" i="2" s="1"/>
  <c r="X555" i="2"/>
  <c r="Y555" i="2" s="1"/>
  <c r="X553" i="2"/>
  <c r="Y553" i="2" s="1"/>
  <c r="X581" i="2"/>
  <c r="X567" i="2"/>
  <c r="Y567" i="2" s="1"/>
  <c r="X517" i="2"/>
  <c r="Y517" i="2" s="1"/>
  <c r="X511" i="2"/>
  <c r="X453" i="2"/>
  <c r="X404" i="2"/>
  <c r="X373" i="2"/>
  <c r="Y373" i="2" s="1"/>
  <c r="X385" i="2"/>
  <c r="Y385" i="2" s="1"/>
  <c r="X371" i="2"/>
  <c r="X334" i="2"/>
  <c r="Y334" i="2" s="1"/>
  <c r="X340" i="2"/>
  <c r="Y340" i="2" s="1"/>
  <c r="X336" i="2"/>
  <c r="Y336" i="2" s="1"/>
  <c r="X320" i="2"/>
  <c r="Y320" i="2" s="1"/>
  <c r="X308" i="2"/>
  <c r="Y308" i="2" s="1"/>
  <c r="X344" i="2"/>
  <c r="Y344" i="2" s="1"/>
  <c r="X539" i="2"/>
  <c r="Y539" i="2" s="1"/>
  <c r="X559" i="2"/>
  <c r="Y559" i="2" s="1"/>
  <c r="X569" i="2"/>
  <c r="Y569" i="2" s="1"/>
  <c r="X564" i="2"/>
  <c r="X571" i="2"/>
  <c r="X574" i="2"/>
  <c r="Y574" i="2" s="1"/>
  <c r="X544" i="2"/>
  <c r="Y544" i="2" s="1"/>
  <c r="X561" i="2"/>
  <c r="X507" i="2"/>
  <c r="Y507" i="2" s="1"/>
  <c r="X516" i="2"/>
  <c r="Y516" i="2" s="1"/>
  <c r="X509" i="2"/>
  <c r="Y509" i="2" s="1"/>
  <c r="X443" i="2"/>
  <c r="Y443" i="2" s="1"/>
  <c r="X441" i="2"/>
  <c r="Y441" i="2" s="1"/>
  <c r="X439" i="2"/>
  <c r="Y439" i="2" s="1"/>
  <c r="X437" i="2"/>
  <c r="Y437" i="2" s="1"/>
  <c r="X435" i="2"/>
  <c r="X433" i="2"/>
  <c r="X431" i="2"/>
  <c r="Y431" i="2" s="1"/>
  <c r="X429" i="2"/>
  <c r="Y429" i="2" s="1"/>
  <c r="X421" i="2"/>
  <c r="Y421" i="2" s="1"/>
  <c r="X419" i="2"/>
  <c r="Y419" i="2" s="1"/>
  <c r="X457" i="2"/>
  <c r="Y457" i="2" s="1"/>
  <c r="X417" i="2"/>
  <c r="Y417" i="2" s="1"/>
  <c r="X369" i="2"/>
  <c r="Y369" i="2" s="1"/>
  <c r="X363" i="2"/>
  <c r="Y363" i="2" s="1"/>
  <c r="X210" i="2"/>
  <c r="Y210" i="2" s="1"/>
  <c r="X114" i="2"/>
  <c r="Y114" i="2" s="1"/>
  <c r="X90" i="2"/>
  <c r="Y90" i="2" s="1"/>
  <c r="X29" i="2"/>
  <c r="Y29" i="2" s="1"/>
  <c r="X27" i="2"/>
  <c r="Y27" i="2" s="1"/>
  <c r="X25" i="2"/>
  <c r="Y25" i="2" s="1"/>
  <c r="X21" i="2"/>
  <c r="Y21" i="2" s="1"/>
  <c r="X13" i="2"/>
  <c r="X11" i="2"/>
  <c r="X9" i="2"/>
  <c r="X463" i="2"/>
  <c r="Y463" i="2" s="1"/>
  <c r="X449" i="2"/>
  <c r="Y449" i="2" s="1"/>
  <c r="X461" i="2"/>
  <c r="Y461" i="2" s="1"/>
  <c r="X465" i="2"/>
  <c r="Y465" i="2" s="1"/>
  <c r="X447" i="2"/>
  <c r="Y447" i="2" s="1"/>
  <c r="X525" i="2"/>
  <c r="Y525" i="2" s="1"/>
  <c r="X523" i="2"/>
  <c r="Y523" i="2" s="1"/>
  <c r="X501" i="2"/>
  <c r="Y501" i="2" s="1"/>
  <c r="X499" i="2"/>
  <c r="Y499" i="2" s="1"/>
  <c r="X490" i="2"/>
  <c r="Y490" i="2" s="1"/>
  <c r="X430" i="2"/>
  <c r="Y430" i="2" s="1"/>
  <c r="X428" i="2"/>
  <c r="Y428" i="2" s="1"/>
  <c r="X424" i="2"/>
  <c r="X416" i="2"/>
  <c r="Y416" i="2" s="1"/>
  <c r="X414" i="2"/>
  <c r="Y414" i="2" s="1"/>
  <c r="X398" i="2"/>
  <c r="X394" i="2"/>
  <c r="X392" i="2"/>
  <c r="Y392" i="2" s="1"/>
  <c r="X368" i="2"/>
  <c r="X366" i="2"/>
  <c r="Y366" i="2" s="1"/>
  <c r="X364" i="2"/>
  <c r="Y364" i="2" s="1"/>
  <c r="X294" i="2"/>
  <c r="X282" i="2"/>
  <c r="X280" i="2"/>
  <c r="Y280" i="2" s="1"/>
  <c r="X278" i="2"/>
  <c r="Y278" i="2" s="1"/>
  <c r="X274" i="2"/>
  <c r="X272" i="2"/>
  <c r="Y272" i="2" s="1"/>
  <c r="X270" i="2"/>
  <c r="Y270" i="2" s="1"/>
  <c r="X254" i="2"/>
  <c r="Y254" i="2" s="1"/>
  <c r="X250" i="2"/>
  <c r="X246" i="2"/>
  <c r="Y246" i="2" s="1"/>
  <c r="X244" i="2"/>
  <c r="Y244" i="2" s="1"/>
  <c r="X234" i="2"/>
  <c r="Y234" i="2" s="1"/>
  <c r="X207" i="2"/>
  <c r="Y207" i="2" s="1"/>
  <c r="X176" i="2"/>
  <c r="X145" i="2"/>
  <c r="X81" i="2"/>
  <c r="Y81" i="2" s="1"/>
  <c r="X30" i="2"/>
  <c r="X22" i="2"/>
  <c r="Y22" i="2" s="1"/>
  <c r="X19" i="2"/>
  <c r="Y19" i="2" s="1"/>
  <c r="X10" i="2"/>
  <c r="X527" i="2"/>
  <c r="X576" i="2"/>
  <c r="Y576" i="2" s="1"/>
  <c r="X573" i="2"/>
  <c r="X521" i="2"/>
  <c r="Y521" i="2" s="1"/>
  <c r="X466" i="2"/>
  <c r="Y466" i="2" s="1"/>
  <c r="X467" i="2"/>
  <c r="X468" i="2"/>
  <c r="X412" i="2"/>
  <c r="Y412" i="2" s="1"/>
  <c r="X408" i="2"/>
  <c r="X376" i="2"/>
  <c r="Y376" i="2" s="1"/>
  <c r="X375" i="2"/>
  <c r="Y375" i="2" s="1"/>
  <c r="X379" i="2"/>
  <c r="Y379" i="2" s="1"/>
  <c r="X383" i="2"/>
  <c r="Y383" i="2" s="1"/>
  <c r="X314" i="2"/>
  <c r="Y314" i="2" s="1"/>
  <c r="X328" i="2"/>
  <c r="X330" i="2"/>
  <c r="Y330" i="2" s="1"/>
  <c r="X560" i="2"/>
  <c r="Y560" i="2" s="1"/>
  <c r="X529" i="2"/>
  <c r="Y529" i="2" s="1"/>
  <c r="X543" i="2"/>
  <c r="X546" i="2"/>
  <c r="Y546" i="2" s="1"/>
  <c r="X541" i="2"/>
  <c r="Y541" i="2" s="1"/>
  <c r="X545" i="2"/>
  <c r="X547" i="2"/>
  <c r="X551" i="2"/>
  <c r="X554" i="2"/>
  <c r="Y554" i="2" s="1"/>
  <c r="X552" i="2"/>
  <c r="Y552" i="2" s="1"/>
  <c r="X563" i="2"/>
  <c r="Y563" i="2" s="1"/>
  <c r="X580" i="2"/>
  <c r="Y580" i="2" s="1"/>
  <c r="X515" i="2"/>
  <c r="X519" i="2"/>
  <c r="X506" i="2"/>
  <c r="X495" i="2"/>
  <c r="X494" i="2"/>
  <c r="X492" i="2"/>
  <c r="X482" i="2"/>
  <c r="Y482" i="2" s="1"/>
  <c r="X483" i="2"/>
  <c r="X484" i="2"/>
  <c r="X472" i="2"/>
  <c r="X471" i="2"/>
  <c r="Y471" i="2" s="1"/>
  <c r="X445" i="2"/>
  <c r="X462" i="2"/>
  <c r="X460" i="2"/>
  <c r="Y460" i="2" s="1"/>
  <c r="X473" i="2"/>
  <c r="X469" i="2"/>
  <c r="X455" i="2"/>
  <c r="Y455" i="2" s="1"/>
  <c r="X409" i="2"/>
  <c r="Y409" i="2" s="1"/>
  <c r="X410" i="2"/>
  <c r="X401" i="2"/>
  <c r="Y401" i="2" s="1"/>
  <c r="X411" i="2"/>
  <c r="Y411" i="2" s="1"/>
  <c r="X407" i="2"/>
  <c r="Y407" i="2" s="1"/>
  <c r="X381" i="2"/>
  <c r="Y381" i="2" s="1"/>
  <c r="X377" i="2"/>
  <c r="Y377" i="2" s="1"/>
  <c r="X386" i="2"/>
  <c r="Y386" i="2" s="1"/>
  <c r="X382" i="2"/>
  <c r="Y382" i="2" s="1"/>
  <c r="X378" i="2"/>
  <c r="X384" i="2"/>
  <c r="X358" i="2"/>
  <c r="Y358" i="2" s="1"/>
  <c r="X357" i="2"/>
  <c r="X359" i="2"/>
  <c r="Y359" i="2" s="1"/>
  <c r="X360" i="2"/>
  <c r="Y360" i="2" s="1"/>
  <c r="X351" i="2"/>
  <c r="Y351" i="2" s="1"/>
  <c r="X324" i="2"/>
  <c r="Y324" i="2" s="1"/>
  <c r="X346" i="2"/>
  <c r="X304" i="2"/>
  <c r="Y304" i="2" s="1"/>
  <c r="X332" i="2"/>
  <c r="Y332" i="2" s="1"/>
  <c r="X349" i="2"/>
  <c r="Y349" i="2" s="1"/>
  <c r="X312" i="2"/>
  <c r="Y312" i="2" s="1"/>
  <c r="X316" i="2"/>
  <c r="X310" i="2"/>
  <c r="X338" i="2"/>
  <c r="X298" i="2"/>
  <c r="X342" i="2"/>
  <c r="Y342" i="2" s="1"/>
  <c r="X322" i="2"/>
  <c r="Y322" i="2" s="1"/>
  <c r="X306" i="2"/>
  <c r="Y306" i="2" s="1"/>
  <c r="X240" i="2"/>
  <c r="X238" i="2"/>
  <c r="Y238" i="2" s="1"/>
  <c r="X237" i="2"/>
  <c r="Y237" i="2" s="1"/>
  <c r="X188" i="2"/>
  <c r="Y188" i="2" s="1"/>
  <c r="X183" i="2"/>
  <c r="Y183" i="2" s="1"/>
  <c r="X196" i="2"/>
  <c r="Y196" i="2" s="1"/>
  <c r="X168" i="2"/>
  <c r="Y168" i="2" s="1"/>
  <c r="X146" i="2"/>
  <c r="Y146" i="2" s="1"/>
  <c r="X154" i="2"/>
  <c r="X148" i="2"/>
  <c r="Y148" i="2" s="1"/>
  <c r="X147" i="2"/>
  <c r="Y147" i="2" s="1"/>
  <c r="X149" i="2"/>
  <c r="X124" i="2"/>
  <c r="X101" i="2"/>
  <c r="Y101" i="2" s="1"/>
  <c r="X98" i="2"/>
  <c r="Y98" i="2" s="1"/>
  <c r="X94" i="2"/>
  <c r="Y94" i="2" s="1"/>
  <c r="X37" i="2"/>
  <c r="Y37" i="2" s="1"/>
  <c r="X41" i="2"/>
  <c r="Y41" i="2" s="1"/>
  <c r="X54" i="2"/>
  <c r="Y54" i="2" s="1"/>
  <c r="X51" i="2"/>
  <c r="Y51" i="2" s="1"/>
  <c r="X57" i="2"/>
  <c r="Y57" i="2" s="1"/>
  <c r="X45" i="2"/>
  <c r="X46" i="2"/>
  <c r="Y46" i="2" s="1"/>
  <c r="X40" i="2"/>
  <c r="X32" i="2"/>
  <c r="X50" i="2"/>
  <c r="X38" i="2"/>
  <c r="Y38" i="2" s="1"/>
  <c r="X52" i="2"/>
  <c r="X68" i="2"/>
  <c r="X16" i="2"/>
  <c r="Y16" i="2" s="1"/>
  <c r="X326" i="2"/>
  <c r="X318" i="2"/>
  <c r="Y318" i="2" s="1"/>
  <c r="X242" i="2"/>
  <c r="Y242" i="2" s="1"/>
  <c r="X236" i="2"/>
  <c r="Y236" i="2" s="1"/>
  <c r="X218" i="2"/>
  <c r="Y218" i="2" s="1"/>
  <c r="X214" i="2"/>
  <c r="Y214" i="2" s="1"/>
  <c r="X208" i="2"/>
  <c r="Y208" i="2" s="1"/>
  <c r="X200" i="2"/>
  <c r="Y200" i="2" s="1"/>
  <c r="X184" i="2"/>
  <c r="Y184" i="2" s="1"/>
  <c r="X175" i="2"/>
  <c r="Y175" i="2" s="1"/>
  <c r="X180" i="2"/>
  <c r="Y180" i="2" s="1"/>
  <c r="X192" i="2"/>
  <c r="Y192" i="2" s="1"/>
  <c r="X162" i="2"/>
  <c r="X166" i="2"/>
  <c r="Y166" i="2" s="1"/>
  <c r="X158" i="2"/>
  <c r="Y158" i="2" s="1"/>
  <c r="X150" i="2"/>
  <c r="X142" i="2"/>
  <c r="Y142" i="2" s="1"/>
  <c r="X138" i="2"/>
  <c r="Y138" i="2" s="1"/>
  <c r="X151" i="2"/>
  <c r="X131" i="2"/>
  <c r="X118" i="2"/>
  <c r="X132" i="2"/>
  <c r="X86" i="2"/>
  <c r="Y86" i="2" s="1"/>
  <c r="X102" i="2"/>
  <c r="X82" i="2"/>
  <c r="Y82" i="2" s="1"/>
  <c r="X78" i="2"/>
  <c r="Y78" i="2" s="1"/>
  <c r="X73" i="2"/>
  <c r="Y73" i="2" s="1"/>
  <c r="X74" i="2"/>
  <c r="X134" i="2"/>
  <c r="Y134" i="2" s="1"/>
  <c r="X31" i="2"/>
  <c r="Y31" i="2" s="1"/>
  <c r="X65" i="2"/>
  <c r="X47" i="2"/>
  <c r="Y47" i="2" s="1"/>
  <c r="X59" i="2"/>
  <c r="X61" i="2"/>
  <c r="Y61" i="2" s="1"/>
  <c r="X33" i="2"/>
  <c r="X49" i="2"/>
  <c r="X48" i="2"/>
  <c r="Y48" i="2" s="1"/>
  <c r="X23" i="2"/>
  <c r="Y23" i="2" s="1"/>
  <c r="X35" i="2"/>
  <c r="X53" i="2"/>
  <c r="X39" i="2"/>
  <c r="Y39" i="2" s="1"/>
  <c r="X43" i="2"/>
  <c r="Y43" i="2" s="1"/>
  <c r="X42" i="2"/>
  <c r="Y42" i="2" s="1"/>
  <c r="X66" i="2"/>
  <c r="Y66" i="2" s="1"/>
  <c r="X20" i="2"/>
  <c r="Y20" i="2" s="1"/>
  <c r="X17" i="2"/>
  <c r="Y17" i="2" s="1"/>
  <c r="X15" i="2"/>
  <c r="X18" i="2"/>
  <c r="Y18" i="2" s="1"/>
  <c r="AA508" i="2"/>
  <c r="AB508" i="2" s="1"/>
  <c r="AA487" i="2"/>
  <c r="AB487" i="2" s="1"/>
  <c r="AA397" i="2"/>
  <c r="AB397" i="2" s="1"/>
  <c r="AA395" i="2"/>
  <c r="AB395" i="2" s="1"/>
  <c r="AA389" i="2"/>
  <c r="AB389" i="2" s="1"/>
  <c r="AA263" i="2"/>
  <c r="AB263" i="2" s="1"/>
  <c r="AA261" i="2"/>
  <c r="AB261" i="2" s="1"/>
  <c r="AA259" i="2"/>
  <c r="AB259" i="2" s="1"/>
  <c r="AA225" i="2"/>
  <c r="AB225" i="2" s="1"/>
  <c r="AA388" i="2"/>
  <c r="AB388" i="2" s="1"/>
  <c r="AA565" i="2"/>
  <c r="AB565" i="2" s="1"/>
  <c r="AA549" i="2"/>
  <c r="AB549" i="2" s="1"/>
  <c r="AA513" i="2"/>
  <c r="AB513" i="2" s="1"/>
  <c r="AA488" i="2"/>
  <c r="AB488" i="2" s="1"/>
  <c r="AA486" i="2"/>
  <c r="AB486" i="2" s="1"/>
  <c r="AA423" i="2"/>
  <c r="AB423" i="2" s="1"/>
  <c r="AA415" i="2"/>
  <c r="AB415" i="2" s="1"/>
  <c r="AA396" i="2"/>
  <c r="AB396" i="2" s="1"/>
  <c r="AA400" i="2"/>
  <c r="AB400" i="2" s="1"/>
  <c r="AA390" i="2"/>
  <c r="AB390" i="2" s="1"/>
  <c r="AA413" i="2"/>
  <c r="AB413" i="2" s="1"/>
  <c r="AA355" i="2"/>
  <c r="AB355" i="2" s="1"/>
  <c r="AA295" i="2"/>
  <c r="AB295" i="2" s="1"/>
  <c r="AA290" i="2"/>
  <c r="AB290" i="2" s="1"/>
  <c r="AA268" i="2"/>
  <c r="AB268" i="2" s="1"/>
  <c r="AA264" i="2"/>
  <c r="AB264" i="2" s="1"/>
  <c r="AA262" i="2"/>
  <c r="AB262" i="2" s="1"/>
  <c r="AU259" i="2"/>
  <c r="AA260" i="2"/>
  <c r="AB260" i="2" s="1"/>
  <c r="AA258" i="2"/>
  <c r="AB258" i="2" s="1"/>
  <c r="AA226" i="2"/>
  <c r="AB226" i="2" s="1"/>
  <c r="AA224" i="2"/>
  <c r="AB224" i="2" s="1"/>
  <c r="AA222" i="2"/>
  <c r="AB222" i="2" s="1"/>
  <c r="AA220" i="2"/>
  <c r="AB220" i="2" s="1"/>
  <c r="R314" i="2"/>
  <c r="R332" i="2"/>
  <c r="R283" i="2"/>
  <c r="R347" i="2"/>
  <c r="R285" i="2"/>
  <c r="R291" i="2"/>
  <c r="R294" i="2"/>
  <c r="R384" i="2"/>
  <c r="R373" i="2"/>
  <c r="R386" i="2"/>
  <c r="R377" i="2"/>
  <c r="R363" i="2"/>
  <c r="R380" i="2"/>
  <c r="R381" i="2"/>
  <c r="R391" i="2"/>
  <c r="R411" i="2"/>
  <c r="R404" i="2"/>
  <c r="R396" i="2"/>
  <c r="R406" i="2"/>
  <c r="R405" i="2"/>
  <c r="R455" i="2"/>
  <c r="R417" i="2"/>
  <c r="R424" i="2"/>
  <c r="R425" i="2"/>
  <c r="R435" i="2"/>
  <c r="R481" i="2"/>
  <c r="R478" i="2"/>
  <c r="R479" i="2"/>
  <c r="R486" i="2"/>
  <c r="R493" i="2"/>
  <c r="R509" i="2"/>
  <c r="R500" i="2"/>
  <c r="R517" i="2"/>
  <c r="R580" i="2"/>
  <c r="R551" i="2"/>
  <c r="R555" i="2"/>
  <c r="R545" i="2"/>
  <c r="R541" i="2"/>
  <c r="R569" i="2"/>
  <c r="R532" i="2"/>
  <c r="AV466" i="2" l="1"/>
  <c r="Y15" i="2"/>
  <c r="AV322" i="2"/>
  <c r="Y35" i="2"/>
  <c r="AV302" i="2"/>
  <c r="Y33" i="2"/>
  <c r="AV531" i="2"/>
  <c r="Y59" i="2"/>
  <c r="AU59" i="2" s="1"/>
  <c r="AV566" i="2"/>
  <c r="Y65" i="2"/>
  <c r="AV63" i="2"/>
  <c r="Y118" i="2"/>
  <c r="AV462" i="2"/>
  <c r="Y151" i="2"/>
  <c r="AV276" i="2"/>
  <c r="Y162" i="2"/>
  <c r="AV388" i="2"/>
  <c r="Y326" i="2"/>
  <c r="AV577" i="2"/>
  <c r="Y68" i="2"/>
  <c r="AV274" i="2"/>
  <c r="Y32" i="2"/>
  <c r="AV290" i="2"/>
  <c r="Y124" i="2"/>
  <c r="AV565" i="2"/>
  <c r="Y154" i="2"/>
  <c r="AV403" i="2"/>
  <c r="Y240" i="2"/>
  <c r="AV266" i="2"/>
  <c r="Y298" i="2"/>
  <c r="AV313" i="2"/>
  <c r="Y310" i="2"/>
  <c r="AV527" i="2"/>
  <c r="Y346" i="2"/>
  <c r="AV415" i="2"/>
  <c r="Y378" i="2"/>
  <c r="AV416" i="2"/>
  <c r="Y410" i="2"/>
  <c r="AV575" i="2"/>
  <c r="Y473" i="2"/>
  <c r="AV436" i="2"/>
  <c r="Y462" i="2"/>
  <c r="AV487" i="2"/>
  <c r="Y484" i="2"/>
  <c r="AV418" i="2"/>
  <c r="Y494" i="2"/>
  <c r="AV366" i="2"/>
  <c r="Y506" i="2"/>
  <c r="AV458" i="2"/>
  <c r="Y515" i="2"/>
  <c r="AV396" i="2"/>
  <c r="Y547" i="2"/>
  <c r="AV356" i="2"/>
  <c r="Y543" i="2"/>
  <c r="AV390" i="2"/>
  <c r="Y328" i="2"/>
  <c r="AV406" i="2"/>
  <c r="Y408" i="2"/>
  <c r="AV518" i="2"/>
  <c r="Y468" i="2"/>
  <c r="AV534" i="2"/>
  <c r="Y573" i="2"/>
  <c r="AV250" i="2"/>
  <c r="Y527" i="2"/>
  <c r="AV25" i="2"/>
  <c r="Y30" i="2"/>
  <c r="AV76" i="2"/>
  <c r="Y145" i="2"/>
  <c r="AV128" i="2"/>
  <c r="Y250" i="2"/>
  <c r="AV152" i="2"/>
  <c r="Y274" i="2"/>
  <c r="AV172" i="2"/>
  <c r="Y294" i="2"/>
  <c r="AV198" i="2"/>
  <c r="Y398" i="2"/>
  <c r="AV9" i="2"/>
  <c r="Y9" i="2"/>
  <c r="AV13" i="2"/>
  <c r="Y13" i="2"/>
  <c r="AU13" i="2" s="1"/>
  <c r="AV219" i="2"/>
  <c r="Y433" i="2"/>
  <c r="AV511" i="2"/>
  <c r="Y571" i="2"/>
  <c r="AV285" i="2"/>
  <c r="Y404" i="2"/>
  <c r="AV440" i="2"/>
  <c r="Y511" i="2"/>
  <c r="AV129" i="2"/>
  <c r="Y251" i="2"/>
  <c r="AV133" i="2"/>
  <c r="Y255" i="2"/>
  <c r="AV159" i="2"/>
  <c r="Y281" i="2"/>
  <c r="AV222" i="2"/>
  <c r="Y436" i="2"/>
  <c r="AV353" i="2"/>
  <c r="Y456" i="2"/>
  <c r="AV479" i="2"/>
  <c r="Y566" i="2"/>
  <c r="AV116" i="2"/>
  <c r="Y230" i="2"/>
  <c r="AV537" i="2"/>
  <c r="Y60" i="2"/>
  <c r="AV64" i="2"/>
  <c r="Y119" i="2"/>
  <c r="AV582" i="2"/>
  <c r="Y155" i="2"/>
  <c r="AV263" i="2"/>
  <c r="Y179" i="2"/>
  <c r="AV201" i="2"/>
  <c r="Y201" i="2"/>
  <c r="AV387" i="2"/>
  <c r="Y239" i="2"/>
  <c r="AV264" i="2"/>
  <c r="Y219" i="2"/>
  <c r="AV269" i="2"/>
  <c r="Y269" i="2"/>
  <c r="AV226" i="2"/>
  <c r="Y440" i="2"/>
  <c r="AV136" i="2"/>
  <c r="Y136" i="2"/>
  <c r="AV478" i="2"/>
  <c r="Y478" i="2"/>
  <c r="AV513" i="2"/>
  <c r="Y53" i="2"/>
  <c r="AV492" i="2"/>
  <c r="Y49" i="2"/>
  <c r="AV324" i="2"/>
  <c r="Y74" i="2"/>
  <c r="AV504" i="2"/>
  <c r="Y102" i="2"/>
  <c r="AV423" i="2"/>
  <c r="Y132" i="2"/>
  <c r="AV384" i="2"/>
  <c r="Y131" i="2"/>
  <c r="AV425" i="2"/>
  <c r="Y150" i="2"/>
  <c r="AV508" i="2"/>
  <c r="Y52" i="2"/>
  <c r="AV502" i="2"/>
  <c r="Y50" i="2"/>
  <c r="AV371" i="2"/>
  <c r="Y40" i="2"/>
  <c r="AV461" i="2"/>
  <c r="Y45" i="2"/>
  <c r="AU45" i="2" s="1"/>
  <c r="AV424" i="2"/>
  <c r="Y149" i="2"/>
  <c r="AV485" i="2"/>
  <c r="Y338" i="2"/>
  <c r="AV348" i="2"/>
  <c r="Y316" i="2"/>
  <c r="AV282" i="2"/>
  <c r="Y357" i="2"/>
  <c r="AV510" i="2"/>
  <c r="Y384" i="2"/>
  <c r="AV519" i="2"/>
  <c r="Y469" i="2"/>
  <c r="AV272" i="2"/>
  <c r="Y445" i="2"/>
  <c r="AV561" i="2"/>
  <c r="Y472" i="2"/>
  <c r="AV474" i="2"/>
  <c r="Y483" i="2"/>
  <c r="AV394" i="2"/>
  <c r="Y492" i="2"/>
  <c r="AV488" i="2"/>
  <c r="Y495" i="2"/>
  <c r="AV545" i="2"/>
  <c r="Y519" i="2"/>
  <c r="AV420" i="2"/>
  <c r="Y551" i="2"/>
  <c r="AV368" i="2"/>
  <c r="Y545" i="2"/>
  <c r="AV486" i="2"/>
  <c r="Y467" i="2"/>
  <c r="AV10" i="2"/>
  <c r="Y10" i="2"/>
  <c r="AV88" i="2"/>
  <c r="Y176" i="2"/>
  <c r="AV160" i="2"/>
  <c r="Y282" i="2"/>
  <c r="AV186" i="2"/>
  <c r="Y368" i="2"/>
  <c r="AV194" i="2"/>
  <c r="Y394" i="2"/>
  <c r="AV210" i="2"/>
  <c r="Y424" i="2"/>
  <c r="AV11" i="2"/>
  <c r="Y11" i="2"/>
  <c r="AV221" i="2"/>
  <c r="Y435" i="2"/>
  <c r="AU435" i="2" s="1"/>
  <c r="AV459" i="2"/>
  <c r="Y561" i="2"/>
  <c r="AV477" i="2"/>
  <c r="Y564" i="2"/>
  <c r="AV283" i="2"/>
  <c r="Y371" i="2"/>
  <c r="AU371" i="2" s="1"/>
  <c r="AV335" i="2"/>
  <c r="Y453" i="2"/>
  <c r="AV581" i="2"/>
  <c r="Y581" i="2"/>
  <c r="AV141" i="2"/>
  <c r="Y141" i="2"/>
  <c r="AV206" i="2"/>
  <c r="Y420" i="2"/>
  <c r="AV220" i="2"/>
  <c r="Y434" i="2"/>
  <c r="AV572" i="2"/>
  <c r="Y572" i="2"/>
  <c r="AV556" i="2"/>
  <c r="Y556" i="2"/>
  <c r="AV450" i="2"/>
  <c r="Y558" i="2"/>
  <c r="AV75" i="2"/>
  <c r="Y144" i="2"/>
  <c r="AV211" i="2"/>
  <c r="Y425" i="2"/>
  <c r="AV185" i="2"/>
  <c r="Y367" i="2"/>
  <c r="AV261" i="2"/>
  <c r="Y123" i="2"/>
  <c r="AA122" i="2"/>
  <c r="AB122" i="2" s="1"/>
  <c r="Y122" i="2"/>
  <c r="AV400" i="2"/>
  <c r="Y185" i="2"/>
  <c r="AV454" i="2"/>
  <c r="Y189" i="2"/>
  <c r="AV195" i="2"/>
  <c r="Y195" i="2"/>
  <c r="AV121" i="2"/>
  <c r="Y235" i="2"/>
  <c r="AV427" i="2"/>
  <c r="Y241" i="2"/>
  <c r="AV389" i="2"/>
  <c r="Y327" i="2"/>
  <c r="AV584" i="2"/>
  <c r="Y352" i="2"/>
  <c r="AV224" i="2"/>
  <c r="Y438" i="2"/>
  <c r="AV442" i="2"/>
  <c r="Y442" i="2"/>
  <c r="AV112" i="2"/>
  <c r="Y112" i="2"/>
  <c r="AA427" i="2"/>
  <c r="AB427" i="2" s="1"/>
  <c r="Y427" i="2"/>
  <c r="AV557" i="2"/>
  <c r="AV512" i="2"/>
  <c r="AV569" i="2"/>
  <c r="AV538" i="2"/>
  <c r="AV468" i="2"/>
  <c r="AV26" i="2"/>
  <c r="AV37" i="2"/>
  <c r="AV385" i="2"/>
  <c r="AV494" i="2"/>
  <c r="AV87" i="2"/>
  <c r="AV93" i="2"/>
  <c r="AV329" i="2"/>
  <c r="AV503" i="2"/>
  <c r="AV383" i="2"/>
  <c r="AV325" i="2"/>
  <c r="AV481" i="2"/>
  <c r="AV398" i="2"/>
  <c r="AV346" i="2"/>
  <c r="AV309" i="2"/>
  <c r="AV515" i="2"/>
  <c r="AV554" i="2"/>
  <c r="AV296" i="2"/>
  <c r="AV375" i="2"/>
  <c r="AV544" i="2"/>
  <c r="AV456" i="2"/>
  <c r="AV350" i="2"/>
  <c r="AV270" i="2"/>
  <c r="AV156" i="2"/>
  <c r="AV286" i="2"/>
  <c r="AU395" i="2"/>
  <c r="AV369" i="2"/>
  <c r="AV421" i="2"/>
  <c r="AV491" i="2"/>
  <c r="AV546" i="2"/>
  <c r="AV41" i="2"/>
  <c r="AV45" i="2"/>
  <c r="AV79" i="2"/>
  <c r="AV277" i="2"/>
  <c r="AV307" i="2"/>
  <c r="AV101" i="2"/>
  <c r="AV483" i="2"/>
  <c r="AV357" i="2"/>
  <c r="AV467" i="2"/>
  <c r="AV529" i="2"/>
  <c r="AV521" i="2"/>
  <c r="AV340" i="2"/>
  <c r="AV414" i="2"/>
  <c r="AV304" i="2"/>
  <c r="AV306" i="2"/>
  <c r="AV373" i="2"/>
  <c r="AV315" i="2"/>
  <c r="AV430" i="2"/>
  <c r="AV562" i="2"/>
  <c r="AV517" i="2"/>
  <c r="AV391" i="2"/>
  <c r="AV564" i="2"/>
  <c r="AV434" i="2"/>
  <c r="AV435" i="2"/>
  <c r="AV352" i="2"/>
  <c r="AV550" i="2"/>
  <c r="AV476" i="2"/>
  <c r="AV446" i="2"/>
  <c r="AV464" i="2"/>
  <c r="AV122" i="2"/>
  <c r="AV457" i="2"/>
  <c r="AV24" i="2"/>
  <c r="AV205" i="2"/>
  <c r="AV215" i="2"/>
  <c r="AV367" i="2"/>
  <c r="AV289" i="2"/>
  <c r="AV311" i="2"/>
  <c r="AV21" i="2"/>
  <c r="AV165" i="2"/>
  <c r="AV178" i="2"/>
  <c r="AV284" i="2"/>
  <c r="AV199" i="2"/>
  <c r="AV499" i="2"/>
  <c r="AV443" i="2"/>
  <c r="AV253" i="2"/>
  <c r="AV522" i="2"/>
  <c r="AV524" i="2"/>
  <c r="AV80" i="2"/>
  <c r="AV402" i="2"/>
  <c r="AV331" i="2"/>
  <c r="AV431" i="2"/>
  <c r="AV558" i="2"/>
  <c r="AV470" i="2"/>
  <c r="AV91" i="2"/>
  <c r="AU258" i="2"/>
  <c r="AU260" i="2"/>
  <c r="AV35" i="2"/>
  <c r="AV73" i="2"/>
  <c r="AV142" i="2"/>
  <c r="AV505" i="2"/>
  <c r="AV168" i="2"/>
  <c r="AV410" i="2"/>
  <c r="AV338" i="2"/>
  <c r="AV452" i="2"/>
  <c r="AV560" i="2"/>
  <c r="AV378" i="2"/>
  <c r="AV18" i="2"/>
  <c r="AV69" i="2"/>
  <c r="AV138" i="2"/>
  <c r="AV330" i="2"/>
  <c r="AV236" i="2"/>
  <c r="AV275" i="2"/>
  <c r="AV146" i="2"/>
  <c r="AV578" i="2"/>
  <c r="AV196" i="2"/>
  <c r="AV426" i="2"/>
  <c r="AV188" i="2"/>
  <c r="AV407" i="2"/>
  <c r="AV15" i="2"/>
  <c r="AV148" i="2"/>
  <c r="AV158" i="2"/>
  <c r="AV184" i="2"/>
  <c r="AV192" i="2"/>
  <c r="AV214" i="2"/>
  <c r="AV238" i="2"/>
  <c r="AV244" i="2"/>
  <c r="AV298" i="2"/>
  <c r="AV20" i="2"/>
  <c r="AV59" i="2"/>
  <c r="AV419" i="2"/>
  <c r="AV381" i="2"/>
  <c r="AV501" i="2"/>
  <c r="AV473" i="2"/>
  <c r="AV455" i="2"/>
  <c r="AV490" i="2"/>
  <c r="AV445" i="2"/>
  <c r="AV553" i="2"/>
  <c r="AV449" i="2"/>
  <c r="AV48" i="2"/>
  <c r="AV149" i="2"/>
  <c r="AV180" i="2"/>
  <c r="AV208" i="2"/>
  <c r="AV409" i="2"/>
  <c r="AV411" i="2"/>
  <c r="AV441" i="2"/>
  <c r="AV507" i="2"/>
  <c r="AV397" i="2"/>
  <c r="AV548" i="2"/>
  <c r="AV493" i="2"/>
  <c r="AV175" i="2"/>
  <c r="AV386" i="2"/>
  <c r="AV318" i="2"/>
  <c r="AV573" i="2"/>
  <c r="AV33" i="2"/>
  <c r="AV42" i="2"/>
  <c r="AV46" i="2"/>
  <c r="AV52" i="2"/>
  <c r="AV359" i="2"/>
  <c r="AV60" i="2"/>
  <c r="AV342" i="2"/>
  <c r="AV482" i="2"/>
  <c r="AV68" i="2"/>
  <c r="AV74" i="2"/>
  <c r="AV399" i="2"/>
  <c r="AV471" i="2"/>
  <c r="AV583" i="2"/>
  <c r="AV197" i="2"/>
  <c r="AV94" i="2"/>
  <c r="AV102" i="2"/>
  <c r="AV209" i="2"/>
  <c r="AV328" i="2"/>
  <c r="AV119" i="2"/>
  <c r="AV280" i="2"/>
  <c r="AV312" i="2"/>
  <c r="AV349" i="2"/>
  <c r="AV364" i="2"/>
  <c r="AV376" i="2"/>
  <c r="AV404" i="2"/>
  <c r="AV514" i="2"/>
  <c r="AV230" i="2"/>
  <c r="AV287" i="2"/>
  <c r="AV334" i="2"/>
  <c r="AV547" i="2"/>
  <c r="AV358" i="2"/>
  <c r="AV523" i="2"/>
  <c r="AV43" i="2"/>
  <c r="AV51" i="2"/>
  <c r="AV291" i="2"/>
  <c r="AV77" i="2"/>
  <c r="AV463" i="2"/>
  <c r="AV137" i="2"/>
  <c r="AV190" i="2"/>
  <c r="AV408" i="2"/>
  <c r="AV563" i="2"/>
  <c r="AV580" i="2"/>
  <c r="AV444" i="2"/>
  <c r="AV552" i="2"/>
  <c r="AV382" i="2"/>
  <c r="AV428" i="2"/>
  <c r="AV332" i="2"/>
  <c r="AV432" i="2"/>
  <c r="AV392" i="2"/>
  <c r="AV506" i="2"/>
  <c r="AV412" i="2"/>
  <c r="AV571" i="2"/>
  <c r="AV551" i="2"/>
  <c r="AV17" i="2"/>
  <c r="AV40" i="2"/>
  <c r="AV120" i="2"/>
  <c r="AV234" i="2"/>
  <c r="AV124" i="2"/>
  <c r="AV132" i="2"/>
  <c r="AV150" i="2"/>
  <c r="AV200" i="2"/>
  <c r="AV216" i="2"/>
  <c r="AV242" i="2"/>
  <c r="AV246" i="2"/>
  <c r="AV417" i="2"/>
  <c r="AV437" i="2"/>
  <c r="AV16" i="2"/>
  <c r="AV22" i="2"/>
  <c r="AV49" i="2"/>
  <c r="AV103" i="2"/>
  <c r="AV187" i="2"/>
  <c r="AV379" i="2"/>
  <c r="AV207" i="2"/>
  <c r="AV225" i="2"/>
  <c r="AV535" i="2"/>
  <c r="AV574" i="2"/>
  <c r="AV451" i="2"/>
  <c r="AV559" i="2"/>
  <c r="AV525" i="2"/>
  <c r="AV363" i="2"/>
  <c r="AV509" i="2"/>
  <c r="AV447" i="2"/>
  <c r="AV555" i="2"/>
  <c r="AV19" i="2"/>
  <c r="AV257" i="2"/>
  <c r="AV433" i="2"/>
  <c r="AV570" i="2"/>
  <c r="AV237" i="2"/>
  <c r="AV439" i="2"/>
  <c r="AV320" i="2"/>
  <c r="AV393" i="2"/>
  <c r="AV183" i="2"/>
  <c r="AV134" i="2"/>
  <c r="AV530" i="2"/>
  <c r="AV541" i="2"/>
  <c r="AV27" i="2"/>
  <c r="AV469" i="2"/>
  <c r="AV38" i="2"/>
  <c r="AV50" i="2"/>
  <c r="AV326" i="2"/>
  <c r="AV422" i="2"/>
  <c r="AV54" i="2"/>
  <c r="AV62" i="2"/>
  <c r="AV372" i="2"/>
  <c r="AV539" i="2"/>
  <c r="AV78" i="2"/>
  <c r="AV82" i="2"/>
  <c r="AV344" i="2"/>
  <c r="AV83" i="2"/>
  <c r="AV567" i="2"/>
  <c r="AV92" i="2"/>
  <c r="AV98" i="2"/>
  <c r="AV360" i="2"/>
  <c r="AV495" i="2"/>
  <c r="AV310" i="2"/>
  <c r="AV314" i="2"/>
  <c r="AV362" i="2"/>
  <c r="AV429" i="2"/>
  <c r="AV472" i="2"/>
  <c r="AV273" i="2"/>
  <c r="AV317" i="2"/>
  <c r="AV351" i="2"/>
  <c r="AV30" i="2"/>
  <c r="AV39" i="2"/>
  <c r="AV47" i="2"/>
  <c r="AV327" i="2"/>
  <c r="AV57" i="2"/>
  <c r="AV65" i="2"/>
  <c r="AV71" i="2"/>
  <c r="AV81" i="2"/>
  <c r="AV90" i="2"/>
  <c r="AV401" i="2"/>
  <c r="AV543" i="2"/>
  <c r="AV99" i="2"/>
  <c r="AV139" i="2"/>
  <c r="AV140" i="2"/>
  <c r="AV189" i="2"/>
  <c r="AV235" i="2"/>
  <c r="AV453" i="2"/>
  <c r="AA364" i="2"/>
  <c r="AB364" i="2" s="1"/>
  <c r="AV182" i="2"/>
  <c r="AV217" i="2"/>
  <c r="AA516" i="2"/>
  <c r="AB516" i="2" s="1"/>
  <c r="AV475" i="2"/>
  <c r="AA373" i="2"/>
  <c r="AB373" i="2" s="1"/>
  <c r="AV365" i="2"/>
  <c r="AV489" i="2"/>
  <c r="AV568" i="2"/>
  <c r="AV232" i="2"/>
  <c r="AA28" i="2"/>
  <c r="AB28" i="2" s="1"/>
  <c r="AV23" i="2"/>
  <c r="AV72" i="2"/>
  <c r="AA253" i="2"/>
  <c r="AB253" i="2" s="1"/>
  <c r="AV131" i="2"/>
  <c r="AA273" i="2"/>
  <c r="AB273" i="2" s="1"/>
  <c r="AV151" i="2"/>
  <c r="AV155" i="2"/>
  <c r="AV161" i="2"/>
  <c r="AV176" i="2"/>
  <c r="AV316" i="2"/>
  <c r="AA393" i="2"/>
  <c r="AB393" i="2" s="1"/>
  <c r="AA464" i="2"/>
  <c r="AB464" i="2" s="1"/>
  <c r="AV438" i="2"/>
  <c r="AV336" i="2"/>
  <c r="AU572" i="2"/>
  <c r="AV520" i="2"/>
  <c r="AV448" i="2"/>
  <c r="AA562" i="2"/>
  <c r="AB562" i="2" s="1"/>
  <c r="AV465" i="2"/>
  <c r="AV271" i="2"/>
  <c r="AV191" i="2"/>
  <c r="AA248" i="2"/>
  <c r="AB248" i="2" s="1"/>
  <c r="AV100" i="2"/>
  <c r="AA525" i="2"/>
  <c r="AB525" i="2" s="1"/>
  <c r="AV248" i="2"/>
  <c r="AA385" i="2"/>
  <c r="AB385" i="2" s="1"/>
  <c r="AV333" i="2"/>
  <c r="AV153" i="2"/>
  <c r="AA418" i="2"/>
  <c r="AB418" i="2" s="1"/>
  <c r="AA432" i="2"/>
  <c r="AB432" i="2" s="1"/>
  <c r="AV218" i="2"/>
  <c r="AV251" i="2"/>
  <c r="AV144" i="2"/>
  <c r="AA503" i="2"/>
  <c r="AB503" i="2" s="1"/>
  <c r="AA232" i="2"/>
  <c r="AB232" i="2" s="1"/>
  <c r="AV118" i="2"/>
  <c r="AV111" i="2"/>
  <c r="AV147" i="2"/>
  <c r="AV163" i="2"/>
  <c r="AU169" i="2"/>
  <c r="AV169" i="2"/>
  <c r="AA458" i="2"/>
  <c r="AB458" i="2" s="1"/>
  <c r="AV380" i="2"/>
  <c r="AA116" i="2"/>
  <c r="AB116" i="2" s="1"/>
  <c r="AV61" i="2"/>
  <c r="AV84" i="2"/>
  <c r="AV254" i="2"/>
  <c r="AV319" i="2"/>
  <c r="AV154" i="2"/>
  <c r="AV281" i="2"/>
  <c r="AV354" i="2"/>
  <c r="AV58" i="2"/>
  <c r="AV67" i="2"/>
  <c r="AV107" i="2"/>
  <c r="AV145" i="2"/>
  <c r="AV267" i="2"/>
  <c r="AV295" i="2"/>
  <c r="AA315" i="2"/>
  <c r="AB315" i="2" s="1"/>
  <c r="AV347" i="2"/>
  <c r="AV157" i="2"/>
  <c r="AV167" i="2"/>
  <c r="AA522" i="2"/>
  <c r="AB522" i="2" s="1"/>
  <c r="AV576" i="2"/>
  <c r="AA121" i="2"/>
  <c r="AB121" i="2" s="1"/>
  <c r="AV66" i="2"/>
  <c r="AA474" i="2"/>
  <c r="AB474" i="2" s="1"/>
  <c r="AA502" i="2"/>
  <c r="AB502" i="2" s="1"/>
  <c r="AA284" i="2"/>
  <c r="AB284" i="2" s="1"/>
  <c r="AV162" i="2"/>
  <c r="AV213" i="2"/>
  <c r="AV299" i="2"/>
  <c r="AA476" i="2"/>
  <c r="AB476" i="2" s="1"/>
  <c r="AV233" i="2"/>
  <c r="AA550" i="2"/>
  <c r="AB550" i="2" s="1"/>
  <c r="AV413" i="2"/>
  <c r="AU520" i="2"/>
  <c r="AU579" i="2"/>
  <c r="AA291" i="2"/>
  <c r="AB291" i="2" s="1"/>
  <c r="AA477" i="2"/>
  <c r="AB477" i="2" s="1"/>
  <c r="AA269" i="2"/>
  <c r="AB269" i="2" s="1"/>
  <c r="AA221" i="2"/>
  <c r="AB221" i="2" s="1"/>
  <c r="AA285" i="2"/>
  <c r="AB285" i="2" s="1"/>
  <c r="X337" i="2"/>
  <c r="X229" i="2"/>
  <c r="X56" i="2"/>
  <c r="X345" i="2"/>
  <c r="X108" i="2"/>
  <c r="AA108" i="2" s="1"/>
  <c r="AB108" i="2" s="1"/>
  <c r="X245" i="2"/>
  <c r="AA286" i="2"/>
  <c r="AB286" i="2" s="1"/>
  <c r="AA479" i="2"/>
  <c r="AB479" i="2" s="1"/>
  <c r="AA505" i="2"/>
  <c r="AB505" i="2" s="1"/>
  <c r="AA302" i="2"/>
  <c r="AB302" i="2" s="1"/>
  <c r="AA276" i="2"/>
  <c r="AB276" i="2" s="1"/>
  <c r="AA478" i="2"/>
  <c r="AB478" i="2" s="1"/>
  <c r="X323" i="2"/>
  <c r="Y323" i="2" s="1"/>
  <c r="X343" i="2"/>
  <c r="AA107" i="2"/>
  <c r="AB107" i="2" s="1"/>
  <c r="X174" i="2"/>
  <c r="AA172" i="2"/>
  <c r="AB172" i="2" s="1"/>
  <c r="AA531" i="2"/>
  <c r="AB531" i="2" s="1"/>
  <c r="AA267" i="2"/>
  <c r="AB267" i="2" s="1"/>
  <c r="AA299" i="2"/>
  <c r="AB299" i="2" s="1"/>
  <c r="AA279" i="2"/>
  <c r="AB279" i="2" s="1"/>
  <c r="AA289" i="2"/>
  <c r="AB289" i="2" s="1"/>
  <c r="X293" i="2"/>
  <c r="X173" i="2"/>
  <c r="Y173" i="2" s="1"/>
  <c r="X177" i="2"/>
  <c r="Y177" i="2" s="1"/>
  <c r="AA402" i="2"/>
  <c r="AB402" i="2" s="1"/>
  <c r="AA451" i="2"/>
  <c r="AB451" i="2" s="1"/>
  <c r="AA391" i="2"/>
  <c r="AB391" i="2" s="1"/>
  <c r="AA448" i="2"/>
  <c r="AB448" i="2" s="1"/>
  <c r="X193" i="2"/>
  <c r="X181" i="2"/>
  <c r="X106" i="2"/>
  <c r="Y106" i="2" s="1"/>
  <c r="X231" i="2"/>
  <c r="AA230" i="2"/>
  <c r="AB230" i="2" s="1"/>
  <c r="AA256" i="2"/>
  <c r="AB256" i="2" s="1"/>
  <c r="AA266" i="2"/>
  <c r="AB266" i="2" s="1"/>
  <c r="AA367" i="2"/>
  <c r="AB367" i="2" s="1"/>
  <c r="X292" i="2"/>
  <c r="AA425" i="2"/>
  <c r="AB425" i="2" s="1"/>
  <c r="AA353" i="2"/>
  <c r="AB353" i="2" s="1"/>
  <c r="AA43" i="2"/>
  <c r="AB43" i="2" s="1"/>
  <c r="AA39" i="2"/>
  <c r="AB39" i="2" s="1"/>
  <c r="AA60" i="2"/>
  <c r="AB60" i="2" s="1"/>
  <c r="AA61" i="2"/>
  <c r="AB61" i="2" s="1"/>
  <c r="AU261" i="2"/>
  <c r="AA150" i="2"/>
  <c r="AB150" i="2" s="1"/>
  <c r="AA37" i="2"/>
  <c r="AB37" i="2" s="1"/>
  <c r="AA76" i="2"/>
  <c r="AB76" i="2" s="1"/>
  <c r="AA97" i="2"/>
  <c r="AB97" i="2" s="1"/>
  <c r="AA130" i="2"/>
  <c r="AB130" i="2" s="1"/>
  <c r="AA154" i="2"/>
  <c r="AB154" i="2" s="1"/>
  <c r="AA167" i="2"/>
  <c r="AB167" i="2" s="1"/>
  <c r="AA188" i="2"/>
  <c r="AB188" i="2" s="1"/>
  <c r="AA195" i="2"/>
  <c r="AB195" i="2" s="1"/>
  <c r="AA306" i="2"/>
  <c r="AB306" i="2" s="1"/>
  <c r="AA307" i="2"/>
  <c r="AB307" i="2" s="1"/>
  <c r="AA311" i="2"/>
  <c r="AB311" i="2" s="1"/>
  <c r="AA317" i="2"/>
  <c r="AB317" i="2" s="1"/>
  <c r="AA352" i="2"/>
  <c r="AB352" i="2" s="1"/>
  <c r="AA332" i="2"/>
  <c r="AB332" i="2" s="1"/>
  <c r="AA346" i="2"/>
  <c r="AB346" i="2" s="1"/>
  <c r="AA351" i="2"/>
  <c r="AB351" i="2" s="1"/>
  <c r="AA407" i="2"/>
  <c r="AB407" i="2" s="1"/>
  <c r="AA460" i="2"/>
  <c r="AB460" i="2" s="1"/>
  <c r="AA472" i="2"/>
  <c r="AB472" i="2" s="1"/>
  <c r="AU488" i="2"/>
  <c r="AA330" i="2"/>
  <c r="AB330" i="2" s="1"/>
  <c r="AA335" i="2"/>
  <c r="AB335" i="2" s="1"/>
  <c r="AA314" i="2"/>
  <c r="AB314" i="2" s="1"/>
  <c r="AA376" i="2"/>
  <c r="AB376" i="2" s="1"/>
  <c r="AA412" i="2"/>
  <c r="AB412" i="2" s="1"/>
  <c r="AA10" i="2"/>
  <c r="AB10" i="2" s="1"/>
  <c r="AA81" i="2"/>
  <c r="AB81" i="2" s="1"/>
  <c r="AA119" i="2"/>
  <c r="AB119" i="2" s="1"/>
  <c r="AA157" i="2"/>
  <c r="AB157" i="2" s="1"/>
  <c r="AA161" i="2"/>
  <c r="AB161" i="2" s="1"/>
  <c r="AA207" i="2"/>
  <c r="AB207" i="2" s="1"/>
  <c r="AA246" i="2"/>
  <c r="AB246" i="2" s="1"/>
  <c r="AA254" i="2"/>
  <c r="AB254" i="2" s="1"/>
  <c r="AA272" i="2"/>
  <c r="AB272" i="2" s="1"/>
  <c r="AA282" i="2"/>
  <c r="AB282" i="2" s="1"/>
  <c r="AA296" i="2"/>
  <c r="AB296" i="2" s="1"/>
  <c r="AA392" i="2"/>
  <c r="AB392" i="2" s="1"/>
  <c r="AA398" i="2"/>
  <c r="AB398" i="2" s="1"/>
  <c r="AA428" i="2"/>
  <c r="AB428" i="2" s="1"/>
  <c r="AA499" i="2"/>
  <c r="AB499" i="2" s="1"/>
  <c r="AA465" i="2"/>
  <c r="AB465" i="2" s="1"/>
  <c r="AA9" i="2"/>
  <c r="AB9" i="2" s="1"/>
  <c r="AA29" i="2"/>
  <c r="AB29" i="2" s="1"/>
  <c r="AA210" i="2"/>
  <c r="AB210" i="2" s="1"/>
  <c r="AA369" i="2"/>
  <c r="AB369" i="2" s="1"/>
  <c r="AA417" i="2"/>
  <c r="AB417" i="2" s="1"/>
  <c r="AU413" i="2"/>
  <c r="AA450" i="2"/>
  <c r="AB450" i="2" s="1"/>
  <c r="AA431" i="2"/>
  <c r="AB431" i="2" s="1"/>
  <c r="AU574" i="2"/>
  <c r="AA564" i="2"/>
  <c r="AB564" i="2" s="1"/>
  <c r="AA559" i="2"/>
  <c r="AB559" i="2" s="1"/>
  <c r="AA344" i="2"/>
  <c r="AB344" i="2" s="1"/>
  <c r="AA340" i="2"/>
  <c r="AB340" i="2" s="1"/>
  <c r="AA371" i="2"/>
  <c r="AB371" i="2" s="1"/>
  <c r="AA517" i="2"/>
  <c r="AB517" i="2" s="1"/>
  <c r="AA581" i="2"/>
  <c r="AB581" i="2" s="1"/>
  <c r="AA555" i="2"/>
  <c r="AB555" i="2" s="1"/>
  <c r="AA475" i="2"/>
  <c r="AB475" i="2" s="1"/>
  <c r="AA91" i="2"/>
  <c r="AB91" i="2" s="1"/>
  <c r="AA113" i="2"/>
  <c r="AB113" i="2" s="1"/>
  <c r="AA117" i="2"/>
  <c r="AB117" i="2" s="1"/>
  <c r="AA141" i="2"/>
  <c r="AB141" i="2" s="1"/>
  <c r="AA303" i="2"/>
  <c r="AB303" i="2" s="1"/>
  <c r="AA277" i="2"/>
  <c r="AB277" i="2" s="1"/>
  <c r="AA283" i="2"/>
  <c r="AB283" i="2" s="1"/>
  <c r="AA287" i="2"/>
  <c r="AB287" i="2" s="1"/>
  <c r="AA354" i="2"/>
  <c r="AB354" i="2" s="1"/>
  <c r="AA372" i="2"/>
  <c r="AB372" i="2" s="1"/>
  <c r="AA470" i="2"/>
  <c r="AB470" i="2" s="1"/>
  <c r="AU222" i="2"/>
  <c r="AA440" i="2"/>
  <c r="AB440" i="2" s="1"/>
  <c r="AA442" i="2"/>
  <c r="AB442" i="2" s="1"/>
  <c r="AA485" i="2"/>
  <c r="AB485" i="2" s="1"/>
  <c r="AA489" i="2"/>
  <c r="AB489" i="2" s="1"/>
  <c r="AA491" i="2"/>
  <c r="AB491" i="2" s="1"/>
  <c r="AA510" i="2"/>
  <c r="AB510" i="2" s="1"/>
  <c r="AA504" i="2"/>
  <c r="AB504" i="2" s="1"/>
  <c r="AA524" i="2"/>
  <c r="AB524" i="2" s="1"/>
  <c r="AA572" i="2"/>
  <c r="AB572" i="2" s="1"/>
  <c r="AA556" i="2"/>
  <c r="AB556" i="2" s="1"/>
  <c r="AA568" i="2"/>
  <c r="AB568" i="2" s="1"/>
  <c r="AU552" i="2"/>
  <c r="AU232" i="2"/>
  <c r="AA24" i="2"/>
  <c r="AB24" i="2" s="1"/>
  <c r="AU120" i="2"/>
  <c r="AA257" i="2"/>
  <c r="AB257" i="2" s="1"/>
  <c r="AA320" i="2"/>
  <c r="AB320" i="2" s="1"/>
  <c r="AA380" i="2"/>
  <c r="AB380" i="2" s="1"/>
  <c r="AA422" i="2"/>
  <c r="AB422" i="2" s="1"/>
  <c r="AA453" i="2"/>
  <c r="AB453" i="2" s="1"/>
  <c r="AA436" i="2"/>
  <c r="AB436" i="2" s="1"/>
  <c r="AU555" i="2"/>
  <c r="AA558" i="2"/>
  <c r="AB558" i="2" s="1"/>
  <c r="AA235" i="2"/>
  <c r="AB235" i="2" s="1"/>
  <c r="AA419" i="2"/>
  <c r="AB419" i="2" s="1"/>
  <c r="AA439" i="2"/>
  <c r="AB439" i="2" s="1"/>
  <c r="AA574" i="2"/>
  <c r="AB574" i="2" s="1"/>
  <c r="AU23" i="2"/>
  <c r="AU33" i="2"/>
  <c r="AA74" i="2"/>
  <c r="AB74" i="2" s="1"/>
  <c r="AA80" i="2"/>
  <c r="AB80" i="2" s="1"/>
  <c r="AA102" i="2"/>
  <c r="AB102" i="2" s="1"/>
  <c r="AA92" i="2"/>
  <c r="AB92" i="2" s="1"/>
  <c r="AA118" i="2"/>
  <c r="AB118" i="2" s="1"/>
  <c r="AA138" i="2"/>
  <c r="AB138" i="2" s="1"/>
  <c r="AA160" i="2"/>
  <c r="AB160" i="2" s="1"/>
  <c r="AA192" i="2"/>
  <c r="AB192" i="2" s="1"/>
  <c r="AA175" i="2"/>
  <c r="AB175" i="2" s="1"/>
  <c r="AA184" i="2"/>
  <c r="AB184" i="2" s="1"/>
  <c r="AA217" i="2"/>
  <c r="AB217" i="2" s="1"/>
  <c r="AA214" i="2"/>
  <c r="AB214" i="2" s="1"/>
  <c r="AA236" i="2"/>
  <c r="AB236" i="2" s="1"/>
  <c r="AA297" i="2"/>
  <c r="AB297" i="2" s="1"/>
  <c r="AA62" i="2"/>
  <c r="AB62" i="2" s="1"/>
  <c r="AU191" i="2"/>
  <c r="AU299" i="2"/>
  <c r="AU477" i="2"/>
  <c r="AU487" i="2"/>
  <c r="AU30" i="2"/>
  <c r="AA87" i="2"/>
  <c r="AB87" i="2" s="1"/>
  <c r="AU136" i="2"/>
  <c r="AA145" i="2"/>
  <c r="AB145" i="2" s="1"/>
  <c r="AA159" i="2"/>
  <c r="AB159" i="2" s="1"/>
  <c r="AA199" i="2"/>
  <c r="AB199" i="2" s="1"/>
  <c r="AA205" i="2"/>
  <c r="AB205" i="2" s="1"/>
  <c r="AA209" i="2"/>
  <c r="AB209" i="2" s="1"/>
  <c r="AA280" i="2"/>
  <c r="AB280" i="2" s="1"/>
  <c r="AU291" i="2"/>
  <c r="AU360" i="2"/>
  <c r="AA368" i="2"/>
  <c r="AB368" i="2" s="1"/>
  <c r="AU389" i="2"/>
  <c r="AA414" i="2"/>
  <c r="AB414" i="2" s="1"/>
  <c r="AA424" i="2"/>
  <c r="AB424" i="2" s="1"/>
  <c r="AA461" i="2"/>
  <c r="AB461" i="2" s="1"/>
  <c r="AA11" i="2"/>
  <c r="AB11" i="2" s="1"/>
  <c r="AA21" i="2"/>
  <c r="AB21" i="2" s="1"/>
  <c r="AA27" i="2"/>
  <c r="AB27" i="2" s="1"/>
  <c r="AA140" i="2"/>
  <c r="AB140" i="2" s="1"/>
  <c r="AA363" i="2"/>
  <c r="AB363" i="2" s="1"/>
  <c r="AA429" i="2"/>
  <c r="AB429" i="2" s="1"/>
  <c r="AU503" i="2"/>
  <c r="AU501" i="2"/>
  <c r="AA539" i="2"/>
  <c r="AB539" i="2" s="1"/>
  <c r="AA308" i="2"/>
  <c r="AB308" i="2" s="1"/>
  <c r="AA336" i="2"/>
  <c r="AB336" i="2" s="1"/>
  <c r="AA404" i="2"/>
  <c r="AB404" i="2" s="1"/>
  <c r="AA557" i="2"/>
  <c r="AB557" i="2" s="1"/>
  <c r="AA406" i="2"/>
  <c r="AB406" i="2" s="1"/>
  <c r="AA211" i="2"/>
  <c r="AB211" i="2" s="1"/>
  <c r="AA251" i="2"/>
  <c r="AB251" i="2" s="1"/>
  <c r="AA255" i="2"/>
  <c r="AB255" i="2" s="1"/>
  <c r="AA331" i="2"/>
  <c r="AB331" i="2" s="1"/>
  <c r="AA271" i="2"/>
  <c r="AB271" i="2" s="1"/>
  <c r="AA275" i="2"/>
  <c r="AB275" i="2" s="1"/>
  <c r="AA281" i="2"/>
  <c r="AB281" i="2" s="1"/>
  <c r="AA347" i="2"/>
  <c r="AB347" i="2" s="1"/>
  <c r="AA362" i="2"/>
  <c r="AB362" i="2" s="1"/>
  <c r="AA403" i="2"/>
  <c r="AB403" i="2" s="1"/>
  <c r="AA452" i="2"/>
  <c r="AB452" i="2" s="1"/>
  <c r="AA420" i="2"/>
  <c r="AB420" i="2" s="1"/>
  <c r="AU458" i="2"/>
  <c r="AA456" i="2"/>
  <c r="AB456" i="2" s="1"/>
  <c r="AA444" i="2"/>
  <c r="AB444" i="2" s="1"/>
  <c r="AA481" i="2"/>
  <c r="AB481" i="2" s="1"/>
  <c r="AA493" i="2"/>
  <c r="AB493" i="2" s="1"/>
  <c r="AA548" i="2"/>
  <c r="AB548" i="2" s="1"/>
  <c r="AA528" i="2"/>
  <c r="AB528" i="2" s="1"/>
  <c r="AA530" i="2"/>
  <c r="AB530" i="2" s="1"/>
  <c r="AA566" i="2"/>
  <c r="AB566" i="2" s="1"/>
  <c r="AA78" i="2"/>
  <c r="AB78" i="2" s="1"/>
  <c r="AA120" i="2"/>
  <c r="AB120" i="2" s="1"/>
  <c r="AU411" i="2"/>
  <c r="AA435" i="2"/>
  <c r="AB435" i="2" s="1"/>
  <c r="AA443" i="2"/>
  <c r="AB443" i="2" s="1"/>
  <c r="AA561" i="2"/>
  <c r="AB561" i="2" s="1"/>
  <c r="AA545" i="2"/>
  <c r="AB545" i="2" s="1"/>
  <c r="AA529" i="2"/>
  <c r="AB529" i="2" s="1"/>
  <c r="AU549" i="2"/>
  <c r="AA560" i="2"/>
  <c r="AB560" i="2" s="1"/>
  <c r="AA15" i="2"/>
  <c r="AB15" i="2" s="1"/>
  <c r="AA26" i="2"/>
  <c r="AB26" i="2" s="1"/>
  <c r="AA89" i="2"/>
  <c r="AB89" i="2" s="1"/>
  <c r="AA365" i="2"/>
  <c r="AB365" i="2" s="1"/>
  <c r="AA512" i="2"/>
  <c r="AB512" i="2" s="1"/>
  <c r="AA115" i="2"/>
  <c r="AB115" i="2" s="1"/>
  <c r="AA334" i="2"/>
  <c r="AB334" i="2" s="1"/>
  <c r="AA399" i="2"/>
  <c r="AB399" i="2" s="1"/>
  <c r="AA426" i="2"/>
  <c r="AB426" i="2" s="1"/>
  <c r="AA553" i="2"/>
  <c r="AB553" i="2" s="1"/>
  <c r="AU21" i="2"/>
  <c r="AA198" i="2"/>
  <c r="AB198" i="2" s="1"/>
  <c r="AA447" i="2"/>
  <c r="AB447" i="2" s="1"/>
  <c r="AA463" i="2"/>
  <c r="AB463" i="2" s="1"/>
  <c r="AU11" i="2"/>
  <c r="AA90" i="2"/>
  <c r="AB90" i="2" s="1"/>
  <c r="AA176" i="2"/>
  <c r="AB176" i="2" s="1"/>
  <c r="AA250" i="2"/>
  <c r="AB250" i="2" s="1"/>
  <c r="AA270" i="2"/>
  <c r="AB270" i="2" s="1"/>
  <c r="AU277" i="2"/>
  <c r="AA454" i="2"/>
  <c r="AB454" i="2" s="1"/>
  <c r="AA457" i="2"/>
  <c r="AB457" i="2" s="1"/>
  <c r="AA394" i="2"/>
  <c r="AB394" i="2" s="1"/>
  <c r="AU423" i="2"/>
  <c r="AA433" i="2"/>
  <c r="AB433" i="2" s="1"/>
  <c r="AA501" i="2"/>
  <c r="AB501" i="2" s="1"/>
  <c r="AA158" i="2"/>
  <c r="AB158" i="2" s="1"/>
  <c r="AA241" i="2"/>
  <c r="AB241" i="2" s="1"/>
  <c r="AU10" i="2"/>
  <c r="AA101" i="2"/>
  <c r="AB101" i="2" s="1"/>
  <c r="AA201" i="2"/>
  <c r="AB201" i="2" s="1"/>
  <c r="AA244" i="2"/>
  <c r="AB244" i="2" s="1"/>
  <c r="AA294" i="2"/>
  <c r="AB294" i="2" s="1"/>
  <c r="AA430" i="2"/>
  <c r="AB430" i="2" s="1"/>
  <c r="AA490" i="2"/>
  <c r="AB490" i="2" s="1"/>
  <c r="AU61" i="2"/>
  <c r="AA47" i="2"/>
  <c r="AB47" i="2" s="1"/>
  <c r="AA88" i="2"/>
  <c r="AB88" i="2" s="1"/>
  <c r="AA93" i="2"/>
  <c r="AB93" i="2" s="1"/>
  <c r="AA139" i="2"/>
  <c r="AB139" i="2" s="1"/>
  <c r="AU248" i="2"/>
  <c r="AA325" i="2"/>
  <c r="AB325" i="2" s="1"/>
  <c r="AA356" i="2"/>
  <c r="AB356" i="2" s="1"/>
  <c r="AA446" i="2"/>
  <c r="AB446" i="2" s="1"/>
  <c r="AA518" i="2"/>
  <c r="AB518" i="2" s="1"/>
  <c r="AA567" i="2"/>
  <c r="AB567" i="2" s="1"/>
  <c r="AA25" i="2"/>
  <c r="AB25" i="2" s="1"/>
  <c r="AA114" i="2"/>
  <c r="AB114" i="2" s="1"/>
  <c r="AA278" i="2"/>
  <c r="AB278" i="2" s="1"/>
  <c r="AA459" i="2"/>
  <c r="AB459" i="2" s="1"/>
  <c r="AA438" i="2"/>
  <c r="AB438" i="2" s="1"/>
  <c r="AA507" i="2"/>
  <c r="AB507" i="2" s="1"/>
  <c r="AA17" i="2"/>
  <c r="AB17" i="2" s="1"/>
  <c r="AA48" i="2"/>
  <c r="AB48" i="2" s="1"/>
  <c r="AA134" i="2"/>
  <c r="AB134" i="2" s="1"/>
  <c r="AA84" i="2"/>
  <c r="AB84" i="2" s="1"/>
  <c r="AA133" i="2"/>
  <c r="AB133" i="2" s="1"/>
  <c r="AA151" i="2"/>
  <c r="AB151" i="2" s="1"/>
  <c r="AA152" i="2"/>
  <c r="AB152" i="2" s="1"/>
  <c r="AA162" i="2"/>
  <c r="AB162" i="2" s="1"/>
  <c r="AA206" i="2"/>
  <c r="AB206" i="2" s="1"/>
  <c r="AA218" i="2"/>
  <c r="AB218" i="2" s="1"/>
  <c r="AA190" i="2"/>
  <c r="AB190" i="2" s="1"/>
  <c r="AA238" i="2"/>
  <c r="AB238" i="2" s="1"/>
  <c r="AA357" i="2"/>
  <c r="AB357" i="2" s="1"/>
  <c r="AA552" i="2"/>
  <c r="AB552" i="2" s="1"/>
  <c r="AA68" i="2"/>
  <c r="AB68" i="2" s="1"/>
  <c r="AA53" i="2"/>
  <c r="AB53" i="2" s="1"/>
  <c r="AA59" i="2"/>
  <c r="AB59" i="2" s="1"/>
  <c r="AA328" i="2"/>
  <c r="AB328" i="2" s="1"/>
  <c r="AA375" i="2"/>
  <c r="AB375" i="2" s="1"/>
  <c r="AA468" i="2"/>
  <c r="AB468" i="2" s="1"/>
  <c r="AA40" i="2"/>
  <c r="AB40" i="2" s="1"/>
  <c r="AA127" i="2"/>
  <c r="AB127" i="2" s="1"/>
  <c r="AA349" i="2"/>
  <c r="AB349" i="2" s="1"/>
  <c r="AA386" i="2"/>
  <c r="AB386" i="2" s="1"/>
  <c r="AA541" i="2"/>
  <c r="AB541" i="2" s="1"/>
  <c r="AA55" i="2"/>
  <c r="AB55" i="2" s="1"/>
  <c r="AA95" i="2"/>
  <c r="AB95" i="2" s="1"/>
  <c r="AA128" i="2"/>
  <c r="AB128" i="2" s="1"/>
  <c r="AA148" i="2"/>
  <c r="AB148" i="2" s="1"/>
  <c r="AA186" i="2"/>
  <c r="AB186" i="2" s="1"/>
  <c r="AA341" i="2"/>
  <c r="AB341" i="2" s="1"/>
  <c r="AA319" i="2"/>
  <c r="AB319" i="2" s="1"/>
  <c r="AA310" i="2"/>
  <c r="AB310" i="2" s="1"/>
  <c r="AA382" i="2"/>
  <c r="AB382" i="2" s="1"/>
  <c r="AA377" i="2"/>
  <c r="AB377" i="2" s="1"/>
  <c r="AA409" i="2"/>
  <c r="AB409" i="2" s="1"/>
  <c r="AA492" i="2"/>
  <c r="AB492" i="2" s="1"/>
  <c r="AA519" i="2"/>
  <c r="AB519" i="2" s="1"/>
  <c r="AA580" i="2"/>
  <c r="AB580" i="2" s="1"/>
  <c r="AA551" i="2"/>
  <c r="AB551" i="2" s="1"/>
  <c r="AU536" i="2"/>
  <c r="AA546" i="2"/>
  <c r="AB546" i="2" s="1"/>
  <c r="AA467" i="2"/>
  <c r="AB467" i="2" s="1"/>
  <c r="AA576" i="2"/>
  <c r="AB576" i="2" s="1"/>
  <c r="AA69" i="2"/>
  <c r="AB69" i="2" s="1"/>
  <c r="AA77" i="2"/>
  <c r="AB77" i="2" s="1"/>
  <c r="AA85" i="2"/>
  <c r="AB85" i="2" s="1"/>
  <c r="AA109" i="2"/>
  <c r="AB109" i="2" s="1"/>
  <c r="AA143" i="2"/>
  <c r="AB143" i="2" s="1"/>
  <c r="AU142" i="2"/>
  <c r="AA66" i="2"/>
  <c r="AB66" i="2" s="1"/>
  <c r="AA35" i="2"/>
  <c r="AB35" i="2" s="1"/>
  <c r="AA65" i="2"/>
  <c r="AB65" i="2" s="1"/>
  <c r="AA71" i="2"/>
  <c r="AB71" i="2" s="1"/>
  <c r="AA82" i="2"/>
  <c r="AB82" i="2" s="1"/>
  <c r="AA86" i="2"/>
  <c r="AB86" i="2" s="1"/>
  <c r="AA132" i="2"/>
  <c r="AB132" i="2" s="1"/>
  <c r="AA123" i="2"/>
  <c r="AB123" i="2" s="1"/>
  <c r="AA142" i="2"/>
  <c r="AB142" i="2" s="1"/>
  <c r="AA144" i="2"/>
  <c r="AB144" i="2" s="1"/>
  <c r="AA163" i="2"/>
  <c r="AB163" i="2" s="1"/>
  <c r="AA185" i="2"/>
  <c r="AB185" i="2" s="1"/>
  <c r="AA182" i="2"/>
  <c r="AB182" i="2" s="1"/>
  <c r="AA187" i="2"/>
  <c r="AB187" i="2" s="1"/>
  <c r="AA215" i="2"/>
  <c r="AB215" i="2" s="1"/>
  <c r="AA213" i="2"/>
  <c r="AB213" i="2" s="1"/>
  <c r="AA243" i="2"/>
  <c r="AB243" i="2" s="1"/>
  <c r="AA379" i="2"/>
  <c r="AB379" i="2" s="1"/>
  <c r="AA449" i="2"/>
  <c r="AB449" i="2" s="1"/>
  <c r="AA434" i="2"/>
  <c r="AB434" i="2" s="1"/>
  <c r="AU450" i="2"/>
  <c r="AA521" i="2"/>
  <c r="AB521" i="2" s="1"/>
  <c r="AA511" i="2"/>
  <c r="AB511" i="2" s="1"/>
  <c r="AA514" i="2"/>
  <c r="AB514" i="2" s="1"/>
  <c r="AA538" i="2"/>
  <c r="AB538" i="2" s="1"/>
  <c r="AA570" i="2"/>
  <c r="AB570" i="2" s="1"/>
  <c r="AU9" i="2"/>
  <c r="AA13" i="2"/>
  <c r="AB13" i="2" s="1"/>
  <c r="AA22" i="2"/>
  <c r="AB22" i="2" s="1"/>
  <c r="AA57" i="2"/>
  <c r="AB57" i="2" s="1"/>
  <c r="AA183" i="2"/>
  <c r="AB183" i="2" s="1"/>
  <c r="AA178" i="2"/>
  <c r="AB178" i="2" s="1"/>
  <c r="AA234" i="2"/>
  <c r="AB234" i="2" s="1"/>
  <c r="AA338" i="2"/>
  <c r="AB338" i="2" s="1"/>
  <c r="AU348" i="2"/>
  <c r="AA366" i="2"/>
  <c r="AB366" i="2" s="1"/>
  <c r="AA416" i="2"/>
  <c r="AB416" i="2" s="1"/>
  <c r="AA421" i="2"/>
  <c r="AB421" i="2" s="1"/>
  <c r="AA437" i="2"/>
  <c r="AB437" i="2" s="1"/>
  <c r="AA441" i="2"/>
  <c r="AB441" i="2" s="1"/>
  <c r="AA509" i="2"/>
  <c r="AB509" i="2" s="1"/>
  <c r="AA523" i="2"/>
  <c r="AB523" i="2" s="1"/>
  <c r="AA544" i="2"/>
  <c r="AB544" i="2" s="1"/>
  <c r="AA571" i="2"/>
  <c r="AB571" i="2" s="1"/>
  <c r="AA569" i="2"/>
  <c r="AB569" i="2" s="1"/>
  <c r="AA42" i="2"/>
  <c r="AB42" i="2" s="1"/>
  <c r="AA49" i="2"/>
  <c r="AB49" i="2" s="1"/>
  <c r="AA31" i="2"/>
  <c r="AB31" i="2" s="1"/>
  <c r="AA73" i="2"/>
  <c r="AB73" i="2" s="1"/>
  <c r="AA100" i="2"/>
  <c r="AB100" i="2" s="1"/>
  <c r="AA103" i="2"/>
  <c r="AB103" i="2" s="1"/>
  <c r="AA112" i="2"/>
  <c r="AB112" i="2" s="1"/>
  <c r="AA131" i="2"/>
  <c r="AB131" i="2" s="1"/>
  <c r="AA155" i="2"/>
  <c r="AB155" i="2" s="1"/>
  <c r="AA156" i="2"/>
  <c r="AB156" i="2" s="1"/>
  <c r="AA166" i="2"/>
  <c r="AB166" i="2" s="1"/>
  <c r="AU159" i="2"/>
  <c r="AA171" i="2"/>
  <c r="AB171" i="2" s="1"/>
  <c r="AA180" i="2"/>
  <c r="AB180" i="2" s="1"/>
  <c r="AA191" i="2"/>
  <c r="AB191" i="2" s="1"/>
  <c r="AA200" i="2"/>
  <c r="AB200" i="2" s="1"/>
  <c r="AA208" i="2"/>
  <c r="AB208" i="2" s="1"/>
  <c r="AA239" i="2"/>
  <c r="AB239" i="2" s="1"/>
  <c r="AA233" i="2"/>
  <c r="AB233" i="2" s="1"/>
  <c r="AA326" i="2"/>
  <c r="AB326" i="2" s="1"/>
  <c r="AU62" i="2"/>
  <c r="AA50" i="2"/>
  <c r="AB50" i="2" s="1"/>
  <c r="AA41" i="2"/>
  <c r="AB41" i="2" s="1"/>
  <c r="AA75" i="2"/>
  <c r="AB75" i="2" s="1"/>
  <c r="AA79" i="2"/>
  <c r="AB79" i="2" s="1"/>
  <c r="AA136" i="2"/>
  <c r="AB136" i="2" s="1"/>
  <c r="AA153" i="2"/>
  <c r="AB153" i="2" s="1"/>
  <c r="AA197" i="2"/>
  <c r="AB197" i="2" s="1"/>
  <c r="AA216" i="2"/>
  <c r="AB216" i="2" s="1"/>
  <c r="AA313" i="2"/>
  <c r="AB313" i="2" s="1"/>
  <c r="AA304" i="2"/>
  <c r="AB304" i="2" s="1"/>
  <c r="AA455" i="2"/>
  <c r="AB455" i="2" s="1"/>
  <c r="AA462" i="2"/>
  <c r="AB462" i="2" s="1"/>
  <c r="AA484" i="2"/>
  <c r="AB484" i="2" s="1"/>
  <c r="AA242" i="2"/>
  <c r="AB242" i="2" s="1"/>
  <c r="AA16" i="2"/>
  <c r="AB16" i="2" s="1"/>
  <c r="AA38" i="2"/>
  <c r="AB38" i="2" s="1"/>
  <c r="AA18" i="2"/>
  <c r="AB18" i="2" s="1"/>
  <c r="AA46" i="2"/>
  <c r="AB46" i="2" s="1"/>
  <c r="AA54" i="2"/>
  <c r="AB54" i="2" s="1"/>
  <c r="AA96" i="2"/>
  <c r="AB96" i="2" s="1"/>
  <c r="AA149" i="2"/>
  <c r="AB149" i="2" s="1"/>
  <c r="AA168" i="2"/>
  <c r="AB168" i="2" s="1"/>
  <c r="AA219" i="2"/>
  <c r="AB219" i="2" s="1"/>
  <c r="AA298" i="2"/>
  <c r="AB298" i="2" s="1"/>
  <c r="AU327" i="2"/>
  <c r="AA360" i="2"/>
  <c r="AB360" i="2" s="1"/>
  <c r="AA384" i="2"/>
  <c r="AB384" i="2" s="1"/>
  <c r="AA401" i="2"/>
  <c r="AB401" i="2" s="1"/>
  <c r="AA469" i="2"/>
  <c r="AB469" i="2" s="1"/>
  <c r="AA445" i="2"/>
  <c r="AB445" i="2" s="1"/>
  <c r="AA483" i="2"/>
  <c r="AB483" i="2" s="1"/>
  <c r="AA495" i="2"/>
  <c r="AB495" i="2" s="1"/>
  <c r="AU313" i="2"/>
  <c r="AA318" i="2"/>
  <c r="AB318" i="2" s="1"/>
  <c r="AU52" i="2"/>
  <c r="AA52" i="2"/>
  <c r="AB52" i="2" s="1"/>
  <c r="AA32" i="2"/>
  <c r="AB32" i="2" s="1"/>
  <c r="AA20" i="2"/>
  <c r="AB20" i="2" s="1"/>
  <c r="AA67" i="2"/>
  <c r="AB67" i="2" s="1"/>
  <c r="AA23" i="2"/>
  <c r="AB23" i="2" s="1"/>
  <c r="AA33" i="2"/>
  <c r="AB33" i="2" s="1"/>
  <c r="AA63" i="2"/>
  <c r="AB63" i="2" s="1"/>
  <c r="AA573" i="2"/>
  <c r="AB573" i="2" s="1"/>
  <c r="AA19" i="2"/>
  <c r="AB19" i="2" s="1"/>
  <c r="AA51" i="2"/>
  <c r="AB51" i="2" s="1"/>
  <c r="AA30" i="2"/>
  <c r="AB30" i="2" s="1"/>
  <c r="AA72" i="2"/>
  <c r="AB72" i="2" s="1"/>
  <c r="AA83" i="2"/>
  <c r="AB83" i="2" s="1"/>
  <c r="AA99" i="2"/>
  <c r="AB99" i="2" s="1"/>
  <c r="AA111" i="2"/>
  <c r="AB111" i="2" s="1"/>
  <c r="AA137" i="2"/>
  <c r="AB137" i="2" s="1"/>
  <c r="AA165" i="2"/>
  <c r="AB165" i="2" s="1"/>
  <c r="AA194" i="2"/>
  <c r="AB194" i="2" s="1"/>
  <c r="AA240" i="2"/>
  <c r="AB240" i="2" s="1"/>
  <c r="AA327" i="2"/>
  <c r="AB327" i="2" s="1"/>
  <c r="AA339" i="2"/>
  <c r="AB339" i="2" s="1"/>
  <c r="AA316" i="2"/>
  <c r="AB316" i="2" s="1"/>
  <c r="AA274" i="2"/>
  <c r="AB274" i="2" s="1"/>
  <c r="AA333" i="2"/>
  <c r="AB333" i="2" s="1"/>
  <c r="AA358" i="2"/>
  <c r="AB358" i="2" s="1"/>
  <c r="AA411" i="2"/>
  <c r="AB411" i="2" s="1"/>
  <c r="AA494" i="2"/>
  <c r="AB494" i="2" s="1"/>
  <c r="AA515" i="2"/>
  <c r="AB515" i="2" s="1"/>
  <c r="AA554" i="2"/>
  <c r="AB554" i="2" s="1"/>
  <c r="X533" i="2"/>
  <c r="AA45" i="2"/>
  <c r="AB45" i="2" s="1"/>
  <c r="AU58" i="2"/>
  <c r="AA58" i="2"/>
  <c r="AB58" i="2" s="1"/>
  <c r="AA129" i="2"/>
  <c r="AB129" i="2" s="1"/>
  <c r="AA94" i="2"/>
  <c r="AB94" i="2" s="1"/>
  <c r="AA98" i="2"/>
  <c r="AB98" i="2" s="1"/>
  <c r="AA124" i="2"/>
  <c r="AB124" i="2" s="1"/>
  <c r="AA147" i="2"/>
  <c r="AB147" i="2" s="1"/>
  <c r="AA146" i="2"/>
  <c r="AB146" i="2" s="1"/>
  <c r="AA196" i="2"/>
  <c r="AB196" i="2" s="1"/>
  <c r="AA179" i="2"/>
  <c r="AB179" i="2" s="1"/>
  <c r="AA189" i="2"/>
  <c r="AB189" i="2" s="1"/>
  <c r="AA237" i="2"/>
  <c r="AB237" i="2" s="1"/>
  <c r="AA322" i="2"/>
  <c r="AB322" i="2" s="1"/>
  <c r="AA342" i="2"/>
  <c r="AB342" i="2" s="1"/>
  <c r="AA350" i="2"/>
  <c r="AB350" i="2" s="1"/>
  <c r="AA301" i="2"/>
  <c r="AB301" i="2" s="1"/>
  <c r="AU307" i="2"/>
  <c r="AA312" i="2"/>
  <c r="AB312" i="2" s="1"/>
  <c r="AA321" i="2"/>
  <c r="AB321" i="2" s="1"/>
  <c r="AU319" i="2"/>
  <c r="AA324" i="2"/>
  <c r="AB324" i="2" s="1"/>
  <c r="AA359" i="2"/>
  <c r="AB359" i="2" s="1"/>
  <c r="AA378" i="2"/>
  <c r="AB378" i="2" s="1"/>
  <c r="AA381" i="2"/>
  <c r="AB381" i="2" s="1"/>
  <c r="AA410" i="2"/>
  <c r="AB410" i="2" s="1"/>
  <c r="AA473" i="2"/>
  <c r="AB473" i="2" s="1"/>
  <c r="AA471" i="2"/>
  <c r="AB471" i="2" s="1"/>
  <c r="AA482" i="2"/>
  <c r="AB482" i="2" s="1"/>
  <c r="AA506" i="2"/>
  <c r="AB506" i="2" s="1"/>
  <c r="AA563" i="2"/>
  <c r="AB563" i="2" s="1"/>
  <c r="AU537" i="2"/>
  <c r="AA547" i="2"/>
  <c r="AB547" i="2" s="1"/>
  <c r="AA543" i="2"/>
  <c r="AB543" i="2" s="1"/>
  <c r="AA309" i="2"/>
  <c r="AB309" i="2" s="1"/>
  <c r="AU324" i="2"/>
  <c r="AA329" i="2"/>
  <c r="AB329" i="2" s="1"/>
  <c r="AA383" i="2"/>
  <c r="AB383" i="2" s="1"/>
  <c r="AA408" i="2"/>
  <c r="AB408" i="2" s="1"/>
  <c r="AA466" i="2"/>
  <c r="AB466" i="2" s="1"/>
  <c r="AA527" i="2"/>
  <c r="AB527" i="2" s="1"/>
  <c r="B31" i="5"/>
  <c r="AV256" i="2" l="1"/>
  <c r="Y533" i="2"/>
  <c r="AV170" i="2"/>
  <c r="Y292" i="2"/>
  <c r="AV193" i="2"/>
  <c r="Y193" i="2"/>
  <c r="AV86" i="2"/>
  <c r="Y174" i="2"/>
  <c r="AV343" i="2"/>
  <c r="Y343" i="2"/>
  <c r="AV123" i="2"/>
  <c r="Y245" i="2"/>
  <c r="AV345" i="2"/>
  <c r="Y345" i="2"/>
  <c r="AV115" i="2"/>
  <c r="Y229" i="2"/>
  <c r="AA343" i="2"/>
  <c r="AB343" i="2" s="1"/>
  <c r="AV117" i="2"/>
  <c r="Y231" i="2"/>
  <c r="AV181" i="2"/>
  <c r="Y181" i="2"/>
  <c r="AU181" i="2" s="1"/>
  <c r="AA245" i="2"/>
  <c r="AB245" i="2" s="1"/>
  <c r="AV293" i="2"/>
  <c r="Y293" i="2"/>
  <c r="AU293" i="2" s="1"/>
  <c r="AV108" i="2"/>
  <c r="Y108" i="2"/>
  <c r="AA56" i="2"/>
  <c r="AB56" i="2" s="1"/>
  <c r="Y56" i="2"/>
  <c r="AV337" i="2"/>
  <c r="Y337" i="2"/>
  <c r="AU337" i="2" s="1"/>
  <c r="AU306" i="2"/>
  <c r="AU493" i="2"/>
  <c r="AU156" i="2"/>
  <c r="AU438" i="2"/>
  <c r="AU206" i="2"/>
  <c r="AU403" i="2"/>
  <c r="AU379" i="2"/>
  <c r="AU304" i="2"/>
  <c r="AU553" i="2"/>
  <c r="AU475" i="2"/>
  <c r="AU465" i="2"/>
  <c r="AU316" i="2"/>
  <c r="AU344" i="2"/>
  <c r="AU317" i="2"/>
  <c r="AU101" i="2"/>
  <c r="AU185" i="2"/>
  <c r="AU233" i="2"/>
  <c r="AU172" i="2"/>
  <c r="AU122" i="2"/>
  <c r="AU112" i="2"/>
  <c r="AU84" i="2"/>
  <c r="AA345" i="2"/>
  <c r="AB345" i="2" s="1"/>
  <c r="AU269" i="2"/>
  <c r="AV56" i="2"/>
  <c r="AU519" i="2"/>
  <c r="AU234" i="2"/>
  <c r="AU186" i="2"/>
  <c r="AU145" i="2"/>
  <c r="AU75" i="2"/>
  <c r="AU302" i="2"/>
  <c r="AU128" i="2"/>
  <c r="AU211" i="2"/>
  <c r="AU365" i="2"/>
  <c r="AU207" i="2"/>
  <c r="AU485" i="2"/>
  <c r="AU158" i="2"/>
  <c r="AU393" i="2"/>
  <c r="AU446" i="2"/>
  <c r="AU278" i="2"/>
  <c r="AU139" i="2"/>
  <c r="AU428" i="2"/>
  <c r="AU118" i="2"/>
  <c r="AU505" i="2"/>
  <c r="AU457" i="2"/>
  <c r="AU424" i="2"/>
  <c r="AU544" i="2"/>
  <c r="AU197" i="2"/>
  <c r="AU168" i="2"/>
  <c r="AU459" i="2"/>
  <c r="AU335" i="2"/>
  <c r="AU270" i="2"/>
  <c r="AU195" i="2"/>
  <c r="AU162" i="2"/>
  <c r="AU146" i="2"/>
  <c r="AU196" i="2"/>
  <c r="AU189" i="2"/>
  <c r="AU566" i="2"/>
  <c r="AU580" i="2"/>
  <c r="AU147" i="2"/>
  <c r="AU352" i="2"/>
  <c r="AU543" i="2"/>
  <c r="AU271" i="2"/>
  <c r="AU237" i="2"/>
  <c r="AU236" i="2"/>
  <c r="AU205" i="2"/>
  <c r="AU482" i="2"/>
  <c r="AU376" i="2"/>
  <c r="AU254" i="2"/>
  <c r="AU137" i="2"/>
  <c r="AU88" i="2"/>
  <c r="AU342" i="2"/>
  <c r="AU138" i="2"/>
  <c r="AU557" i="2"/>
  <c r="AU559" i="2"/>
  <c r="AU79" i="2"/>
  <c r="AU328" i="2"/>
  <c r="AU548" i="2"/>
  <c r="AU412" i="2"/>
  <c r="AU510" i="2"/>
  <c r="AU235" i="2"/>
  <c r="AU141" i="2"/>
  <c r="AV29" i="2"/>
  <c r="AV106" i="2"/>
  <c r="AV89" i="2"/>
  <c r="AV177" i="2"/>
  <c r="AU442" i="2"/>
  <c r="AV245" i="2"/>
  <c r="AV231" i="2"/>
  <c r="AV533" i="2"/>
  <c r="AV229" i="2"/>
  <c r="AV174" i="2"/>
  <c r="AU466" i="2"/>
  <c r="AU214" i="2"/>
  <c r="AU547" i="2"/>
  <c r="AU378" i="2"/>
  <c r="AU94" i="2"/>
  <c r="AU175" i="2"/>
  <c r="AU318" i="2"/>
  <c r="AV85" i="2"/>
  <c r="AV173" i="2"/>
  <c r="AU140" i="2"/>
  <c r="AU281" i="2"/>
  <c r="AU568" i="2"/>
  <c r="AU581" i="2"/>
  <c r="AU217" i="2"/>
  <c r="AV292" i="2"/>
  <c r="AU257" i="2"/>
  <c r="AU144" i="2"/>
  <c r="AU99" i="2"/>
  <c r="AU529" i="2"/>
  <c r="AU153" i="2"/>
  <c r="AU336" i="2"/>
  <c r="AU444" i="2"/>
  <c r="AU37" i="2"/>
  <c r="AU100" i="2"/>
  <c r="AU267" i="2"/>
  <c r="AU462" i="2"/>
  <c r="AU322" i="2"/>
  <c r="AU155" i="2"/>
  <c r="AU453" i="2"/>
  <c r="AU333" i="2"/>
  <c r="AU161" i="2"/>
  <c r="AU38" i="2"/>
  <c r="AU121" i="2"/>
  <c r="AU422" i="2"/>
  <c r="AU60" i="2"/>
  <c r="AU68" i="2"/>
  <c r="AU513" i="2"/>
  <c r="AU387" i="2"/>
  <c r="AU208" i="2"/>
  <c r="AU151" i="2"/>
  <c r="AU521" i="2"/>
  <c r="AU463" i="2"/>
  <c r="AU245" i="2"/>
  <c r="AU522" i="2"/>
  <c r="AU418" i="2"/>
  <c r="AU26" i="2"/>
  <c r="AU534" i="2"/>
  <c r="AU119" i="2"/>
  <c r="AU90" i="2"/>
  <c r="AU20" i="2"/>
  <c r="AU531" i="2"/>
  <c r="AU509" i="2"/>
  <c r="AU19" i="2"/>
  <c r="AU123" i="2"/>
  <c r="AU432" i="2"/>
  <c r="AU167" i="2"/>
  <c r="AU157" i="2"/>
  <c r="AU190" i="2"/>
  <c r="AV171" i="2"/>
  <c r="AU516" i="2"/>
  <c r="AV516" i="2"/>
  <c r="AU72" i="2"/>
  <c r="AV31" i="2"/>
  <c r="AU528" i="2"/>
  <c r="AV528" i="2"/>
  <c r="AA337" i="2"/>
  <c r="AB337" i="2" s="1"/>
  <c r="AV484" i="2"/>
  <c r="AA181" i="2"/>
  <c r="AB181" i="2" s="1"/>
  <c r="AV278" i="2"/>
  <c r="AA323" i="2"/>
  <c r="AB323" i="2" s="1"/>
  <c r="AU464" i="2"/>
  <c r="AU274" i="2"/>
  <c r="AU402" i="2"/>
  <c r="AU350" i="2"/>
  <c r="AU15" i="2"/>
  <c r="AU149" i="2"/>
  <c r="AU425" i="2"/>
  <c r="AU87" i="2"/>
  <c r="AU81" i="2"/>
  <c r="AU527" i="2"/>
  <c r="AU83" i="2"/>
  <c r="AU523" i="2"/>
  <c r="AU39" i="2"/>
  <c r="AU92" i="2"/>
  <c r="AU373" i="2"/>
  <c r="AU183" i="2"/>
  <c r="AU401" i="2"/>
  <c r="AU192" i="2"/>
  <c r="AU567" i="2"/>
  <c r="AU556" i="2"/>
  <c r="AU479" i="2"/>
  <c r="AU414" i="2"/>
  <c r="AU407" i="2"/>
  <c r="AU358" i="2"/>
  <c r="AU309" i="2"/>
  <c r="AU330" i="2"/>
  <c r="AU472" i="2"/>
  <c r="AU364" i="2"/>
  <c r="AU359" i="2"/>
  <c r="AU27" i="2"/>
  <c r="AU486" i="2"/>
  <c r="AU506" i="2"/>
  <c r="AU440" i="2"/>
  <c r="AU273" i="2"/>
  <c r="AU394" i="2"/>
  <c r="AU329" i="2"/>
  <c r="AU431" i="2"/>
  <c r="AU451" i="2"/>
  <c r="AU517" i="2"/>
  <c r="AU483" i="2"/>
  <c r="AU390" i="2"/>
  <c r="AU449" i="2"/>
  <c r="AU382" i="2"/>
  <c r="AU213" i="2"/>
  <c r="AU386" i="2"/>
  <c r="AU194" i="2"/>
  <c r="AU583" i="2"/>
  <c r="AU152" i="2"/>
  <c r="AU539" i="2"/>
  <c r="AU82" i="2"/>
  <c r="AU469" i="2"/>
  <c r="AU51" i="2"/>
  <c r="AU50" i="2"/>
  <c r="AU502" i="2"/>
  <c r="AU67" i="2"/>
  <c r="AU577" i="2"/>
  <c r="AU63" i="2"/>
  <c r="AU66" i="2"/>
  <c r="AU573" i="2"/>
  <c r="AU467" i="2"/>
  <c r="AU575" i="2"/>
  <c r="AU296" i="2"/>
  <c r="AU280" i="2"/>
  <c r="AU176" i="2"/>
  <c r="AU263" i="2"/>
  <c r="AU578" i="2"/>
  <c r="AU454" i="2"/>
  <c r="AU345" i="2"/>
  <c r="AU562" i="2"/>
  <c r="AU346" i="2"/>
  <c r="AU584" i="2"/>
  <c r="AU474" i="2"/>
  <c r="AU409" i="2"/>
  <c r="AU372" i="2"/>
  <c r="AU392" i="2"/>
  <c r="AU565" i="2"/>
  <c r="AU461" i="2"/>
  <c r="AU541" i="2"/>
  <c r="AU404" i="2"/>
  <c r="AU314" i="2"/>
  <c r="AU102" i="2"/>
  <c r="AU251" i="2"/>
  <c r="AU132" i="2"/>
  <c r="AU538" i="2"/>
  <c r="AU397" i="2"/>
  <c r="AU399" i="2"/>
  <c r="AU331" i="2"/>
  <c r="AU473" i="2"/>
  <c r="AU332" i="2"/>
  <c r="AU484" i="2"/>
  <c r="AU408" i="2"/>
  <c r="AU160" i="2"/>
  <c r="AU455" i="2"/>
  <c r="AU417" i="2"/>
  <c r="AU312" i="2"/>
  <c r="AU398" i="2"/>
  <c r="AU326" i="2"/>
  <c r="AU560" i="2"/>
  <c r="AU507" i="2"/>
  <c r="AU508" i="2"/>
  <c r="AU512" i="2"/>
  <c r="AU499" i="2"/>
  <c r="AU420" i="2"/>
  <c r="AU381" i="2"/>
  <c r="AU561" i="2"/>
  <c r="AU511" i="2"/>
  <c r="AU427" i="2"/>
  <c r="AU219" i="2"/>
  <c r="AU415" i="2"/>
  <c r="AU448" i="2"/>
  <c r="AU351" i="2"/>
  <c r="AU441" i="2"/>
  <c r="AU286" i="2"/>
  <c r="AU495" i="2"/>
  <c r="AU563" i="2"/>
  <c r="AU550" i="2"/>
  <c r="AU456" i="2"/>
  <c r="AU436" i="2"/>
  <c r="AU406" i="2"/>
  <c r="AU354" i="2"/>
  <c r="AU391" i="2"/>
  <c r="AU311" i="2"/>
  <c r="AU334" i="2"/>
  <c r="AU41" i="2"/>
  <c r="AU383" i="2"/>
  <c r="AU40" i="2"/>
  <c r="AU230" i="2"/>
  <c r="AU188" i="2"/>
  <c r="AU471" i="2"/>
  <c r="AU165" i="2"/>
  <c r="AU385" i="2"/>
  <c r="AU154" i="2"/>
  <c r="AU582" i="2"/>
  <c r="AU133" i="2"/>
  <c r="AU384" i="2"/>
  <c r="AU107" i="2"/>
  <c r="AU470" i="2"/>
  <c r="AU80" i="2"/>
  <c r="AU49" i="2"/>
  <c r="AU42" i="2"/>
  <c r="AU421" i="2"/>
  <c r="AU545" i="2"/>
  <c r="AU434" i="2"/>
  <c r="AU367" i="2"/>
  <c r="AU98" i="2"/>
  <c r="AU426" i="2"/>
  <c r="AU416" i="2"/>
  <c r="AU24" i="2"/>
  <c r="AU369" i="2"/>
  <c r="AU551" i="2"/>
  <c r="AU437" i="2"/>
  <c r="AU429" i="2"/>
  <c r="AU25" i="2"/>
  <c r="AU362" i="2"/>
  <c r="AU375" i="2"/>
  <c r="AU476" i="2"/>
  <c r="AU439" i="2"/>
  <c r="AU353" i="2"/>
  <c r="AU216" i="2"/>
  <c r="AU180" i="2"/>
  <c r="AU148" i="2"/>
  <c r="AU57" i="2"/>
  <c r="AU238" i="2"/>
  <c r="AU215" i="2"/>
  <c r="AU178" i="2"/>
  <c r="AU182" i="2"/>
  <c r="AU150" i="2"/>
  <c r="AU91" i="2"/>
  <c r="AU76" i="2"/>
  <c r="AU47" i="2"/>
  <c r="AU35" i="2"/>
  <c r="AU16" i="2"/>
  <c r="AU349" i="2"/>
  <c r="AU419" i="2"/>
  <c r="AU363" i="2"/>
  <c r="AU576" i="2"/>
  <c r="AU242" i="2"/>
  <c r="AU445" i="2"/>
  <c r="AU340" i="2"/>
  <c r="AU468" i="2"/>
  <c r="AU276" i="2"/>
  <c r="AU218" i="2"/>
  <c r="AU116" i="2"/>
  <c r="AU283" i="2"/>
  <c r="AU282" i="2"/>
  <c r="AU287" i="2"/>
  <c r="AU554" i="2"/>
  <c r="AU558" i="2"/>
  <c r="AU504" i="2"/>
  <c r="AU478" i="2"/>
  <c r="AU570" i="2"/>
  <c r="AU284" i="2"/>
  <c r="AU325" i="2"/>
  <c r="AU430" i="2"/>
  <c r="AU452" i="2"/>
  <c r="AU388" i="2"/>
  <c r="AU310" i="2"/>
  <c r="AU250" i="2"/>
  <c r="AU447" i="2"/>
  <c r="AU315" i="2"/>
  <c r="AU564" i="2"/>
  <c r="AU433" i="2"/>
  <c r="AU443" i="2"/>
  <c r="AU515" i="2"/>
  <c r="AU410" i="2"/>
  <c r="AU275" i="2"/>
  <c r="AU198" i="2"/>
  <c r="AU22" i="2"/>
  <c r="AU514" i="2"/>
  <c r="AU571" i="2"/>
  <c r="AU320" i="2"/>
  <c r="AU535" i="2"/>
  <c r="AU396" i="2"/>
  <c r="AU380" i="2"/>
  <c r="AU356" i="2"/>
  <c r="AU187" i="2"/>
  <c r="AU103" i="2"/>
  <c r="AU54" i="2"/>
  <c r="AU46" i="2"/>
  <c r="AU210" i="2"/>
  <c r="AU184" i="2"/>
  <c r="AU124" i="2"/>
  <c r="AU129" i="2"/>
  <c r="AU93" i="2"/>
  <c r="AU78" i="2"/>
  <c r="AU64" i="2"/>
  <c r="AU48" i="2"/>
  <c r="AU65" i="2"/>
  <c r="AU569" i="2"/>
  <c r="AU17" i="2"/>
  <c r="AU253" i="2"/>
  <c r="AU290" i="2"/>
  <c r="AU71" i="2"/>
  <c r="AU338" i="2"/>
  <c r="AU298" i="2"/>
  <c r="AU264" i="2"/>
  <c r="AU546" i="2"/>
  <c r="AU368" i="2"/>
  <c r="AU43" i="2"/>
  <c r="AU481" i="2"/>
  <c r="AU221" i="2"/>
  <c r="AU266" i="2"/>
  <c r="AU272" i="2"/>
  <c r="AU347" i="2"/>
  <c r="AU131" i="2"/>
  <c r="AU226" i="2"/>
  <c r="AA229" i="2"/>
  <c r="AB229" i="2" s="1"/>
  <c r="AA193" i="2"/>
  <c r="AB193" i="2" s="1"/>
  <c r="AA293" i="2"/>
  <c r="AB293" i="2" s="1"/>
  <c r="AA174" i="2"/>
  <c r="AB174" i="2" s="1"/>
  <c r="AA231" i="2"/>
  <c r="AB231" i="2" s="1"/>
  <c r="AA173" i="2"/>
  <c r="AB173" i="2" s="1"/>
  <c r="AU173" i="2"/>
  <c r="AA106" i="2"/>
  <c r="AB106" i="2" s="1"/>
  <c r="AA177" i="2"/>
  <c r="AB177" i="2" s="1"/>
  <c r="AU174" i="2"/>
  <c r="AU289" i="2"/>
  <c r="AA292" i="2"/>
  <c r="AB292" i="2" s="1"/>
  <c r="AA533" i="2"/>
  <c r="AB533" i="2" s="1"/>
  <c r="AU533" i="2"/>
  <c r="AX8" i="2"/>
  <c r="AX9" i="2"/>
  <c r="AX10" i="2"/>
  <c r="AX11" i="2"/>
  <c r="AX12" i="2"/>
  <c r="AX13" i="2"/>
  <c r="AX14" i="2"/>
  <c r="AX15" i="2"/>
  <c r="AX16" i="2"/>
  <c r="AX17" i="2"/>
  <c r="AX6" i="2"/>
  <c r="AU56" i="2" l="1"/>
  <c r="AU343" i="2"/>
  <c r="AU193" i="2"/>
  <c r="AU229" i="2"/>
  <c r="AU108" i="2"/>
  <c r="AU177" i="2"/>
  <c r="AU292" i="2"/>
  <c r="AU231" i="2"/>
  <c r="AU106" i="2"/>
  <c r="AU171" i="2"/>
  <c r="AU31" i="2"/>
  <c r="AU170" i="2"/>
  <c r="AU525" i="2"/>
  <c r="AU256" i="2"/>
  <c r="AU86" i="2"/>
  <c r="AU29" i="2"/>
  <c r="AU89" i="2"/>
  <c r="AU85" i="2"/>
  <c r="AU117" i="2"/>
  <c r="AU115" i="2"/>
  <c r="X164" i="2"/>
  <c r="Y164" i="2" s="1"/>
  <c r="X540" i="2"/>
  <c r="Y540" i="2" s="1"/>
  <c r="X526" i="2"/>
  <c r="Y526" i="2" s="1"/>
  <c r="X202" i="2"/>
  <c r="Y202" i="2" s="1"/>
  <c r="X203" i="2"/>
  <c r="Y203" i="2" s="1"/>
  <c r="X542" i="2"/>
  <c r="Y542" i="2" s="1"/>
  <c r="X204" i="2"/>
  <c r="Y204" i="2" s="1"/>
  <c r="X135" i="2"/>
  <c r="Y135" i="2" s="1"/>
  <c r="X497" i="2"/>
  <c r="Y497" i="2" s="1"/>
  <c r="X500" i="2"/>
  <c r="Y500" i="2" s="1"/>
  <c r="X496" i="2"/>
  <c r="Y496" i="2" s="1"/>
  <c r="X361" i="2"/>
  <c r="Y361" i="2" s="1"/>
  <c r="X228" i="2"/>
  <c r="Y228" i="2" s="1"/>
  <c r="X223" i="2"/>
  <c r="Y223" i="2" s="1"/>
  <c r="X252" i="2"/>
  <c r="Y252" i="2" s="1"/>
  <c r="X305" i="2"/>
  <c r="X70" i="2"/>
  <c r="Y70" i="2" s="1"/>
  <c r="X36" i="2"/>
  <c r="Y36" i="2" s="1"/>
  <c r="X227" i="2"/>
  <c r="Y227" i="2" s="1"/>
  <c r="X12" i="2"/>
  <c r="X288" i="2"/>
  <c r="Y288" i="2" s="1"/>
  <c r="X532" i="2"/>
  <c r="Y532" i="2" s="1"/>
  <c r="X370" i="2"/>
  <c r="Y370" i="2" s="1"/>
  <c r="X247" i="2"/>
  <c r="Y247" i="2" s="1"/>
  <c r="X14" i="2"/>
  <c r="X110" i="2"/>
  <c r="Y110" i="2" s="1"/>
  <c r="X8" i="2"/>
  <c r="X480" i="2"/>
  <c r="Y480" i="2" s="1"/>
  <c r="X300" i="2"/>
  <c r="Y300" i="2" s="1"/>
  <c r="X405" i="2"/>
  <c r="Y405" i="2" s="1"/>
  <c r="X249" i="2"/>
  <c r="X44" i="2"/>
  <c r="Y44" i="2" s="1"/>
  <c r="X212" i="2"/>
  <c r="Y212" i="2" s="1"/>
  <c r="X34" i="2"/>
  <c r="Y34" i="2" s="1"/>
  <c r="X374" i="2"/>
  <c r="Y374" i="2" s="1"/>
  <c r="X105" i="2"/>
  <c r="Y105" i="2" s="1"/>
  <c r="X265" i="2"/>
  <c r="Y265" i="2" s="1"/>
  <c r="X125" i="2"/>
  <c r="X498" i="2"/>
  <c r="Y498" i="2" s="1"/>
  <c r="X126" i="2"/>
  <c r="Y126" i="2" s="1"/>
  <c r="C31" i="5"/>
  <c r="C8" i="4" s="1"/>
  <c r="D31" i="5"/>
  <c r="D8" i="4" s="1"/>
  <c r="E31" i="5"/>
  <c r="E8" i="4" s="1"/>
  <c r="F31" i="5"/>
  <c r="F8" i="4" s="1"/>
  <c r="G31" i="5"/>
  <c r="G8" i="4" s="1"/>
  <c r="H31" i="5"/>
  <c r="H8" i="4" s="1"/>
  <c r="I31" i="5"/>
  <c r="I8" i="4" s="1"/>
  <c r="J31" i="5"/>
  <c r="J8" i="4" s="1"/>
  <c r="K31" i="5"/>
  <c r="K8" i="4" s="1"/>
  <c r="L31" i="5"/>
  <c r="L8" i="4" s="1"/>
  <c r="M31" i="5"/>
  <c r="M8" i="4" s="1"/>
  <c r="B3" i="4"/>
  <c r="B3" i="5"/>
  <c r="B4" i="5"/>
  <c r="B4" i="4" s="1"/>
  <c r="B7" i="4"/>
  <c r="G585" i="2"/>
  <c r="C7" i="4" s="1"/>
  <c r="R193" i="2"/>
  <c r="R173" i="2"/>
  <c r="R174" i="2"/>
  <c r="R188" i="2"/>
  <c r="R198" i="2"/>
  <c r="R199" i="2"/>
  <c r="R211" i="2"/>
  <c r="R219" i="2"/>
  <c r="R224" i="2"/>
  <c r="R227" i="2"/>
  <c r="R239" i="2"/>
  <c r="R243" i="2"/>
  <c r="R246" i="2"/>
  <c r="R326" i="2"/>
  <c r="R303" i="2"/>
  <c r="R249" i="2"/>
  <c r="R252" i="2"/>
  <c r="R256" i="2"/>
  <c r="R298" i="2"/>
  <c r="R257" i="2"/>
  <c r="R350" i="2"/>
  <c r="R331" i="2"/>
  <c r="R317" i="2"/>
  <c r="R343" i="2"/>
  <c r="R349" i="2"/>
  <c r="R276" i="2"/>
  <c r="R321" i="2"/>
  <c r="R282" i="2"/>
  <c r="R325" i="2"/>
  <c r="R293" i="2"/>
  <c r="R371" i="2"/>
  <c r="R385" i="2"/>
  <c r="R370" i="2"/>
  <c r="R368" i="2"/>
  <c r="R407" i="2"/>
  <c r="R389" i="2"/>
  <c r="R400" i="2"/>
  <c r="R395" i="2"/>
  <c r="R397" i="2"/>
  <c r="R398" i="2"/>
  <c r="R415" i="2"/>
  <c r="R470" i="2"/>
  <c r="R452" i="2"/>
  <c r="R465" i="2"/>
  <c r="R422" i="2"/>
  <c r="R423" i="2"/>
  <c r="R460" i="2"/>
  <c r="R462" i="2"/>
  <c r="R449" i="2"/>
  <c r="R428" i="2"/>
  <c r="R429" i="2"/>
  <c r="R463" i="2"/>
  <c r="R433" i="2"/>
  <c r="R485" i="2"/>
  <c r="R475" i="2"/>
  <c r="R488" i="2"/>
  <c r="R494" i="2"/>
  <c r="R513" i="2"/>
  <c r="R514" i="2"/>
  <c r="R563" i="2"/>
  <c r="R552" i="2"/>
  <c r="R544" i="2"/>
  <c r="R574" i="2"/>
  <c r="R576" i="2"/>
  <c r="R571" i="2"/>
  <c r="R546" i="2"/>
  <c r="R527" i="2"/>
  <c r="R528" i="2"/>
  <c r="R542" i="2"/>
  <c r="R53" i="2"/>
  <c r="R40" i="2"/>
  <c r="R126" i="2"/>
  <c r="R78" i="2"/>
  <c r="R84" i="2"/>
  <c r="R85" i="2"/>
  <c r="R16" i="2"/>
  <c r="R35" i="2"/>
  <c r="R18" i="2"/>
  <c r="R86" i="2"/>
  <c r="R124" i="2"/>
  <c r="R157" i="2"/>
  <c r="R218" i="2"/>
  <c r="R261" i="2"/>
  <c r="R357" i="2"/>
  <c r="R495" i="2"/>
  <c r="R26" i="2"/>
  <c r="R39" i="2"/>
  <c r="R100" i="2"/>
  <c r="R99" i="2"/>
  <c r="R133" i="2"/>
  <c r="R145" i="2"/>
  <c r="R177" i="2"/>
  <c r="R178" i="2"/>
  <c r="R220" i="2"/>
  <c r="R308" i="2"/>
  <c r="R258" i="2"/>
  <c r="R313" i="2"/>
  <c r="R271" i="2"/>
  <c r="R340" i="2"/>
  <c r="R296" i="2"/>
  <c r="R355" i="2"/>
  <c r="R454" i="2"/>
  <c r="R414" i="2"/>
  <c r="R468" i="2"/>
  <c r="R426" i="2"/>
  <c r="R450" i="2"/>
  <c r="R464" i="2"/>
  <c r="R440" i="2"/>
  <c r="R515" i="2"/>
  <c r="R572" i="2"/>
  <c r="R32" i="2"/>
  <c r="R63" i="2"/>
  <c r="R446" i="2"/>
  <c r="R76" i="2"/>
  <c r="R112" i="2"/>
  <c r="R105" i="2"/>
  <c r="R117" i="2"/>
  <c r="R154" i="2"/>
  <c r="R222" i="2"/>
  <c r="R223" i="2"/>
  <c r="R309" i="2"/>
  <c r="R290" i="2"/>
  <c r="R354" i="2"/>
  <c r="R367" i="2"/>
  <c r="R458" i="2"/>
  <c r="R436" i="2"/>
  <c r="R483" i="2"/>
  <c r="R503" i="2"/>
  <c r="R540" i="2"/>
  <c r="R557" i="2"/>
  <c r="R543" i="2"/>
  <c r="R13" i="2"/>
  <c r="R44" i="2"/>
  <c r="R62" i="2"/>
  <c r="R189" i="2"/>
  <c r="R214" i="2"/>
  <c r="R237" i="2"/>
  <c r="R15" i="2"/>
  <c r="R67" i="2"/>
  <c r="R38" i="2"/>
  <c r="R45" i="2"/>
  <c r="R57" i="2"/>
  <c r="R33" i="2"/>
  <c r="R29" i="2"/>
  <c r="R129" i="2"/>
  <c r="R106" i="2"/>
  <c r="R103" i="2"/>
  <c r="R109" i="2"/>
  <c r="R110" i="2"/>
  <c r="R128" i="2"/>
  <c r="R139" i="2"/>
  <c r="R166" i="2"/>
  <c r="R162" i="2"/>
  <c r="R164" i="2"/>
  <c r="R180" i="2"/>
  <c r="R176" i="2"/>
  <c r="R190" i="2"/>
  <c r="R208" i="2"/>
  <c r="R305" i="2"/>
  <c r="R327" i="2"/>
  <c r="R248" i="2"/>
  <c r="R253" i="2"/>
  <c r="R265" i="2"/>
  <c r="R335" i="2"/>
  <c r="R316" i="2"/>
  <c r="R323" i="2"/>
  <c r="R277" i="2"/>
  <c r="R278" i="2"/>
  <c r="R334" i="2"/>
  <c r="R345" i="2"/>
  <c r="R346" i="2"/>
  <c r="R364" i="2"/>
  <c r="R369" i="2"/>
  <c r="R413" i="2"/>
  <c r="R403" i="2"/>
  <c r="R408" i="2"/>
  <c r="R394" i="2"/>
  <c r="R469" i="2"/>
  <c r="R489" i="2"/>
  <c r="R506" i="2"/>
  <c r="R521" i="2"/>
  <c r="R516" i="2"/>
  <c r="R508" i="2"/>
  <c r="R538" i="2"/>
  <c r="R556" i="2"/>
  <c r="R550" i="2"/>
  <c r="R533" i="2"/>
  <c r="R22" i="2"/>
  <c r="R65" i="2"/>
  <c r="R74" i="2"/>
  <c r="R75" i="2"/>
  <c r="R102" i="2"/>
  <c r="R135" i="2"/>
  <c r="R161" i="2"/>
  <c r="R234" i="2"/>
  <c r="R322" i="2"/>
  <c r="R288" i="2"/>
  <c r="R90" i="2"/>
  <c r="R147" i="2"/>
  <c r="R447" i="2"/>
  <c r="R484" i="2"/>
  <c r="R474" i="2"/>
  <c r="R476" i="2"/>
  <c r="R518" i="2"/>
  <c r="R570" i="2"/>
  <c r="R184" i="2"/>
  <c r="R247" i="2"/>
  <c r="R153" i="2"/>
  <c r="R186" i="2"/>
  <c r="R209" i="2"/>
  <c r="R216" i="2"/>
  <c r="R341" i="2"/>
  <c r="R281" i="2"/>
  <c r="R434" i="2"/>
  <c r="R554" i="2"/>
  <c r="R565" i="2"/>
  <c r="R236" i="2"/>
  <c r="R442" i="2"/>
  <c r="R8" i="2"/>
  <c r="R23" i="2"/>
  <c r="R111" i="2"/>
  <c r="R192" i="2"/>
  <c r="R204" i="2"/>
  <c r="R217" i="2"/>
  <c r="R319" i="2"/>
  <c r="R272" i="2"/>
  <c r="R399" i="2"/>
  <c r="R421" i="2"/>
  <c r="R443" i="2"/>
  <c r="R492" i="2"/>
  <c r="R480" i="2"/>
  <c r="R519" i="2"/>
  <c r="R511" i="2"/>
  <c r="R531" i="2"/>
  <c r="R559" i="2"/>
  <c r="R560" i="2"/>
  <c r="R522" i="2"/>
  <c r="R56" i="2"/>
  <c r="R36" i="2"/>
  <c r="R54" i="2"/>
  <c r="R58" i="2"/>
  <c r="R82" i="2"/>
  <c r="R52" i="2"/>
  <c r="R41" i="2"/>
  <c r="R108" i="2"/>
  <c r="R197" i="2"/>
  <c r="R210" i="2"/>
  <c r="R242" i="2"/>
  <c r="R338" i="2"/>
  <c r="R260" i="2"/>
  <c r="R266" i="2"/>
  <c r="R299" i="2"/>
  <c r="R269" i="2"/>
  <c r="R270" i="2"/>
  <c r="R273" i="2"/>
  <c r="R274" i="2"/>
  <c r="R312" i="2"/>
  <c r="R336" i="2"/>
  <c r="R279" i="2"/>
  <c r="R77" i="2"/>
  <c r="R101" i="2"/>
  <c r="R155" i="2"/>
  <c r="R251" i="2"/>
  <c r="R300" i="2"/>
  <c r="R267" i="2"/>
  <c r="R366" i="2"/>
  <c r="R418" i="2"/>
  <c r="R453" i="2"/>
  <c r="R539" i="2"/>
  <c r="R200" i="2"/>
  <c r="R318" i="2"/>
  <c r="R159" i="2"/>
  <c r="R12" i="2"/>
  <c r="R46" i="2"/>
  <c r="R25" i="2"/>
  <c r="R61" i="2"/>
  <c r="R69" i="2"/>
  <c r="R92" i="2"/>
  <c r="R116" i="2"/>
  <c r="R137" i="2"/>
  <c r="R143" i="2"/>
  <c r="R196" i="2"/>
  <c r="R171" i="2"/>
  <c r="R183" i="2"/>
  <c r="R202" i="2"/>
  <c r="R203" i="2"/>
  <c r="R225" i="2"/>
  <c r="R230" i="2"/>
  <c r="R240" i="2"/>
  <c r="R306" i="2"/>
  <c r="R250" i="2"/>
  <c r="R315" i="2"/>
  <c r="R304" i="2"/>
  <c r="R284" i="2"/>
  <c r="R324" i="2"/>
  <c r="R287" i="2"/>
  <c r="R289" i="2"/>
  <c r="R359" i="2"/>
  <c r="R356" i="2"/>
  <c r="R379" i="2"/>
  <c r="R374" i="2"/>
  <c r="R376" i="2"/>
  <c r="R410" i="2"/>
  <c r="R445" i="2"/>
  <c r="R427" i="2"/>
  <c r="R437" i="2"/>
  <c r="R467" i="2"/>
  <c r="R438" i="2"/>
  <c r="R491" i="2"/>
  <c r="R490" i="2"/>
  <c r="R510" i="2"/>
  <c r="R502" i="2"/>
  <c r="R525" i="2"/>
  <c r="R568" i="2"/>
  <c r="R558" i="2"/>
  <c r="R388" i="2"/>
  <c r="R119" i="2"/>
  <c r="R131" i="2"/>
  <c r="R333" i="2"/>
  <c r="R21" i="2"/>
  <c r="R70" i="2"/>
  <c r="R268" i="2"/>
  <c r="R292" i="2"/>
  <c r="R409" i="2"/>
  <c r="R498" i="2"/>
  <c r="R254" i="2"/>
  <c r="R24" i="2"/>
  <c r="R163" i="2"/>
  <c r="R372" i="2"/>
  <c r="R461" i="2"/>
  <c r="R548" i="2"/>
  <c r="R11" i="2"/>
  <c r="R42" i="2"/>
  <c r="R10" i="2"/>
  <c r="R17" i="2"/>
  <c r="R59" i="2"/>
  <c r="R47" i="2"/>
  <c r="R79" i="2"/>
  <c r="R87" i="2"/>
  <c r="R95" i="2"/>
  <c r="R88" i="2"/>
  <c r="R96" i="2"/>
  <c r="R113" i="2"/>
  <c r="R120" i="2"/>
  <c r="R146" i="2"/>
  <c r="R175" i="2"/>
  <c r="R205" i="2"/>
  <c r="R213" i="2"/>
  <c r="R229" i="2"/>
  <c r="R262" i="2"/>
  <c r="R329" i="2"/>
  <c r="R275" i="2"/>
  <c r="R351" i="2"/>
  <c r="R353" i="2"/>
  <c r="R358" i="2"/>
  <c r="R378" i="2"/>
  <c r="R420" i="2"/>
  <c r="R466" i="2"/>
  <c r="R549" i="2"/>
  <c r="R195" i="2"/>
  <c r="R9" i="2"/>
  <c r="R150" i="2"/>
  <c r="R144" i="2"/>
  <c r="R181" i="2"/>
  <c r="R221" i="2"/>
  <c r="R241" i="2"/>
  <c r="R232" i="2"/>
  <c r="R344" i="2"/>
  <c r="R255" i="2"/>
  <c r="R263" i="2"/>
  <c r="R383" i="2"/>
  <c r="R362" i="2"/>
  <c r="R390" i="2"/>
  <c r="R402" i="2"/>
  <c r="R439" i="2"/>
  <c r="R482" i="2"/>
  <c r="R581" i="2"/>
  <c r="R553" i="2"/>
  <c r="R564" i="2"/>
  <c r="R19" i="2"/>
  <c r="R280" i="2"/>
  <c r="R561" i="2"/>
  <c r="R49" i="2"/>
  <c r="R201" i="2"/>
  <c r="R60" i="2"/>
  <c r="R80" i="2"/>
  <c r="R228" i="2"/>
  <c r="R233" i="2"/>
  <c r="R245" i="2"/>
  <c r="R330" i="2"/>
  <c r="R310" i="2"/>
  <c r="R301" i="2"/>
  <c r="R286" i="2"/>
  <c r="R393" i="2"/>
  <c r="R401" i="2"/>
  <c r="R412" i="2"/>
  <c r="R471" i="2"/>
  <c r="R505" i="2"/>
  <c r="R507" i="2"/>
  <c r="R524" i="2"/>
  <c r="R20" i="2"/>
  <c r="R361" i="2"/>
  <c r="R7" i="2"/>
  <c r="R14" i="2"/>
  <c r="R50" i="2"/>
  <c r="R31" i="2"/>
  <c r="R123" i="2"/>
  <c r="R165" i="2"/>
  <c r="R226" i="2"/>
  <c r="R259" i="2"/>
  <c r="R360" i="2"/>
  <c r="R459" i="2"/>
  <c r="R416" i="2"/>
  <c r="R472" i="2"/>
  <c r="R562" i="2"/>
  <c r="R43" i="2"/>
  <c r="R48" i="2"/>
  <c r="R167" i="2"/>
  <c r="R168" i="2"/>
  <c r="R194" i="2"/>
  <c r="R182" i="2"/>
  <c r="R191" i="2"/>
  <c r="R187" i="2"/>
  <c r="R215" i="2"/>
  <c r="R297" i="2"/>
  <c r="R337" i="2"/>
  <c r="R339" i="2"/>
  <c r="R352" i="2"/>
  <c r="R382" i="2"/>
  <c r="R457" i="2"/>
  <c r="R473" i="2"/>
  <c r="R431" i="2"/>
  <c r="R448" i="2"/>
  <c r="R441" i="2"/>
  <c r="R456" i="2"/>
  <c r="R444" i="2"/>
  <c r="R496" i="2"/>
  <c r="R499" i="2"/>
  <c r="R504" i="2"/>
  <c r="R567" i="2"/>
  <c r="R523" i="2"/>
  <c r="R136" i="2"/>
  <c r="R307" i="2"/>
  <c r="R28" i="2"/>
  <c r="R73" i="2"/>
  <c r="R72" i="2"/>
  <c r="R81" i="2"/>
  <c r="R122" i="2"/>
  <c r="R141" i="2"/>
  <c r="R148" i="2"/>
  <c r="R172" i="2"/>
  <c r="R212" i="2"/>
  <c r="R235" i="2"/>
  <c r="R244" i="2"/>
  <c r="R342" i="2"/>
  <c r="R392" i="2"/>
  <c r="R419" i="2"/>
  <c r="R432" i="2"/>
  <c r="R477" i="2"/>
  <c r="R573" i="2"/>
  <c r="R547" i="2"/>
  <c r="R529" i="2"/>
  <c r="R530" i="2"/>
  <c r="R328" i="2"/>
  <c r="R115" i="2"/>
  <c r="R114" i="2"/>
  <c r="R264" i="2"/>
  <c r="R295" i="2"/>
  <c r="R497" i="2"/>
  <c r="R512" i="2"/>
  <c r="R566" i="2"/>
  <c r="R206" i="2"/>
  <c r="R207" i="2"/>
  <c r="R91" i="2"/>
  <c r="R127" i="2"/>
  <c r="R160" i="2"/>
  <c r="R179" i="2"/>
  <c r="R238" i="2"/>
  <c r="R231" i="2"/>
  <c r="R311" i="2"/>
  <c r="R320" i="2"/>
  <c r="R302" i="2"/>
  <c r="R375" i="2"/>
  <c r="R365" i="2"/>
  <c r="R430" i="2"/>
  <c r="R451" i="2"/>
  <c r="R487" i="2"/>
  <c r="R501" i="2"/>
  <c r="R526" i="2"/>
  <c r="R66" i="2"/>
  <c r="R34" i="2"/>
  <c r="R51" i="2"/>
  <c r="R27" i="2"/>
  <c r="R55" i="2"/>
  <c r="R30" i="2"/>
  <c r="R37" i="2"/>
  <c r="R104" i="2"/>
  <c r="R134" i="2"/>
  <c r="R107" i="2"/>
  <c r="R125" i="2"/>
  <c r="R97" i="2"/>
  <c r="R83" i="2"/>
  <c r="R94" i="2"/>
  <c r="R89" i="2"/>
  <c r="R98" i="2"/>
  <c r="R93" i="2"/>
  <c r="R132" i="2"/>
  <c r="R130" i="2"/>
  <c r="R118" i="2"/>
  <c r="R121" i="2"/>
  <c r="R149" i="2"/>
  <c r="R151" i="2"/>
  <c r="R138" i="2"/>
  <c r="R140" i="2"/>
  <c r="R142" i="2"/>
  <c r="R152" i="2"/>
  <c r="R156" i="2"/>
  <c r="R158" i="2"/>
  <c r="R185" i="2"/>
  <c r="R71" i="2"/>
  <c r="R68" i="2"/>
  <c r="H585" i="2"/>
  <c r="D7" i="4" s="1"/>
  <c r="I585" i="2"/>
  <c r="E7" i="4" s="1"/>
  <c r="J585" i="2"/>
  <c r="F7" i="4" s="1"/>
  <c r="K585" i="2"/>
  <c r="G7" i="4" s="1"/>
  <c r="L585" i="2"/>
  <c r="H7" i="4" s="1"/>
  <c r="M585" i="2"/>
  <c r="I7" i="4" s="1"/>
  <c r="N585" i="2"/>
  <c r="J7" i="4" s="1"/>
  <c r="O585" i="2"/>
  <c r="K7" i="4" s="1"/>
  <c r="P585" i="2"/>
  <c r="L7" i="4" s="1"/>
  <c r="Q585" i="2"/>
  <c r="M7" i="4" s="1"/>
  <c r="AV303" i="2" l="1"/>
  <c r="Y125" i="2"/>
  <c r="AV12" i="2"/>
  <c r="Y12" i="2"/>
  <c r="AU12" i="2" s="1"/>
  <c r="AV308" i="2"/>
  <c r="Y305" i="2"/>
  <c r="AV127" i="2"/>
  <c r="Y249" i="2"/>
  <c r="AV8" i="2"/>
  <c r="Y8" i="2"/>
  <c r="AU8" i="2" s="1"/>
  <c r="AV14" i="2"/>
  <c r="Y14" i="2"/>
  <c r="AV341" i="2"/>
  <c r="AV126" i="2"/>
  <c r="AV53" i="2"/>
  <c r="AV105" i="2"/>
  <c r="AV321" i="2"/>
  <c r="AV34" i="2"/>
  <c r="AV460" i="2"/>
  <c r="AV44" i="2"/>
  <c r="AV297" i="2"/>
  <c r="AV405" i="2"/>
  <c r="AV355" i="2"/>
  <c r="AV480" i="2"/>
  <c r="AV55" i="2"/>
  <c r="AV110" i="2"/>
  <c r="AV125" i="2"/>
  <c r="AV247" i="2"/>
  <c r="AV255" i="2"/>
  <c r="AV532" i="2"/>
  <c r="AV323" i="2"/>
  <c r="AV36" i="2"/>
  <c r="AV109" i="2"/>
  <c r="AV223" i="2"/>
  <c r="AV179" i="2"/>
  <c r="AV361" i="2"/>
  <c r="AV243" i="2"/>
  <c r="AV500" i="2"/>
  <c r="AV262" i="2"/>
  <c r="AV135" i="2"/>
  <c r="AV339" i="2"/>
  <c r="AV542" i="2"/>
  <c r="AV95" i="2"/>
  <c r="AV202" i="2"/>
  <c r="AV301" i="2"/>
  <c r="AV540" i="2"/>
  <c r="AV241" i="2"/>
  <c r="AV498" i="2"/>
  <c r="AV143" i="2"/>
  <c r="AV265" i="2"/>
  <c r="AV377" i="2"/>
  <c r="AV374" i="2"/>
  <c r="AV294" i="2"/>
  <c r="AV212" i="2"/>
  <c r="AV279" i="2"/>
  <c r="AV300" i="2"/>
  <c r="AV268" i="2"/>
  <c r="AV370" i="2"/>
  <c r="AV166" i="2"/>
  <c r="AV288" i="2"/>
  <c r="AV113" i="2"/>
  <c r="AV227" i="2"/>
  <c r="AV32" i="2"/>
  <c r="AV70" i="2"/>
  <c r="AV130" i="2"/>
  <c r="AV252" i="2"/>
  <c r="AV114" i="2"/>
  <c r="AV228" i="2"/>
  <c r="AV239" i="2"/>
  <c r="AV496" i="2"/>
  <c r="AV240" i="2"/>
  <c r="AV497" i="2"/>
  <c r="AV97" i="2"/>
  <c r="AV204" i="2"/>
  <c r="AV96" i="2"/>
  <c r="AV203" i="2"/>
  <c r="AV249" i="2"/>
  <c r="AV526" i="2"/>
  <c r="AV305" i="2"/>
  <c r="AV164" i="2"/>
  <c r="C9" i="4"/>
  <c r="M9" i="4"/>
  <c r="K9" i="4"/>
  <c r="I9" i="4"/>
  <c r="G9" i="4"/>
  <c r="E9" i="4"/>
  <c r="L9" i="4"/>
  <c r="J9" i="4"/>
  <c r="H9" i="4"/>
  <c r="F9" i="4"/>
  <c r="D9" i="4"/>
  <c r="AA126" i="2"/>
  <c r="AB126" i="2" s="1"/>
  <c r="AU126" i="2"/>
  <c r="AA125" i="2"/>
  <c r="AB125" i="2" s="1"/>
  <c r="AA105" i="2"/>
  <c r="AB105" i="2" s="1"/>
  <c r="AU105" i="2"/>
  <c r="AA34" i="2"/>
  <c r="AB34" i="2" s="1"/>
  <c r="AA44" i="2"/>
  <c r="AB44" i="2" s="1"/>
  <c r="AA405" i="2"/>
  <c r="AB405" i="2" s="1"/>
  <c r="AU405" i="2"/>
  <c r="AA480" i="2"/>
  <c r="AB480" i="2" s="1"/>
  <c r="AU480" i="2"/>
  <c r="AA110" i="2"/>
  <c r="AB110" i="2" s="1"/>
  <c r="AU110" i="2"/>
  <c r="AA247" i="2"/>
  <c r="AB247" i="2" s="1"/>
  <c r="AU247" i="2"/>
  <c r="AA532" i="2"/>
  <c r="AB532" i="2" s="1"/>
  <c r="AA12" i="2"/>
  <c r="AB12" i="2" s="1"/>
  <c r="AA36" i="2"/>
  <c r="AB36" i="2" s="1"/>
  <c r="AA305" i="2"/>
  <c r="AB305" i="2" s="1"/>
  <c r="AA223" i="2"/>
  <c r="AB223" i="2" s="1"/>
  <c r="AU223" i="2"/>
  <c r="AA361" i="2"/>
  <c r="AB361" i="2" s="1"/>
  <c r="AU361" i="2"/>
  <c r="AA500" i="2"/>
  <c r="AB500" i="2" s="1"/>
  <c r="AU500" i="2"/>
  <c r="AA135" i="2"/>
  <c r="AB135" i="2" s="1"/>
  <c r="AA542" i="2"/>
  <c r="AB542" i="2" s="1"/>
  <c r="AU542" i="2"/>
  <c r="AA202" i="2"/>
  <c r="AB202" i="2" s="1"/>
  <c r="AU202" i="2"/>
  <c r="AA540" i="2"/>
  <c r="AB540" i="2" s="1"/>
  <c r="AU540" i="2"/>
  <c r="AA498" i="2"/>
  <c r="AB498" i="2" s="1"/>
  <c r="AU498" i="2"/>
  <c r="AA265" i="2"/>
  <c r="AB265" i="2" s="1"/>
  <c r="AU265" i="2"/>
  <c r="AA374" i="2"/>
  <c r="AB374" i="2" s="1"/>
  <c r="AU374" i="2"/>
  <c r="AA212" i="2"/>
  <c r="AB212" i="2" s="1"/>
  <c r="AU212" i="2"/>
  <c r="AA249" i="2"/>
  <c r="AB249" i="2" s="1"/>
  <c r="AA300" i="2"/>
  <c r="AB300" i="2" s="1"/>
  <c r="AA8" i="2"/>
  <c r="AB8" i="2" s="1"/>
  <c r="AA14" i="2"/>
  <c r="AB14" i="2" s="1"/>
  <c r="AA370" i="2"/>
  <c r="AB370" i="2" s="1"/>
  <c r="AA288" i="2"/>
  <c r="AB288" i="2" s="1"/>
  <c r="AU288" i="2"/>
  <c r="AA227" i="2"/>
  <c r="AB227" i="2" s="1"/>
  <c r="AA70" i="2"/>
  <c r="AB70" i="2" s="1"/>
  <c r="AU70" i="2"/>
  <c r="AA252" i="2"/>
  <c r="AB252" i="2" s="1"/>
  <c r="AU252" i="2"/>
  <c r="AA228" i="2"/>
  <c r="AB228" i="2" s="1"/>
  <c r="AU228" i="2"/>
  <c r="AA496" i="2"/>
  <c r="AB496" i="2" s="1"/>
  <c r="AU496" i="2"/>
  <c r="AA497" i="2"/>
  <c r="AB497" i="2" s="1"/>
  <c r="AU497" i="2"/>
  <c r="AA204" i="2"/>
  <c r="AB204" i="2" s="1"/>
  <c r="AU204" i="2"/>
  <c r="AA203" i="2"/>
  <c r="AB203" i="2" s="1"/>
  <c r="AU203" i="2"/>
  <c r="AA526" i="2"/>
  <c r="AB526" i="2" s="1"/>
  <c r="AA164" i="2"/>
  <c r="AB164" i="2" s="1"/>
  <c r="AU164" i="2"/>
  <c r="X104" i="2"/>
  <c r="Y104" i="2" s="1"/>
  <c r="R587" i="2"/>
  <c r="R586" i="2"/>
  <c r="AU518" i="2" l="1"/>
  <c r="AU526" i="2"/>
  <c r="AU224" i="2"/>
  <c r="AU227" i="2"/>
  <c r="AU134" i="2"/>
  <c r="AU135" i="2"/>
  <c r="AV28" i="2"/>
  <c r="AV104" i="2"/>
  <c r="AU163" i="2"/>
  <c r="AU305" i="2"/>
  <c r="AU200" i="2"/>
  <c r="AU96" i="2"/>
  <c r="AU201" i="2"/>
  <c r="AU97" i="2"/>
  <c r="AU491" i="2"/>
  <c r="AU240" i="2"/>
  <c r="AU490" i="2"/>
  <c r="AU239" i="2"/>
  <c r="AU225" i="2"/>
  <c r="AU114" i="2"/>
  <c r="AU249" i="2"/>
  <c r="AU130" i="2"/>
  <c r="AU77" i="2"/>
  <c r="AU32" i="2"/>
  <c r="AU285" i="2"/>
  <c r="AU166" i="2"/>
  <c r="AU366" i="2"/>
  <c r="AU268" i="2"/>
  <c r="AU18" i="2"/>
  <c r="AU14" i="2"/>
  <c r="AU295" i="2"/>
  <c r="AU279" i="2"/>
  <c r="AU246" i="2"/>
  <c r="AU127" i="2"/>
  <c r="AU209" i="2"/>
  <c r="AU294" i="2"/>
  <c r="AU370" i="2"/>
  <c r="AU377" i="2"/>
  <c r="AU262" i="2"/>
  <c r="AU143" i="2"/>
  <c r="AU492" i="2"/>
  <c r="AU241" i="2"/>
  <c r="AU530" i="2"/>
  <c r="AU301" i="2"/>
  <c r="AU199" i="2"/>
  <c r="AU95" i="2"/>
  <c r="AU532" i="2"/>
  <c r="AU339" i="2"/>
  <c r="AU494" i="2"/>
  <c r="AU243" i="2"/>
  <c r="AU357" i="2"/>
  <c r="AU179" i="2"/>
  <c r="AU220" i="2"/>
  <c r="AU109" i="2"/>
  <c r="AU300" i="2"/>
  <c r="AU308" i="2"/>
  <c r="AU36" i="2"/>
  <c r="AU323" i="2"/>
  <c r="AU524" i="2"/>
  <c r="AU255" i="2"/>
  <c r="AU244" i="2"/>
  <c r="AU125" i="2"/>
  <c r="AU113" i="2"/>
  <c r="AU55" i="2"/>
  <c r="AU489" i="2"/>
  <c r="AU355" i="2"/>
  <c r="AU400" i="2"/>
  <c r="AU297" i="2"/>
  <c r="AU44" i="2"/>
  <c r="AU460" i="2"/>
  <c r="AU34" i="2"/>
  <c r="AU321" i="2"/>
  <c r="AU111" i="2"/>
  <c r="AU53" i="2"/>
  <c r="AU73" i="2"/>
  <c r="AU303" i="2"/>
  <c r="AU74" i="2"/>
  <c r="AU341" i="2"/>
  <c r="AA104" i="2"/>
  <c r="X7" i="2"/>
  <c r="Y7" i="2" s="1"/>
  <c r="B8" i="4"/>
  <c r="B9" i="4" s="1"/>
  <c r="G11" i="4" s="1"/>
  <c r="AU28" i="2" l="1"/>
  <c r="AU104" i="2"/>
  <c r="AV7" i="2"/>
  <c r="AV585" i="2" s="1"/>
  <c r="G12" i="4"/>
  <c r="X585" i="2"/>
  <c r="AB104" i="2"/>
  <c r="AU69" i="2"/>
  <c r="AA7" i="2"/>
  <c r="AA585" i="2" s="1"/>
  <c r="AU7" i="2"/>
  <c r="AU585" i="2" l="1"/>
  <c r="Y585" i="2"/>
  <c r="AB7" i="2"/>
  <c r="AB585" i="2" s="1"/>
</calcChain>
</file>

<file path=xl/comments1.xml><?xml version="1.0" encoding="utf-8"?>
<comments xmlns="http://schemas.openxmlformats.org/spreadsheetml/2006/main">
  <authors>
    <author>JMHP</author>
  </authors>
  <commentList>
    <comment ref="AG6" authorId="0" shapeId="0">
      <text>
        <r>
          <rPr>
            <sz val="9"/>
            <color indexed="81"/>
            <rFont val="Tahoma"/>
            <family val="2"/>
          </rPr>
          <t xml:space="preserve">OJO: AQUÍ HAY INFORMACION DENTRO DEL AREA SOMBREADA
</t>
        </r>
      </text>
    </comment>
  </commentList>
</comments>
</file>

<file path=xl/sharedStrings.xml><?xml version="1.0" encoding="utf-8"?>
<sst xmlns="http://schemas.openxmlformats.org/spreadsheetml/2006/main" count="1817" uniqueCount="666">
  <si>
    <t xml:space="preserve">ENERO </t>
  </si>
  <si>
    <t>FEBRERO</t>
  </si>
  <si>
    <t>MARZO</t>
  </si>
  <si>
    <t>ABRIL</t>
  </si>
  <si>
    <t xml:space="preserve">MAYO </t>
  </si>
  <si>
    <t xml:space="preserve">JUNIO </t>
  </si>
  <si>
    <t xml:space="preserve">JULIO </t>
  </si>
  <si>
    <t>AGOSTO</t>
  </si>
  <si>
    <t>SEPTIEMBRE</t>
  </si>
  <si>
    <t>OCTUBRE</t>
  </si>
  <si>
    <t>NOVIEMBRE</t>
  </si>
  <si>
    <t>DICIEMBRE</t>
  </si>
  <si>
    <t xml:space="preserve">REGISTRO DE USUARIOS DE AGUA POTABLE DE BARRIO DE LOMA LARGA ZUMPANGO ESTADO DE MÉXICO </t>
  </si>
  <si>
    <t xml:space="preserve">AMELIA MENA MEJIA </t>
  </si>
  <si>
    <t>ALEJANDRO OROPEZA SANCHEZ</t>
  </si>
  <si>
    <t>ALFREDO ORTIZ GOMEZ</t>
  </si>
  <si>
    <t>ALEJANDRA OROPEZA GARCIA</t>
  </si>
  <si>
    <t>AGUSTIN OROPEZA GOMEZ</t>
  </si>
  <si>
    <t xml:space="preserve">ANEL ROMERO ACOSTA </t>
  </si>
  <si>
    <t xml:space="preserve">ALVARO ORTIZ CERON </t>
  </si>
  <si>
    <t xml:space="preserve">ANTONIO AGUILAR ORTEGA </t>
  </si>
  <si>
    <t xml:space="preserve">ADALID MORALES OSORNO </t>
  </si>
  <si>
    <t>ARMANDO OROPEZA TORRES</t>
  </si>
  <si>
    <t>ARISTEO ROMERO ACOSTA</t>
  </si>
  <si>
    <t>ARACELI ROMERO ACOSTA</t>
  </si>
  <si>
    <t>ARTURO BENITEZ SANCHEZ</t>
  </si>
  <si>
    <t>ANA MARIA CASTILLO LOPEZ</t>
  </si>
  <si>
    <t>ANSELMO HERNANDEZ PEREZ</t>
  </si>
  <si>
    <t>ANGEL ORTIZ GOMEZ</t>
  </si>
  <si>
    <t xml:space="preserve">ALEJANDRO AVILA MORENO </t>
  </si>
  <si>
    <t>ALEJANDRO DE LA ROSA BILIFE TECNOLOGY</t>
  </si>
  <si>
    <t>ALEJANDRA MALDONADO CRUZ</t>
  </si>
  <si>
    <t>ALEJANDRO GUZMAN LOPEZ</t>
  </si>
  <si>
    <t xml:space="preserve">ALEJANDRO MENA GARCIA </t>
  </si>
  <si>
    <t>ALEJANDRO OLVERA JIMENEZ</t>
  </si>
  <si>
    <t>ALFONSO ACOSTA  OROPEZA</t>
  </si>
  <si>
    <t>ARMADO MENA RIVERA</t>
  </si>
  <si>
    <t>ANGEL CASTILLO GUITIERREZ</t>
  </si>
  <si>
    <t>ALICIA DELGADO SAVANILLA</t>
  </si>
  <si>
    <t>ALEJANDRO MELENDEZ OROPEZA</t>
  </si>
  <si>
    <t>ALVARO SUAREZ ARVIZO</t>
  </si>
  <si>
    <t>ARMANDO LOPEZ RUIZ</t>
  </si>
  <si>
    <t>ANTONIO OROPEZA TORRES</t>
  </si>
  <si>
    <t>ANGEL MENA SANCHEZ</t>
  </si>
  <si>
    <t>ANGEL ANTONIO JIMINEZ OROPEZA</t>
  </si>
  <si>
    <t xml:space="preserve">ALFREDO TORRES CASTILLO </t>
  </si>
  <si>
    <t>ALEJANDRO CALDERON RUBIO</t>
  </si>
  <si>
    <t xml:space="preserve">ARACELI MORENO ESPINOZA </t>
  </si>
  <si>
    <t xml:space="preserve">APOLO ALANIZ FRANCO </t>
  </si>
  <si>
    <t>ALFREDO MARTINEZ HERNANDEZ</t>
  </si>
  <si>
    <t>ANDRES HERNANDEZ PEREZ</t>
  </si>
  <si>
    <t>ADRIANA SANCHEZ ESTRADA</t>
  </si>
  <si>
    <t xml:space="preserve">ANGEL LICEA OCAMPO </t>
  </si>
  <si>
    <t>ALEJANDRO GOMEZ PEREZ</t>
  </si>
  <si>
    <t>ALFREDO OROPEZA ORTIZ</t>
  </si>
  <si>
    <t>ADRIANA OROPEZA FLORES</t>
  </si>
  <si>
    <t>ALBERTO VELAZQUEZ RAMIREZ</t>
  </si>
  <si>
    <t xml:space="preserve">ALBERTO VARGAS PEREZ </t>
  </si>
  <si>
    <t>ARMANDO OROPEZA SANCHEZ</t>
  </si>
  <si>
    <t xml:space="preserve">BLANCA MENA MEJIA </t>
  </si>
  <si>
    <t>BENITO MENA GOMEZ</t>
  </si>
  <si>
    <t>BERNARDO GOMEZ VAZQUEZ</t>
  </si>
  <si>
    <t xml:space="preserve">BERNARDO OROPEZA GARCIA </t>
  </si>
  <si>
    <t>BERNARDO OROPEZA HERNADEZ</t>
  </si>
  <si>
    <t xml:space="preserve">BERNARDO OROPEZA RIVERA </t>
  </si>
  <si>
    <t>BERTHA PEREZ FLORES</t>
  </si>
  <si>
    <t xml:space="preserve">BENJAMIN HERNANDEZ SANTIAGO </t>
  </si>
  <si>
    <t>BEATRIZ PONCE FRANCISCO</t>
  </si>
  <si>
    <t>BARTOLO OROPEZA HERNANDEZ</t>
  </si>
  <si>
    <t xml:space="preserve">BERTHA OROPEZA SANCHEZ  </t>
  </si>
  <si>
    <t xml:space="preserve">BERNARDO GOMEZ GARCIA </t>
  </si>
  <si>
    <t xml:space="preserve">BERNARDO  VARELA OLGUIN </t>
  </si>
  <si>
    <t xml:space="preserve">BALBINA JIMENEZ OLGUIN </t>
  </si>
  <si>
    <t>BENJAMIN LOPEZ RAMIREZ</t>
  </si>
  <si>
    <t>BRENDA PEREZ PALMA  1</t>
  </si>
  <si>
    <t>BRENDA PEREZ PALMA 2</t>
  </si>
  <si>
    <t xml:space="preserve">CANDELARIO SANCHEZ HERNANDEZ </t>
  </si>
  <si>
    <t>CLEMENTE ORTIZ JIMINEZ</t>
  </si>
  <si>
    <t xml:space="preserve">CLAUDIA MENA SANCHEZ </t>
  </si>
  <si>
    <t>CARMEN MENA GARCIA</t>
  </si>
  <si>
    <t>CARMEN BENITEZ SANCHEZ</t>
  </si>
  <si>
    <t>CARLOS SANCHEZ OROPEZA</t>
  </si>
  <si>
    <t>CRISTOBAL MENA GARCIA</t>
  </si>
  <si>
    <t xml:space="preserve">CONSTANTIO OROPEZA GARCIA </t>
  </si>
  <si>
    <t>CARLOS BUENDIA BADILLO</t>
  </si>
  <si>
    <t>CUSTODIA CARLOS HERNANDEZ</t>
  </si>
  <si>
    <t>CRISTOBAL SANCHEZ PEREZ</t>
  </si>
  <si>
    <t xml:space="preserve">CONSUELO GODINEZ AGUIRRE </t>
  </si>
  <si>
    <t xml:space="preserve">CARLOS APOLINAR PEREZ HERNANDEZ </t>
  </si>
  <si>
    <t xml:space="preserve">CRISTOBAL MENA MAYA </t>
  </si>
  <si>
    <t>CRUZ OROPEZA DOMINGUEZ</t>
  </si>
  <si>
    <t>CESAR ISLAS OROPEZA</t>
  </si>
  <si>
    <t>CELSO RODRIGUEZ CHAVEZ</t>
  </si>
  <si>
    <t xml:space="preserve">CARLOS FERNANDO FRANCO MENA </t>
  </si>
  <si>
    <t xml:space="preserve">CRISTINA GOMEZ GARCIA  </t>
  </si>
  <si>
    <t xml:space="preserve">CARLOS OROPEZA GARCIA </t>
  </si>
  <si>
    <t xml:space="preserve">CARLOS ANTONIO TELLEZ ORTIZ </t>
  </si>
  <si>
    <t xml:space="preserve">CARLOS VARGAS OLVERA </t>
  </si>
  <si>
    <t xml:space="preserve">CINDI VANESSA ESCAMILLA  DELGADO </t>
  </si>
  <si>
    <t xml:space="preserve">DIEGO TORRES GARCIA </t>
  </si>
  <si>
    <t>DAVID LUNA MARTINEZ</t>
  </si>
  <si>
    <t>DEMETRIO PEREZ HERNANDEZ PEREZ</t>
  </si>
  <si>
    <t>DANIEL OROPEZA OROPEZA</t>
  </si>
  <si>
    <t xml:space="preserve">DIEGO GARCIA OROPEZA </t>
  </si>
  <si>
    <t>DOMINGO GOMEZ OROPEZA</t>
  </si>
  <si>
    <t>DANIEL SANCHEZ MEJIA</t>
  </si>
  <si>
    <t xml:space="preserve">DIONICIO ORTIZ ROMERO </t>
  </si>
  <si>
    <t>DANIEL ROMERO REYES</t>
  </si>
  <si>
    <t>DANIEL SANCHEZ GOMEZ</t>
  </si>
  <si>
    <t xml:space="preserve">DANIEL MARTINEZ FRANCO </t>
  </si>
  <si>
    <t>DEMETRIO ISLAS ESCALONA</t>
  </si>
  <si>
    <t>EVERALDO GENCHI OROPEZA</t>
  </si>
  <si>
    <t xml:space="preserve">EPIFANIO PEREZ FLOREZ </t>
  </si>
  <si>
    <t>EVARISTO GOMEZ GOMEZ</t>
  </si>
  <si>
    <t xml:space="preserve">ENRRIQUE  MENA MEJIA </t>
  </si>
  <si>
    <t xml:space="preserve">EUSEBIO MENA OROPEZA </t>
  </si>
  <si>
    <t>EDUARDO OROPEZA GOMEZ</t>
  </si>
  <si>
    <t>ENRIQUE MENA OROPEZA</t>
  </si>
  <si>
    <t xml:space="preserve">ENRIQUE OROPEZA GARCIA </t>
  </si>
  <si>
    <t xml:space="preserve">ELENA ACOSTA JIMENEZ </t>
  </si>
  <si>
    <t xml:space="preserve">EDUARDO PERALTA NAVA </t>
  </si>
  <si>
    <t xml:space="preserve">EDWIN PONCE VAZQUEZ </t>
  </si>
  <si>
    <t xml:space="preserve">ENRIQUE VARGAS PONCE </t>
  </si>
  <si>
    <t xml:space="preserve">ELSA NOBIA RODRIGUEZ HERNANDEZ  </t>
  </si>
  <si>
    <t>ERNESTO ORTIZ OROPEZA</t>
  </si>
  <si>
    <t xml:space="preserve">ELDER VARGAS TAPIA </t>
  </si>
  <si>
    <t>EFRAIN VARGAS JIMENEZ</t>
  </si>
  <si>
    <t xml:space="preserve">EDUARDO  GOMEZ GARCIA </t>
  </si>
  <si>
    <t xml:space="preserve">EVERARDO GENCHI GARCIA </t>
  </si>
  <si>
    <t xml:space="preserve">ENRIQUE  MORALES SALAZAR </t>
  </si>
  <si>
    <t xml:space="preserve">EVA FRANCO HERNANDEZ  </t>
  </si>
  <si>
    <t xml:space="preserve">ERIK TORRES HERNANDEZ </t>
  </si>
  <si>
    <t xml:space="preserve">EUSEBIO MENA RIVERA </t>
  </si>
  <si>
    <t xml:space="preserve">ERIK E. VARELA ANGELES </t>
  </si>
  <si>
    <t xml:space="preserve">ENRIQUE VARGAS VARGAS </t>
  </si>
  <si>
    <t>FELIPE SANCHEZ BECERRA</t>
  </si>
  <si>
    <t>FRANCISCO JAVIER MORALES RODRIGUEZ</t>
  </si>
  <si>
    <t>FLORENTINO OROPEZA GOMEZ</t>
  </si>
  <si>
    <t>FEDERICO SANCHEZ MEJIA</t>
  </si>
  <si>
    <t xml:space="preserve">FILEMON VARGAS MENA </t>
  </si>
  <si>
    <t xml:space="preserve">FELIPE OROPEZA GOMEZ  </t>
  </si>
  <si>
    <t>FILEMON MACIAS</t>
  </si>
  <si>
    <t>FRANCISCA PEREZ FLORES</t>
  </si>
  <si>
    <t xml:space="preserve">FERNANDO CRUZ VARGAS </t>
  </si>
  <si>
    <t>FILEMON VALLEJO CONTRERAS</t>
  </si>
  <si>
    <t xml:space="preserve">FEDERICO MENA MEJIA </t>
  </si>
  <si>
    <t xml:space="preserve">FELIPE ORTIZ JIMENEZ </t>
  </si>
  <si>
    <t>FEDERICO VELAZQUEZ RAMIREZ</t>
  </si>
  <si>
    <t>FRANCISCO GOMEZ OROPEZA</t>
  </si>
  <si>
    <t xml:space="preserve">FELIPE PERALTA NAVA </t>
  </si>
  <si>
    <t>FEDERICO MACIAS  ORTIZ</t>
  </si>
  <si>
    <t>FRANCISCO BARRERA HERNANDEZ</t>
  </si>
  <si>
    <t>FERNANDO MARTINEZ HERNANDEZ</t>
  </si>
  <si>
    <t>FORTINO SANCHEZ PEREZ</t>
  </si>
  <si>
    <t xml:space="preserve">FELIPE DE JESUS OLVERA FAJARDA </t>
  </si>
  <si>
    <t xml:space="preserve">FELIPE OLVERA RIVERA </t>
  </si>
  <si>
    <t>FELIPE DE JESUS SANCHEZ OROPEZA</t>
  </si>
  <si>
    <t>FELIX OLVERA JIMENEZ</t>
  </si>
  <si>
    <t>FRANCISCO VARGAS JIMENEZ</t>
  </si>
  <si>
    <t xml:space="preserve">GUMECINDO ORTIZ JIMENEZ </t>
  </si>
  <si>
    <t xml:space="preserve">GERARDO SANCHEZ VARGAS </t>
  </si>
  <si>
    <t>GENARO GOMEZ OROPEZA</t>
  </si>
  <si>
    <t>GILLERMINA OROPEZA HERNANDEZ</t>
  </si>
  <si>
    <t xml:space="preserve">GUADALUPE LULO ROJAS </t>
  </si>
  <si>
    <t xml:space="preserve">GUADALUPE RAMOS CARLOS </t>
  </si>
  <si>
    <t xml:space="preserve">GILLERMINA PEREZ HERNANDEZ </t>
  </si>
  <si>
    <t>GALDINO VARGAS HERNANDEZ</t>
  </si>
  <si>
    <t>GABRIEL RODRIGUEZ CHAVEZ</t>
  </si>
  <si>
    <t>GABRIEL FRANCO HERNANDEZ</t>
  </si>
  <si>
    <t>GABRIELA FRANCO MENA</t>
  </si>
  <si>
    <t>GONZALO EZPINOZA GOMEZ</t>
  </si>
  <si>
    <t xml:space="preserve">GUADALUPE VARGAS VARGAS </t>
  </si>
  <si>
    <t>GUADALUPE LOPEZ RODRIGUEZ</t>
  </si>
  <si>
    <t>GUILLERMO GARCIA JIMENEZ</t>
  </si>
  <si>
    <t>GUSTAVO TREJO CARVAJAL</t>
  </si>
  <si>
    <t xml:space="preserve">GERARDO ORTIZ CERON </t>
  </si>
  <si>
    <t>GREGORIO RODRIGUEZ FLORES</t>
  </si>
  <si>
    <t>GABINA FRANCO MARTINEZ</t>
  </si>
  <si>
    <t xml:space="preserve">GUADALUPE HERNANDEZ FRANCO </t>
  </si>
  <si>
    <t>GABINO VARGAS JIMENEZ</t>
  </si>
  <si>
    <t>GUILLERMO OROPEZA TORRES</t>
  </si>
  <si>
    <t xml:space="preserve">GISELA SANCHEZ ESTRADA </t>
  </si>
  <si>
    <t xml:space="preserve">GUSTAVO OROPEZA SANCHEZ </t>
  </si>
  <si>
    <t xml:space="preserve">GERMAN MARTINEZ FRANCO </t>
  </si>
  <si>
    <t>GUADALUPE MENA SANCHEZ</t>
  </si>
  <si>
    <t>GREGORIO MENA GOMEZ</t>
  </si>
  <si>
    <t>GERMAN MARTINEZ HERNANDEZ</t>
  </si>
  <si>
    <t>GERARDO SANCHEZ OROPEZA</t>
  </si>
  <si>
    <t>GLORIA ARROYO</t>
  </si>
  <si>
    <t xml:space="preserve">GABRIEL CASTILLO PERALTA </t>
  </si>
  <si>
    <t>GERMAN MARIN PATIÑO</t>
  </si>
  <si>
    <t>HUGO GARCIA JIMENEZ</t>
  </si>
  <si>
    <t>HECTOR ROMERO ACOSTA</t>
  </si>
  <si>
    <t xml:space="preserve">HEBERTO SANCHEZ MEJIA </t>
  </si>
  <si>
    <t>HILARION GOMEZ ROSAS</t>
  </si>
  <si>
    <t>HIPOLITO GOMEZ PEREZ</t>
  </si>
  <si>
    <t xml:space="preserve">HUGO HERNANDEZ VARGAS </t>
  </si>
  <si>
    <t>HONORIO HERNANDEZ SANCHEZ</t>
  </si>
  <si>
    <t xml:space="preserve">HERMINIA FRANCO ALANIZ </t>
  </si>
  <si>
    <t xml:space="preserve">HECTOR TORRES CASTILLO </t>
  </si>
  <si>
    <t xml:space="preserve">HEBERTO SANCHEZ ORTIZ </t>
  </si>
  <si>
    <t>HUGO MARTINEZ SANCHEZ</t>
  </si>
  <si>
    <t xml:space="preserve">HORTENCIA MENA GARCIA </t>
  </si>
  <si>
    <t>HUGO LUGO GONZALEZ</t>
  </si>
  <si>
    <t>HILARIO OROPEZA SANCHEZ</t>
  </si>
  <si>
    <t>INES FRANCO HERNANDEZ</t>
  </si>
  <si>
    <t>IRMA MORALES RODRIGUEZ</t>
  </si>
  <si>
    <t xml:space="preserve">ISAAC HERNANDEZ  RIVERA </t>
  </si>
  <si>
    <t>ISMAEL MORALES CASTILLO</t>
  </si>
  <si>
    <t>IGNACIO OROPEZA SANCHEZ</t>
  </si>
  <si>
    <t>JOSE FELIX OLVERA JIMENEZ</t>
  </si>
  <si>
    <t xml:space="preserve">JOSE ALBERTO GOMEZ GARCIA </t>
  </si>
  <si>
    <t>JOSE FELIX MARTINEZ OROPEZA</t>
  </si>
  <si>
    <t>JOSE LUIS MARTINEZ RODRIGUEZ</t>
  </si>
  <si>
    <t xml:space="preserve">JOSE LUIS  JUAREZ LULO </t>
  </si>
  <si>
    <t>JORGE SANCHEZ RIVERA</t>
  </si>
  <si>
    <t xml:space="preserve">JAIME HERNANDEZ MENA </t>
  </si>
  <si>
    <t>JOSE LUIS SANCHEZ GOMEZ</t>
  </si>
  <si>
    <t>JESUS SANCHEZ OROPEZA</t>
  </si>
  <si>
    <t>JULIA PEREZ FLORES</t>
  </si>
  <si>
    <t>JOSE GABINO OROPEZA DOMINGUEZ</t>
  </si>
  <si>
    <t xml:space="preserve">JOSE SAMUEL LULO GILLEN </t>
  </si>
  <si>
    <t>JOSE MENA MEJIA</t>
  </si>
  <si>
    <t>JAVIER TORRES SANCHEZ</t>
  </si>
  <si>
    <t>JUAN ALBERTO OROPEZA ORTIZ</t>
  </si>
  <si>
    <t>JESUS ENRIQUE MENA ORTIZ</t>
  </si>
  <si>
    <t>JUAN VARGAS CHAVEZ</t>
  </si>
  <si>
    <t xml:space="preserve">JOSE LUIS GOMEZ GARCIA </t>
  </si>
  <si>
    <t>JOSE SALVADOR LOPEZ PEREZ</t>
  </si>
  <si>
    <t>JUAN SANCHEZ PEREZ</t>
  </si>
  <si>
    <t>JESUS CASTILLO GUTIERREZ</t>
  </si>
  <si>
    <t xml:space="preserve">JOSE ALFREDO JIMENEZ OLGUIN </t>
  </si>
  <si>
    <t>JUAN CASTILLO GUTIERREZ</t>
  </si>
  <si>
    <t>JUAN FRANCISCO GONZALES GOMEZ</t>
  </si>
  <si>
    <t xml:space="preserve">JESUS GONZALO EZPINOZA MORENO </t>
  </si>
  <si>
    <t xml:space="preserve">JUAN ARMANO CRUZ VARGAS </t>
  </si>
  <si>
    <t>JOSE ALBERTO GOMEZ PEREZ</t>
  </si>
  <si>
    <t>JONATAN MARTINEZ ARROYO</t>
  </si>
  <si>
    <t xml:space="preserve">JUDITH VARGAS HERNANDEZ </t>
  </si>
  <si>
    <t xml:space="preserve">JUAN FRANCISCO ISLAS ESCALONA </t>
  </si>
  <si>
    <t>JULIA MENA SANCHEZ</t>
  </si>
  <si>
    <t>JULIO CESAR BENITEZ SANCHEZ</t>
  </si>
  <si>
    <t>JUAN CARLOS RODRIGUEZ HERNANDEZ</t>
  </si>
  <si>
    <t xml:space="preserve">JUAN JOSE HERNANDEZ VARGAS </t>
  </si>
  <si>
    <t xml:space="preserve">JACINTO CAMILO GARCIA </t>
  </si>
  <si>
    <t xml:space="preserve">JOSE IGNACIO ORTIZ GARCIA </t>
  </si>
  <si>
    <t>JUAN CARLOS GOMEZ GOMEZ</t>
  </si>
  <si>
    <t xml:space="preserve">JOSE ANSELMO VARGAS VARGAS </t>
  </si>
  <si>
    <t>JOSE AVILEZ PEÑA</t>
  </si>
  <si>
    <t xml:space="preserve">JORGE GOMEZ GARCIA </t>
  </si>
  <si>
    <t>JOSE ISMAEL VELAZQUES RODRIGUEZ</t>
  </si>
  <si>
    <t>JOSE LUIS HERNANDEZ SANCHEZ</t>
  </si>
  <si>
    <t>JAIME SANCHEZ ORTIZ</t>
  </si>
  <si>
    <t>JOSE HERNANDEZ PEREZ</t>
  </si>
  <si>
    <t>JAVIER SANCHEZ ORTIZ</t>
  </si>
  <si>
    <t xml:space="preserve">JOEL MONTES DE OCA NIETO </t>
  </si>
  <si>
    <t xml:space="preserve">JUAN PABLO GOMEZ GARCIA </t>
  </si>
  <si>
    <t>JORGE ACOSTA OROPEZA</t>
  </si>
  <si>
    <t>JUAN PONCE VAZQUEZ</t>
  </si>
  <si>
    <t>JUAN CARLOS GUTIERREZ SANCHEZ</t>
  </si>
  <si>
    <t xml:space="preserve">JUAN ANTONIO MARTINEZ FRANCO </t>
  </si>
  <si>
    <t xml:space="preserve">JUAN CRUZ MENA </t>
  </si>
  <si>
    <t>JOSE GUZMAN FERREIRA</t>
  </si>
  <si>
    <t>JOVANNY VARGAS ORTIZ</t>
  </si>
  <si>
    <t xml:space="preserve">JULIO ROSAS LAZARO </t>
  </si>
  <si>
    <t>JUAN PONCE VARGAS</t>
  </si>
  <si>
    <t>JUAN PABLO GOMEZ MORALES</t>
  </si>
  <si>
    <t>JESUS SANCHEZ JIMENEZ</t>
  </si>
  <si>
    <t>JORGE GOMEZ TELLEZ</t>
  </si>
  <si>
    <t>LUIS ANTONIO GARCIA RIVERA</t>
  </si>
  <si>
    <t>LUCIANO OROPEZA RIVERA</t>
  </si>
  <si>
    <t>LAURA PEREZ FLORES</t>
  </si>
  <si>
    <t xml:space="preserve">LAUREANO FRANCO HERNANDEZ </t>
  </si>
  <si>
    <t>LUIS RAMIREZ OROPEZA</t>
  </si>
  <si>
    <t>LUIS SANCHEZ PEREZ</t>
  </si>
  <si>
    <t xml:space="preserve">LAURA PERALTA NAVA </t>
  </si>
  <si>
    <t xml:space="preserve">LUIS ANGEL OAXACA MENA </t>
  </si>
  <si>
    <t xml:space="preserve">LEONOR ORTIZ GARCIA </t>
  </si>
  <si>
    <t xml:space="preserve">LILIANA ORTIZ MATURANO </t>
  </si>
  <si>
    <t xml:space="preserve">LUIS MANUEL VARELA CARVAJAL </t>
  </si>
  <si>
    <t xml:space="preserve">LILIA GARCIA SOTO </t>
  </si>
  <si>
    <t>LUIS  PEREZ MENDOZA</t>
  </si>
  <si>
    <t xml:space="preserve">LUIS ROMERO LUGO  </t>
  </si>
  <si>
    <t xml:space="preserve">MANUEL FRANCO HERNANDEZ </t>
  </si>
  <si>
    <t xml:space="preserve">MARIO MARTINEZ SANCHEZ </t>
  </si>
  <si>
    <t>MARTIN TREJO ACUÑA</t>
  </si>
  <si>
    <t xml:space="preserve">MANUEL VARELA REGALADO </t>
  </si>
  <si>
    <t xml:space="preserve">MARTIN HERNANDEZ LEDEZMA </t>
  </si>
  <si>
    <t>MODESTO OROPEZA MENDOZA</t>
  </si>
  <si>
    <t>MIGUEL OROPEZA RIVERA</t>
  </si>
  <si>
    <t>MARGARITA TORRES HERNANDEZ</t>
  </si>
  <si>
    <t xml:space="preserve">MICAELA CABRERA ANTONIO </t>
  </si>
  <si>
    <t>MIGUEL OROPEZA  SANCHEZ</t>
  </si>
  <si>
    <t xml:space="preserve">MARCO ANTONIO VARELA ROMERO </t>
  </si>
  <si>
    <t xml:space="preserve">MIGUEL PERALTA NAVA </t>
  </si>
  <si>
    <t>MARIO  ALBERTO GRANADOS ZAMORA</t>
  </si>
  <si>
    <t>MISAEL PERALTAPIÑA</t>
  </si>
  <si>
    <t>MARIA DE JESUS FRANCO HERNANDEZ</t>
  </si>
  <si>
    <t>MARIBEL ORTIZ OROPEZA</t>
  </si>
  <si>
    <t>MARIA FELIX VARGAS JIMENEZ</t>
  </si>
  <si>
    <t>MOISES ORTIZ GOMEZ</t>
  </si>
  <si>
    <t xml:space="preserve">MARIA GUADALUPE MORENO RIVERA </t>
  </si>
  <si>
    <t>MARIA DE LAS NIEVES PEREZ FLORES</t>
  </si>
  <si>
    <t>MARIA MAGDALENA MORALES RODRIGUEZ</t>
  </si>
  <si>
    <t>MIGUEL VARGAS VARGAS</t>
  </si>
  <si>
    <t>MARCELO FRANCO HERNANDEZ</t>
  </si>
  <si>
    <t>MIGUEL OROPEZA PEREZ</t>
  </si>
  <si>
    <t>MAGDALENO PEREZ HERNANDEZ</t>
  </si>
  <si>
    <t xml:space="preserve">MELQUIADES SANCHEZ VARGAS </t>
  </si>
  <si>
    <t xml:space="preserve">MIGUEL ANGEL ROMERO MENA </t>
  </si>
  <si>
    <t xml:space="preserve">MACARIO FLORES RAMOS </t>
  </si>
  <si>
    <t>MIGUEL GARCIA OROPEZA</t>
  </si>
  <si>
    <t>MAURO OROPEZA GOMEZ</t>
  </si>
  <si>
    <t>MARICELA MARTINEZ SANCHEZ</t>
  </si>
  <si>
    <t>MARCELO BENITEZ SANCHEZ</t>
  </si>
  <si>
    <t>MIGUEL TORRES ORTIZ</t>
  </si>
  <si>
    <t xml:space="preserve">MARTIN ORTIZ MATURANO </t>
  </si>
  <si>
    <t xml:space="preserve">MIGUEL SERRANO OROPEZA </t>
  </si>
  <si>
    <t xml:space="preserve">MARCELO CASTILLO ESCUDERO </t>
  </si>
  <si>
    <t>MIGUEL OROPEZA GOMEZ</t>
  </si>
  <si>
    <t>MARIA MARTINEZ HERNANDEZ</t>
  </si>
  <si>
    <t>MARIA EUGENIA ACOSTA OROPEZA</t>
  </si>
  <si>
    <t>MARIO HERNANDEZ SANCHEZ</t>
  </si>
  <si>
    <t>MARITZA OROPEZA TELLEZ</t>
  </si>
  <si>
    <t xml:space="preserve">MARCO POLO TRINIDAD ROMERO </t>
  </si>
  <si>
    <t xml:space="preserve">MODESTA TRINIDAD HERNANDEZ CASTILLO </t>
  </si>
  <si>
    <t>MIGUEL ANGEL GRANADOS JIMENEZ</t>
  </si>
  <si>
    <t xml:space="preserve">MARTIN ORTIZ GARCIA  </t>
  </si>
  <si>
    <t xml:space="preserve">MAGDALI CONSEPCION GOMEZ OLVERA </t>
  </si>
  <si>
    <t xml:space="preserve">MARIA DE JESUS MENA MAYA </t>
  </si>
  <si>
    <t xml:space="preserve">MARICELA GONZALES JARAMILLO </t>
  </si>
  <si>
    <t xml:space="preserve">MIGUEL ANGEL LANDA OLGUIN </t>
  </si>
  <si>
    <t xml:space="preserve">NARCISO MENA MEJIA </t>
  </si>
  <si>
    <t>NORMA MENA GOMEZ</t>
  </si>
  <si>
    <t xml:space="preserve">NANCY ORTIZ HERNANDEZ </t>
  </si>
  <si>
    <t>OSCAR VARGAS VARGAS</t>
  </si>
  <si>
    <t xml:space="preserve">OSCAR HERNANDEZ MENA </t>
  </si>
  <si>
    <t xml:space="preserve">OLIVIA ESTEFANI GOMEZ BECERRA </t>
  </si>
  <si>
    <t xml:space="preserve">OCTAVIO OROPEZA ORTIZ </t>
  </si>
  <si>
    <t xml:space="preserve">OSCAR VARGAS GOMEZ </t>
  </si>
  <si>
    <t xml:space="preserve">OCTAVIANO ORTIZ CERON </t>
  </si>
  <si>
    <t>OSCAR MENA GOMEZ</t>
  </si>
  <si>
    <t>ONESIMO RODRIGUEZ PAVIA</t>
  </si>
  <si>
    <t xml:space="preserve">PEDRO PEREZ GERMAN </t>
  </si>
  <si>
    <t>PABLO OLVERA RIVERA</t>
  </si>
  <si>
    <t>PABLO OLVERA JIMENEZ</t>
  </si>
  <si>
    <t>PIEDAD SANCHEZ PEREZ</t>
  </si>
  <si>
    <t xml:space="preserve">PAZ FRANCO HERNANDEZ </t>
  </si>
  <si>
    <t xml:space="preserve">PORFIRIO HERNANDEZ LECHUGA </t>
  </si>
  <si>
    <t>PEDRO FLORES ESPERILLA</t>
  </si>
  <si>
    <t>PABLO  CESAR MARTINEZ SANCHEZ</t>
  </si>
  <si>
    <t>PABLO GOMEZ OROPEZA</t>
  </si>
  <si>
    <t>PEDRO JIMENEZ OROPEZA</t>
  </si>
  <si>
    <t xml:space="preserve">PABLO SANCHEZ VENEGAS </t>
  </si>
  <si>
    <t xml:space="preserve">PAULINO OROPEZA GARCIA </t>
  </si>
  <si>
    <t xml:space="preserve">PORFIRIO OROPEZA TALONIA </t>
  </si>
  <si>
    <t xml:space="preserve">PEDRO HERNANDEZ ESTRADA 1 </t>
  </si>
  <si>
    <t>PABLO ESTRADA JIMENEZ</t>
  </si>
  <si>
    <t>PEDRO PEREZ HERNANDEZ</t>
  </si>
  <si>
    <t xml:space="preserve">PABLO CLEMENTE ORTIZ GARCIA </t>
  </si>
  <si>
    <t>PEDRO HERNANDEZ GODINEZ</t>
  </si>
  <si>
    <t>PONCIANO RAMIREZ RIVERA</t>
  </si>
  <si>
    <t xml:space="preserve">ROBERTO LULO LULO </t>
  </si>
  <si>
    <t xml:space="preserve">REYES HERNANDEZ SANCHEZ </t>
  </si>
  <si>
    <t xml:space="preserve">RAUL ORTIZ GARCIA </t>
  </si>
  <si>
    <t xml:space="preserve">RICARDO GOMEZ CARABIL </t>
  </si>
  <si>
    <t xml:space="preserve">RUBEN ORTIZ GARCIA </t>
  </si>
  <si>
    <t xml:space="preserve">RUBEN PINEDA MENA </t>
  </si>
  <si>
    <t xml:space="preserve">REYNA RODRIGUEZ MARTINEZ </t>
  </si>
  <si>
    <t xml:space="preserve">RODOLFO GOMEZ ROSAS </t>
  </si>
  <si>
    <t xml:space="preserve">ROBERTO MOLIN ESTRADA </t>
  </si>
  <si>
    <t xml:space="preserve">RAFAEL SANCHEZ OROPEZA </t>
  </si>
  <si>
    <t>ROSA MARIA RODRIGUEZ CHAVEZ</t>
  </si>
  <si>
    <t xml:space="preserve">REFUGIO MENA SANCHEZ </t>
  </si>
  <si>
    <t>REYES GOMEZ OROPEZA</t>
  </si>
  <si>
    <t xml:space="preserve">ROBERTO SANCHEZ MENA </t>
  </si>
  <si>
    <t xml:space="preserve">ROBERTO AYALA OSORNO </t>
  </si>
  <si>
    <t>REYNA OROPEZA GARCIA</t>
  </si>
  <si>
    <t>RAUL GOMEZ OROPEZA</t>
  </si>
  <si>
    <t xml:space="preserve">REEGINA OROPEZA MENA </t>
  </si>
  <si>
    <t>ROBERTO MENA TORRES</t>
  </si>
  <si>
    <t xml:space="preserve">RAFAEL ACOSTA JIMENEZ </t>
  </si>
  <si>
    <t>ROBERTO JAVIER LOPEZ RODRIGUEZ</t>
  </si>
  <si>
    <t xml:space="preserve">RAYMUNDO ORTIZ GARCIA </t>
  </si>
  <si>
    <t>RAYMUNDO GRANADOS JIMENEZ</t>
  </si>
  <si>
    <t xml:space="preserve">ROSA PIÑA VILLEDA </t>
  </si>
  <si>
    <t>RAFAEL TORRES LOPEZ</t>
  </si>
  <si>
    <t>REYES JIMENEZ OROPEZA</t>
  </si>
  <si>
    <t>ROGELIO ORTIZ ANGELES</t>
  </si>
  <si>
    <t>REYNA EDITH MENA TORRES</t>
  </si>
  <si>
    <t xml:space="preserve">RODOLFO MARTINEZ SANCHEZ </t>
  </si>
  <si>
    <t xml:space="preserve">RAQUEL HERNANDEZ CASTILLO </t>
  </si>
  <si>
    <t xml:space="preserve">RAUL CRUZ GRANADOS </t>
  </si>
  <si>
    <t>RODOLFO GOMEZ OLVERA</t>
  </si>
  <si>
    <t>RICARDO CASTILLO OROPEZA</t>
  </si>
  <si>
    <t xml:space="preserve">RAFAEL EVARISTO SANCHEZ VARGAS </t>
  </si>
  <si>
    <t>RODOLFO OROPEZA RIVERA</t>
  </si>
  <si>
    <t>SERGIO OROPEZA GOMEZ</t>
  </si>
  <si>
    <t xml:space="preserve">SERGIO LICEA ESCAMILLA </t>
  </si>
  <si>
    <t>SANDRA AGUILAR HERNANDEZ</t>
  </si>
  <si>
    <t>SUSANA AVILES HERNANDEZ</t>
  </si>
  <si>
    <t xml:space="preserve">SERGIO CASTILLO GUZMAN </t>
  </si>
  <si>
    <t>SANTIAGO GOMEZPEREZ</t>
  </si>
  <si>
    <t xml:space="preserve">SOFIA HERNANDEZ CASTILLO </t>
  </si>
  <si>
    <t>SALVADOR VARGAS JIMENEZ</t>
  </si>
  <si>
    <t>SAMUEL GUITERREZ SANCHEZ</t>
  </si>
  <si>
    <t>SALVADOR VARGAS ORTIZ</t>
  </si>
  <si>
    <t>URBANO GOMEZ OROPEZA</t>
  </si>
  <si>
    <t>VICTOR MANUEL VARGAS HERNANDEZ</t>
  </si>
  <si>
    <t>VALENTIN SANCHEZ MEJIA</t>
  </si>
  <si>
    <t>VERONICA SANCHEZ OROPEZA</t>
  </si>
  <si>
    <t>VICENTE SANCHEZ VARGAS</t>
  </si>
  <si>
    <t>VICTOR MANUEL OROPEZA FLORES</t>
  </si>
  <si>
    <t xml:space="preserve">VICTOR CASTILLO PERALTA </t>
  </si>
  <si>
    <t>VICTOR MANUEL SANCHEZ OROPEZA</t>
  </si>
  <si>
    <t>VALENTIN SANCHEZ OROPEZA</t>
  </si>
  <si>
    <t>VALENTINA MARTINEZ LEDEZMA</t>
  </si>
  <si>
    <t>VICENTE PEREZ FLORES</t>
  </si>
  <si>
    <t xml:space="preserve">VICENTE PINEDA MENA </t>
  </si>
  <si>
    <t>VICENTE TORRES RODRIGUEZ</t>
  </si>
  <si>
    <t>TERESA MENA OROPEZA</t>
  </si>
  <si>
    <t>TORIBIO MENA PEREZ</t>
  </si>
  <si>
    <t xml:space="preserve">XOCHITL ADRIANA SILVA MORALES </t>
  </si>
  <si>
    <t xml:space="preserve">YOLANDA HERNANDEZ CRUZ </t>
  </si>
  <si>
    <t>YESSENIA VARGAS OLVERA</t>
  </si>
  <si>
    <t>ZENON RAMIREZ FLORES</t>
  </si>
  <si>
    <t xml:space="preserve">ZENON VARGAS VARGAS </t>
  </si>
  <si>
    <t>CALLE</t>
  </si>
  <si>
    <t>DIAS DE SUBMINISTRO</t>
  </si>
  <si>
    <t xml:space="preserve">NOMBRE DE USUARIO </t>
  </si>
  <si>
    <t>RESPONSABLE :</t>
  </si>
  <si>
    <t>AÑO :</t>
  </si>
  <si>
    <t xml:space="preserve">MIGUEL MIGUEL ANGELICA MARIA </t>
  </si>
  <si>
    <t xml:space="preserve">ARTURO MENA GOMEZ </t>
  </si>
  <si>
    <t>ENERO</t>
  </si>
  <si>
    <t>PAGO POR USUARIO</t>
  </si>
  <si>
    <t>Columna1</t>
  </si>
  <si>
    <t>MAYO</t>
  </si>
  <si>
    <t>JULIO</t>
  </si>
  <si>
    <t xml:space="preserve">total anual recolectado </t>
  </si>
  <si>
    <t>TOTAL POR MES :</t>
  </si>
  <si>
    <t>CONCEPTO</t>
  </si>
  <si>
    <t xml:space="preserve">FEBRERO </t>
  </si>
  <si>
    <t>JUNIO</t>
  </si>
  <si>
    <t xml:space="preserve">TOTAL DE GASTOS MENSUALES </t>
  </si>
  <si>
    <t>INGRESOS</t>
  </si>
  <si>
    <t>GASTOS</t>
  </si>
  <si>
    <t>CAPITAL</t>
  </si>
  <si>
    <t>CAPITAL CON EL QUE SE CUENTA AL FINAL DEL AÑO</t>
  </si>
  <si>
    <t xml:space="preserve">DEUDA POR PARTE DE PERSONAS QUE SE RETRASARON EN EL AÑO </t>
  </si>
  <si>
    <t>TIPO DE CONSUMIDOR</t>
  </si>
  <si>
    <t xml:space="preserve">MES DE ALTA </t>
  </si>
  <si>
    <t xml:space="preserve">MES DE BAJA </t>
  </si>
  <si>
    <t>BAJAS</t>
  </si>
  <si>
    <t>ALTAS</t>
  </si>
  <si>
    <t>COMPLETO</t>
  </si>
  <si>
    <t>AV. LINDEROS</t>
  </si>
  <si>
    <t>AURELIO CRUZ SALAS</t>
  </si>
  <si>
    <t xml:space="preserve">MOISES ISLAS PARDO </t>
  </si>
  <si>
    <t>AV.PUERTO</t>
  </si>
  <si>
    <t>EFREN VARGAS VARGAS</t>
  </si>
  <si>
    <t>BUGAMBILIAS</t>
  </si>
  <si>
    <t>ALBERTO VARGAS TAPIA</t>
  </si>
  <si>
    <t>AMADO MORENO FIGEROA</t>
  </si>
  <si>
    <t>AMPARO DEL SOCORRO LOPEZ GUILLERMO</t>
  </si>
  <si>
    <t>APOLONIA HERNANDEZ CASTILLO</t>
  </si>
  <si>
    <t>CRISTIAN MANUEL ROSAS SANCHEZ</t>
  </si>
  <si>
    <t>EDUARDO MARTINEZ ARROYO</t>
  </si>
  <si>
    <t>FERNANDO MARTINEZ ARROYO</t>
  </si>
  <si>
    <t>GABRIEL SANCHEZ PEREZ</t>
  </si>
  <si>
    <t>JUAN MIGUEL NAVARRO VARGAS</t>
  </si>
  <si>
    <t xml:space="preserve">LUIS ENRRIQUE SANCHEZ FRANCO </t>
  </si>
  <si>
    <t>ROCIO PERALTA NAVA</t>
  </si>
  <si>
    <t>TERESA HERNANDEZ CASTILLO</t>
  </si>
  <si>
    <t xml:space="preserve">ARTURO HERNANDEZ ESTEBAN </t>
  </si>
  <si>
    <t>MARIANA BAEZ LEON</t>
  </si>
  <si>
    <t xml:space="preserve">RENE ALEJANDRO NAJERA ORTEGA </t>
  </si>
  <si>
    <t xml:space="preserve">AMERICA CAMILA VARGAS HERNANDEZ </t>
  </si>
  <si>
    <t>C.BUGAMBILIAS</t>
  </si>
  <si>
    <t xml:space="preserve">ALBERTO PASCUALPEREZ FLORES 1 </t>
  </si>
  <si>
    <t>C.CRISANTEMOS</t>
  </si>
  <si>
    <t>ALBERTO PASCUALPEREZ FLORES 2</t>
  </si>
  <si>
    <t>ANTONI HARRISON PEREZ  AVILEZ</t>
  </si>
  <si>
    <t xml:space="preserve">CUATEMOC MARIN VELAZQUEZ </t>
  </si>
  <si>
    <t>MICAELA PEREZ FLORES</t>
  </si>
  <si>
    <t xml:space="preserve">SERGIO RAMIREZ ESCAMILLA </t>
  </si>
  <si>
    <t>FABIAN PEREZ PEREZ</t>
  </si>
  <si>
    <t xml:space="preserve">C.CRISANTEMOS </t>
  </si>
  <si>
    <t>C.GIRASOL</t>
  </si>
  <si>
    <t xml:space="preserve">MEDIO </t>
  </si>
  <si>
    <t xml:space="preserve">JOSE ULISES OROZCO NIEVES </t>
  </si>
  <si>
    <t>AMANDO OROPEZA VARGAS</t>
  </si>
  <si>
    <t>C.MARGARITAS</t>
  </si>
  <si>
    <t>C.VIOLETAS</t>
  </si>
  <si>
    <t xml:space="preserve">BELINDA PALOMINO VARGAS </t>
  </si>
  <si>
    <t>MARIA DEL SOCORRO GRANADOS JIMENEZ</t>
  </si>
  <si>
    <t>MARIA ISABEL GRANADOS JIMENEZ</t>
  </si>
  <si>
    <t>ROSA MARIA LOPEZ RODRIGUEZ</t>
  </si>
  <si>
    <t>ALEJANDRA CASTILLO OROPEZA</t>
  </si>
  <si>
    <t xml:space="preserve">CAMINO AL PANTEON </t>
  </si>
  <si>
    <t xml:space="preserve">ABRAHAM BRETON VELAZQUEZ 1 </t>
  </si>
  <si>
    <t>CANAL  INSURGENTES</t>
  </si>
  <si>
    <t>ABRAHAM BRETON VELAZQUEZ 2</t>
  </si>
  <si>
    <t>VIOLETA BRETON VELAZQUEZ</t>
  </si>
  <si>
    <t>CLAVEL</t>
  </si>
  <si>
    <t>AMALIA OLVERA RIVERA</t>
  </si>
  <si>
    <t>EFREN OLVERA RIVERA</t>
  </si>
  <si>
    <t>EMILIANO OROPEZA CORTES</t>
  </si>
  <si>
    <t xml:space="preserve">MAYRA ARACELI OAXACA MENA </t>
  </si>
  <si>
    <t>NORMA ISABEL OROPEZA GONGORA</t>
  </si>
  <si>
    <t>GUSTAVO LICEA ESCAMILLA</t>
  </si>
  <si>
    <t>CRISANTEMOS</t>
  </si>
  <si>
    <t>AUSENCIO PEREZ VILLEGAS</t>
  </si>
  <si>
    <t xml:space="preserve">AURELIO LOPEZ VALLE </t>
  </si>
  <si>
    <t>DANIEL ALEJANDRO ALANIZ PEREZ</t>
  </si>
  <si>
    <t>DEPARTAMENTO 1</t>
  </si>
  <si>
    <t>DEPARTAMENTO 2</t>
  </si>
  <si>
    <t xml:space="preserve">GREGORIO RODRIGUEZ FLORES </t>
  </si>
  <si>
    <t xml:space="preserve">JORGE GOMEZ PEREZ </t>
  </si>
  <si>
    <t xml:space="preserve">CRISANTEMOS </t>
  </si>
  <si>
    <t>DANIEL MESINOS</t>
  </si>
  <si>
    <t>DEPOSITO AGUA</t>
  </si>
  <si>
    <t xml:space="preserve">JESSICA MARLEN MENA MAYA  </t>
  </si>
  <si>
    <t>YASMIN BERENICE MENA MAYA</t>
  </si>
  <si>
    <t>FRESNOS</t>
  </si>
  <si>
    <t>CESAR GAMES NUÑES</t>
  </si>
  <si>
    <t xml:space="preserve">ESTEBAN PEREZ HERNANDEZ </t>
  </si>
  <si>
    <t xml:space="preserve">JORGE ORTIZ ROMERO </t>
  </si>
  <si>
    <t xml:space="preserve">NANCY PEREZ ROBLEDO </t>
  </si>
  <si>
    <t xml:space="preserve">OSMAR GOMEZ CARAVALIN </t>
  </si>
  <si>
    <t>GIRASOL</t>
  </si>
  <si>
    <t>ANSELMO HERNANDEZ PEREZ (RENTA)</t>
  </si>
  <si>
    <t>ANTONIO MENA OROPEZA</t>
  </si>
  <si>
    <t xml:space="preserve">ARIANA SANCHEZ FRANCO </t>
  </si>
  <si>
    <t>ARMANDO MENA MAYA</t>
  </si>
  <si>
    <t xml:space="preserve">CIRILO SILVA ROMERO </t>
  </si>
  <si>
    <t>DAVID SAUL MENA SANCHEZ</t>
  </si>
  <si>
    <t>EUSEBIO HERNANDEZ PEREZ</t>
  </si>
  <si>
    <t>MARIA BERNARDA RIVERO RAMIREZ</t>
  </si>
  <si>
    <t xml:space="preserve">MARINA SANCHEZ MENA </t>
  </si>
  <si>
    <t xml:space="preserve">MARTIN MENA MAYA </t>
  </si>
  <si>
    <t>OCTAVIANO MENA MAYA</t>
  </si>
  <si>
    <t>RITA SANCHEZ MATURANO</t>
  </si>
  <si>
    <t>ALFREDO OROPEZA GARCIA</t>
  </si>
  <si>
    <t xml:space="preserve">ADRIAN MENA OROPEZA </t>
  </si>
  <si>
    <t>HORTENCIA</t>
  </si>
  <si>
    <t>EFIGENIA SANCHEZ OROPEZA</t>
  </si>
  <si>
    <t>LAURA HERNANDEZ DIAZ</t>
  </si>
  <si>
    <t>ALFONSO FABIAN  OROPEZA GONGORA</t>
  </si>
  <si>
    <t>LAS TORRES</t>
  </si>
  <si>
    <t>BRENDA YESABETH PERALTA PIÑA</t>
  </si>
  <si>
    <t>CITLALI VARGAS GARCIA</t>
  </si>
  <si>
    <t xml:space="preserve">JESSICA GUADALUPE PERALTA ORTIZ </t>
  </si>
  <si>
    <t xml:space="preserve">JUSTINO HERNANDEZ ESTRADA </t>
  </si>
  <si>
    <t>MARIO SILVIANO HERNANDEZ PEREZ</t>
  </si>
  <si>
    <t>ANTONIO MARTINEZ HERNANDEZ</t>
  </si>
  <si>
    <t>MARAVILLAS</t>
  </si>
  <si>
    <t>CIPRIANO VELAZQUEZ CASTILLO</t>
  </si>
  <si>
    <t xml:space="preserve">GABRIEL GOMEZ OROPEZA HIJO </t>
  </si>
  <si>
    <t>GABRIEL GOMEZ OROPEZA PAPÁ</t>
  </si>
  <si>
    <t>MIRIAM GOMEZ OROPEZA</t>
  </si>
  <si>
    <t>PEDRO HERNANDEZ ESTRADA 2</t>
  </si>
  <si>
    <t>MARGARITAS</t>
  </si>
  <si>
    <t>AMANDO OROPEZA TORREZ</t>
  </si>
  <si>
    <t>ANTONIO ISLAS JIMENEZ</t>
  </si>
  <si>
    <t>EFREN RAMIREZ CRUZ</t>
  </si>
  <si>
    <t>RAUL GARCIA SOTO</t>
  </si>
  <si>
    <t>ROSA OROPEZA TORRES</t>
  </si>
  <si>
    <t>ALEJANDRO OROPEZA GARCIA</t>
  </si>
  <si>
    <t>NARANJOS</t>
  </si>
  <si>
    <t xml:space="preserve">DELFINA ORTIZ VELAZCO </t>
  </si>
  <si>
    <t>MARIO LUIS AVILA RUANO</t>
  </si>
  <si>
    <t>SANTIAGO OROPEZA GONGORA</t>
  </si>
  <si>
    <t>PANCHITOS</t>
  </si>
  <si>
    <t xml:space="preserve">PAOLA ARLET ORTIZ MENA </t>
  </si>
  <si>
    <t>VIOLETAS</t>
  </si>
  <si>
    <t>ESMERALDA MACEDO RIZO</t>
  </si>
  <si>
    <t>FIDEL  OROPEZA GONGORA</t>
  </si>
  <si>
    <t>ANTONI ROBERTO LOPEZ SANCHEZ</t>
  </si>
  <si>
    <t>GREGORIA GUTIERREZ PEREZ</t>
  </si>
  <si>
    <t>ITZEL ORTIZ ROJAS</t>
  </si>
  <si>
    <t>JACOBO OROPEZA GONGORA</t>
  </si>
  <si>
    <t xml:space="preserve">JESUS MORALES FRANCO </t>
  </si>
  <si>
    <t xml:space="preserve">JONATAN NICOLAS  LOPEZ SANCHEZ </t>
  </si>
  <si>
    <t>JOSE ANTONIO MARTINEZ SANCHEZ</t>
  </si>
  <si>
    <t>JOSE ANTONIO ORTIZ OROPEZA</t>
  </si>
  <si>
    <t>LEONARDO RAMIREZ GARCIA</t>
  </si>
  <si>
    <t xml:space="preserve">MARIA DEL SOCORRO PEREZ ALATORRE </t>
  </si>
  <si>
    <t>MARIA ELENA ESCAMILLA RODRIGUEZ</t>
  </si>
  <si>
    <t xml:space="preserve">PEDRO JUAREZ GARNICA </t>
  </si>
  <si>
    <t>RAUL OROPEZA HERNANDEZ</t>
  </si>
  <si>
    <t xml:space="preserve">SERGIO ORTIZ ROMERO </t>
  </si>
  <si>
    <t>cuenta deudores</t>
  </si>
  <si>
    <t>FELIPE DE JESUS VARGAS OLVERA</t>
  </si>
  <si>
    <t>EFREN VARGAS RAMIREZ</t>
  </si>
  <si>
    <t>LUIS ANGEL CRUZ VARGAS</t>
  </si>
  <si>
    <t xml:space="preserve">MARIA MAGDALENA PEREZ HERNANDEZ  </t>
  </si>
  <si>
    <t>JAVIER SANCHEZ PEREZ</t>
  </si>
  <si>
    <t>MIGUEL DELFINO NAVARRO LOPEZ</t>
  </si>
  <si>
    <t>EDMUNDA VARGAS</t>
  </si>
  <si>
    <t xml:space="preserve">MARIA DE JESUS CENTENO MURILLO  </t>
  </si>
  <si>
    <t xml:space="preserve">RUFINO FLORES BERNAL </t>
  </si>
  <si>
    <t>HERLINDO ACOSTA JIMENEZ</t>
  </si>
  <si>
    <t>ROSA ESTRADA JIMENEZ</t>
  </si>
  <si>
    <t>ROGELIO OROPEZA GONGORA</t>
  </si>
  <si>
    <t xml:space="preserve">EDILIA PEREZ HERNANDEZ </t>
  </si>
  <si>
    <t>FELIPE  DE JESUS VARGAS JIMENEZ</t>
  </si>
  <si>
    <t>GENARO FRANCO RAMIREZ</t>
  </si>
  <si>
    <t xml:space="preserve">IRMA SANCHEZ ESTRADA </t>
  </si>
  <si>
    <t>JUANA  MENA SANCHEZ</t>
  </si>
  <si>
    <t>LORENA HERNANDEZ VARGAS</t>
  </si>
  <si>
    <t>MARGARITO SANCHEZ PEREZ</t>
  </si>
  <si>
    <t xml:space="preserve">MARIA FELIX SANCHEZ PEREZ </t>
  </si>
  <si>
    <t xml:space="preserve">MARTHA MORALES ZALAZAR </t>
  </si>
  <si>
    <t>TELESFORO OROPEZA SANCHEZ</t>
  </si>
  <si>
    <t xml:space="preserve">GABINO MENA GARCIA </t>
  </si>
  <si>
    <t xml:space="preserve">IVAN MARTINEZ PERALTA </t>
  </si>
  <si>
    <t>MARGARITA MORALES CASTILLO</t>
  </si>
  <si>
    <t xml:space="preserve">OSCAR ACOSTA MENA </t>
  </si>
  <si>
    <t xml:space="preserve">PATRICIA  RODRIGUEZ SUCHIL </t>
  </si>
  <si>
    <t>REMEDIOS OROPEZA DOMINGUEZ</t>
  </si>
  <si>
    <t xml:space="preserve">GUSTAVO OROPEZA MENA </t>
  </si>
  <si>
    <t>JUANITA RODRIGUEZ ANGELES</t>
  </si>
  <si>
    <t xml:space="preserve">LUIS ARMANDO OROPEZA FLORES </t>
  </si>
  <si>
    <t>MARIA MAGADALENA HERNANDEZ JIMENEZ</t>
  </si>
  <si>
    <t>BAJA</t>
  </si>
  <si>
    <t xml:space="preserve">MES ADEUDO DE AÑOS PASADOS </t>
  </si>
  <si>
    <t>DEUDA TOTAL  EL $$</t>
  </si>
  <si>
    <t>DEUDA DE LOS MESES PASADOS EN $$</t>
  </si>
  <si>
    <t xml:space="preserve">DEUDA DEL AÑO 2013 $$ </t>
  </si>
  <si>
    <t xml:space="preserve">MESES DE ADEUDO EN TOTAL HASTA EL AÑO EN CURSO </t>
  </si>
  <si>
    <t xml:space="preserve">MESES DE ADEUDO DEL AÑO EN CURSO </t>
  </si>
  <si>
    <t>Precio del agua :</t>
  </si>
  <si>
    <t xml:space="preserve">COMITIVA DEL SERVICIO DE AGUA POTABLE DE LOMA LARGA ZUMPANGO ESTADO DE MÉXICO </t>
  </si>
  <si>
    <t>C.</t>
  </si>
  <si>
    <t>DEUDA TOTAL  EN $$</t>
  </si>
  <si>
    <t xml:space="preserve">precio de agua potable mensual </t>
  </si>
  <si>
    <t>Luz Electrica</t>
  </si>
  <si>
    <t xml:space="preserve">Administrativo </t>
  </si>
  <si>
    <t>mantenimiento</t>
  </si>
  <si>
    <t>valvulas</t>
  </si>
  <si>
    <t>arreglo de bomba</t>
  </si>
  <si>
    <t>ALBERTO ACOSTA JIMENEZ</t>
  </si>
  <si>
    <t>JAVIER VARELA OLGUIN</t>
  </si>
  <si>
    <t>JUAN MARTINEZ PERALTA</t>
  </si>
  <si>
    <t xml:space="preserve">MAXIMO FLORES VEGA </t>
  </si>
  <si>
    <t xml:space="preserve">RUBEN RAMIREZ RIVERO </t>
  </si>
  <si>
    <t>GABRIELA FRANCO ALANIZ</t>
  </si>
  <si>
    <t xml:space="preserve">JORGE LUIS ORTIZ GARCIA </t>
  </si>
  <si>
    <t xml:space="preserve">JESUS SANCHEZ MENA </t>
  </si>
  <si>
    <t>JUAN ANTONIO TORRES SANCHEZ</t>
  </si>
  <si>
    <t>JUAN PABLO GOMEZ GOMEZ</t>
  </si>
  <si>
    <t>NORMA OROPEZA TALONIA</t>
  </si>
  <si>
    <t>TOMASA JIMEZ ESCALANTE</t>
  </si>
  <si>
    <t>SERGIO ADRIAN OROPEZA JUAREZ</t>
  </si>
  <si>
    <t xml:space="preserve">SONIA LOPEZ GUILLERMO </t>
  </si>
  <si>
    <t xml:space="preserve">SERGIO HERNANDEZ RUIZ </t>
  </si>
  <si>
    <t>HORTENCIA HERNANDEZ RODRIGUEZ</t>
  </si>
  <si>
    <t xml:space="preserve">Fabricas </t>
  </si>
  <si>
    <t>NO</t>
  </si>
  <si>
    <t xml:space="preserve">DEUDORES DEL AÑO </t>
  </si>
  <si>
    <t>PERSONAS QUE NO CONCLUYERON EL PAGO ANUAL DE SERVICIO DE AGUA POTABLE</t>
  </si>
  <si>
    <t>PAGO DE DEUDA ANTERIOR EN MESES</t>
  </si>
  <si>
    <t>PADO DE DE DEUDA EN PESOS</t>
  </si>
  <si>
    <t xml:space="preserve">MESES DE DEUDA ANTES DE INICIAR EL AÑO </t>
  </si>
  <si>
    <t xml:space="preserve">DEUDA DEL AÑO 2021 $$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</si>
</sst>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2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u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14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u val="singleAccounting"/>
      <sz val="11"/>
      <name val="Calibri"/>
      <family val="2"/>
      <scheme val="minor"/>
    </font>
    <font>
      <sz val="16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u val="singleAccounting"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/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4" fillId="0" borderId="7" applyNumberFormat="0" applyFill="0" applyAlignment="0" applyProtection="0"/>
    <xf numFmtId="0" fontId="11" fillId="3" borderId="10" applyNumberFormat="0" applyAlignment="0" applyProtection="0"/>
    <xf numFmtId="0" fontId="5" fillId="3" borderId="8" applyNumberFormat="0" applyAlignment="0" applyProtection="0"/>
    <xf numFmtId="0" fontId="3" fillId="4" borderId="0" applyNumberFormat="0" applyBorder="0" applyAlignment="0" applyProtection="0"/>
  </cellStyleXfs>
  <cellXfs count="141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8" fillId="0" borderId="5" xfId="0" applyFont="1" applyBorder="1" applyAlignment="1">
      <alignment horizontal="left"/>
    </xf>
    <xf numFmtId="0" fontId="0" fillId="0" borderId="0" xfId="0" applyFill="1" applyBorder="1"/>
    <xf numFmtId="0" fontId="4" fillId="0" borderId="7" xfId="2"/>
    <xf numFmtId="0" fontId="10" fillId="0" borderId="0" xfId="0" applyFont="1" applyFill="1" applyBorder="1" applyAlignment="1">
      <alignment horizontal="left"/>
    </xf>
    <xf numFmtId="0" fontId="0" fillId="0" borderId="0" xfId="0" applyFont="1" applyFill="1" applyBorder="1"/>
    <xf numFmtId="44" fontId="0" fillId="0" borderId="0" xfId="1" applyFont="1"/>
    <xf numFmtId="0" fontId="8" fillId="0" borderId="9" xfId="0" applyFont="1" applyBorder="1" applyAlignment="1">
      <alignment horizontal="left"/>
    </xf>
    <xf numFmtId="0" fontId="8" fillId="6" borderId="5" xfId="0" applyFont="1" applyFill="1" applyBorder="1" applyAlignment="1">
      <alignment horizontal="left"/>
    </xf>
    <xf numFmtId="0" fontId="8" fillId="5" borderId="5" xfId="0" applyFont="1" applyFill="1" applyBorder="1" applyAlignment="1">
      <alignment horizontal="left"/>
    </xf>
    <xf numFmtId="44" fontId="0" fillId="0" borderId="0" xfId="0" applyNumberFormat="1"/>
    <xf numFmtId="44" fontId="0" fillId="0" borderId="0" xfId="1" applyFont="1" applyAlignment="1">
      <alignment horizontal="center"/>
    </xf>
    <xf numFmtId="0" fontId="7" fillId="7" borderId="2" xfId="0" applyFont="1" applyFill="1" applyBorder="1" applyAlignment="1">
      <alignment horizontal="center" wrapText="1"/>
    </xf>
    <xf numFmtId="0" fontId="6" fillId="7" borderId="6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14" fontId="1" fillId="7" borderId="2" xfId="0" applyNumberFormat="1" applyFont="1" applyFill="1" applyBorder="1" applyAlignment="1">
      <alignment horizontal="center" wrapText="1"/>
    </xf>
    <xf numFmtId="14" fontId="13" fillId="7" borderId="2" xfId="0" applyNumberFormat="1" applyFont="1" applyFill="1" applyBorder="1" applyAlignment="1">
      <alignment horizontal="center" wrapText="1"/>
    </xf>
    <xf numFmtId="1" fontId="0" fillId="0" borderId="17" xfId="1" applyNumberFormat="1" applyFont="1" applyBorder="1" applyAlignment="1">
      <alignment horizontal="center"/>
    </xf>
    <xf numFmtId="0" fontId="4" fillId="0" borderId="0" xfId="2" applyBorder="1" applyAlignment="1">
      <alignment vertical="top"/>
    </xf>
    <xf numFmtId="0" fontId="4" fillId="0" borderId="0" xfId="2" applyBorder="1" applyAlignment="1">
      <alignment vertical="center" wrapText="1"/>
    </xf>
    <xf numFmtId="44" fontId="14" fillId="2" borderId="23" xfId="4" applyNumberFormat="1" applyFont="1" applyFill="1" applyBorder="1" applyAlignment="1">
      <alignment horizontal="center" vertical="center"/>
    </xf>
    <xf numFmtId="0" fontId="4" fillId="0" borderId="0" xfId="2" applyFill="1" applyBorder="1" applyAlignment="1"/>
    <xf numFmtId="0" fontId="6" fillId="0" borderId="0" xfId="0" applyFont="1" applyAlignment="1"/>
    <xf numFmtId="44" fontId="11" fillId="3" borderId="10" xfId="3" applyNumberFormat="1"/>
    <xf numFmtId="0" fontId="11" fillId="3" borderId="10" xfId="3" applyAlignment="1"/>
    <xf numFmtId="0" fontId="16" fillId="0" borderId="7" xfId="2" applyFont="1"/>
    <xf numFmtId="0" fontId="3" fillId="4" borderId="19" xfId="5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44" fontId="12" fillId="3" borderId="30" xfId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7" fillId="0" borderId="0" xfId="0" applyFont="1"/>
    <xf numFmtId="0" fontId="19" fillId="11" borderId="0" xfId="0" applyFont="1" applyFill="1"/>
    <xf numFmtId="0" fontId="1" fillId="0" borderId="0" xfId="0" applyFont="1"/>
    <xf numFmtId="0" fontId="18" fillId="0" borderId="13" xfId="0" applyFont="1" applyBorder="1"/>
    <xf numFmtId="0" fontId="18" fillId="0" borderId="14" xfId="0" applyFont="1" applyBorder="1"/>
    <xf numFmtId="0" fontId="18" fillId="0" borderId="0" xfId="0" applyFont="1" applyBorder="1"/>
    <xf numFmtId="0" fontId="18" fillId="0" borderId="16" xfId="0" applyFont="1" applyBorder="1"/>
    <xf numFmtId="0" fontId="18" fillId="0" borderId="2" xfId="0" applyFont="1" applyBorder="1"/>
    <xf numFmtId="0" fontId="18" fillId="0" borderId="3" xfId="0" applyFont="1" applyBorder="1"/>
    <xf numFmtId="0" fontId="0" fillId="0" borderId="31" xfId="0" applyBorder="1"/>
    <xf numFmtId="0" fontId="20" fillId="0" borderId="5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8" fillId="7" borderId="5" xfId="0" applyFont="1" applyFill="1" applyBorder="1" applyAlignment="1">
      <alignment horizontal="left"/>
    </xf>
    <xf numFmtId="0" fontId="6" fillId="7" borderId="5" xfId="0" applyFont="1" applyFill="1" applyBorder="1" applyAlignment="1">
      <alignment horizontal="center" wrapText="1"/>
    </xf>
    <xf numFmtId="0" fontId="1" fillId="7" borderId="28" xfId="0" applyFont="1" applyFill="1" applyBorder="1" applyAlignment="1">
      <alignment horizontal="center" wrapText="1"/>
    </xf>
    <xf numFmtId="44" fontId="12" fillId="3" borderId="32" xfId="1" applyFont="1" applyFill="1" applyBorder="1" applyAlignment="1">
      <alignment horizontal="center"/>
    </xf>
    <xf numFmtId="44" fontId="12" fillId="3" borderId="17" xfId="1" applyFont="1" applyFill="1" applyBorder="1" applyAlignment="1">
      <alignment horizontal="center"/>
    </xf>
    <xf numFmtId="44" fontId="12" fillId="3" borderId="33" xfId="1" applyFont="1" applyFill="1" applyBorder="1" applyAlignment="1">
      <alignment horizontal="center"/>
    </xf>
    <xf numFmtId="44" fontId="14" fillId="2" borderId="31" xfId="1" applyNumberFormat="1" applyFont="1" applyFill="1" applyBorder="1" applyAlignment="1">
      <alignment horizontal="center" vertical="center"/>
    </xf>
    <xf numFmtId="44" fontId="12" fillId="3" borderId="8" xfId="1" applyFont="1" applyFill="1" applyBorder="1" applyAlignment="1">
      <alignment horizontal="center"/>
    </xf>
    <xf numFmtId="44" fontId="12" fillId="3" borderId="34" xfId="1" applyFont="1" applyFill="1" applyBorder="1" applyAlignment="1">
      <alignment horizontal="center"/>
    </xf>
    <xf numFmtId="44" fontId="14" fillId="2" borderId="23" xfId="1" applyNumberFormat="1" applyFont="1" applyFill="1" applyBorder="1" applyAlignment="1">
      <alignment horizontal="center" vertical="center"/>
    </xf>
    <xf numFmtId="44" fontId="14" fillId="2" borderId="31" xfId="4" applyNumberFormat="1" applyFont="1" applyFill="1" applyBorder="1" applyAlignment="1">
      <alignment horizontal="center" vertical="center"/>
    </xf>
    <xf numFmtId="0" fontId="17" fillId="0" borderId="0" xfId="0" applyFont="1" applyBorder="1"/>
    <xf numFmtId="0" fontId="17" fillId="0" borderId="0" xfId="0" applyFont="1" applyFill="1" applyBorder="1"/>
    <xf numFmtId="0" fontId="1" fillId="7" borderId="21" xfId="0" applyFont="1" applyFill="1" applyBorder="1" applyAlignment="1">
      <alignment horizontal="center" wrapText="1"/>
    </xf>
    <xf numFmtId="0" fontId="0" fillId="2" borderId="0" xfId="0" applyFill="1"/>
    <xf numFmtId="14" fontId="21" fillId="7" borderId="2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0" borderId="4" xfId="0" applyFont="1" applyBorder="1" applyAlignment="1">
      <alignment horizontal="left"/>
    </xf>
    <xf numFmtId="44" fontId="12" fillId="2" borderId="30" xfId="1" applyFont="1" applyFill="1" applyBorder="1" applyAlignment="1">
      <alignment horizontal="center"/>
    </xf>
    <xf numFmtId="1" fontId="0" fillId="2" borderId="0" xfId="1" applyNumberFormat="1" applyFont="1" applyFill="1" applyBorder="1" applyAlignment="1">
      <alignment horizontal="center"/>
    </xf>
    <xf numFmtId="44" fontId="0" fillId="2" borderId="0" xfId="1" applyFont="1" applyFill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top"/>
    </xf>
    <xf numFmtId="0" fontId="8" fillId="0" borderId="0" xfId="0" applyFont="1" applyFill="1" applyBorder="1" applyAlignment="1">
      <alignment horizontal="left"/>
    </xf>
    <xf numFmtId="44" fontId="12" fillId="0" borderId="0" xfId="1" applyNumberFormat="1" applyFont="1" applyFill="1" applyBorder="1" applyAlignment="1">
      <alignment horizontal="center"/>
    </xf>
    <xf numFmtId="44" fontId="14" fillId="0" borderId="0" xfId="4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1" fontId="0" fillId="0" borderId="0" xfId="1" applyNumberFormat="1" applyFont="1" applyFill="1" applyBorder="1" applyAlignment="1">
      <alignment horizontal="center"/>
    </xf>
    <xf numFmtId="44" fontId="0" fillId="0" borderId="0" xfId="1" applyNumberFormat="1" applyFont="1" applyFill="1" applyBorder="1" applyAlignment="1">
      <alignment horizontal="center"/>
    </xf>
    <xf numFmtId="0" fontId="7" fillId="7" borderId="36" xfId="0" applyFont="1" applyFill="1" applyBorder="1" applyAlignment="1">
      <alignment horizontal="center" wrapText="1"/>
    </xf>
    <xf numFmtId="0" fontId="6" fillId="7" borderId="12" xfId="0" applyFont="1" applyFill="1" applyBorder="1" applyAlignment="1">
      <alignment horizontal="center" wrapText="1"/>
    </xf>
    <xf numFmtId="0" fontId="1" fillId="7" borderId="37" xfId="0" applyFont="1" applyFill="1" applyBorder="1" applyAlignment="1">
      <alignment horizontal="center" wrapText="1"/>
    </xf>
    <xf numFmtId="14" fontId="1" fillId="7" borderId="12" xfId="0" applyNumberFormat="1" applyFont="1" applyFill="1" applyBorder="1" applyAlignment="1">
      <alignment horizontal="center" wrapText="1"/>
    </xf>
    <xf numFmtId="14" fontId="1" fillId="7" borderId="35" xfId="0" applyNumberFormat="1" applyFont="1" applyFill="1" applyBorder="1" applyAlignment="1">
      <alignment horizontal="center" wrapText="1"/>
    </xf>
    <xf numFmtId="14" fontId="1" fillId="7" borderId="36" xfId="0" applyNumberFormat="1" applyFont="1" applyFill="1" applyBorder="1" applyAlignment="1">
      <alignment horizontal="center" wrapText="1"/>
    </xf>
    <xf numFmtId="14" fontId="1" fillId="7" borderId="37" xfId="0" applyNumberFormat="1" applyFont="1" applyFill="1" applyBorder="1" applyAlignment="1">
      <alignment horizontal="center" wrapText="1"/>
    </xf>
    <xf numFmtId="14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wrapText="1"/>
    </xf>
    <xf numFmtId="44" fontId="22" fillId="2" borderId="0" xfId="1" applyFont="1" applyFill="1"/>
    <xf numFmtId="0" fontId="7" fillId="8" borderId="21" xfId="0" applyFont="1" applyFill="1" applyBorder="1" applyAlignment="1">
      <alignment horizontal="center" wrapText="1"/>
    </xf>
    <xf numFmtId="1" fontId="0" fillId="0" borderId="38" xfId="1" applyNumberFormat="1" applyFont="1" applyBorder="1" applyAlignment="1">
      <alignment horizontal="center"/>
    </xf>
    <xf numFmtId="1" fontId="0" fillId="2" borderId="0" xfId="1" applyNumberFormat="1" applyFont="1" applyFill="1" applyAlignment="1">
      <alignment horizontal="center"/>
    </xf>
    <xf numFmtId="44" fontId="23" fillId="2" borderId="31" xfId="1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left"/>
    </xf>
    <xf numFmtId="0" fontId="2" fillId="0" borderId="5" xfId="0" applyFont="1" applyFill="1" applyBorder="1" applyAlignment="1"/>
    <xf numFmtId="0" fontId="2" fillId="0" borderId="28" xfId="0" applyFont="1" applyFill="1" applyBorder="1" applyAlignment="1"/>
    <xf numFmtId="0" fontId="0" fillId="0" borderId="11" xfId="0" applyFont="1" applyBorder="1"/>
    <xf numFmtId="0" fontId="0" fillId="0" borderId="13" xfId="0" applyFont="1" applyBorder="1"/>
    <xf numFmtId="0" fontId="0" fillId="0" borderId="14" xfId="0" applyFont="1" applyBorder="1"/>
    <xf numFmtId="0" fontId="0" fillId="0" borderId="13" xfId="0" applyFont="1" applyFill="1" applyBorder="1"/>
    <xf numFmtId="0" fontId="0" fillId="0" borderId="15" xfId="0" applyFont="1" applyBorder="1"/>
    <xf numFmtId="0" fontId="0" fillId="0" borderId="16" xfId="0" applyFont="1" applyBorder="1"/>
    <xf numFmtId="0" fontId="0" fillId="4" borderId="18" xfId="5" applyFont="1" applyBorder="1" applyAlignment="1"/>
    <xf numFmtId="0" fontId="3" fillId="4" borderId="19" xfId="5" applyFont="1" applyBorder="1" applyAlignment="1"/>
    <xf numFmtId="0" fontId="3" fillId="4" borderId="20" xfId="5" applyFont="1" applyBorder="1" applyAlignment="1"/>
    <xf numFmtId="0" fontId="4" fillId="0" borderId="7" xfId="2" applyFont="1" applyAlignment="1">
      <alignment horizontal="center"/>
    </xf>
    <xf numFmtId="0" fontId="12" fillId="0" borderId="0" xfId="0" applyFont="1" applyAlignment="1">
      <alignment horizontal="center"/>
    </xf>
    <xf numFmtId="44" fontId="25" fillId="9" borderId="12" xfId="1" applyFont="1" applyFill="1" applyBorder="1" applyAlignment="1">
      <alignment horizontal="center"/>
    </xf>
    <xf numFmtId="44" fontId="25" fillId="9" borderId="6" xfId="0" applyNumberFormat="1" applyFont="1" applyFill="1" applyBorder="1" applyAlignment="1">
      <alignment horizontal="center" vertical="center"/>
    </xf>
    <xf numFmtId="44" fontId="26" fillId="2" borderId="18" xfId="1" applyFont="1" applyFill="1" applyBorder="1" applyAlignment="1">
      <alignment horizontal="center" vertical="center" wrapText="1"/>
    </xf>
    <xf numFmtId="44" fontId="26" fillId="6" borderId="12" xfId="1" applyFont="1" applyFill="1" applyBorder="1" applyAlignment="1">
      <alignment horizontal="center" vertical="center" wrapText="1"/>
    </xf>
    <xf numFmtId="44" fontId="26" fillId="2" borderId="19" xfId="1" applyFont="1" applyFill="1" applyBorder="1" applyAlignment="1">
      <alignment horizontal="center" vertical="center" wrapText="1"/>
    </xf>
    <xf numFmtId="44" fontId="26" fillId="2" borderId="12" xfId="1" applyFont="1" applyFill="1" applyBorder="1" applyAlignment="1">
      <alignment horizontal="center" vertical="center" wrapText="1"/>
    </xf>
    <xf numFmtId="44" fontId="26" fillId="6" borderId="18" xfId="1" applyFont="1" applyFill="1" applyBorder="1" applyAlignment="1">
      <alignment horizontal="center" vertical="center" wrapText="1"/>
    </xf>
    <xf numFmtId="0" fontId="0" fillId="2" borderId="0" xfId="0" applyFont="1" applyFill="1" applyBorder="1"/>
    <xf numFmtId="0" fontId="0" fillId="0" borderId="0" xfId="0" applyFill="1"/>
    <xf numFmtId="1" fontId="0" fillId="0" borderId="17" xfId="1" applyNumberFormat="1" applyFont="1" applyFill="1" applyBorder="1" applyAlignment="1">
      <alignment horizontal="center"/>
    </xf>
    <xf numFmtId="44" fontId="0" fillId="0" borderId="0" xfId="1" applyFont="1" applyFill="1" applyAlignment="1">
      <alignment horizontal="center"/>
    </xf>
    <xf numFmtId="44" fontId="23" fillId="2" borderId="23" xfId="1" applyNumberFormat="1" applyFont="1" applyFill="1" applyBorder="1" applyAlignment="1">
      <alignment horizontal="center" vertical="center"/>
    </xf>
    <xf numFmtId="0" fontId="0" fillId="0" borderId="5" xfId="0" applyFill="1" applyBorder="1"/>
    <xf numFmtId="14" fontId="1" fillId="7" borderId="6" xfId="0" applyNumberFormat="1" applyFont="1" applyFill="1" applyBorder="1" applyAlignment="1">
      <alignment horizontal="center" vertical="center" wrapText="1"/>
    </xf>
    <xf numFmtId="14" fontId="1" fillId="7" borderId="2" xfId="0" applyNumberFormat="1" applyFont="1" applyFill="1" applyBorder="1" applyAlignment="1">
      <alignment horizontal="center" vertical="center" wrapText="1"/>
    </xf>
    <xf numFmtId="14" fontId="1" fillId="7" borderId="1" xfId="0" applyNumberFormat="1" applyFont="1" applyFill="1" applyBorder="1" applyAlignment="1">
      <alignment horizontal="center" vertical="center" wrapText="1"/>
    </xf>
    <xf numFmtId="0" fontId="18" fillId="9" borderId="0" xfId="0" applyFont="1" applyFill="1" applyAlignment="1">
      <alignment horizontal="center" vertical="center"/>
    </xf>
    <xf numFmtId="44" fontId="18" fillId="9" borderId="0" xfId="1" applyFont="1" applyFill="1" applyAlignment="1">
      <alignment horizontal="center" vertical="center"/>
    </xf>
    <xf numFmtId="44" fontId="24" fillId="9" borderId="10" xfId="3" applyNumberFormat="1" applyFont="1" applyFill="1"/>
    <xf numFmtId="44" fontId="27" fillId="0" borderId="0" xfId="0" applyNumberFormat="1" applyFont="1"/>
    <xf numFmtId="44" fontId="28" fillId="10" borderId="8" xfId="1" applyFont="1" applyFill="1" applyBorder="1" applyAlignment="1">
      <alignment horizontal="center"/>
    </xf>
    <xf numFmtId="0" fontId="0" fillId="2" borderId="31" xfId="0" applyFill="1" applyBorder="1"/>
    <xf numFmtId="0" fontId="0" fillId="2" borderId="22" xfId="0" applyFill="1" applyBorder="1"/>
    <xf numFmtId="0" fontId="4" fillId="0" borderId="0" xfId="2" applyBorder="1" applyAlignment="1">
      <alignment horizontal="center" vertical="top"/>
    </xf>
    <xf numFmtId="0" fontId="4" fillId="0" borderId="0" xfId="2" applyBorder="1" applyAlignment="1">
      <alignment horizontal="center" vertical="center" wrapText="1"/>
    </xf>
    <xf numFmtId="0" fontId="4" fillId="2" borderId="0" xfId="2" applyFill="1" applyBorder="1" applyAlignment="1">
      <alignment horizontal="center"/>
    </xf>
    <xf numFmtId="0" fontId="11" fillId="3" borderId="24" xfId="3" applyBorder="1" applyAlignment="1">
      <alignment horizontal="left" vertical="top"/>
    </xf>
    <xf numFmtId="0" fontId="11" fillId="3" borderId="25" xfId="3" applyBorder="1" applyAlignment="1">
      <alignment horizontal="left" vertical="top"/>
    </xf>
    <xf numFmtId="0" fontId="11" fillId="3" borderId="26" xfId="3" applyBorder="1" applyAlignment="1">
      <alignment horizontal="left" vertical="top"/>
    </xf>
    <xf numFmtId="0" fontId="11" fillId="3" borderId="24" xfId="3" applyBorder="1" applyAlignment="1">
      <alignment horizontal="left"/>
    </xf>
    <xf numFmtId="0" fontId="11" fillId="3" borderId="25" xfId="3" applyBorder="1" applyAlignment="1">
      <alignment horizontal="left"/>
    </xf>
    <xf numFmtId="0" fontId="11" fillId="3" borderId="26" xfId="3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</cellXfs>
  <cellStyles count="6">
    <cellStyle name="40% - Énfasis4" xfId="5" builtinId="43"/>
    <cellStyle name="Cálculo" xfId="4" builtinId="22"/>
    <cellStyle name="Encabezado 1" xfId="2" builtinId="16"/>
    <cellStyle name="Moneda" xfId="1" builtinId="4"/>
    <cellStyle name="Normal" xfId="0" builtinId="0"/>
    <cellStyle name="Salida" xfId="3" builtinId="21"/>
  </cellStyles>
  <dxfs count="80"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34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A7D00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7F7F7F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rgb="FFFA7D00"/>
        <name val="Calibri"/>
        <scheme val="minor"/>
      </font>
      <numFmt numFmtId="34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7F7F7F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7F7F7F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2F2F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7F7F7F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4"/>
        <color theme="1"/>
      </font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4" tint="0.39997558519241921"/>
        </patternFill>
      </fill>
      <alignment horizontal="center" vertical="bottom" textRotation="0" wrapText="1" indent="0" justifyLastLine="0" shrinkToFit="0" readingOrder="0"/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7" tint="-0.25098422193060094"/>
          </stop>
        </gradientFill>
      </fill>
    </dxf>
    <dxf>
      <fill>
        <gradientFill degree="90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7" tint="-0.25098422193060094"/>
          </stop>
        </gradientFill>
      </fill>
    </dxf>
    <dxf>
      <fill>
        <gradientFill degree="90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font>
        <strike val="0"/>
        <u val="double"/>
        <color auto="1"/>
      </font>
      <fill>
        <patternFill>
          <fgColor auto="1"/>
          <bgColor rgb="FF00B0F0"/>
        </patternFill>
      </fill>
    </dxf>
  </dxfs>
  <tableStyles count="2" defaultTableStyle="TableStyleMedium2" defaultPivotStyle="PivotStyleLight16">
    <tableStyle name="Estilo de tabla 1" pivot="0" count="1">
      <tableStyleElement type="wholeTable" dxfId="79"/>
    </tableStyle>
    <tableStyle name="Estilo de tabla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6</xdr:row>
      <xdr:rowOff>19050</xdr:rowOff>
    </xdr:from>
    <xdr:to>
      <xdr:col>8</xdr:col>
      <xdr:colOff>0</xdr:colOff>
      <xdr:row>11</xdr:row>
      <xdr:rowOff>95250</xdr:rowOff>
    </xdr:to>
    <xdr:sp macro="" textlink="">
      <xdr:nvSpPr>
        <xdr:cNvPr id="4" name="CuadroTexto 3"/>
        <xdr:cNvSpPr txBox="1"/>
      </xdr:nvSpPr>
      <xdr:spPr>
        <a:xfrm>
          <a:off x="1" y="1847850"/>
          <a:ext cx="8905874" cy="1085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Por medio del  presente se le comunica su estado de adeudo del servico de agua potable , se  solicita de la manera más cordial de acudir a cubrir el adeudo del servicio  agua potable , ya que se cuenta con una gran deuda  de electricidad debido</a:t>
          </a:r>
          <a:r>
            <a:rPr lang="es-MX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</a:t>
          </a:r>
          <a:r>
            <a:rPr lang="es-MX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que este</a:t>
          </a:r>
          <a:r>
            <a:rPr lang="es-MX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servicio </a:t>
          </a:r>
          <a:r>
            <a:rPr lang="es-MX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fundamental para poder brindar el servicio de agua se debe crubrir, para poder seguir brindando el servicio , a</a:t>
          </a:r>
          <a:r>
            <a:rPr lang="es-MX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continuacion se muestra su estado actual de pagos de servicios de aguapotable y el total de deuda que setiene hasta el presente mes </a:t>
          </a:r>
          <a:endParaRPr lang="es-MX" sz="1100"/>
        </a:p>
      </xdr:txBody>
    </xdr:sp>
    <xdr:clientData/>
  </xdr:twoCellAnchor>
  <xdr:twoCellAnchor>
    <xdr:from>
      <xdr:col>0</xdr:col>
      <xdr:colOff>0</xdr:colOff>
      <xdr:row>19</xdr:row>
      <xdr:rowOff>180975</xdr:rowOff>
    </xdr:from>
    <xdr:to>
      <xdr:col>7</xdr:col>
      <xdr:colOff>742950</xdr:colOff>
      <xdr:row>24</xdr:row>
      <xdr:rowOff>114300</xdr:rowOff>
    </xdr:to>
    <xdr:sp macro="" textlink="">
      <xdr:nvSpPr>
        <xdr:cNvPr id="5" name="CuadroTexto 4"/>
        <xdr:cNvSpPr txBox="1"/>
      </xdr:nvSpPr>
      <xdr:spPr>
        <a:xfrm>
          <a:off x="0" y="4933950"/>
          <a:ext cx="9086850" cy="88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sin más por el momento me despido desenadole tenga un agradable día</a:t>
          </a:r>
          <a:r>
            <a:rPr lang="es-MX" sz="1100" baseline="0"/>
            <a:t> esperamos contar con su pago de uso de servicio para poder seguir brindado el servicio de manera eficiente cualquier duda o aclaracion por favor acudir (xxxxxxx) se le recuerda que su opinion es muy importante ya que usted es quien recibe el servicio cualquier opinion o aportacion para mejorar el servicio es bienvenida Gracias</a:t>
          </a:r>
        </a:p>
        <a:p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6:AD584" headerRowDxfId="65" headerRowBorderDxfId="64" tableBorderDxfId="63">
  <sortState ref="B7:AB584">
    <sortCondition ref="C584"/>
  </sortState>
  <tableColumns count="29">
    <tableColumn id="1" name="NOMBRE DE USUARIO " totalsRowLabel="Total" dataDxfId="62" totalsRowDxfId="61"/>
    <tableColumn id="2" name="CALLE" dataDxfId="60" totalsRowDxfId="59"/>
    <tableColumn id="3" name="DIAS DE SUBMINISTRO" dataDxfId="58" totalsRowDxfId="57"/>
    <tableColumn id="22" name="TIPO DE CONSUMIDOR" dataDxfId="56" totalsRowDxfId="55"/>
    <tableColumn id="4" name="ENERO " dataDxfId="54" totalsRowDxfId="53" dataCellStyle="Moneda"/>
    <tableColumn id="5" name="FEBRERO" dataDxfId="52" totalsRowDxfId="51" dataCellStyle="Moneda"/>
    <tableColumn id="6" name="MARZO" dataDxfId="50" totalsRowDxfId="49" dataCellStyle="Moneda"/>
    <tableColumn id="7" name="ABRIL" dataDxfId="48" totalsRowDxfId="47" dataCellStyle="Moneda"/>
    <tableColumn id="8" name="MAYO " dataDxfId="46" totalsRowDxfId="45" dataCellStyle="Moneda"/>
    <tableColumn id="9" name="JUNIO " dataDxfId="44" totalsRowDxfId="43" dataCellStyle="Moneda"/>
    <tableColumn id="10" name="JULIO " dataDxfId="42" totalsRowDxfId="41" dataCellStyle="Moneda"/>
    <tableColumn id="11" name="AGOSTO" dataDxfId="40" totalsRowDxfId="39" dataCellStyle="Moneda"/>
    <tableColumn id="12" name="SEPTIEMBRE" dataDxfId="38" totalsRowDxfId="37" dataCellStyle="Moneda"/>
    <tableColumn id="13" name="OCTUBRE" dataDxfId="36" totalsRowDxfId="35" dataCellStyle="Moneda"/>
    <tableColumn id="14" name="NOVIEMBRE" dataDxfId="34" totalsRowDxfId="33" dataCellStyle="Moneda"/>
    <tableColumn id="15" name="DICIEMBRE" dataDxfId="32" totalsRowDxfId="31" dataCellStyle="Moneda"/>
    <tableColumn id="17" name="PAGO POR USUARIO" dataDxfId="30" totalsRowDxfId="29" dataCellStyle="Moneda">
      <calculatedColumnFormula>SUM(Tabla1[[#This Row],[ENERO ]:[DICIEMBRE]])</calculatedColumnFormula>
    </tableColumn>
    <tableColumn id="16" name="BAJAS"/>
    <tableColumn id="18" name="MES DE BAJA "/>
    <tableColumn id="19" name="ALTAS"/>
    <tableColumn id="21" name="MES DE ALTA "/>
    <tableColumn id="23" name="MES ADEUDO DE AÑOS PASADOS " dataDxfId="28" totalsRowDxfId="27"/>
    <tableColumn id="24" name="MESES DE ADEUDO DEL AÑO EN CURSO " dataDxfId="26" totalsRowDxfId="25" dataCellStyle="Moneda">
      <calculatedColumnFormula>COUNTIF(Tabla1[[#This Row],[ENERO ]:[DICIEMBRE]],0)-(AS7)-IF(Tabla1[[#This Row],[BAJAS]]="BAJA",IF(Tabla1[[#This Row],[ALTAS]]="ALTA",VLOOKUP(Tabla1[[#This Row],[MES DE ALTA ]],$AW$6:$AX$17,2,FALSE),12)-VLOOKUP(Tabla1[[#This Row],[MES DE BAJA ]],$AW$6:$AX$17,2,FALSE),0)</calculatedColumnFormula>
    </tableColumn>
    <tableColumn id="27" name="MESES DE ADEUDO EN TOTAL HASTA EL AÑO EN CURSO " dataDxfId="24" totalsRowDxfId="23" dataCellStyle="Moneda">
      <calculatedColumnFormula>SUM(Tabla1[[#This Row],[MES ADEUDO DE AÑOS PASADOS ]:[MESES DE ADEUDO DEL AÑO EN CURSO ]])-Tabla1[[#This Row],[PAGO DE DEUDA ANTERIOR EN MESES]]</calculatedColumnFormula>
    </tableColumn>
    <tableColumn id="20" name="DEUDA DE LOS MESES PASADOS EN $$" dataDxfId="22" totalsRowDxfId="21" dataCellStyle="Moneda">
      <calculatedColumnFormula>Tabla1[[#This Row],[MES ADEUDO DE AÑOS PASADOS ]]*$T$2</calculatedColumnFormula>
    </tableColumn>
    <tableColumn id="25" name="DEUDA DEL AÑO 2013 $$ " dataDxfId="20" totalsRowDxfId="19" dataCellStyle="Moneda">
      <calculatedColumnFormula>Tabla1[[#This Row],[MESES DE ADEUDO DEL AÑO EN CURSO ]]*$T$2</calculatedColumnFormula>
    </tableColumn>
    <tableColumn id="26" name="DEUDA TOTAL  EL $$" totalsRowFunction="sum" dataDxfId="18" totalsRowDxfId="17" dataCellStyle="Moneda"/>
    <tableColumn id="28" name="PAGO DE DEUDA ANTERIOR EN MESES"/>
    <tableColumn id="29" name="PADO DE DE DEUDA EN PESOS" dataDxfId="16">
      <calculatedColumnFormula>Tabla1[[#This Row],[PAGO DE DEUDA ANTERIOR EN MESES]]*$T$2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A6:M31" totalsRowShown="0">
  <autoFilter ref="A6:M3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name="CONCEPTO"/>
    <tableColumn id="2" name="ENERO" dataDxfId="15" dataCellStyle="Moneda"/>
    <tableColumn id="3" name="FEBRERO " dataDxfId="14" dataCellStyle="Moneda"/>
    <tableColumn id="4" name="MARZO" dataDxfId="13" dataCellStyle="Moneda"/>
    <tableColumn id="5" name="ABRIL" dataDxfId="12" dataCellStyle="Moneda"/>
    <tableColumn id="6" name="MAYO" dataDxfId="11" dataCellStyle="Moneda"/>
    <tableColumn id="7" name="JUNIO" dataDxfId="10" dataCellStyle="Moneda"/>
    <tableColumn id="8" name="JULIO" dataDxfId="9" dataCellStyle="Moneda"/>
    <tableColumn id="9" name="AGOSTO" dataDxfId="8" dataCellStyle="Moneda"/>
    <tableColumn id="10" name="SEPTIEMBRE" dataDxfId="7" dataCellStyle="Moneda"/>
    <tableColumn id="11" name="OCTUBRE" dataDxfId="6" dataCellStyle="Moneda"/>
    <tableColumn id="12" name="NOVIEMBRE" dataDxfId="5" dataCellStyle="Moneda"/>
    <tableColumn id="13" name="DICIEMBRE" dataDxfId="4" dataCellStyle="Moneda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A6:M9" totalsRowShown="0" headerRowDxfId="1">
  <autoFilter ref="A6:M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name="Columna1"/>
    <tableColumn id="2" name="ENERO"/>
    <tableColumn id="3" name="FEBRERO"/>
    <tableColumn id="4" name="MARZO"/>
    <tableColumn id="5" name="ABRIL"/>
    <tableColumn id="6" name="MAYO"/>
    <tableColumn id="7" name="JUNIO"/>
    <tableColumn id="8" name="JULIO"/>
    <tableColumn id="9" name="AGOSTO"/>
    <tableColumn id="10" name="SEPTIEMBRE"/>
    <tableColumn id="11" name="OCTUBRE"/>
    <tableColumn id="12" name="NOVIEMBRE"/>
    <tableColumn id="13" name="DICIEMBRE" dataDxfId="0">
      <calculatedColumnFormula>'Regis Usu.'!Q585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AZ591"/>
  <sheetViews>
    <sheetView topLeftCell="A208" zoomScale="90" zoomScaleNormal="90" workbookViewId="0">
      <selection activeCell="AB19" sqref="AB19"/>
    </sheetView>
  </sheetViews>
  <sheetFormatPr baseColWidth="10" defaultRowHeight="15" x14ac:dyDescent="0.25"/>
  <cols>
    <col min="1" max="1" width="14.28515625" style="106" customWidth="1"/>
    <col min="2" max="2" width="42.140625" customWidth="1"/>
    <col min="3" max="3" width="19.5703125" customWidth="1"/>
    <col min="4" max="4" width="10.85546875" hidden="1" customWidth="1"/>
    <col min="5" max="5" width="16.42578125" customWidth="1"/>
    <col min="6" max="6" width="10.5703125" customWidth="1"/>
    <col min="7" max="7" width="10.7109375" customWidth="1"/>
    <col min="8" max="10" width="10.42578125" customWidth="1"/>
    <col min="11" max="11" width="11" customWidth="1"/>
    <col min="12" max="12" width="10.28515625" customWidth="1"/>
    <col min="13" max="13" width="10.7109375" customWidth="1"/>
    <col min="14" max="14" width="12.7109375" customWidth="1"/>
    <col min="15" max="15" width="11.140625" customWidth="1"/>
    <col min="16" max="16" width="12.28515625" customWidth="1"/>
    <col min="17" max="17" width="12" customWidth="1"/>
    <col min="18" max="18" width="16.42578125" customWidth="1"/>
    <col min="19" max="19" width="11.42578125" customWidth="1"/>
    <col min="20" max="20" width="12.140625" customWidth="1"/>
    <col min="21" max="21" width="9.5703125" customWidth="1"/>
    <col min="22" max="23" width="12.5703125" customWidth="1"/>
    <col min="24" max="24" width="14.140625" customWidth="1"/>
    <col min="25" max="25" width="13.140625" customWidth="1"/>
    <col min="26" max="26" width="14.42578125" customWidth="1"/>
    <col min="27" max="27" width="14" customWidth="1"/>
    <col min="28" max="28" width="13" customWidth="1"/>
    <col min="29" max="29" width="14" customWidth="1"/>
    <col min="30" max="30" width="12.85546875" customWidth="1"/>
    <col min="38" max="38" width="20" customWidth="1"/>
    <col min="39" max="39" width="11.7109375" customWidth="1"/>
  </cols>
  <sheetData>
    <row r="1" spans="1:52" ht="15" customHeight="1" x14ac:dyDescent="0.25">
      <c r="A1" s="131" t="s">
        <v>12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3"/>
    </row>
    <row r="2" spans="1:52" ht="15.75" customHeight="1" x14ac:dyDescent="0.25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3"/>
      <c r="S2" t="s">
        <v>632</v>
      </c>
      <c r="T2" s="10">
        <v>45</v>
      </c>
    </row>
    <row r="3" spans="1:52" ht="20.25" thickBot="1" x14ac:dyDescent="0.35">
      <c r="A3" s="105" t="s">
        <v>430</v>
      </c>
      <c r="B3" s="130" t="s">
        <v>432</v>
      </c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3"/>
    </row>
    <row r="4" spans="1:52" ht="32.25" customHeight="1" thickTop="1" thickBot="1" x14ac:dyDescent="0.35">
      <c r="A4" s="105" t="s">
        <v>431</v>
      </c>
      <c r="B4" s="132">
        <v>2022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3"/>
    </row>
    <row r="5" spans="1:52" ht="3" customHeight="1" thickTop="1" thickBot="1" x14ac:dyDescent="0.3"/>
    <row r="6" spans="1:52" ht="75" customHeight="1" thickBot="1" x14ac:dyDescent="0.4">
      <c r="A6" s="106" t="s">
        <v>659</v>
      </c>
      <c r="B6" s="16" t="s">
        <v>429</v>
      </c>
      <c r="C6" s="17" t="s">
        <v>427</v>
      </c>
      <c r="D6" s="18" t="s">
        <v>428</v>
      </c>
      <c r="E6" s="18" t="s">
        <v>450</v>
      </c>
      <c r="F6" s="120" t="s">
        <v>0</v>
      </c>
      <c r="G6" s="120" t="s">
        <v>1</v>
      </c>
      <c r="H6" s="120" t="s">
        <v>2</v>
      </c>
      <c r="I6" s="120" t="s">
        <v>3</v>
      </c>
      <c r="J6" s="121" t="s">
        <v>4</v>
      </c>
      <c r="K6" s="120" t="s">
        <v>5</v>
      </c>
      <c r="L6" s="120" t="s">
        <v>6</v>
      </c>
      <c r="M6" s="120" t="s">
        <v>7</v>
      </c>
      <c r="N6" s="120" t="s">
        <v>8</v>
      </c>
      <c r="O6" s="120" t="s">
        <v>9</v>
      </c>
      <c r="P6" s="122" t="s">
        <v>10</v>
      </c>
      <c r="Q6" s="122" t="s">
        <v>11</v>
      </c>
      <c r="R6" s="20" t="s">
        <v>435</v>
      </c>
      <c r="S6" s="19" t="s">
        <v>453</v>
      </c>
      <c r="T6" s="19" t="s">
        <v>452</v>
      </c>
      <c r="U6" s="19" t="s">
        <v>454</v>
      </c>
      <c r="V6" s="19" t="s">
        <v>451</v>
      </c>
      <c r="W6" s="19" t="s">
        <v>626</v>
      </c>
      <c r="X6" s="19" t="s">
        <v>631</v>
      </c>
      <c r="Y6" s="19" t="s">
        <v>630</v>
      </c>
      <c r="Z6" s="64" t="s">
        <v>628</v>
      </c>
      <c r="AA6" s="64" t="s">
        <v>629</v>
      </c>
      <c r="AB6" s="64" t="s">
        <v>627</v>
      </c>
      <c r="AC6" s="19" t="s">
        <v>662</v>
      </c>
      <c r="AD6" s="19" t="s">
        <v>663</v>
      </c>
      <c r="AG6" s="96" t="s">
        <v>434</v>
      </c>
      <c r="AH6" s="97" t="s">
        <v>1</v>
      </c>
      <c r="AI6" s="97" t="s">
        <v>2</v>
      </c>
      <c r="AJ6" s="97" t="s">
        <v>3</v>
      </c>
      <c r="AK6" s="97" t="s">
        <v>437</v>
      </c>
      <c r="AL6" s="97" t="s">
        <v>443</v>
      </c>
      <c r="AM6" s="97" t="s">
        <v>438</v>
      </c>
      <c r="AN6" s="97" t="s">
        <v>7</v>
      </c>
      <c r="AO6" s="97" t="s">
        <v>8</v>
      </c>
      <c r="AP6" s="97" t="s">
        <v>9</v>
      </c>
      <c r="AQ6" s="97" t="s">
        <v>10</v>
      </c>
      <c r="AR6" s="97" t="s">
        <v>11</v>
      </c>
      <c r="AS6" s="98"/>
      <c r="AT6" s="9" t="s">
        <v>664</v>
      </c>
      <c r="AU6" s="99" t="s">
        <v>592</v>
      </c>
      <c r="AV6" s="97" t="s">
        <v>660</v>
      </c>
      <c r="AW6" s="40" t="s">
        <v>434</v>
      </c>
      <c r="AX6" s="40">
        <f>AY6-1</f>
        <v>0</v>
      </c>
      <c r="AY6" s="40">
        <v>1</v>
      </c>
      <c r="AZ6" s="41"/>
    </row>
    <row r="7" spans="1:52" ht="21.75" thickBot="1" x14ac:dyDescent="0.35">
      <c r="A7" s="106">
        <f>1</f>
        <v>1</v>
      </c>
      <c r="B7" s="5" t="s">
        <v>29</v>
      </c>
      <c r="C7" s="2" t="s">
        <v>456</v>
      </c>
      <c r="D7" s="46"/>
      <c r="E7" s="36" t="s">
        <v>455</v>
      </c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24">
        <f>SUM(Tabla1[[#This Row],[ENERO ]:[DICIEMBRE]])</f>
        <v>0</v>
      </c>
      <c r="W7">
        <v>0</v>
      </c>
      <c r="X7" s="21">
        <f>COUNTIF(Tabla1[[#This Row],[ENERO ]:[DICIEMBRE]],0)-(AS7)-IF(Tabla1[[#This Row],[BAJAS]]="BAJA",IF(Tabla1[[#This Row],[ALTAS]]="ALTA",VLOOKUP(Tabla1[[#This Row],[MES DE ALTA ]],$AW$6:$AX$17,2,FALSE),12)-VLOOKUP(Tabla1[[#This Row],[MES DE BAJA ]],$AW$6:$AX$17,2,FALSE),0)</f>
        <v>0</v>
      </c>
      <c r="Y7" s="68">
        <f>SUM(Tabla1[[#This Row],[MES ADEUDO DE AÑOS PASADOS ]:[MESES DE ADEUDO DEL AÑO EN CURSO ]])-Tabla1[[#This Row],[PAGO DE DEUDA ANTERIOR EN MESES]]</f>
        <v>0</v>
      </c>
      <c r="Z7" s="15">
        <f>Tabla1[[#This Row],[MES ADEUDO DE AÑOS PASADOS ]]*$T$2</f>
        <v>0</v>
      </c>
      <c r="AA7" s="15">
        <f>Tabla1[[#This Row],[MESES DE ADEUDO DEL AÑO EN CURSO ]]*$T$2</f>
        <v>0</v>
      </c>
      <c r="AB7" s="69">
        <f>SUM(Tabla1[[#This Row],[DEUDA DE LOS MESES PASADOS EN $$]:[DEUDA DEL AÑO 2013 $$ ]])</f>
        <v>0</v>
      </c>
      <c r="AD7">
        <f>Tabla1[[#This Row],[PAGO DE DEUDA ANTERIOR EN MESES]]*$T$2</f>
        <v>0</v>
      </c>
      <c r="AG7" s="100">
        <f>IF(Tabla1[[#This Row],[TIPO DE CONSUMIDOR]]="MEDIO",IF(Tabla1[[#This Row],[ENERO ]]&gt;22.5,Tabla1[[#This Row],[ENERO ]]/22.5-1,0),IF(Tabla1[[#This Row],[ENERO ]]&gt;45,Tabla1[[#This Row],[ENERO ]]/45-1,0))</f>
        <v>0</v>
      </c>
      <c r="AH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" s="100">
        <f>IF(Tabla1[[#This Row],[TIPO DE CONSUMIDOR]]="MEDIO",IF(Tabla1[[#This Row],[MARZO]]&gt;22.5,Tabla1[[#This Row],[MARZO]]/22.5-1,0),IF(Tabla1[[#This Row],[MARZO]]&gt;45,Tabla1[[#This Row],[MARZO]]/45-1,0))</f>
        <v>0</v>
      </c>
      <c r="AJ7" s="100">
        <f>IF(Tabla1[[#This Row],[TIPO DE CONSUMIDOR]]="MEDIO",IF(Tabla1[[#This Row],[ABRIL]]&gt;22.5,Tabla1[[#This Row],[ABRIL]]/22.5-1,0),IF(Tabla1[[#This Row],[ABRIL]]&gt;45,Tabla1[[#This Row],[ABRIL]]/45-1,0))</f>
        <v>0</v>
      </c>
      <c r="AK7" s="100">
        <f>IF(Tabla1[[#This Row],[TIPO DE CONSUMIDOR]]="MEDIO",IF(Tabla1[[#This Row],[MAYO ]]&gt;22.5,Tabla1[[#This Row],[MAYO ]]/22.5-1,0),IF(Tabla1[[#This Row],[MAYO ]]&gt;45,Tabla1[[#This Row],[MAYO ]]/45-1,0))</f>
        <v>0</v>
      </c>
      <c r="AL7" s="100">
        <f>IF(Tabla1[[#This Row],[TIPO DE CONSUMIDOR]]="MEDIO",IF(Tabla1[[#This Row],[JUNIO ]]&gt;22.5,Tabla1[[#This Row],[JUNIO ]]/22.5-1,0),IF(Tabla1[[#This Row],[JUNIO ]]&gt;45,Tabla1[[#This Row],[JUNIO ]]/45-1,0))</f>
        <v>0</v>
      </c>
      <c r="AM7" s="100">
        <f>IF(Tabla1[[#This Row],[TIPO DE CONSUMIDOR]]="MEDIO",IF(Tabla1[[#This Row],[JULIO ]]&gt;22.5,Tabla1[[#This Row],[JULIO ]]/22.5-1,0),IF(Tabla1[[#This Row],[JULIO ]]&gt;45,Tabla1[[#This Row],[JULIO ]]/45-1,0))</f>
        <v>0</v>
      </c>
      <c r="AN7" s="100">
        <f>IF(Tabla1[[#This Row],[TIPO DE CONSUMIDOR]]="MEDIO",IF(Tabla1[[#This Row],[AGOSTO]]&gt;22.5,Tabla1[[#This Row],[AGOSTO]]/22.5-1,0),IF(Tabla1[[#This Row],[AGOSTO]]&gt;45,Tabla1[[#This Row],[AGOSTO]]/45-1,0))</f>
        <v>0</v>
      </c>
      <c r="AO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" s="101">
        <f t="shared" ref="AS7:AS70" si="0">SUM(AG7:AR7)</f>
        <v>0</v>
      </c>
      <c r="AT7">
        <f>IF(Tabla1[[#This Row],[MES ADEUDO DE AÑOS PASADOS ]]&gt;0,1,0)</f>
        <v>0</v>
      </c>
      <c r="AU7" s="9">
        <f t="shared" ref="AU7:AU70" si="1">IF(Y7&gt;0,1,0)</f>
        <v>0</v>
      </c>
      <c r="AV7" s="60">
        <f>IF(Tabla1[[#This Row],[MESES DE ADEUDO DEL AÑO EN CURSO ]]&gt;0,1,0)</f>
        <v>0</v>
      </c>
      <c r="AW7" s="60" t="s">
        <v>1</v>
      </c>
      <c r="AX7" s="60">
        <f t="shared" ref="AX7:AX17" si="2">AY7-1</f>
        <v>1</v>
      </c>
      <c r="AY7" s="42">
        <v>2</v>
      </c>
      <c r="AZ7" s="43"/>
    </row>
    <row r="8" spans="1:52" ht="21.75" thickBot="1" x14ac:dyDescent="0.35">
      <c r="A8" s="106">
        <v>2</v>
      </c>
      <c r="B8" s="66" t="s">
        <v>106</v>
      </c>
      <c r="C8" s="1" t="s">
        <v>456</v>
      </c>
      <c r="D8" s="31"/>
      <c r="E8" s="35" t="s">
        <v>455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24">
        <f>SUM(Tabla1[[#This Row],[ENERO ]:[DICIEMBRE]])</f>
        <v>0</v>
      </c>
      <c r="W8">
        <v>0</v>
      </c>
      <c r="X8" s="21">
        <f>COUNTIF(Tabla1[[#This Row],[ENERO ]:[DICIEMBRE]],0)-(AS8)-IF(Tabla1[[#This Row],[BAJAS]]="BAJA",IF(Tabla1[[#This Row],[ALTAS]]="ALTA",VLOOKUP(Tabla1[[#This Row],[MES DE ALTA ]],$AW$6:$AX$17,2,FALSE),12)-VLOOKUP(Tabla1[[#This Row],[MES DE BAJA ]],$AW$6:$AX$17,2,FALSE),0)</f>
        <v>0</v>
      </c>
      <c r="Y8" s="68">
        <f>SUM(Tabla1[[#This Row],[MES ADEUDO DE AÑOS PASADOS ]:[MESES DE ADEUDO DEL AÑO EN CURSO ]])-Tabla1[[#This Row],[PAGO DE DEUDA ANTERIOR EN MESES]]</f>
        <v>0</v>
      </c>
      <c r="Z8" s="15">
        <f>Tabla1[[#This Row],[MES ADEUDO DE AÑOS PASADOS ]]*$T$2</f>
        <v>0</v>
      </c>
      <c r="AA8" s="15">
        <f>Tabla1[[#This Row],[MESES DE ADEUDO DEL AÑO EN CURSO ]]*$T$2</f>
        <v>0</v>
      </c>
      <c r="AB8" s="69">
        <f>SUM(Tabla1[[#This Row],[DEUDA DE LOS MESES PASADOS EN $$]:[DEUDA DEL AÑO 2013 $$ ]])</f>
        <v>0</v>
      </c>
      <c r="AD8">
        <f>Tabla1[[#This Row],[PAGO DE DEUDA ANTERIOR EN MESES]]*$T$2</f>
        <v>0</v>
      </c>
      <c r="AG8" s="100">
        <f>IF(Tabla1[[#This Row],[TIPO DE CONSUMIDOR]]="MEDIO",IF(Tabla1[[#This Row],[ENERO ]]&gt;22.5,Tabla1[[#This Row],[ENERO ]]/22.5-1,0),IF(Tabla1[[#This Row],[ENERO ]]&gt;45,Tabla1[[#This Row],[ENERO ]]/45-1,0))</f>
        <v>0</v>
      </c>
      <c r="AH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" s="100">
        <f>IF(Tabla1[[#This Row],[TIPO DE CONSUMIDOR]]="MEDIO",IF(Tabla1[[#This Row],[MARZO]]&gt;22.5,Tabla1[[#This Row],[MARZO]]/22.5-1,0),IF(Tabla1[[#This Row],[MARZO]]&gt;45,Tabla1[[#This Row],[MARZO]]/45-1,0))</f>
        <v>0</v>
      </c>
      <c r="AJ8" s="100">
        <f>IF(Tabla1[[#This Row],[TIPO DE CONSUMIDOR]]="MEDIO",IF(Tabla1[[#This Row],[ABRIL]]&gt;22.5,Tabla1[[#This Row],[ABRIL]]/22.5-1,0),IF(Tabla1[[#This Row],[ABRIL]]&gt;45,Tabla1[[#This Row],[ABRIL]]/45-1,0))</f>
        <v>0</v>
      </c>
      <c r="AK8" s="100">
        <f>IF(Tabla1[[#This Row],[TIPO DE CONSUMIDOR]]="MEDIO",IF(Tabla1[[#This Row],[MAYO ]]&gt;22.5,Tabla1[[#This Row],[MAYO ]]/22.5-1,0),IF(Tabla1[[#This Row],[MAYO ]]&gt;45,Tabla1[[#This Row],[MAYO ]]/45-1,0))</f>
        <v>0</v>
      </c>
      <c r="AL8" s="100">
        <f>IF(Tabla1[[#This Row],[TIPO DE CONSUMIDOR]]="MEDIO",IF(Tabla1[[#This Row],[JUNIO ]]&gt;22.5,Tabla1[[#This Row],[JUNIO ]]/22.5-1,0),IF(Tabla1[[#This Row],[JUNIO ]]&gt;45,Tabla1[[#This Row],[JUNIO ]]/45-1,0))</f>
        <v>0</v>
      </c>
      <c r="AM8" s="100">
        <f>IF(Tabla1[[#This Row],[TIPO DE CONSUMIDOR]]="MEDIO",IF(Tabla1[[#This Row],[JULIO ]]&gt;22.5,Tabla1[[#This Row],[JULIO ]]/22.5-1,0),IF(Tabla1[[#This Row],[JULIO ]]&gt;45,Tabla1[[#This Row],[JULIO ]]/45-1,0))</f>
        <v>0</v>
      </c>
      <c r="AN8" s="100">
        <f>IF(Tabla1[[#This Row],[TIPO DE CONSUMIDOR]]="MEDIO",IF(Tabla1[[#This Row],[AGOSTO]]&gt;22.5,Tabla1[[#This Row],[AGOSTO]]/22.5-1,0),IF(Tabla1[[#This Row],[AGOSTO]]&gt;45,Tabla1[[#This Row],[AGOSTO]]/45-1,0))</f>
        <v>0</v>
      </c>
      <c r="AO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" s="101">
        <f t="shared" si="0"/>
        <v>0</v>
      </c>
      <c r="AT8">
        <f>IF(Tabla1[[#This Row],[MES ADEUDO DE AÑOS PASADOS ]]&gt;0,1,0)</f>
        <v>0</v>
      </c>
      <c r="AU8" s="9">
        <f t="shared" si="1"/>
        <v>0</v>
      </c>
      <c r="AV8" s="60">
        <f>IF(Tabla1[[#This Row],[MESES DE ADEUDO DEL AÑO EN CURSO ]]&gt;0,1,0)</f>
        <v>0</v>
      </c>
      <c r="AW8" s="60" t="s">
        <v>2</v>
      </c>
      <c r="AX8" s="60">
        <f t="shared" si="2"/>
        <v>2</v>
      </c>
      <c r="AY8" s="42">
        <v>3</v>
      </c>
      <c r="AZ8" s="43"/>
    </row>
    <row r="9" spans="1:52" ht="21.75" thickBot="1" x14ac:dyDescent="0.35">
      <c r="A9" s="106">
        <v>3</v>
      </c>
      <c r="B9" s="5" t="s">
        <v>204</v>
      </c>
      <c r="C9" s="2" t="s">
        <v>456</v>
      </c>
      <c r="D9" s="46"/>
      <c r="E9" s="36" t="s">
        <v>455</v>
      </c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24">
        <f>SUM(Tabla1[[#This Row],[ENERO ]:[DICIEMBRE]])</f>
        <v>0</v>
      </c>
      <c r="W9">
        <v>0</v>
      </c>
      <c r="X9" s="21">
        <f>COUNTIF(Tabla1[[#This Row],[ENERO ]:[DICIEMBRE]],0)-(AS9)-IF(Tabla1[[#This Row],[BAJAS]]="BAJA",IF(Tabla1[[#This Row],[ALTAS]]="ALTA",VLOOKUP(Tabla1[[#This Row],[MES DE ALTA ]],$AW$6:$AX$17,2,FALSE),12)-VLOOKUP(Tabla1[[#This Row],[MES DE BAJA ]],$AW$6:$AX$17,2,FALSE),0)</f>
        <v>0</v>
      </c>
      <c r="Y9" s="68">
        <f>SUM(Tabla1[[#This Row],[MES ADEUDO DE AÑOS PASADOS ]:[MESES DE ADEUDO DEL AÑO EN CURSO ]])-Tabla1[[#This Row],[PAGO DE DEUDA ANTERIOR EN MESES]]</f>
        <v>0</v>
      </c>
      <c r="Z9" s="15">
        <f>Tabla1[[#This Row],[MES ADEUDO DE AÑOS PASADOS ]]*$T$2</f>
        <v>0</v>
      </c>
      <c r="AA9" s="15">
        <f>Tabla1[[#This Row],[MESES DE ADEUDO DEL AÑO EN CURSO ]]*$T$2</f>
        <v>0</v>
      </c>
      <c r="AB9" s="69">
        <f>SUM(Tabla1[[#This Row],[DEUDA DE LOS MESES PASADOS EN $$]:[DEUDA DEL AÑO 2013 $$ ]])</f>
        <v>0</v>
      </c>
      <c r="AD9">
        <f>Tabla1[[#This Row],[PAGO DE DEUDA ANTERIOR EN MESES]]*$T$2</f>
        <v>0</v>
      </c>
      <c r="AG9" s="100">
        <f>IF(Tabla1[[#This Row],[TIPO DE CONSUMIDOR]]="MEDIO",IF(Tabla1[[#This Row],[ENERO ]]&gt;22.5,Tabla1[[#This Row],[ENERO ]]/22.5-1,0),IF(Tabla1[[#This Row],[ENERO ]]&gt;45,Tabla1[[#This Row],[ENERO ]]/45-1,0))</f>
        <v>0</v>
      </c>
      <c r="AH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" s="100">
        <f>IF(Tabla1[[#This Row],[TIPO DE CONSUMIDOR]]="MEDIO",IF(Tabla1[[#This Row],[MARZO]]&gt;22.5,Tabla1[[#This Row],[MARZO]]/22.5-1,0),IF(Tabla1[[#This Row],[MARZO]]&gt;45,Tabla1[[#This Row],[MARZO]]/45-1,0))</f>
        <v>0</v>
      </c>
      <c r="AJ9" s="100">
        <f>IF(Tabla1[[#This Row],[TIPO DE CONSUMIDOR]]="MEDIO",IF(Tabla1[[#This Row],[ABRIL]]&gt;22.5,Tabla1[[#This Row],[ABRIL]]/22.5-1,0),IF(Tabla1[[#This Row],[ABRIL]]&gt;45,Tabla1[[#This Row],[ABRIL]]/45-1,0))</f>
        <v>0</v>
      </c>
      <c r="AK9" s="100">
        <f>IF(Tabla1[[#This Row],[TIPO DE CONSUMIDOR]]="MEDIO",IF(Tabla1[[#This Row],[MAYO ]]&gt;22.5,Tabla1[[#This Row],[MAYO ]]/22.5-1,0),IF(Tabla1[[#This Row],[MAYO ]]&gt;45,Tabla1[[#This Row],[MAYO ]]/45-1,0))</f>
        <v>0</v>
      </c>
      <c r="AL9" s="100">
        <f>IF(Tabla1[[#This Row],[TIPO DE CONSUMIDOR]]="MEDIO",IF(Tabla1[[#This Row],[JUNIO ]]&gt;22.5,Tabla1[[#This Row],[JUNIO ]]/22.5-1,0),IF(Tabla1[[#This Row],[JUNIO ]]&gt;45,Tabla1[[#This Row],[JUNIO ]]/45-1,0))</f>
        <v>0</v>
      </c>
      <c r="AM9" s="100">
        <f>IF(Tabla1[[#This Row],[TIPO DE CONSUMIDOR]]="MEDIO",IF(Tabla1[[#This Row],[JULIO ]]&gt;22.5,Tabla1[[#This Row],[JULIO ]]/22.5-1,0),IF(Tabla1[[#This Row],[JULIO ]]&gt;45,Tabla1[[#This Row],[JULIO ]]/45-1,0))</f>
        <v>0</v>
      </c>
      <c r="AN9" s="100">
        <f>IF(Tabla1[[#This Row],[TIPO DE CONSUMIDOR]]="MEDIO",IF(Tabla1[[#This Row],[AGOSTO]]&gt;22.5,Tabla1[[#This Row],[AGOSTO]]/22.5-1,0),IF(Tabla1[[#This Row],[AGOSTO]]&gt;45,Tabla1[[#This Row],[AGOSTO]]/45-1,0))</f>
        <v>0</v>
      </c>
      <c r="AO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" s="101">
        <f t="shared" si="0"/>
        <v>0</v>
      </c>
      <c r="AT9">
        <f>IF(Tabla1[[#This Row],[MES ADEUDO DE AÑOS PASADOS ]]&gt;0,1,0)</f>
        <v>0</v>
      </c>
      <c r="AU9" s="9">
        <f t="shared" si="1"/>
        <v>0</v>
      </c>
      <c r="AV9" s="60">
        <f>IF(Tabla1[[#This Row],[MESES DE ADEUDO DEL AÑO EN CURSO ]]&gt;0,1,0)</f>
        <v>0</v>
      </c>
      <c r="AW9" s="60" t="s">
        <v>3</v>
      </c>
      <c r="AX9" s="60">
        <f t="shared" si="2"/>
        <v>3</v>
      </c>
      <c r="AY9" s="42">
        <v>4</v>
      </c>
      <c r="AZ9" s="43"/>
    </row>
    <row r="10" spans="1:52" ht="21.75" customHeight="1" thickBot="1" x14ac:dyDescent="0.35">
      <c r="A10" s="106">
        <v>4</v>
      </c>
      <c r="B10" s="5" t="s">
        <v>267</v>
      </c>
      <c r="C10" s="2" t="s">
        <v>456</v>
      </c>
      <c r="D10" s="46"/>
      <c r="E10" s="36" t="s">
        <v>455</v>
      </c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24">
        <f>SUM(Tabla1[[#This Row],[ENERO ]:[DICIEMBRE]])</f>
        <v>0</v>
      </c>
      <c r="W10">
        <v>0</v>
      </c>
      <c r="X10" s="21">
        <f>COUNTIF(Tabla1[[#This Row],[ENERO ]:[DICIEMBRE]],0)-(AS10)-IF(Tabla1[[#This Row],[BAJAS]]="BAJA",IF(Tabla1[[#This Row],[ALTAS]]="ALTA",VLOOKUP(Tabla1[[#This Row],[MES DE ALTA ]],$AW$6:$AX$17,2,FALSE),12)-VLOOKUP(Tabla1[[#This Row],[MES DE BAJA ]],$AW$6:$AX$17,2,FALSE),0)</f>
        <v>0</v>
      </c>
      <c r="Y10" s="68">
        <f>SUM(Tabla1[[#This Row],[MES ADEUDO DE AÑOS PASADOS ]:[MESES DE ADEUDO DEL AÑO EN CURSO ]])-Tabla1[[#This Row],[PAGO DE DEUDA ANTERIOR EN MESES]]</f>
        <v>0</v>
      </c>
      <c r="Z10" s="15">
        <f>Tabla1[[#This Row],[MES ADEUDO DE AÑOS PASADOS ]]*$T$2</f>
        <v>0</v>
      </c>
      <c r="AA10" s="15">
        <f>Tabla1[[#This Row],[MESES DE ADEUDO DEL AÑO EN CURSO ]]*$T$2</f>
        <v>0</v>
      </c>
      <c r="AB10" s="69">
        <f>SUM(Tabla1[[#This Row],[DEUDA DE LOS MESES PASADOS EN $$]:[DEUDA DEL AÑO 2013 $$ ]])</f>
        <v>0</v>
      </c>
      <c r="AD10">
        <f>Tabla1[[#This Row],[PAGO DE DEUDA ANTERIOR EN MESES]]*$T$2</f>
        <v>0</v>
      </c>
      <c r="AG10" s="100">
        <f>IF(Tabla1[[#This Row],[TIPO DE CONSUMIDOR]]="MEDIO",IF(Tabla1[[#This Row],[ENERO ]]&gt;22.5,Tabla1[[#This Row],[ENERO ]]/22.5-1,0),IF(Tabla1[[#This Row],[ENERO ]]&gt;45,Tabla1[[#This Row],[ENERO ]]/45-1,0))</f>
        <v>0</v>
      </c>
      <c r="AH1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" s="100">
        <f>IF(Tabla1[[#This Row],[TIPO DE CONSUMIDOR]]="MEDIO",IF(Tabla1[[#This Row],[MARZO]]&gt;22.5,Tabla1[[#This Row],[MARZO]]/22.5-1,0),IF(Tabla1[[#This Row],[MARZO]]&gt;45,Tabla1[[#This Row],[MARZO]]/45-1,0))</f>
        <v>0</v>
      </c>
      <c r="AJ10" s="100">
        <f>IF(Tabla1[[#This Row],[TIPO DE CONSUMIDOR]]="MEDIO",IF(Tabla1[[#This Row],[ABRIL]]&gt;22.5,Tabla1[[#This Row],[ABRIL]]/22.5-1,0),IF(Tabla1[[#This Row],[ABRIL]]&gt;45,Tabla1[[#This Row],[ABRIL]]/45-1,0))</f>
        <v>0</v>
      </c>
      <c r="AK10" s="100">
        <f>IF(Tabla1[[#This Row],[TIPO DE CONSUMIDOR]]="MEDIO",IF(Tabla1[[#This Row],[MAYO ]]&gt;22.5,Tabla1[[#This Row],[MAYO ]]/22.5-1,0),IF(Tabla1[[#This Row],[MAYO ]]&gt;45,Tabla1[[#This Row],[MAYO ]]/45-1,0))</f>
        <v>0</v>
      </c>
      <c r="AL10" s="100">
        <f>IF(Tabla1[[#This Row],[TIPO DE CONSUMIDOR]]="MEDIO",IF(Tabla1[[#This Row],[JUNIO ]]&gt;22.5,Tabla1[[#This Row],[JUNIO ]]/22.5-1,0),IF(Tabla1[[#This Row],[JUNIO ]]&gt;45,Tabla1[[#This Row],[JUNIO ]]/45-1,0))</f>
        <v>0</v>
      </c>
      <c r="AM10" s="100">
        <f>IF(Tabla1[[#This Row],[TIPO DE CONSUMIDOR]]="MEDIO",IF(Tabla1[[#This Row],[JULIO ]]&gt;22.5,Tabla1[[#This Row],[JULIO ]]/22.5-1,0),IF(Tabla1[[#This Row],[JULIO ]]&gt;45,Tabla1[[#This Row],[JULIO ]]/45-1,0))</f>
        <v>0</v>
      </c>
      <c r="AN10" s="100">
        <f>IF(Tabla1[[#This Row],[TIPO DE CONSUMIDOR]]="MEDIO",IF(Tabla1[[#This Row],[AGOSTO]]&gt;22.5,Tabla1[[#This Row],[AGOSTO]]/22.5-1,0),IF(Tabla1[[#This Row],[AGOSTO]]&gt;45,Tabla1[[#This Row],[AGOSTO]]/45-1,0))</f>
        <v>0</v>
      </c>
      <c r="AO1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" s="101">
        <f t="shared" si="0"/>
        <v>0</v>
      </c>
      <c r="AT10">
        <f>IF(Tabla1[[#This Row],[MES ADEUDO DE AÑOS PASADOS ]]&gt;0,1,0)</f>
        <v>0</v>
      </c>
      <c r="AU10" s="9">
        <f t="shared" si="1"/>
        <v>0</v>
      </c>
      <c r="AV10" s="60">
        <f>IF(Tabla1[[#This Row],[MESES DE ADEUDO DEL AÑO EN CURSO ]]&gt;0,1,0)</f>
        <v>0</v>
      </c>
      <c r="AW10" s="60" t="s">
        <v>437</v>
      </c>
      <c r="AX10" s="60">
        <f t="shared" si="2"/>
        <v>4</v>
      </c>
      <c r="AY10" s="42">
        <v>5</v>
      </c>
      <c r="AZ10" s="43"/>
    </row>
    <row r="11" spans="1:52" ht="21.75" thickBot="1" x14ac:dyDescent="0.35">
      <c r="A11" s="106">
        <v>5</v>
      </c>
      <c r="B11" s="5" t="s">
        <v>308</v>
      </c>
      <c r="C11" s="2" t="s">
        <v>456</v>
      </c>
      <c r="D11" s="46"/>
      <c r="E11" s="36" t="s">
        <v>455</v>
      </c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24">
        <f>SUM(Tabla1[[#This Row],[ENERO ]:[DICIEMBRE]])</f>
        <v>0</v>
      </c>
      <c r="W11">
        <v>0</v>
      </c>
      <c r="X11" s="21">
        <f>COUNTIF(Tabla1[[#This Row],[ENERO ]:[DICIEMBRE]],0)-(AS11)-IF(Tabla1[[#This Row],[BAJAS]]="BAJA",IF(Tabla1[[#This Row],[ALTAS]]="ALTA",VLOOKUP(Tabla1[[#This Row],[MES DE ALTA ]],$AW$6:$AX$17,2,FALSE),12)-VLOOKUP(Tabla1[[#This Row],[MES DE BAJA ]],$AW$6:$AX$17,2,FALSE),0)</f>
        <v>0</v>
      </c>
      <c r="Y11" s="68">
        <f>SUM(Tabla1[[#This Row],[MES ADEUDO DE AÑOS PASADOS ]:[MESES DE ADEUDO DEL AÑO EN CURSO ]])-Tabla1[[#This Row],[PAGO DE DEUDA ANTERIOR EN MESES]]</f>
        <v>0</v>
      </c>
      <c r="Z11" s="15">
        <f>Tabla1[[#This Row],[MES ADEUDO DE AÑOS PASADOS ]]*$T$2</f>
        <v>0</v>
      </c>
      <c r="AA11" s="15">
        <f>Tabla1[[#This Row],[MESES DE ADEUDO DEL AÑO EN CURSO ]]*$T$2</f>
        <v>0</v>
      </c>
      <c r="AB11" s="69">
        <f>SUM(Tabla1[[#This Row],[DEUDA DE LOS MESES PASADOS EN $$]:[DEUDA DEL AÑO 2013 $$ ]])</f>
        <v>0</v>
      </c>
      <c r="AD11">
        <f>Tabla1[[#This Row],[PAGO DE DEUDA ANTERIOR EN MESES]]*$T$2</f>
        <v>0</v>
      </c>
      <c r="AG11" s="100">
        <f>IF(Tabla1[[#This Row],[TIPO DE CONSUMIDOR]]="MEDIO",IF(Tabla1[[#This Row],[ENERO ]]&gt;22.5,Tabla1[[#This Row],[ENERO ]]/22.5-1,0),IF(Tabla1[[#This Row],[ENERO ]]&gt;45,Tabla1[[#This Row],[ENERO ]]/45-1,0))</f>
        <v>0</v>
      </c>
      <c r="AH1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" s="100">
        <f>IF(Tabla1[[#This Row],[TIPO DE CONSUMIDOR]]="MEDIO",IF(Tabla1[[#This Row],[MARZO]]&gt;22.5,Tabla1[[#This Row],[MARZO]]/22.5-1,0),IF(Tabla1[[#This Row],[MARZO]]&gt;45,Tabla1[[#This Row],[MARZO]]/45-1,0))</f>
        <v>0</v>
      </c>
      <c r="AJ11" s="100">
        <f>IF(Tabla1[[#This Row],[TIPO DE CONSUMIDOR]]="MEDIO",IF(Tabla1[[#This Row],[ABRIL]]&gt;22.5,Tabla1[[#This Row],[ABRIL]]/22.5-1,0),IF(Tabla1[[#This Row],[ABRIL]]&gt;45,Tabla1[[#This Row],[ABRIL]]/45-1,0))</f>
        <v>0</v>
      </c>
      <c r="AK11" s="100">
        <f>IF(Tabla1[[#This Row],[TIPO DE CONSUMIDOR]]="MEDIO",IF(Tabla1[[#This Row],[MAYO ]]&gt;22.5,Tabla1[[#This Row],[MAYO ]]/22.5-1,0),IF(Tabla1[[#This Row],[MAYO ]]&gt;45,Tabla1[[#This Row],[MAYO ]]/45-1,0))</f>
        <v>0</v>
      </c>
      <c r="AL11" s="100">
        <f>IF(Tabla1[[#This Row],[TIPO DE CONSUMIDOR]]="MEDIO",IF(Tabla1[[#This Row],[JUNIO ]]&gt;22.5,Tabla1[[#This Row],[JUNIO ]]/22.5-1,0),IF(Tabla1[[#This Row],[JUNIO ]]&gt;45,Tabla1[[#This Row],[JUNIO ]]/45-1,0))</f>
        <v>0</v>
      </c>
      <c r="AM11" s="100">
        <f>IF(Tabla1[[#This Row],[TIPO DE CONSUMIDOR]]="MEDIO",IF(Tabla1[[#This Row],[JULIO ]]&gt;22.5,Tabla1[[#This Row],[JULIO ]]/22.5-1,0),IF(Tabla1[[#This Row],[JULIO ]]&gt;45,Tabla1[[#This Row],[JULIO ]]/45-1,0))</f>
        <v>0</v>
      </c>
      <c r="AN11" s="100">
        <f>IF(Tabla1[[#This Row],[TIPO DE CONSUMIDOR]]="MEDIO",IF(Tabla1[[#This Row],[AGOSTO]]&gt;22.5,Tabla1[[#This Row],[AGOSTO]]/22.5-1,0),IF(Tabla1[[#This Row],[AGOSTO]]&gt;45,Tabla1[[#This Row],[AGOSTO]]/45-1,0))</f>
        <v>0</v>
      </c>
      <c r="AO1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" s="101">
        <f t="shared" si="0"/>
        <v>0</v>
      </c>
      <c r="AT11">
        <f>IF(Tabla1[[#This Row],[MES ADEUDO DE AÑOS PASADOS ]]&gt;0,1,0)</f>
        <v>0</v>
      </c>
      <c r="AU11" s="9">
        <f t="shared" si="1"/>
        <v>0</v>
      </c>
      <c r="AV11" s="60">
        <f>IF(Tabla1[[#This Row],[MESES DE ADEUDO DEL AÑO EN CURSO ]]&gt;0,1,0)</f>
        <v>0</v>
      </c>
      <c r="AW11" s="60" t="s">
        <v>443</v>
      </c>
      <c r="AX11" s="60">
        <f t="shared" si="2"/>
        <v>5</v>
      </c>
      <c r="AY11" s="42">
        <v>6</v>
      </c>
      <c r="AZ11" s="43"/>
    </row>
    <row r="12" spans="1:52" ht="21.75" thickBot="1" x14ac:dyDescent="0.35">
      <c r="A12" s="106">
        <v>6</v>
      </c>
      <c r="B12" s="5" t="s">
        <v>458</v>
      </c>
      <c r="C12" s="2" t="s">
        <v>456</v>
      </c>
      <c r="D12" s="46"/>
      <c r="E12" s="36" t="s">
        <v>455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24">
        <f>SUM(Tabla1[[#This Row],[ENERO ]:[DICIEMBRE]])</f>
        <v>0</v>
      </c>
      <c r="W12">
        <v>0</v>
      </c>
      <c r="X12" s="21">
        <f>COUNTIF(Tabla1[[#This Row],[ENERO ]:[DICIEMBRE]],0)-(AS12)-IF(Tabla1[[#This Row],[BAJAS]]="BAJA",IF(Tabla1[[#This Row],[ALTAS]]="ALTA",VLOOKUP(Tabla1[[#This Row],[MES DE ALTA ]],$AW$6:$AX$17,2,FALSE),12)-VLOOKUP(Tabla1[[#This Row],[MES DE BAJA ]],$AW$6:$AX$17,2,FALSE),0)</f>
        <v>0</v>
      </c>
      <c r="Y12" s="68">
        <f>SUM(Tabla1[[#This Row],[MES ADEUDO DE AÑOS PASADOS ]:[MESES DE ADEUDO DEL AÑO EN CURSO ]])-Tabla1[[#This Row],[PAGO DE DEUDA ANTERIOR EN MESES]]</f>
        <v>0</v>
      </c>
      <c r="Z12" s="15">
        <f>Tabla1[[#This Row],[MES ADEUDO DE AÑOS PASADOS ]]*$T$2</f>
        <v>0</v>
      </c>
      <c r="AA12" s="15">
        <f>Tabla1[[#This Row],[MESES DE ADEUDO DEL AÑO EN CURSO ]]*$T$2</f>
        <v>0</v>
      </c>
      <c r="AB12" s="69">
        <f>SUM(Tabla1[[#This Row],[DEUDA DE LOS MESES PASADOS EN $$]:[DEUDA DEL AÑO 2013 $$ ]])</f>
        <v>0</v>
      </c>
      <c r="AD12">
        <f>Tabla1[[#This Row],[PAGO DE DEUDA ANTERIOR EN MESES]]*$T$2</f>
        <v>0</v>
      </c>
      <c r="AG12" s="100">
        <f>IF(Tabla1[[#This Row],[TIPO DE CONSUMIDOR]]="MEDIO",IF(Tabla1[[#This Row],[ENERO ]]&gt;22.5,Tabla1[[#This Row],[ENERO ]]/22.5-1,0),IF(Tabla1[[#This Row],[ENERO ]]&gt;45,Tabla1[[#This Row],[ENERO ]]/45-1,0))</f>
        <v>0</v>
      </c>
      <c r="AH1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" s="100">
        <f>IF(Tabla1[[#This Row],[TIPO DE CONSUMIDOR]]="MEDIO",IF(Tabla1[[#This Row],[MARZO]]&gt;22.5,Tabla1[[#This Row],[MARZO]]/22.5-1,0),IF(Tabla1[[#This Row],[MARZO]]&gt;45,Tabla1[[#This Row],[MARZO]]/45-1,0))</f>
        <v>0</v>
      </c>
      <c r="AJ12" s="100">
        <f>IF(Tabla1[[#This Row],[TIPO DE CONSUMIDOR]]="MEDIO",IF(Tabla1[[#This Row],[ABRIL]]&gt;22.5,Tabla1[[#This Row],[ABRIL]]/22.5-1,0),IF(Tabla1[[#This Row],[ABRIL]]&gt;45,Tabla1[[#This Row],[ABRIL]]/45-1,0))</f>
        <v>0</v>
      </c>
      <c r="AK12" s="100">
        <f>IF(Tabla1[[#This Row],[TIPO DE CONSUMIDOR]]="MEDIO",IF(Tabla1[[#This Row],[MAYO ]]&gt;22.5,Tabla1[[#This Row],[MAYO ]]/22.5-1,0),IF(Tabla1[[#This Row],[MAYO ]]&gt;45,Tabla1[[#This Row],[MAYO ]]/45-1,0))</f>
        <v>0</v>
      </c>
      <c r="AL12" s="100">
        <f>IF(Tabla1[[#This Row],[TIPO DE CONSUMIDOR]]="MEDIO",IF(Tabla1[[#This Row],[JUNIO ]]&gt;22.5,Tabla1[[#This Row],[JUNIO ]]/22.5-1,0),IF(Tabla1[[#This Row],[JUNIO ]]&gt;45,Tabla1[[#This Row],[JUNIO ]]/45-1,0))</f>
        <v>0</v>
      </c>
      <c r="AM12" s="100">
        <f>IF(Tabla1[[#This Row],[TIPO DE CONSUMIDOR]]="MEDIO",IF(Tabla1[[#This Row],[JULIO ]]&gt;22.5,Tabla1[[#This Row],[JULIO ]]/22.5-1,0),IF(Tabla1[[#This Row],[JULIO ]]&gt;45,Tabla1[[#This Row],[JULIO ]]/45-1,0))</f>
        <v>0</v>
      </c>
      <c r="AN12" s="100">
        <f>IF(Tabla1[[#This Row],[TIPO DE CONSUMIDOR]]="MEDIO",IF(Tabla1[[#This Row],[AGOSTO]]&gt;22.5,Tabla1[[#This Row],[AGOSTO]]/22.5-1,0),IF(Tabla1[[#This Row],[AGOSTO]]&gt;45,Tabla1[[#This Row],[AGOSTO]]/45-1,0))</f>
        <v>0</v>
      </c>
      <c r="AO1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" s="101">
        <f t="shared" si="0"/>
        <v>0</v>
      </c>
      <c r="AT12">
        <f>IF(Tabla1[[#This Row],[MES ADEUDO DE AÑOS PASADOS ]]&gt;0,1,0)</f>
        <v>0</v>
      </c>
      <c r="AU12" s="9">
        <f t="shared" si="1"/>
        <v>0</v>
      </c>
      <c r="AV12" s="60">
        <f>IF(Tabla1[[#This Row],[MESES DE ADEUDO DEL AÑO EN CURSO ]]&gt;0,1,0)</f>
        <v>0</v>
      </c>
      <c r="AW12" s="60" t="s">
        <v>438</v>
      </c>
      <c r="AX12" s="60">
        <f t="shared" si="2"/>
        <v>6</v>
      </c>
      <c r="AY12" s="42">
        <v>7</v>
      </c>
      <c r="AZ12" s="43"/>
    </row>
    <row r="13" spans="1:52" ht="21.75" thickBot="1" x14ac:dyDescent="0.35">
      <c r="A13" s="106">
        <v>7</v>
      </c>
      <c r="B13" s="5" t="s">
        <v>424</v>
      </c>
      <c r="C13" s="2" t="s">
        <v>456</v>
      </c>
      <c r="D13" s="46"/>
      <c r="E13" s="36" t="s">
        <v>455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24">
        <f>SUM(Tabla1[[#This Row],[ENERO ]:[DICIEMBRE]])</f>
        <v>0</v>
      </c>
      <c r="W13">
        <v>0</v>
      </c>
      <c r="X13" s="21">
        <f>COUNTIF(Tabla1[[#This Row],[ENERO ]:[DICIEMBRE]],0)-(AS13)-IF(Tabla1[[#This Row],[BAJAS]]="BAJA",IF(Tabla1[[#This Row],[ALTAS]]="ALTA",VLOOKUP(Tabla1[[#This Row],[MES DE ALTA ]],$AW$6:$AX$17,2,FALSE),12)-VLOOKUP(Tabla1[[#This Row],[MES DE BAJA ]],$AW$6:$AX$17,2,FALSE),0)</f>
        <v>0</v>
      </c>
      <c r="Y13" s="68">
        <f>SUM(Tabla1[[#This Row],[MES ADEUDO DE AÑOS PASADOS ]:[MESES DE ADEUDO DEL AÑO EN CURSO ]])-Tabla1[[#This Row],[PAGO DE DEUDA ANTERIOR EN MESES]]</f>
        <v>0</v>
      </c>
      <c r="Z13" s="15">
        <f>Tabla1[[#This Row],[MES ADEUDO DE AÑOS PASADOS ]]*$T$2</f>
        <v>0</v>
      </c>
      <c r="AA13" s="15">
        <f>Tabla1[[#This Row],[MESES DE ADEUDO DEL AÑO EN CURSO ]]*$T$2</f>
        <v>0</v>
      </c>
      <c r="AB13" s="69">
        <f>SUM(Tabla1[[#This Row],[DEUDA DE LOS MESES PASADOS EN $$]:[DEUDA DEL AÑO 2013 $$ ]])</f>
        <v>0</v>
      </c>
      <c r="AD13">
        <f>Tabla1[[#This Row],[PAGO DE DEUDA ANTERIOR EN MESES]]*$T$2</f>
        <v>0</v>
      </c>
      <c r="AG13" s="100">
        <f>IF(Tabla1[[#This Row],[TIPO DE CONSUMIDOR]]="MEDIO",IF(Tabla1[[#This Row],[ENERO ]]&gt;22.5,Tabla1[[#This Row],[ENERO ]]/22.5-1,0),IF(Tabla1[[#This Row],[ENERO ]]&gt;45,Tabla1[[#This Row],[ENERO ]]/45-1,0))</f>
        <v>0</v>
      </c>
      <c r="AH1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" s="100">
        <f>IF(Tabla1[[#This Row],[TIPO DE CONSUMIDOR]]="MEDIO",IF(Tabla1[[#This Row],[MARZO]]&gt;22.5,Tabla1[[#This Row],[MARZO]]/22.5-1,0),IF(Tabla1[[#This Row],[MARZO]]&gt;45,Tabla1[[#This Row],[MARZO]]/45-1,0))</f>
        <v>0</v>
      </c>
      <c r="AJ13" s="100">
        <f>IF(Tabla1[[#This Row],[TIPO DE CONSUMIDOR]]="MEDIO",IF(Tabla1[[#This Row],[ABRIL]]&gt;22.5,Tabla1[[#This Row],[ABRIL]]/22.5-1,0),IF(Tabla1[[#This Row],[ABRIL]]&gt;45,Tabla1[[#This Row],[ABRIL]]/45-1,0))</f>
        <v>0</v>
      </c>
      <c r="AK13" s="100">
        <f>IF(Tabla1[[#This Row],[TIPO DE CONSUMIDOR]]="MEDIO",IF(Tabla1[[#This Row],[MAYO ]]&gt;22.5,Tabla1[[#This Row],[MAYO ]]/22.5-1,0),IF(Tabla1[[#This Row],[MAYO ]]&gt;45,Tabla1[[#This Row],[MAYO ]]/45-1,0))</f>
        <v>0</v>
      </c>
      <c r="AL13" s="100">
        <f>IF(Tabla1[[#This Row],[TIPO DE CONSUMIDOR]]="MEDIO",IF(Tabla1[[#This Row],[JUNIO ]]&gt;22.5,Tabla1[[#This Row],[JUNIO ]]/22.5-1,0),IF(Tabla1[[#This Row],[JUNIO ]]&gt;45,Tabla1[[#This Row],[JUNIO ]]/45-1,0))</f>
        <v>0</v>
      </c>
      <c r="AM13" s="100">
        <f>IF(Tabla1[[#This Row],[TIPO DE CONSUMIDOR]]="MEDIO",IF(Tabla1[[#This Row],[JULIO ]]&gt;22.5,Tabla1[[#This Row],[JULIO ]]/22.5-1,0),IF(Tabla1[[#This Row],[JULIO ]]&gt;45,Tabla1[[#This Row],[JULIO ]]/45-1,0))</f>
        <v>0</v>
      </c>
      <c r="AN13" s="100">
        <f>IF(Tabla1[[#This Row],[TIPO DE CONSUMIDOR]]="MEDIO",IF(Tabla1[[#This Row],[AGOSTO]]&gt;22.5,Tabla1[[#This Row],[AGOSTO]]/22.5-1,0),IF(Tabla1[[#This Row],[AGOSTO]]&gt;45,Tabla1[[#This Row],[AGOSTO]]/45-1,0))</f>
        <v>0</v>
      </c>
      <c r="AO1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" s="101">
        <f t="shared" si="0"/>
        <v>0</v>
      </c>
      <c r="AT13">
        <f>IF(Tabla1[[#This Row],[MES ADEUDO DE AÑOS PASADOS ]]&gt;0,1,0)</f>
        <v>0</v>
      </c>
      <c r="AU13" s="9">
        <f t="shared" si="1"/>
        <v>0</v>
      </c>
      <c r="AV13" s="60">
        <f>IF(Tabla1[[#This Row],[MESES DE ADEUDO DEL AÑO EN CURSO ]]&gt;0,1,0)</f>
        <v>0</v>
      </c>
      <c r="AW13" s="60" t="s">
        <v>7</v>
      </c>
      <c r="AX13" s="60">
        <f t="shared" si="2"/>
        <v>7</v>
      </c>
      <c r="AY13" s="42">
        <v>8</v>
      </c>
      <c r="AZ13" s="43"/>
    </row>
    <row r="14" spans="1:52" ht="21.75" thickBot="1" x14ac:dyDescent="0.35">
      <c r="A14" s="106">
        <v>8</v>
      </c>
      <c r="B14" s="47" t="s">
        <v>457</v>
      </c>
      <c r="C14" s="2" t="s">
        <v>456</v>
      </c>
      <c r="D14" s="46"/>
      <c r="E14" s="36" t="s">
        <v>455</v>
      </c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24">
        <f>SUM(Tabla1[[#This Row],[ENERO ]:[DICIEMBRE]])</f>
        <v>0</v>
      </c>
      <c r="W14">
        <v>0</v>
      </c>
      <c r="X14" s="21">
        <f>COUNTIF(Tabla1[[#This Row],[ENERO ]:[DICIEMBRE]],0)-(AS14)-IF(Tabla1[[#This Row],[BAJAS]]="BAJA",IF(Tabla1[[#This Row],[ALTAS]]="ALTA",VLOOKUP(Tabla1[[#This Row],[MES DE ALTA ]],$AW$6:$AX$17,2,FALSE),12)-VLOOKUP(Tabla1[[#This Row],[MES DE BAJA ]],$AW$6:$AX$17,2,FALSE),0)</f>
        <v>0</v>
      </c>
      <c r="Y14" s="68">
        <f>SUM(Tabla1[[#This Row],[MES ADEUDO DE AÑOS PASADOS ]:[MESES DE ADEUDO DEL AÑO EN CURSO ]])-Tabla1[[#This Row],[PAGO DE DEUDA ANTERIOR EN MESES]]</f>
        <v>0</v>
      </c>
      <c r="Z14" s="15">
        <f>Tabla1[[#This Row],[MES ADEUDO DE AÑOS PASADOS ]]*$T$2</f>
        <v>0</v>
      </c>
      <c r="AA14" s="15">
        <f>Tabla1[[#This Row],[MESES DE ADEUDO DEL AÑO EN CURSO ]]*$T$2</f>
        <v>0</v>
      </c>
      <c r="AB14" s="69">
        <f>SUM(Tabla1[[#This Row],[DEUDA DE LOS MESES PASADOS EN $$]:[DEUDA DEL AÑO 2013 $$ ]])</f>
        <v>0</v>
      </c>
      <c r="AD14">
        <f>Tabla1[[#This Row],[PAGO DE DEUDA ANTERIOR EN MESES]]*$T$2</f>
        <v>0</v>
      </c>
      <c r="AG14" s="100">
        <f>IF(Tabla1[[#This Row],[TIPO DE CONSUMIDOR]]="MEDIO",IF(Tabla1[[#This Row],[ENERO ]]&gt;22.5,Tabla1[[#This Row],[ENERO ]]/22.5-1,0),IF(Tabla1[[#This Row],[ENERO ]]&gt;45,Tabla1[[#This Row],[ENERO ]]/45-1,0))</f>
        <v>0</v>
      </c>
      <c r="AH1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" s="100">
        <f>IF(Tabla1[[#This Row],[TIPO DE CONSUMIDOR]]="MEDIO",IF(Tabla1[[#This Row],[MARZO]]&gt;22.5,Tabla1[[#This Row],[MARZO]]/22.5-1,0),IF(Tabla1[[#This Row],[MARZO]]&gt;45,Tabla1[[#This Row],[MARZO]]/45-1,0))</f>
        <v>0</v>
      </c>
      <c r="AJ14" s="100">
        <f>IF(Tabla1[[#This Row],[TIPO DE CONSUMIDOR]]="MEDIO",IF(Tabla1[[#This Row],[ABRIL]]&gt;22.5,Tabla1[[#This Row],[ABRIL]]/22.5-1,0),IF(Tabla1[[#This Row],[ABRIL]]&gt;45,Tabla1[[#This Row],[ABRIL]]/45-1,0))</f>
        <v>0</v>
      </c>
      <c r="AK14" s="100">
        <f>IF(Tabla1[[#This Row],[TIPO DE CONSUMIDOR]]="MEDIO",IF(Tabla1[[#This Row],[MAYO ]]&gt;22.5,Tabla1[[#This Row],[MAYO ]]/22.5-1,0),IF(Tabla1[[#This Row],[MAYO ]]&gt;45,Tabla1[[#This Row],[MAYO ]]/45-1,0))</f>
        <v>0</v>
      </c>
      <c r="AL14" s="100">
        <f>IF(Tabla1[[#This Row],[TIPO DE CONSUMIDOR]]="MEDIO",IF(Tabla1[[#This Row],[JUNIO ]]&gt;22.5,Tabla1[[#This Row],[JUNIO ]]/22.5-1,0),IF(Tabla1[[#This Row],[JUNIO ]]&gt;45,Tabla1[[#This Row],[JUNIO ]]/45-1,0))</f>
        <v>0</v>
      </c>
      <c r="AM14" s="100">
        <f>IF(Tabla1[[#This Row],[TIPO DE CONSUMIDOR]]="MEDIO",IF(Tabla1[[#This Row],[JULIO ]]&gt;22.5,Tabla1[[#This Row],[JULIO ]]/22.5-1,0),IF(Tabla1[[#This Row],[JULIO ]]&gt;45,Tabla1[[#This Row],[JULIO ]]/45-1,0))</f>
        <v>0</v>
      </c>
      <c r="AN14" s="100">
        <f>IF(Tabla1[[#This Row],[TIPO DE CONSUMIDOR]]="MEDIO",IF(Tabla1[[#This Row],[AGOSTO]]&gt;22.5,Tabla1[[#This Row],[AGOSTO]]/22.5-1,0),IF(Tabla1[[#This Row],[AGOSTO]]&gt;45,Tabla1[[#This Row],[AGOSTO]]/45-1,0))</f>
        <v>0</v>
      </c>
      <c r="AO1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" s="101">
        <f t="shared" si="0"/>
        <v>0</v>
      </c>
      <c r="AT14">
        <f>IF(Tabla1[[#This Row],[MES ADEUDO DE AÑOS PASADOS ]]&gt;0,1,0)</f>
        <v>0</v>
      </c>
      <c r="AU14" s="9">
        <f t="shared" si="1"/>
        <v>0</v>
      </c>
      <c r="AV14" s="60">
        <f>IF(Tabla1[[#This Row],[MESES DE ADEUDO DEL AÑO EN CURSO ]]&gt;0,1,0)</f>
        <v>0</v>
      </c>
      <c r="AW14" s="60" t="s">
        <v>8</v>
      </c>
      <c r="AX14" s="60">
        <f t="shared" si="2"/>
        <v>8</v>
      </c>
      <c r="AY14" s="42">
        <v>9</v>
      </c>
      <c r="AZ14" s="43"/>
    </row>
    <row r="15" spans="1:52" ht="21.75" thickBot="1" x14ac:dyDescent="0.35">
      <c r="A15" s="106">
        <v>9</v>
      </c>
      <c r="B15" s="5" t="s">
        <v>209</v>
      </c>
      <c r="C15" s="2" t="s">
        <v>456</v>
      </c>
      <c r="D15" s="46"/>
      <c r="E15" s="36" t="s">
        <v>455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24">
        <f>SUM(Tabla1[[#This Row],[ENERO ]:[DICIEMBRE]])</f>
        <v>0</v>
      </c>
      <c r="W15">
        <v>15</v>
      </c>
      <c r="X15" s="21">
        <f>COUNTIF(Tabla1[[#This Row],[ENERO ]:[DICIEMBRE]],0)-(AS15)-IF(Tabla1[[#This Row],[BAJAS]]="BAJA",IF(Tabla1[[#This Row],[ALTAS]]="ALTA",VLOOKUP(Tabla1[[#This Row],[MES DE ALTA ]],$AW$6:$AX$17,2,FALSE),12)-VLOOKUP(Tabla1[[#This Row],[MES DE BAJA ]],$AW$6:$AX$17,2,FALSE),0)</f>
        <v>0</v>
      </c>
      <c r="Y15" s="68">
        <f>SUM(Tabla1[[#This Row],[MES ADEUDO DE AÑOS PASADOS ]:[MESES DE ADEUDO DEL AÑO EN CURSO ]])-Tabla1[[#This Row],[PAGO DE DEUDA ANTERIOR EN MESES]]</f>
        <v>15</v>
      </c>
      <c r="Z15" s="15">
        <f>Tabla1[[#This Row],[MES ADEUDO DE AÑOS PASADOS ]]*$T$2</f>
        <v>675</v>
      </c>
      <c r="AA15" s="15">
        <f>Tabla1[[#This Row],[MESES DE ADEUDO DEL AÑO EN CURSO ]]*$T$2</f>
        <v>0</v>
      </c>
      <c r="AB15" s="69">
        <f>SUM(Tabla1[[#This Row],[DEUDA DE LOS MESES PASADOS EN $$]:[DEUDA DEL AÑO 2013 $$ ]])</f>
        <v>675</v>
      </c>
      <c r="AD15">
        <f>Tabla1[[#This Row],[PAGO DE DEUDA ANTERIOR EN MESES]]*$T$2</f>
        <v>0</v>
      </c>
      <c r="AG15" s="100">
        <f>IF(Tabla1[[#This Row],[TIPO DE CONSUMIDOR]]="MEDIO",IF(Tabla1[[#This Row],[ENERO ]]&gt;22.5,Tabla1[[#This Row],[ENERO ]]/22.5-1,0),IF(Tabla1[[#This Row],[ENERO ]]&gt;45,Tabla1[[#This Row],[ENERO ]]/45-1,0))</f>
        <v>0</v>
      </c>
      <c r="AH1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" s="100">
        <f>IF(Tabla1[[#This Row],[TIPO DE CONSUMIDOR]]="MEDIO",IF(Tabla1[[#This Row],[MARZO]]&gt;22.5,Tabla1[[#This Row],[MARZO]]/22.5-1,0),IF(Tabla1[[#This Row],[MARZO]]&gt;45,Tabla1[[#This Row],[MARZO]]/45-1,0))</f>
        <v>0</v>
      </c>
      <c r="AJ15" s="100">
        <f>IF(Tabla1[[#This Row],[TIPO DE CONSUMIDOR]]="MEDIO",IF(Tabla1[[#This Row],[ABRIL]]&gt;22.5,Tabla1[[#This Row],[ABRIL]]/22.5-1,0),IF(Tabla1[[#This Row],[ABRIL]]&gt;45,Tabla1[[#This Row],[ABRIL]]/45-1,0))</f>
        <v>0</v>
      </c>
      <c r="AK15" s="100">
        <f>IF(Tabla1[[#This Row],[TIPO DE CONSUMIDOR]]="MEDIO",IF(Tabla1[[#This Row],[MAYO ]]&gt;22.5,Tabla1[[#This Row],[MAYO ]]/22.5-1,0),IF(Tabla1[[#This Row],[MAYO ]]&gt;45,Tabla1[[#This Row],[MAYO ]]/45-1,0))</f>
        <v>0</v>
      </c>
      <c r="AL15" s="100">
        <f>IF(Tabla1[[#This Row],[TIPO DE CONSUMIDOR]]="MEDIO",IF(Tabla1[[#This Row],[JUNIO ]]&gt;22.5,Tabla1[[#This Row],[JUNIO ]]/22.5-1,0),IF(Tabla1[[#This Row],[JUNIO ]]&gt;45,Tabla1[[#This Row],[JUNIO ]]/45-1,0))</f>
        <v>0</v>
      </c>
      <c r="AM15" s="100">
        <f>IF(Tabla1[[#This Row],[TIPO DE CONSUMIDOR]]="MEDIO",IF(Tabla1[[#This Row],[JULIO ]]&gt;22.5,Tabla1[[#This Row],[JULIO ]]/22.5-1,0),IF(Tabla1[[#This Row],[JULIO ]]&gt;45,Tabla1[[#This Row],[JULIO ]]/45-1,0))</f>
        <v>0</v>
      </c>
      <c r="AN15" s="100">
        <f>IF(Tabla1[[#This Row],[TIPO DE CONSUMIDOR]]="MEDIO",IF(Tabla1[[#This Row],[AGOSTO]]&gt;22.5,Tabla1[[#This Row],[AGOSTO]]/22.5-1,0),IF(Tabla1[[#This Row],[AGOSTO]]&gt;45,Tabla1[[#This Row],[AGOSTO]]/45-1,0))</f>
        <v>0</v>
      </c>
      <c r="AO1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" s="101">
        <f t="shared" si="0"/>
        <v>0</v>
      </c>
      <c r="AT15">
        <f>IF(Tabla1[[#This Row],[MES ADEUDO DE AÑOS PASADOS ]]&gt;0,1,0)</f>
        <v>1</v>
      </c>
      <c r="AU15" s="9">
        <f t="shared" si="1"/>
        <v>1</v>
      </c>
      <c r="AV15" s="60">
        <f>IF(Tabla1[[#This Row],[MESES DE ADEUDO DEL AÑO EN CURSO ]]&gt;0,1,0)</f>
        <v>0</v>
      </c>
      <c r="AW15" s="60" t="s">
        <v>9</v>
      </c>
      <c r="AX15" s="60">
        <f t="shared" si="2"/>
        <v>9</v>
      </c>
      <c r="AY15" s="42">
        <v>10</v>
      </c>
      <c r="AZ15" s="43"/>
    </row>
    <row r="16" spans="1:52" ht="21.75" thickBot="1" x14ac:dyDescent="0.35">
      <c r="A16" s="106">
        <v>10</v>
      </c>
      <c r="B16" s="5" t="s">
        <v>97</v>
      </c>
      <c r="C16" s="2" t="s">
        <v>456</v>
      </c>
      <c r="D16" s="32"/>
      <c r="E16" s="35" t="s">
        <v>455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24">
        <f>SUM(Tabla1[[#This Row],[ENERO ]:[DICIEMBRE]])</f>
        <v>0</v>
      </c>
      <c r="W16">
        <v>16</v>
      </c>
      <c r="X16" s="21">
        <f>COUNTIF(Tabla1[[#This Row],[ENERO ]:[DICIEMBRE]],0)-(AS16)-IF(Tabla1[[#This Row],[BAJAS]]="BAJA",IF(Tabla1[[#This Row],[ALTAS]]="ALTA",VLOOKUP(Tabla1[[#This Row],[MES DE ALTA ]],$AW$6:$AX$17,2,FALSE),12)-VLOOKUP(Tabla1[[#This Row],[MES DE BAJA ]],$AW$6:$AX$17,2,FALSE),0)</f>
        <v>0</v>
      </c>
      <c r="Y16" s="68">
        <f>SUM(Tabla1[[#This Row],[MES ADEUDO DE AÑOS PASADOS ]:[MESES DE ADEUDO DEL AÑO EN CURSO ]])-Tabla1[[#This Row],[PAGO DE DEUDA ANTERIOR EN MESES]]</f>
        <v>16</v>
      </c>
      <c r="Z16" s="15">
        <f>Tabla1[[#This Row],[MES ADEUDO DE AÑOS PASADOS ]]*$T$2</f>
        <v>720</v>
      </c>
      <c r="AA16" s="15">
        <f>Tabla1[[#This Row],[MESES DE ADEUDO DEL AÑO EN CURSO ]]*$T$2</f>
        <v>0</v>
      </c>
      <c r="AB16" s="69">
        <f>SUM(Tabla1[[#This Row],[DEUDA DE LOS MESES PASADOS EN $$]:[DEUDA DEL AÑO 2013 $$ ]])</f>
        <v>720</v>
      </c>
      <c r="AD16">
        <f>Tabla1[[#This Row],[PAGO DE DEUDA ANTERIOR EN MESES]]*$T$2</f>
        <v>0</v>
      </c>
      <c r="AG16" s="100">
        <f>IF(Tabla1[[#This Row],[TIPO DE CONSUMIDOR]]="MEDIO",IF(Tabla1[[#This Row],[ENERO ]]&gt;22.5,Tabla1[[#This Row],[ENERO ]]/22.5-1,0),IF(Tabla1[[#This Row],[ENERO ]]&gt;45,Tabla1[[#This Row],[ENERO ]]/45-1,0))</f>
        <v>0</v>
      </c>
      <c r="AH1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" s="100">
        <f>IF(Tabla1[[#This Row],[TIPO DE CONSUMIDOR]]="MEDIO",IF(Tabla1[[#This Row],[MARZO]]&gt;22.5,Tabla1[[#This Row],[MARZO]]/22.5-1,0),IF(Tabla1[[#This Row],[MARZO]]&gt;45,Tabla1[[#This Row],[MARZO]]/45-1,0))</f>
        <v>0</v>
      </c>
      <c r="AJ16" s="100">
        <f>IF(Tabla1[[#This Row],[TIPO DE CONSUMIDOR]]="MEDIO",IF(Tabla1[[#This Row],[ABRIL]]&gt;22.5,Tabla1[[#This Row],[ABRIL]]/22.5-1,0),IF(Tabla1[[#This Row],[ABRIL]]&gt;45,Tabla1[[#This Row],[ABRIL]]/45-1,0))</f>
        <v>0</v>
      </c>
      <c r="AK16" s="100">
        <f>IF(Tabla1[[#This Row],[TIPO DE CONSUMIDOR]]="MEDIO",IF(Tabla1[[#This Row],[MAYO ]]&gt;22.5,Tabla1[[#This Row],[MAYO ]]/22.5-1,0),IF(Tabla1[[#This Row],[MAYO ]]&gt;45,Tabla1[[#This Row],[MAYO ]]/45-1,0))</f>
        <v>0</v>
      </c>
      <c r="AL16" s="100">
        <f>IF(Tabla1[[#This Row],[TIPO DE CONSUMIDOR]]="MEDIO",IF(Tabla1[[#This Row],[JUNIO ]]&gt;22.5,Tabla1[[#This Row],[JUNIO ]]/22.5-1,0),IF(Tabla1[[#This Row],[JUNIO ]]&gt;45,Tabla1[[#This Row],[JUNIO ]]/45-1,0))</f>
        <v>0</v>
      </c>
      <c r="AM16" s="100">
        <f>IF(Tabla1[[#This Row],[TIPO DE CONSUMIDOR]]="MEDIO",IF(Tabla1[[#This Row],[JULIO ]]&gt;22.5,Tabla1[[#This Row],[JULIO ]]/22.5-1,0),IF(Tabla1[[#This Row],[JULIO ]]&gt;45,Tabla1[[#This Row],[JULIO ]]/45-1,0))</f>
        <v>0</v>
      </c>
      <c r="AN16" s="100">
        <f>IF(Tabla1[[#This Row],[TIPO DE CONSUMIDOR]]="MEDIO",IF(Tabla1[[#This Row],[AGOSTO]]&gt;22.5,Tabla1[[#This Row],[AGOSTO]]/22.5-1,0),IF(Tabla1[[#This Row],[AGOSTO]]&gt;45,Tabla1[[#This Row],[AGOSTO]]/45-1,0))</f>
        <v>0</v>
      </c>
      <c r="AO1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" s="101">
        <f t="shared" si="0"/>
        <v>0</v>
      </c>
      <c r="AT16">
        <f>IF(Tabla1[[#This Row],[MES ADEUDO DE AÑOS PASADOS ]]&gt;0,1,0)</f>
        <v>1</v>
      </c>
      <c r="AU16" s="9">
        <f t="shared" si="1"/>
        <v>1</v>
      </c>
      <c r="AV16" s="60">
        <f>IF(Tabla1[[#This Row],[MESES DE ADEUDO DEL AÑO EN CURSO ]]&gt;0,1,0)</f>
        <v>0</v>
      </c>
      <c r="AW16" s="60" t="s">
        <v>10</v>
      </c>
      <c r="AX16" s="60">
        <f t="shared" si="2"/>
        <v>10</v>
      </c>
      <c r="AY16" s="42">
        <v>11</v>
      </c>
      <c r="AZ16" s="43"/>
    </row>
    <row r="17" spans="1:52" ht="21.75" thickBot="1" x14ac:dyDescent="0.35">
      <c r="A17" s="106">
        <v>11</v>
      </c>
      <c r="B17" s="5" t="s">
        <v>328</v>
      </c>
      <c r="C17" s="2" t="s">
        <v>456</v>
      </c>
      <c r="D17" s="46"/>
      <c r="E17" s="35" t="s">
        <v>455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24">
        <f>SUM(Tabla1[[#This Row],[ENERO ]:[DICIEMBRE]])</f>
        <v>0</v>
      </c>
      <c r="W17">
        <v>20</v>
      </c>
      <c r="X17" s="21">
        <f>COUNTIF(Tabla1[[#This Row],[ENERO ]:[DICIEMBRE]],0)-(AS17)-IF(Tabla1[[#This Row],[BAJAS]]="BAJA",IF(Tabla1[[#This Row],[ALTAS]]="ALTA",VLOOKUP(Tabla1[[#This Row],[MES DE ALTA ]],$AW$6:$AX$17,2,FALSE),12)-VLOOKUP(Tabla1[[#This Row],[MES DE BAJA ]],$AW$6:$AX$17,2,FALSE),0)</f>
        <v>0</v>
      </c>
      <c r="Y17" s="68">
        <f>SUM(Tabla1[[#This Row],[MES ADEUDO DE AÑOS PASADOS ]:[MESES DE ADEUDO DEL AÑO EN CURSO ]])-Tabla1[[#This Row],[PAGO DE DEUDA ANTERIOR EN MESES]]</f>
        <v>20</v>
      </c>
      <c r="Z17" s="15">
        <f>Tabla1[[#This Row],[MES ADEUDO DE AÑOS PASADOS ]]*$T$2</f>
        <v>900</v>
      </c>
      <c r="AA17" s="15">
        <f>Tabla1[[#This Row],[MESES DE ADEUDO DEL AÑO EN CURSO ]]*$T$2</f>
        <v>0</v>
      </c>
      <c r="AB17" s="69">
        <f>SUM(Tabla1[[#This Row],[DEUDA DE LOS MESES PASADOS EN $$]:[DEUDA DEL AÑO 2013 $$ ]])</f>
        <v>900</v>
      </c>
      <c r="AD17">
        <f>Tabla1[[#This Row],[PAGO DE DEUDA ANTERIOR EN MESES]]*$T$2</f>
        <v>0</v>
      </c>
      <c r="AG17" s="100">
        <f>IF(Tabla1[[#This Row],[TIPO DE CONSUMIDOR]]="MEDIO",IF(Tabla1[[#This Row],[ENERO ]]&gt;22.5,Tabla1[[#This Row],[ENERO ]]/22.5-1,0),IF(Tabla1[[#This Row],[ENERO ]]&gt;45,Tabla1[[#This Row],[ENERO ]]/45-1,0))</f>
        <v>0</v>
      </c>
      <c r="AH1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" s="100">
        <f>IF(Tabla1[[#This Row],[TIPO DE CONSUMIDOR]]="MEDIO",IF(Tabla1[[#This Row],[MARZO]]&gt;22.5,Tabla1[[#This Row],[MARZO]]/22.5-1,0),IF(Tabla1[[#This Row],[MARZO]]&gt;45,Tabla1[[#This Row],[MARZO]]/45-1,0))</f>
        <v>0</v>
      </c>
      <c r="AJ17" s="100">
        <f>IF(Tabla1[[#This Row],[TIPO DE CONSUMIDOR]]="MEDIO",IF(Tabla1[[#This Row],[ABRIL]]&gt;22.5,Tabla1[[#This Row],[ABRIL]]/22.5-1,0),IF(Tabla1[[#This Row],[ABRIL]]&gt;45,Tabla1[[#This Row],[ABRIL]]/45-1,0))</f>
        <v>0</v>
      </c>
      <c r="AK17" s="100">
        <f>IF(Tabla1[[#This Row],[TIPO DE CONSUMIDOR]]="MEDIO",IF(Tabla1[[#This Row],[MAYO ]]&gt;22.5,Tabla1[[#This Row],[MAYO ]]/22.5-1,0),IF(Tabla1[[#This Row],[MAYO ]]&gt;45,Tabla1[[#This Row],[MAYO ]]/45-1,0))</f>
        <v>0</v>
      </c>
      <c r="AL17" s="100">
        <f>IF(Tabla1[[#This Row],[TIPO DE CONSUMIDOR]]="MEDIO",IF(Tabla1[[#This Row],[JUNIO ]]&gt;22.5,Tabla1[[#This Row],[JUNIO ]]/22.5-1,0),IF(Tabla1[[#This Row],[JUNIO ]]&gt;45,Tabla1[[#This Row],[JUNIO ]]/45-1,0))</f>
        <v>0</v>
      </c>
      <c r="AM17" s="100">
        <f>IF(Tabla1[[#This Row],[TIPO DE CONSUMIDOR]]="MEDIO",IF(Tabla1[[#This Row],[JULIO ]]&gt;22.5,Tabla1[[#This Row],[JULIO ]]/22.5-1,0),IF(Tabla1[[#This Row],[JULIO ]]&gt;45,Tabla1[[#This Row],[JULIO ]]/45-1,0))</f>
        <v>0</v>
      </c>
      <c r="AN17" s="100">
        <f>IF(Tabla1[[#This Row],[TIPO DE CONSUMIDOR]]="MEDIO",IF(Tabla1[[#This Row],[AGOSTO]]&gt;22.5,Tabla1[[#This Row],[AGOSTO]]/22.5-1,0),IF(Tabla1[[#This Row],[AGOSTO]]&gt;45,Tabla1[[#This Row],[AGOSTO]]/45-1,0))</f>
        <v>0</v>
      </c>
      <c r="AO1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" s="101">
        <f t="shared" si="0"/>
        <v>0</v>
      </c>
      <c r="AT17">
        <f>IF(Tabla1[[#This Row],[MES ADEUDO DE AÑOS PASADOS ]]&gt;0,1,0)</f>
        <v>1</v>
      </c>
      <c r="AU17" s="9">
        <f t="shared" si="1"/>
        <v>1</v>
      </c>
      <c r="AV17" s="60">
        <f>IF(Tabla1[[#This Row],[MESES DE ADEUDO DEL AÑO EN CURSO ]]&gt;0,1,0)</f>
        <v>0</v>
      </c>
      <c r="AW17" s="60" t="s">
        <v>11</v>
      </c>
      <c r="AX17" s="60">
        <f t="shared" si="2"/>
        <v>11</v>
      </c>
      <c r="AY17" s="42">
        <v>12</v>
      </c>
      <c r="AZ17" s="43"/>
    </row>
    <row r="18" spans="1:52" ht="21.75" thickBot="1" x14ac:dyDescent="0.35">
      <c r="A18" s="106">
        <v>12</v>
      </c>
      <c r="B18" s="5" t="s">
        <v>72</v>
      </c>
      <c r="C18" s="2" t="s">
        <v>456</v>
      </c>
      <c r="D18" s="32"/>
      <c r="E18" s="35" t="s">
        <v>455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24">
        <f>SUM(Tabla1[[#This Row],[ENERO ]:[DICIEMBRE]])</f>
        <v>0</v>
      </c>
      <c r="W18">
        <v>32</v>
      </c>
      <c r="X18" s="21">
        <f>COUNTIF(Tabla1[[#This Row],[ENERO ]:[DICIEMBRE]],0)-(AS18)-IF(Tabla1[[#This Row],[BAJAS]]="BAJA",IF(Tabla1[[#This Row],[ALTAS]]="ALTA",VLOOKUP(Tabla1[[#This Row],[MES DE ALTA ]],$AW$6:$AX$17,2,FALSE),12)-VLOOKUP(Tabla1[[#This Row],[MES DE BAJA ]],$AW$6:$AX$17,2,FALSE),0)</f>
        <v>0</v>
      </c>
      <c r="Y18" s="68">
        <f>SUM(Tabla1[[#This Row],[MES ADEUDO DE AÑOS PASADOS ]:[MESES DE ADEUDO DEL AÑO EN CURSO ]])-Tabla1[[#This Row],[PAGO DE DEUDA ANTERIOR EN MESES]]</f>
        <v>32</v>
      </c>
      <c r="Z18" s="15">
        <f>Tabla1[[#This Row],[MES ADEUDO DE AÑOS PASADOS ]]*$T$2</f>
        <v>1440</v>
      </c>
      <c r="AA18" s="15">
        <f>Tabla1[[#This Row],[MESES DE ADEUDO DEL AÑO EN CURSO ]]*$T$2</f>
        <v>0</v>
      </c>
      <c r="AB18" s="69">
        <f>SUM(Tabla1[[#This Row],[DEUDA DE LOS MESES PASADOS EN $$]:[DEUDA DEL AÑO 2013 $$ ]])</f>
        <v>1440</v>
      </c>
      <c r="AD18">
        <f>Tabla1[[#This Row],[PAGO DE DEUDA ANTERIOR EN MESES]]*$T$2</f>
        <v>0</v>
      </c>
      <c r="AG18" s="100">
        <f>IF(Tabla1[[#This Row],[TIPO DE CONSUMIDOR]]="MEDIO",IF(Tabla1[[#This Row],[ENERO ]]&gt;22.5,Tabla1[[#This Row],[ENERO ]]/22.5-1,0),IF(Tabla1[[#This Row],[ENERO ]]&gt;45,Tabla1[[#This Row],[ENERO ]]/45-1,0))</f>
        <v>0</v>
      </c>
      <c r="AH1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" s="100">
        <f>IF(Tabla1[[#This Row],[TIPO DE CONSUMIDOR]]="MEDIO",IF(Tabla1[[#This Row],[MARZO]]&gt;22.5,Tabla1[[#This Row],[MARZO]]/22.5-1,0),IF(Tabla1[[#This Row],[MARZO]]&gt;45,Tabla1[[#This Row],[MARZO]]/45-1,0))</f>
        <v>0</v>
      </c>
      <c r="AJ18" s="100">
        <f>IF(Tabla1[[#This Row],[TIPO DE CONSUMIDOR]]="MEDIO",IF(Tabla1[[#This Row],[ABRIL]]&gt;22.5,Tabla1[[#This Row],[ABRIL]]/22.5-1,0),IF(Tabla1[[#This Row],[ABRIL]]&gt;45,Tabla1[[#This Row],[ABRIL]]/45-1,0))</f>
        <v>0</v>
      </c>
      <c r="AK18" s="100">
        <f>IF(Tabla1[[#This Row],[TIPO DE CONSUMIDOR]]="MEDIO",IF(Tabla1[[#This Row],[MAYO ]]&gt;22.5,Tabla1[[#This Row],[MAYO ]]/22.5-1,0),IF(Tabla1[[#This Row],[MAYO ]]&gt;45,Tabla1[[#This Row],[MAYO ]]/45-1,0))</f>
        <v>0</v>
      </c>
      <c r="AL18" s="100">
        <f>IF(Tabla1[[#This Row],[TIPO DE CONSUMIDOR]]="MEDIO",IF(Tabla1[[#This Row],[JUNIO ]]&gt;22.5,Tabla1[[#This Row],[JUNIO ]]/22.5-1,0),IF(Tabla1[[#This Row],[JUNIO ]]&gt;45,Tabla1[[#This Row],[JUNIO ]]/45-1,0))</f>
        <v>0</v>
      </c>
      <c r="AM18" s="100">
        <f>IF(Tabla1[[#This Row],[TIPO DE CONSUMIDOR]]="MEDIO",IF(Tabla1[[#This Row],[JULIO ]]&gt;22.5,Tabla1[[#This Row],[JULIO ]]/22.5-1,0),IF(Tabla1[[#This Row],[JULIO ]]&gt;45,Tabla1[[#This Row],[JULIO ]]/45-1,0))</f>
        <v>0</v>
      </c>
      <c r="AN18" s="100">
        <f>IF(Tabla1[[#This Row],[TIPO DE CONSUMIDOR]]="MEDIO",IF(Tabla1[[#This Row],[AGOSTO]]&gt;22.5,Tabla1[[#This Row],[AGOSTO]]/22.5-1,0),IF(Tabla1[[#This Row],[AGOSTO]]&gt;45,Tabla1[[#This Row],[AGOSTO]]/45-1,0))</f>
        <v>0</v>
      </c>
      <c r="AO1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" s="101">
        <f t="shared" si="0"/>
        <v>0</v>
      </c>
      <c r="AT18">
        <f>IF(Tabla1[[#This Row],[MES ADEUDO DE AÑOS PASADOS ]]&gt;0,1,0)</f>
        <v>1</v>
      </c>
      <c r="AU18" s="9">
        <f t="shared" si="1"/>
        <v>1</v>
      </c>
      <c r="AV18" s="60">
        <f>IF(Tabla1[[#This Row],[MESES DE ADEUDO DEL AÑO EN CURSO ]]&gt;0,1,0)</f>
        <v>0</v>
      </c>
      <c r="AW18" s="60"/>
      <c r="AX18" s="60"/>
      <c r="AY18" s="42"/>
      <c r="AZ18" s="43"/>
    </row>
    <row r="19" spans="1:52" ht="21.75" thickBot="1" x14ac:dyDescent="0.35">
      <c r="A19" s="106">
        <v>13</v>
      </c>
      <c r="B19" s="5" t="s">
        <v>178</v>
      </c>
      <c r="C19" s="2" t="s">
        <v>459</v>
      </c>
      <c r="D19" s="32"/>
      <c r="E19" s="36" t="s">
        <v>455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24">
        <f>SUM(Tabla1[[#This Row],[ENERO ]:[DICIEMBRE]])</f>
        <v>0</v>
      </c>
      <c r="W19">
        <v>0</v>
      </c>
      <c r="X19" s="21">
        <f>COUNTIF(Tabla1[[#This Row],[ENERO ]:[DICIEMBRE]],0)-(AS19)-IF(Tabla1[[#This Row],[BAJAS]]="BAJA",IF(Tabla1[[#This Row],[ALTAS]]="ALTA",VLOOKUP(Tabla1[[#This Row],[MES DE ALTA ]],$AW$6:$AX$17,2,FALSE),12)-VLOOKUP(Tabla1[[#This Row],[MES DE BAJA ]],$AW$6:$AX$17,2,FALSE),0)</f>
        <v>0</v>
      </c>
      <c r="Y19" s="68">
        <f>SUM(Tabla1[[#This Row],[MES ADEUDO DE AÑOS PASADOS ]:[MESES DE ADEUDO DEL AÑO EN CURSO ]])-Tabla1[[#This Row],[PAGO DE DEUDA ANTERIOR EN MESES]]</f>
        <v>0</v>
      </c>
      <c r="Z19" s="15">
        <f>Tabla1[[#This Row],[MES ADEUDO DE AÑOS PASADOS ]]*$T$2</f>
        <v>0</v>
      </c>
      <c r="AA19" s="15">
        <f>Tabla1[[#This Row],[MESES DE ADEUDO DEL AÑO EN CURSO ]]*$T$2</f>
        <v>0</v>
      </c>
      <c r="AB19" s="69">
        <f>SUM(Tabla1[[#This Row],[DEUDA DE LOS MESES PASADOS EN $$]:[DEUDA DEL AÑO 2013 $$ ]])</f>
        <v>0</v>
      </c>
      <c r="AD19">
        <f>Tabla1[[#This Row],[PAGO DE DEUDA ANTERIOR EN MESES]]*$T$2</f>
        <v>0</v>
      </c>
      <c r="AG19" s="100">
        <f>IF(Tabla1[[#This Row],[TIPO DE CONSUMIDOR]]="MEDIO",IF(Tabla1[[#This Row],[ENERO ]]&gt;22.5,Tabla1[[#This Row],[ENERO ]]/22.5-1,0),IF(Tabla1[[#This Row],[ENERO ]]&gt;45,Tabla1[[#This Row],[ENERO ]]/45-1,0))</f>
        <v>0</v>
      </c>
      <c r="AH1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" s="100">
        <f>IF(Tabla1[[#This Row],[TIPO DE CONSUMIDOR]]="MEDIO",IF(Tabla1[[#This Row],[MARZO]]&gt;22.5,Tabla1[[#This Row],[MARZO]]/22.5-1,0),IF(Tabla1[[#This Row],[MARZO]]&gt;45,Tabla1[[#This Row],[MARZO]]/45-1,0))</f>
        <v>0</v>
      </c>
      <c r="AJ19" s="100">
        <f>IF(Tabla1[[#This Row],[TIPO DE CONSUMIDOR]]="MEDIO",IF(Tabla1[[#This Row],[ABRIL]]&gt;22.5,Tabla1[[#This Row],[ABRIL]]/22.5-1,0),IF(Tabla1[[#This Row],[ABRIL]]&gt;45,Tabla1[[#This Row],[ABRIL]]/45-1,0))</f>
        <v>0</v>
      </c>
      <c r="AK19" s="100">
        <f>IF(Tabla1[[#This Row],[TIPO DE CONSUMIDOR]]="MEDIO",IF(Tabla1[[#This Row],[MAYO ]]&gt;22.5,Tabla1[[#This Row],[MAYO ]]/22.5-1,0),IF(Tabla1[[#This Row],[MAYO ]]&gt;45,Tabla1[[#This Row],[MAYO ]]/45-1,0))</f>
        <v>0</v>
      </c>
      <c r="AL19" s="100">
        <f>IF(Tabla1[[#This Row],[TIPO DE CONSUMIDOR]]="MEDIO",IF(Tabla1[[#This Row],[JUNIO ]]&gt;22.5,Tabla1[[#This Row],[JUNIO ]]/22.5-1,0),IF(Tabla1[[#This Row],[JUNIO ]]&gt;45,Tabla1[[#This Row],[JUNIO ]]/45-1,0))</f>
        <v>0</v>
      </c>
      <c r="AM19" s="100">
        <f>IF(Tabla1[[#This Row],[TIPO DE CONSUMIDOR]]="MEDIO",IF(Tabla1[[#This Row],[JULIO ]]&gt;22.5,Tabla1[[#This Row],[JULIO ]]/22.5-1,0),IF(Tabla1[[#This Row],[JULIO ]]&gt;45,Tabla1[[#This Row],[JULIO ]]/45-1,0))</f>
        <v>0</v>
      </c>
      <c r="AN19" s="100">
        <f>IF(Tabla1[[#This Row],[TIPO DE CONSUMIDOR]]="MEDIO",IF(Tabla1[[#This Row],[AGOSTO]]&gt;22.5,Tabla1[[#This Row],[AGOSTO]]/22.5-1,0),IF(Tabla1[[#This Row],[AGOSTO]]&gt;45,Tabla1[[#This Row],[AGOSTO]]/45-1,0))</f>
        <v>0</v>
      </c>
      <c r="AO1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" s="101">
        <f t="shared" si="0"/>
        <v>0</v>
      </c>
      <c r="AT19">
        <f>IF(Tabla1[[#This Row],[MES ADEUDO DE AÑOS PASADOS ]]&gt;0,1,0)</f>
        <v>0</v>
      </c>
      <c r="AU19" s="9">
        <f t="shared" si="1"/>
        <v>0</v>
      </c>
      <c r="AV19" s="60">
        <f>IF(Tabla1[[#This Row],[MESES DE ADEUDO DEL AÑO EN CURSO ]]&gt;0,1,0)</f>
        <v>0</v>
      </c>
      <c r="AW19" s="60"/>
      <c r="AX19" s="60"/>
      <c r="AY19" s="42"/>
      <c r="AZ19" s="43"/>
    </row>
    <row r="20" spans="1:52" ht="21.75" thickBot="1" x14ac:dyDescent="0.35">
      <c r="A20" s="106">
        <v>14</v>
      </c>
      <c r="B20" s="5" t="s">
        <v>593</v>
      </c>
      <c r="C20" s="2" t="s">
        <v>459</v>
      </c>
      <c r="D20" s="46"/>
      <c r="E20" s="36" t="s">
        <v>455</v>
      </c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24">
        <f>SUM(Tabla1[[#This Row],[ENERO ]:[DICIEMBRE]])</f>
        <v>0</v>
      </c>
      <c r="W20">
        <v>8</v>
      </c>
      <c r="X20" s="21">
        <f>COUNTIF(Tabla1[[#This Row],[ENERO ]:[DICIEMBRE]],0)-(AS20)-IF(Tabla1[[#This Row],[BAJAS]]="BAJA",IF(Tabla1[[#This Row],[ALTAS]]="ALTA",VLOOKUP(Tabla1[[#This Row],[MES DE ALTA ]],$AW$6:$AX$17,2,FALSE),12)-VLOOKUP(Tabla1[[#This Row],[MES DE BAJA ]],$AW$6:$AX$17,2,FALSE),0)</f>
        <v>0</v>
      </c>
      <c r="Y20" s="68">
        <f>SUM(Tabla1[[#This Row],[MES ADEUDO DE AÑOS PASADOS ]:[MESES DE ADEUDO DEL AÑO EN CURSO ]])-Tabla1[[#This Row],[PAGO DE DEUDA ANTERIOR EN MESES]]</f>
        <v>8</v>
      </c>
      <c r="Z20" s="15">
        <f>Tabla1[[#This Row],[MES ADEUDO DE AÑOS PASADOS ]]*$T$2</f>
        <v>360</v>
      </c>
      <c r="AA20" s="15">
        <f>Tabla1[[#This Row],[MESES DE ADEUDO DEL AÑO EN CURSO ]]*$T$2</f>
        <v>0</v>
      </c>
      <c r="AB20" s="69">
        <f>SUM(Tabla1[[#This Row],[DEUDA DE LOS MESES PASADOS EN $$]:[DEUDA DEL AÑO 2013 $$ ]])</f>
        <v>360</v>
      </c>
      <c r="AD20">
        <f>Tabla1[[#This Row],[PAGO DE DEUDA ANTERIOR EN MESES]]*$T$2</f>
        <v>0</v>
      </c>
      <c r="AG20" s="100">
        <f>IF(Tabla1[[#This Row],[TIPO DE CONSUMIDOR]]="MEDIO",IF(Tabla1[[#This Row],[ENERO ]]&gt;22.5,Tabla1[[#This Row],[ENERO ]]/22.5-1,0),IF(Tabla1[[#This Row],[ENERO ]]&gt;45,Tabla1[[#This Row],[ENERO ]]/45-1,0))</f>
        <v>0</v>
      </c>
      <c r="AH2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" s="100">
        <f>IF(Tabla1[[#This Row],[TIPO DE CONSUMIDOR]]="MEDIO",IF(Tabla1[[#This Row],[MARZO]]&gt;22.5,Tabla1[[#This Row],[MARZO]]/22.5-1,0),IF(Tabla1[[#This Row],[MARZO]]&gt;45,Tabla1[[#This Row],[MARZO]]/45-1,0))</f>
        <v>0</v>
      </c>
      <c r="AJ20" s="100">
        <f>IF(Tabla1[[#This Row],[TIPO DE CONSUMIDOR]]="MEDIO",IF(Tabla1[[#This Row],[ABRIL]]&gt;22.5,Tabla1[[#This Row],[ABRIL]]/22.5-1,0),IF(Tabla1[[#This Row],[ABRIL]]&gt;45,Tabla1[[#This Row],[ABRIL]]/45-1,0))</f>
        <v>0</v>
      </c>
      <c r="AK20" s="100">
        <f>IF(Tabla1[[#This Row],[TIPO DE CONSUMIDOR]]="MEDIO",IF(Tabla1[[#This Row],[MAYO ]]&gt;22.5,Tabla1[[#This Row],[MAYO ]]/22.5-1,0),IF(Tabla1[[#This Row],[MAYO ]]&gt;45,Tabla1[[#This Row],[MAYO ]]/45-1,0))</f>
        <v>0</v>
      </c>
      <c r="AL20" s="100">
        <f>IF(Tabla1[[#This Row],[TIPO DE CONSUMIDOR]]="MEDIO",IF(Tabla1[[#This Row],[JUNIO ]]&gt;22.5,Tabla1[[#This Row],[JUNIO ]]/22.5-1,0),IF(Tabla1[[#This Row],[JUNIO ]]&gt;45,Tabla1[[#This Row],[JUNIO ]]/45-1,0))</f>
        <v>0</v>
      </c>
      <c r="AM20" s="100">
        <f>IF(Tabla1[[#This Row],[TIPO DE CONSUMIDOR]]="MEDIO",IF(Tabla1[[#This Row],[JULIO ]]&gt;22.5,Tabla1[[#This Row],[JULIO ]]/22.5-1,0),IF(Tabla1[[#This Row],[JULIO ]]&gt;45,Tabla1[[#This Row],[JULIO ]]/45-1,0))</f>
        <v>0</v>
      </c>
      <c r="AN20" s="100">
        <f>IF(Tabla1[[#This Row],[TIPO DE CONSUMIDOR]]="MEDIO",IF(Tabla1[[#This Row],[AGOSTO]]&gt;22.5,Tabla1[[#This Row],[AGOSTO]]/22.5-1,0),IF(Tabla1[[#This Row],[AGOSTO]]&gt;45,Tabla1[[#This Row],[AGOSTO]]/45-1,0))</f>
        <v>0</v>
      </c>
      <c r="AO2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" s="101">
        <f t="shared" si="0"/>
        <v>0</v>
      </c>
      <c r="AT20">
        <f>IF(Tabla1[[#This Row],[MES ADEUDO DE AÑOS PASADOS ]]&gt;0,1,0)</f>
        <v>1</v>
      </c>
      <c r="AU20" s="9">
        <f t="shared" si="1"/>
        <v>1</v>
      </c>
      <c r="AV20" s="60">
        <f>IF(Tabla1[[#This Row],[MESES DE ADEUDO DEL AÑO EN CURSO ]]&gt;0,1,0)</f>
        <v>0</v>
      </c>
      <c r="AW20" s="60"/>
      <c r="AX20" s="60"/>
      <c r="AY20" s="42"/>
      <c r="AZ20" s="43"/>
    </row>
    <row r="21" spans="1:52" ht="21.75" thickBot="1" x14ac:dyDescent="0.35">
      <c r="A21" s="106">
        <v>15</v>
      </c>
      <c r="B21" s="5" t="s">
        <v>37</v>
      </c>
      <c r="C21" s="2" t="s">
        <v>461</v>
      </c>
      <c r="D21" s="46"/>
      <c r="E21" s="36" t="s">
        <v>455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24">
        <f>SUM(Tabla1[[#This Row],[ENERO ]:[DICIEMBRE]])</f>
        <v>0</v>
      </c>
      <c r="W21">
        <v>0</v>
      </c>
      <c r="X21" s="21">
        <f>COUNTIF(Tabla1[[#This Row],[ENERO ]:[DICIEMBRE]],0)-(AS21)-IF(Tabla1[[#This Row],[BAJAS]]="BAJA",IF(Tabla1[[#This Row],[ALTAS]]="ALTA",VLOOKUP(Tabla1[[#This Row],[MES DE ALTA ]],$AW$6:$AX$17,2,FALSE),12)-VLOOKUP(Tabla1[[#This Row],[MES DE BAJA ]],$AW$6:$AX$17,2,FALSE),0)</f>
        <v>0</v>
      </c>
      <c r="Y21" s="68">
        <f>SUM(Tabla1[[#This Row],[MES ADEUDO DE AÑOS PASADOS ]:[MESES DE ADEUDO DEL AÑO EN CURSO ]])-Tabla1[[#This Row],[PAGO DE DEUDA ANTERIOR EN MESES]]</f>
        <v>0</v>
      </c>
      <c r="Z21" s="15">
        <f>Tabla1[[#This Row],[MES ADEUDO DE AÑOS PASADOS ]]*$T$2</f>
        <v>0</v>
      </c>
      <c r="AA21" s="15">
        <f>Tabla1[[#This Row],[MESES DE ADEUDO DEL AÑO EN CURSO ]]*$T$2</f>
        <v>0</v>
      </c>
      <c r="AB21" s="69">
        <f>SUM(Tabla1[[#This Row],[DEUDA DE LOS MESES PASADOS EN $$]:[DEUDA DEL AÑO 2013 $$ ]])</f>
        <v>0</v>
      </c>
      <c r="AD21">
        <f>Tabla1[[#This Row],[PAGO DE DEUDA ANTERIOR EN MESES]]*$T$2</f>
        <v>0</v>
      </c>
      <c r="AG21" s="100">
        <f>IF(Tabla1[[#This Row],[TIPO DE CONSUMIDOR]]="MEDIO",IF(Tabla1[[#This Row],[ENERO ]]&gt;22.5,Tabla1[[#This Row],[ENERO ]]/22.5-1,0),IF(Tabla1[[#This Row],[ENERO ]]&gt;45,Tabla1[[#This Row],[ENERO ]]/45-1,0))</f>
        <v>0</v>
      </c>
      <c r="AH2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" s="100">
        <f>IF(Tabla1[[#This Row],[TIPO DE CONSUMIDOR]]="MEDIO",IF(Tabla1[[#This Row],[MARZO]]&gt;22.5,Tabla1[[#This Row],[MARZO]]/22.5-1,0),IF(Tabla1[[#This Row],[MARZO]]&gt;45,Tabla1[[#This Row],[MARZO]]/45-1,0))</f>
        <v>0</v>
      </c>
      <c r="AJ21" s="100">
        <f>IF(Tabla1[[#This Row],[TIPO DE CONSUMIDOR]]="MEDIO",IF(Tabla1[[#This Row],[ABRIL]]&gt;22.5,Tabla1[[#This Row],[ABRIL]]/22.5-1,0),IF(Tabla1[[#This Row],[ABRIL]]&gt;45,Tabla1[[#This Row],[ABRIL]]/45-1,0))</f>
        <v>0</v>
      </c>
      <c r="AK21" s="100">
        <f>IF(Tabla1[[#This Row],[TIPO DE CONSUMIDOR]]="MEDIO",IF(Tabla1[[#This Row],[MAYO ]]&gt;22.5,Tabla1[[#This Row],[MAYO ]]/22.5-1,0),IF(Tabla1[[#This Row],[MAYO ]]&gt;45,Tabla1[[#This Row],[MAYO ]]/45-1,0))</f>
        <v>0</v>
      </c>
      <c r="AL21" s="100">
        <f>IF(Tabla1[[#This Row],[TIPO DE CONSUMIDOR]]="MEDIO",IF(Tabla1[[#This Row],[JUNIO ]]&gt;22.5,Tabla1[[#This Row],[JUNIO ]]/22.5-1,0),IF(Tabla1[[#This Row],[JUNIO ]]&gt;45,Tabla1[[#This Row],[JUNIO ]]/45-1,0))</f>
        <v>0</v>
      </c>
      <c r="AM21" s="100">
        <f>IF(Tabla1[[#This Row],[TIPO DE CONSUMIDOR]]="MEDIO",IF(Tabla1[[#This Row],[JULIO ]]&gt;22.5,Tabla1[[#This Row],[JULIO ]]/22.5-1,0),IF(Tabla1[[#This Row],[JULIO ]]&gt;45,Tabla1[[#This Row],[JULIO ]]/45-1,0))</f>
        <v>0</v>
      </c>
      <c r="AN21" s="100">
        <f>IF(Tabla1[[#This Row],[TIPO DE CONSUMIDOR]]="MEDIO",IF(Tabla1[[#This Row],[AGOSTO]]&gt;22.5,Tabla1[[#This Row],[AGOSTO]]/22.5-1,0),IF(Tabla1[[#This Row],[AGOSTO]]&gt;45,Tabla1[[#This Row],[AGOSTO]]/45-1,0))</f>
        <v>0</v>
      </c>
      <c r="AO2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" s="101">
        <f t="shared" si="0"/>
        <v>0</v>
      </c>
      <c r="AT21">
        <f>IF(Tabla1[[#This Row],[MES ADEUDO DE AÑOS PASADOS ]]&gt;0,1,0)</f>
        <v>0</v>
      </c>
      <c r="AU21" s="9">
        <f t="shared" si="1"/>
        <v>0</v>
      </c>
      <c r="AV21" s="60">
        <f>IF(Tabla1[[#This Row],[MESES DE ADEUDO DEL AÑO EN CURSO ]]&gt;0,1,0)</f>
        <v>0</v>
      </c>
      <c r="AW21" s="60"/>
      <c r="AX21" s="60"/>
      <c r="AY21" s="42"/>
      <c r="AZ21" s="43"/>
    </row>
    <row r="22" spans="1:52" ht="21.75" thickBot="1" x14ac:dyDescent="0.35">
      <c r="A22" s="106">
        <v>16</v>
      </c>
      <c r="B22" s="5" t="s">
        <v>100</v>
      </c>
      <c r="C22" s="2" t="s">
        <v>461</v>
      </c>
      <c r="D22" s="46"/>
      <c r="E22" s="36" t="s">
        <v>455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24">
        <f>SUM(Tabla1[[#This Row],[ENERO ]:[DICIEMBRE]])</f>
        <v>0</v>
      </c>
      <c r="W22">
        <v>0</v>
      </c>
      <c r="X22" s="21">
        <f>COUNTIF(Tabla1[[#This Row],[ENERO ]:[DICIEMBRE]],0)-(AS22)-IF(Tabla1[[#This Row],[BAJAS]]="BAJA",IF(Tabla1[[#This Row],[ALTAS]]="ALTA",VLOOKUP(Tabla1[[#This Row],[MES DE ALTA ]],$AW$6:$AX$17,2,FALSE),12)-VLOOKUP(Tabla1[[#This Row],[MES DE BAJA ]],$AW$6:$AX$17,2,FALSE),0)</f>
        <v>0</v>
      </c>
      <c r="Y22" s="68">
        <f>SUM(Tabla1[[#This Row],[MES ADEUDO DE AÑOS PASADOS ]:[MESES DE ADEUDO DEL AÑO EN CURSO ]])-Tabla1[[#This Row],[PAGO DE DEUDA ANTERIOR EN MESES]]</f>
        <v>0</v>
      </c>
      <c r="Z22" s="15">
        <f>Tabla1[[#This Row],[MES ADEUDO DE AÑOS PASADOS ]]*$T$2</f>
        <v>0</v>
      </c>
      <c r="AA22" s="15">
        <f>Tabla1[[#This Row],[MESES DE ADEUDO DEL AÑO EN CURSO ]]*$T$2</f>
        <v>0</v>
      </c>
      <c r="AB22" s="69">
        <f>SUM(Tabla1[[#This Row],[DEUDA DE LOS MESES PASADOS EN $$]:[DEUDA DEL AÑO 2013 $$ ]])</f>
        <v>0</v>
      </c>
      <c r="AD22">
        <f>Tabla1[[#This Row],[PAGO DE DEUDA ANTERIOR EN MESES]]*$T$2</f>
        <v>0</v>
      </c>
      <c r="AG22" s="100">
        <f>IF(Tabla1[[#This Row],[TIPO DE CONSUMIDOR]]="MEDIO",IF(Tabla1[[#This Row],[ENERO ]]&gt;22.5,Tabla1[[#This Row],[ENERO ]]/22.5-1,0),IF(Tabla1[[#This Row],[ENERO ]]&gt;45,Tabla1[[#This Row],[ENERO ]]/45-1,0))</f>
        <v>0</v>
      </c>
      <c r="AH2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" s="100">
        <f>IF(Tabla1[[#This Row],[TIPO DE CONSUMIDOR]]="MEDIO",IF(Tabla1[[#This Row],[MARZO]]&gt;22.5,Tabla1[[#This Row],[MARZO]]/22.5-1,0),IF(Tabla1[[#This Row],[MARZO]]&gt;45,Tabla1[[#This Row],[MARZO]]/45-1,0))</f>
        <v>0</v>
      </c>
      <c r="AJ22" s="100">
        <f>IF(Tabla1[[#This Row],[TIPO DE CONSUMIDOR]]="MEDIO",IF(Tabla1[[#This Row],[ABRIL]]&gt;22.5,Tabla1[[#This Row],[ABRIL]]/22.5-1,0),IF(Tabla1[[#This Row],[ABRIL]]&gt;45,Tabla1[[#This Row],[ABRIL]]/45-1,0))</f>
        <v>0</v>
      </c>
      <c r="AK22" s="100">
        <f>IF(Tabla1[[#This Row],[TIPO DE CONSUMIDOR]]="MEDIO",IF(Tabla1[[#This Row],[MAYO ]]&gt;22.5,Tabla1[[#This Row],[MAYO ]]/22.5-1,0),IF(Tabla1[[#This Row],[MAYO ]]&gt;45,Tabla1[[#This Row],[MAYO ]]/45-1,0))</f>
        <v>0</v>
      </c>
      <c r="AL22" s="100">
        <f>IF(Tabla1[[#This Row],[TIPO DE CONSUMIDOR]]="MEDIO",IF(Tabla1[[#This Row],[JUNIO ]]&gt;22.5,Tabla1[[#This Row],[JUNIO ]]/22.5-1,0),IF(Tabla1[[#This Row],[JUNIO ]]&gt;45,Tabla1[[#This Row],[JUNIO ]]/45-1,0))</f>
        <v>0</v>
      </c>
      <c r="AM22" s="100">
        <f>IF(Tabla1[[#This Row],[TIPO DE CONSUMIDOR]]="MEDIO",IF(Tabla1[[#This Row],[JULIO ]]&gt;22.5,Tabla1[[#This Row],[JULIO ]]/22.5-1,0),IF(Tabla1[[#This Row],[JULIO ]]&gt;45,Tabla1[[#This Row],[JULIO ]]/45-1,0))</f>
        <v>0</v>
      </c>
      <c r="AN22" s="100">
        <f>IF(Tabla1[[#This Row],[TIPO DE CONSUMIDOR]]="MEDIO",IF(Tabla1[[#This Row],[AGOSTO]]&gt;22.5,Tabla1[[#This Row],[AGOSTO]]/22.5-1,0),IF(Tabla1[[#This Row],[AGOSTO]]&gt;45,Tabla1[[#This Row],[AGOSTO]]/45-1,0))</f>
        <v>0</v>
      </c>
      <c r="AO2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" s="101">
        <f t="shared" si="0"/>
        <v>0</v>
      </c>
      <c r="AT22">
        <f>IF(Tabla1[[#This Row],[MES ADEUDO DE AÑOS PASADOS ]]&gt;0,1,0)</f>
        <v>0</v>
      </c>
      <c r="AU22" s="9">
        <f t="shared" si="1"/>
        <v>0</v>
      </c>
      <c r="AV22" s="60">
        <f>IF(Tabla1[[#This Row],[MESES DE ADEUDO DEL AÑO EN CURSO ]]&gt;0,1,0)</f>
        <v>0</v>
      </c>
      <c r="AW22" s="60"/>
      <c r="AX22" s="60"/>
      <c r="AY22" s="42"/>
      <c r="AZ22" s="43"/>
    </row>
    <row r="23" spans="1:52" ht="21.75" thickBot="1" x14ac:dyDescent="0.35">
      <c r="A23" s="106">
        <v>17</v>
      </c>
      <c r="B23" s="5" t="s">
        <v>469</v>
      </c>
      <c r="C23" s="2" t="s">
        <v>461</v>
      </c>
      <c r="D23" s="32"/>
      <c r="E23" s="35" t="s">
        <v>455</v>
      </c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24">
        <f>SUM(Tabla1[[#This Row],[ENERO ]:[DICIEMBRE]])</f>
        <v>0</v>
      </c>
      <c r="W23">
        <v>0</v>
      </c>
      <c r="X23" s="21">
        <f>COUNTIF(Tabla1[[#This Row],[ENERO ]:[DICIEMBRE]],0)-(AS23)-IF(Tabla1[[#This Row],[BAJAS]]="BAJA",IF(Tabla1[[#This Row],[ALTAS]]="ALTA",VLOOKUP(Tabla1[[#This Row],[MES DE ALTA ]],$AW$6:$AX$17,2,FALSE),12)-VLOOKUP(Tabla1[[#This Row],[MES DE BAJA ]],$AW$6:$AX$17,2,FALSE),0)</f>
        <v>0</v>
      </c>
      <c r="Y23" s="68">
        <f>SUM(Tabla1[[#This Row],[MES ADEUDO DE AÑOS PASADOS ]:[MESES DE ADEUDO DEL AÑO EN CURSO ]])-Tabla1[[#This Row],[PAGO DE DEUDA ANTERIOR EN MESES]]</f>
        <v>0</v>
      </c>
      <c r="Z23" s="15">
        <f>Tabla1[[#This Row],[MES ADEUDO DE AÑOS PASADOS ]]*$T$2</f>
        <v>0</v>
      </c>
      <c r="AA23" s="15">
        <f>Tabla1[[#This Row],[MESES DE ADEUDO DEL AÑO EN CURSO ]]*$T$2</f>
        <v>0</v>
      </c>
      <c r="AB23" s="69">
        <f>SUM(Tabla1[[#This Row],[DEUDA DE LOS MESES PASADOS EN $$]:[DEUDA DEL AÑO 2013 $$ ]])</f>
        <v>0</v>
      </c>
      <c r="AD23">
        <f>Tabla1[[#This Row],[PAGO DE DEUDA ANTERIOR EN MESES]]*$T$2</f>
        <v>0</v>
      </c>
      <c r="AG23" s="100">
        <f>IF(Tabla1[[#This Row],[TIPO DE CONSUMIDOR]]="MEDIO",IF(Tabla1[[#This Row],[ENERO ]]&gt;22.5,Tabla1[[#This Row],[ENERO ]]/22.5-1,0),IF(Tabla1[[#This Row],[ENERO ]]&gt;45,Tabla1[[#This Row],[ENERO ]]/45-1,0))</f>
        <v>0</v>
      </c>
      <c r="AH2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" s="100">
        <f>IF(Tabla1[[#This Row],[TIPO DE CONSUMIDOR]]="MEDIO",IF(Tabla1[[#This Row],[MARZO]]&gt;22.5,Tabla1[[#This Row],[MARZO]]/22.5-1,0),IF(Tabla1[[#This Row],[MARZO]]&gt;45,Tabla1[[#This Row],[MARZO]]/45-1,0))</f>
        <v>0</v>
      </c>
      <c r="AJ23" s="100">
        <f>IF(Tabla1[[#This Row],[TIPO DE CONSUMIDOR]]="MEDIO",IF(Tabla1[[#This Row],[ABRIL]]&gt;22.5,Tabla1[[#This Row],[ABRIL]]/22.5-1,0),IF(Tabla1[[#This Row],[ABRIL]]&gt;45,Tabla1[[#This Row],[ABRIL]]/45-1,0))</f>
        <v>0</v>
      </c>
      <c r="AK23" s="100">
        <f>IF(Tabla1[[#This Row],[TIPO DE CONSUMIDOR]]="MEDIO",IF(Tabla1[[#This Row],[MAYO ]]&gt;22.5,Tabla1[[#This Row],[MAYO ]]/22.5-1,0),IF(Tabla1[[#This Row],[MAYO ]]&gt;45,Tabla1[[#This Row],[MAYO ]]/45-1,0))</f>
        <v>0</v>
      </c>
      <c r="AL23" s="100">
        <f>IF(Tabla1[[#This Row],[TIPO DE CONSUMIDOR]]="MEDIO",IF(Tabla1[[#This Row],[JUNIO ]]&gt;22.5,Tabla1[[#This Row],[JUNIO ]]/22.5-1,0),IF(Tabla1[[#This Row],[JUNIO ]]&gt;45,Tabla1[[#This Row],[JUNIO ]]/45-1,0))</f>
        <v>0</v>
      </c>
      <c r="AM23" s="100">
        <f>IF(Tabla1[[#This Row],[TIPO DE CONSUMIDOR]]="MEDIO",IF(Tabla1[[#This Row],[JULIO ]]&gt;22.5,Tabla1[[#This Row],[JULIO ]]/22.5-1,0),IF(Tabla1[[#This Row],[JULIO ]]&gt;45,Tabla1[[#This Row],[JULIO ]]/45-1,0))</f>
        <v>0</v>
      </c>
      <c r="AN23" s="100">
        <f>IF(Tabla1[[#This Row],[TIPO DE CONSUMIDOR]]="MEDIO",IF(Tabla1[[#This Row],[AGOSTO]]&gt;22.5,Tabla1[[#This Row],[AGOSTO]]/22.5-1,0),IF(Tabla1[[#This Row],[AGOSTO]]&gt;45,Tabla1[[#This Row],[AGOSTO]]/45-1,0))</f>
        <v>0</v>
      </c>
      <c r="AO2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" s="101">
        <f t="shared" si="0"/>
        <v>0</v>
      </c>
      <c r="AT23">
        <f>IF(Tabla1[[#This Row],[MES ADEUDO DE AÑOS PASADOS ]]&gt;0,1,0)</f>
        <v>0</v>
      </c>
      <c r="AU23" s="9">
        <f t="shared" si="1"/>
        <v>0</v>
      </c>
      <c r="AV23" s="60">
        <f>IF(Tabla1[[#This Row],[MESES DE ADEUDO DEL AÑO EN CURSO ]]&gt;0,1,0)</f>
        <v>0</v>
      </c>
      <c r="AW23" s="60"/>
      <c r="AX23" s="60"/>
      <c r="AY23" s="42"/>
      <c r="AZ23" s="43"/>
    </row>
    <row r="24" spans="1:52" ht="21.75" thickBot="1" x14ac:dyDescent="0.35">
      <c r="A24" s="106">
        <v>18</v>
      </c>
      <c r="B24" s="5" t="s">
        <v>261</v>
      </c>
      <c r="C24" s="2" t="s">
        <v>461</v>
      </c>
      <c r="D24" s="46"/>
      <c r="E24" s="36" t="s">
        <v>455</v>
      </c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24">
        <f>SUM(Tabla1[[#This Row],[ENERO ]:[DICIEMBRE]])</f>
        <v>0</v>
      </c>
      <c r="W24">
        <v>0</v>
      </c>
      <c r="X24" s="21">
        <f>COUNTIF(Tabla1[[#This Row],[ENERO ]:[DICIEMBRE]],0)-(AS24)-IF(Tabla1[[#This Row],[BAJAS]]="BAJA",IF(Tabla1[[#This Row],[ALTAS]]="ALTA",VLOOKUP(Tabla1[[#This Row],[MES DE ALTA ]],$AW$6:$AX$17,2,FALSE),12)-VLOOKUP(Tabla1[[#This Row],[MES DE BAJA ]],$AW$6:$AX$17,2,FALSE),0)</f>
        <v>0</v>
      </c>
      <c r="Y24" s="68">
        <f>SUM(Tabla1[[#This Row],[MES ADEUDO DE AÑOS PASADOS ]:[MESES DE ADEUDO DEL AÑO EN CURSO ]])-Tabla1[[#This Row],[PAGO DE DEUDA ANTERIOR EN MESES]]</f>
        <v>0</v>
      </c>
      <c r="Z24" s="15">
        <f>Tabla1[[#This Row],[MES ADEUDO DE AÑOS PASADOS ]]*$T$2</f>
        <v>0</v>
      </c>
      <c r="AA24" s="15">
        <f>Tabla1[[#This Row],[MESES DE ADEUDO DEL AÑO EN CURSO ]]*$T$2</f>
        <v>0</v>
      </c>
      <c r="AB24" s="69">
        <f>SUM(Tabla1[[#This Row],[DEUDA DE LOS MESES PASADOS EN $$]:[DEUDA DEL AÑO 2013 $$ ]])</f>
        <v>0</v>
      </c>
      <c r="AD24">
        <f>Tabla1[[#This Row],[PAGO DE DEUDA ANTERIOR EN MESES]]*$T$2</f>
        <v>0</v>
      </c>
      <c r="AG24" s="100">
        <f>IF(Tabla1[[#This Row],[TIPO DE CONSUMIDOR]]="MEDIO",IF(Tabla1[[#This Row],[ENERO ]]&gt;22.5,Tabla1[[#This Row],[ENERO ]]/22.5-1,0),IF(Tabla1[[#This Row],[ENERO ]]&gt;45,Tabla1[[#This Row],[ENERO ]]/45-1,0))</f>
        <v>0</v>
      </c>
      <c r="AH2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" s="100">
        <f>IF(Tabla1[[#This Row],[TIPO DE CONSUMIDOR]]="MEDIO",IF(Tabla1[[#This Row],[MARZO]]&gt;22.5,Tabla1[[#This Row],[MARZO]]/22.5-1,0),IF(Tabla1[[#This Row],[MARZO]]&gt;45,Tabla1[[#This Row],[MARZO]]/45-1,0))</f>
        <v>0</v>
      </c>
      <c r="AJ24" s="100">
        <f>IF(Tabla1[[#This Row],[TIPO DE CONSUMIDOR]]="MEDIO",IF(Tabla1[[#This Row],[ABRIL]]&gt;22.5,Tabla1[[#This Row],[ABRIL]]/22.5-1,0),IF(Tabla1[[#This Row],[ABRIL]]&gt;45,Tabla1[[#This Row],[ABRIL]]/45-1,0))</f>
        <v>0</v>
      </c>
      <c r="AK24" s="100">
        <f>IF(Tabla1[[#This Row],[TIPO DE CONSUMIDOR]]="MEDIO",IF(Tabla1[[#This Row],[MAYO ]]&gt;22.5,Tabla1[[#This Row],[MAYO ]]/22.5-1,0),IF(Tabla1[[#This Row],[MAYO ]]&gt;45,Tabla1[[#This Row],[MAYO ]]/45-1,0))</f>
        <v>0</v>
      </c>
      <c r="AL24" s="100">
        <f>IF(Tabla1[[#This Row],[TIPO DE CONSUMIDOR]]="MEDIO",IF(Tabla1[[#This Row],[JUNIO ]]&gt;22.5,Tabla1[[#This Row],[JUNIO ]]/22.5-1,0),IF(Tabla1[[#This Row],[JUNIO ]]&gt;45,Tabla1[[#This Row],[JUNIO ]]/45-1,0))</f>
        <v>0</v>
      </c>
      <c r="AM24" s="100">
        <f>IF(Tabla1[[#This Row],[TIPO DE CONSUMIDOR]]="MEDIO",IF(Tabla1[[#This Row],[JULIO ]]&gt;22.5,Tabla1[[#This Row],[JULIO ]]/22.5-1,0),IF(Tabla1[[#This Row],[JULIO ]]&gt;45,Tabla1[[#This Row],[JULIO ]]/45-1,0))</f>
        <v>0</v>
      </c>
      <c r="AN24" s="100">
        <f>IF(Tabla1[[#This Row],[TIPO DE CONSUMIDOR]]="MEDIO",IF(Tabla1[[#This Row],[AGOSTO]]&gt;22.5,Tabla1[[#This Row],[AGOSTO]]/22.5-1,0),IF(Tabla1[[#This Row],[AGOSTO]]&gt;45,Tabla1[[#This Row],[AGOSTO]]/45-1,0))</f>
        <v>0</v>
      </c>
      <c r="AO2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" s="101">
        <f t="shared" si="0"/>
        <v>0</v>
      </c>
      <c r="AT24">
        <f>IF(Tabla1[[#This Row],[MES ADEUDO DE AÑOS PASADOS ]]&gt;0,1,0)</f>
        <v>0</v>
      </c>
      <c r="AU24" s="9">
        <f t="shared" si="1"/>
        <v>0</v>
      </c>
      <c r="AV24" s="60">
        <f>IF(Tabla1[[#This Row],[MESES DE ADEUDO DEL AÑO EN CURSO ]]&gt;0,1,0)</f>
        <v>0</v>
      </c>
      <c r="AW24" s="60"/>
      <c r="AX24" s="60"/>
      <c r="AY24" s="42"/>
      <c r="AZ24" s="43"/>
    </row>
    <row r="25" spans="1:52" ht="21.75" thickBot="1" x14ac:dyDescent="0.35">
      <c r="A25" s="106">
        <v>19</v>
      </c>
      <c r="B25" s="5" t="s">
        <v>233</v>
      </c>
      <c r="C25" s="2" t="s">
        <v>461</v>
      </c>
      <c r="D25" s="46"/>
      <c r="E25" s="36" t="s">
        <v>455</v>
      </c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24">
        <f>SUM(Tabla1[[#This Row],[ENERO ]:[DICIEMBRE]])</f>
        <v>0</v>
      </c>
      <c r="W25">
        <v>0</v>
      </c>
      <c r="X25" s="21">
        <f>COUNTIF(Tabla1[[#This Row],[ENERO ]:[DICIEMBRE]],0)-(AS25)-IF(Tabla1[[#This Row],[BAJAS]]="BAJA",IF(Tabla1[[#This Row],[ALTAS]]="ALTA",VLOOKUP(Tabla1[[#This Row],[MES DE ALTA ]],$AW$6:$AX$17,2,FALSE),12)-VLOOKUP(Tabla1[[#This Row],[MES DE BAJA ]],$AW$6:$AX$17,2,FALSE),0)</f>
        <v>0</v>
      </c>
      <c r="Y25" s="68">
        <f>SUM(Tabla1[[#This Row],[MES ADEUDO DE AÑOS PASADOS ]:[MESES DE ADEUDO DEL AÑO EN CURSO ]])-Tabla1[[#This Row],[PAGO DE DEUDA ANTERIOR EN MESES]]</f>
        <v>0</v>
      </c>
      <c r="Z25" s="15">
        <f>Tabla1[[#This Row],[MES ADEUDO DE AÑOS PASADOS ]]*$T$2</f>
        <v>0</v>
      </c>
      <c r="AA25" s="15">
        <f>Tabla1[[#This Row],[MESES DE ADEUDO DEL AÑO EN CURSO ]]*$T$2</f>
        <v>0</v>
      </c>
      <c r="AB25" s="69">
        <f>SUM(Tabla1[[#This Row],[DEUDA DE LOS MESES PASADOS EN $$]:[DEUDA DEL AÑO 2013 $$ ]])</f>
        <v>0</v>
      </c>
      <c r="AD25">
        <f>Tabla1[[#This Row],[PAGO DE DEUDA ANTERIOR EN MESES]]*$T$2</f>
        <v>0</v>
      </c>
      <c r="AG25" s="100">
        <f>IF(Tabla1[[#This Row],[TIPO DE CONSUMIDOR]]="MEDIO",IF(Tabla1[[#This Row],[ENERO ]]&gt;22.5,Tabla1[[#This Row],[ENERO ]]/22.5-1,0),IF(Tabla1[[#This Row],[ENERO ]]&gt;45,Tabla1[[#This Row],[ENERO ]]/45-1,0))</f>
        <v>0</v>
      </c>
      <c r="AH2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" s="100">
        <f>IF(Tabla1[[#This Row],[TIPO DE CONSUMIDOR]]="MEDIO",IF(Tabla1[[#This Row],[MARZO]]&gt;22.5,Tabla1[[#This Row],[MARZO]]/22.5-1,0),IF(Tabla1[[#This Row],[MARZO]]&gt;45,Tabla1[[#This Row],[MARZO]]/45-1,0))</f>
        <v>0</v>
      </c>
      <c r="AJ25" s="100">
        <f>IF(Tabla1[[#This Row],[TIPO DE CONSUMIDOR]]="MEDIO",IF(Tabla1[[#This Row],[ABRIL]]&gt;22.5,Tabla1[[#This Row],[ABRIL]]/22.5-1,0),IF(Tabla1[[#This Row],[ABRIL]]&gt;45,Tabla1[[#This Row],[ABRIL]]/45-1,0))</f>
        <v>0</v>
      </c>
      <c r="AK25" s="100">
        <f>IF(Tabla1[[#This Row],[TIPO DE CONSUMIDOR]]="MEDIO",IF(Tabla1[[#This Row],[MAYO ]]&gt;22.5,Tabla1[[#This Row],[MAYO ]]/22.5-1,0),IF(Tabla1[[#This Row],[MAYO ]]&gt;45,Tabla1[[#This Row],[MAYO ]]/45-1,0))</f>
        <v>0</v>
      </c>
      <c r="AL25" s="100">
        <f>IF(Tabla1[[#This Row],[TIPO DE CONSUMIDOR]]="MEDIO",IF(Tabla1[[#This Row],[JUNIO ]]&gt;22.5,Tabla1[[#This Row],[JUNIO ]]/22.5-1,0),IF(Tabla1[[#This Row],[JUNIO ]]&gt;45,Tabla1[[#This Row],[JUNIO ]]/45-1,0))</f>
        <v>0</v>
      </c>
      <c r="AM25" s="100">
        <f>IF(Tabla1[[#This Row],[TIPO DE CONSUMIDOR]]="MEDIO",IF(Tabla1[[#This Row],[JULIO ]]&gt;22.5,Tabla1[[#This Row],[JULIO ]]/22.5-1,0),IF(Tabla1[[#This Row],[JULIO ]]&gt;45,Tabla1[[#This Row],[JULIO ]]/45-1,0))</f>
        <v>0</v>
      </c>
      <c r="AN25" s="100">
        <f>IF(Tabla1[[#This Row],[TIPO DE CONSUMIDOR]]="MEDIO",IF(Tabla1[[#This Row],[AGOSTO]]&gt;22.5,Tabla1[[#This Row],[AGOSTO]]/22.5-1,0),IF(Tabla1[[#This Row],[AGOSTO]]&gt;45,Tabla1[[#This Row],[AGOSTO]]/45-1,0))</f>
        <v>0</v>
      </c>
      <c r="AO2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" s="101">
        <f t="shared" si="0"/>
        <v>0</v>
      </c>
      <c r="AT25">
        <f>IF(Tabla1[[#This Row],[MES ADEUDO DE AÑOS PASADOS ]]&gt;0,1,0)</f>
        <v>0</v>
      </c>
      <c r="AU25" s="9">
        <f t="shared" si="1"/>
        <v>0</v>
      </c>
      <c r="AV25" s="60">
        <f>IF(Tabla1[[#This Row],[MESES DE ADEUDO DEL AÑO EN CURSO ]]&gt;0,1,0)</f>
        <v>0</v>
      </c>
      <c r="AW25" s="60"/>
      <c r="AX25" s="60"/>
      <c r="AY25" s="42"/>
      <c r="AZ25" s="43"/>
    </row>
    <row r="26" spans="1:52" ht="21.75" thickBot="1" x14ac:dyDescent="0.35">
      <c r="A26" s="106">
        <v>20</v>
      </c>
      <c r="B26" s="5" t="s">
        <v>596</v>
      </c>
      <c r="C26" s="2" t="s">
        <v>461</v>
      </c>
      <c r="D26" s="46"/>
      <c r="E26" s="36" t="s">
        <v>455</v>
      </c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24">
        <f>SUM(Tabla1[[#This Row],[ENERO ]:[DICIEMBRE]])</f>
        <v>0</v>
      </c>
      <c r="W26">
        <v>0</v>
      </c>
      <c r="X26" s="21">
        <f>COUNTIF(Tabla1[[#This Row],[ENERO ]:[DICIEMBRE]],0)-(AS26)-IF(Tabla1[[#This Row],[BAJAS]]="BAJA",IF(Tabla1[[#This Row],[ALTAS]]="ALTA",VLOOKUP(Tabla1[[#This Row],[MES DE ALTA ]],$AW$6:$AX$17,2,FALSE),12)-VLOOKUP(Tabla1[[#This Row],[MES DE BAJA ]],$AW$6:$AX$17,2,FALSE),0)</f>
        <v>0</v>
      </c>
      <c r="Y26" s="68">
        <f>SUM(Tabla1[[#This Row],[MES ADEUDO DE AÑOS PASADOS ]:[MESES DE ADEUDO DEL AÑO EN CURSO ]])-Tabla1[[#This Row],[PAGO DE DEUDA ANTERIOR EN MESES]]</f>
        <v>0</v>
      </c>
      <c r="Z26" s="15">
        <f>Tabla1[[#This Row],[MES ADEUDO DE AÑOS PASADOS ]]*$T$2</f>
        <v>0</v>
      </c>
      <c r="AA26" s="15">
        <f>Tabla1[[#This Row],[MESES DE ADEUDO DEL AÑO EN CURSO ]]*$T$2</f>
        <v>0</v>
      </c>
      <c r="AB26" s="69">
        <f>SUM(Tabla1[[#This Row],[DEUDA DE LOS MESES PASADOS EN $$]:[DEUDA DEL AÑO 2013 $$ ]])</f>
        <v>0</v>
      </c>
      <c r="AD26">
        <f>Tabla1[[#This Row],[PAGO DE DEUDA ANTERIOR EN MESES]]*$T$2</f>
        <v>0</v>
      </c>
      <c r="AG26" s="100">
        <f>IF(Tabla1[[#This Row],[TIPO DE CONSUMIDOR]]="MEDIO",IF(Tabla1[[#This Row],[ENERO ]]&gt;22.5,Tabla1[[#This Row],[ENERO ]]/22.5-1,0),IF(Tabla1[[#This Row],[ENERO ]]&gt;45,Tabla1[[#This Row],[ENERO ]]/45-1,0))</f>
        <v>0</v>
      </c>
      <c r="AH2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" s="100">
        <f>IF(Tabla1[[#This Row],[TIPO DE CONSUMIDOR]]="MEDIO",IF(Tabla1[[#This Row],[MARZO]]&gt;22.5,Tabla1[[#This Row],[MARZO]]/22.5-1,0),IF(Tabla1[[#This Row],[MARZO]]&gt;45,Tabla1[[#This Row],[MARZO]]/45-1,0))</f>
        <v>0</v>
      </c>
      <c r="AJ26" s="100">
        <f>IF(Tabla1[[#This Row],[TIPO DE CONSUMIDOR]]="MEDIO",IF(Tabla1[[#This Row],[ABRIL]]&gt;22.5,Tabla1[[#This Row],[ABRIL]]/22.5-1,0),IF(Tabla1[[#This Row],[ABRIL]]&gt;45,Tabla1[[#This Row],[ABRIL]]/45-1,0))</f>
        <v>0</v>
      </c>
      <c r="AK26" s="100">
        <f>IF(Tabla1[[#This Row],[TIPO DE CONSUMIDOR]]="MEDIO",IF(Tabla1[[#This Row],[MAYO ]]&gt;22.5,Tabla1[[#This Row],[MAYO ]]/22.5-1,0),IF(Tabla1[[#This Row],[MAYO ]]&gt;45,Tabla1[[#This Row],[MAYO ]]/45-1,0))</f>
        <v>0</v>
      </c>
      <c r="AL26" s="100">
        <f>IF(Tabla1[[#This Row],[TIPO DE CONSUMIDOR]]="MEDIO",IF(Tabla1[[#This Row],[JUNIO ]]&gt;22.5,Tabla1[[#This Row],[JUNIO ]]/22.5-1,0),IF(Tabla1[[#This Row],[JUNIO ]]&gt;45,Tabla1[[#This Row],[JUNIO ]]/45-1,0))</f>
        <v>0</v>
      </c>
      <c r="AM26" s="100">
        <f>IF(Tabla1[[#This Row],[TIPO DE CONSUMIDOR]]="MEDIO",IF(Tabla1[[#This Row],[JULIO ]]&gt;22.5,Tabla1[[#This Row],[JULIO ]]/22.5-1,0),IF(Tabla1[[#This Row],[JULIO ]]&gt;45,Tabla1[[#This Row],[JULIO ]]/45-1,0))</f>
        <v>0</v>
      </c>
      <c r="AN26" s="100">
        <f>IF(Tabla1[[#This Row],[TIPO DE CONSUMIDOR]]="MEDIO",IF(Tabla1[[#This Row],[AGOSTO]]&gt;22.5,Tabla1[[#This Row],[AGOSTO]]/22.5-1,0),IF(Tabla1[[#This Row],[AGOSTO]]&gt;45,Tabla1[[#This Row],[AGOSTO]]/45-1,0))</f>
        <v>0</v>
      </c>
      <c r="AO2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" s="101">
        <f t="shared" si="0"/>
        <v>0</v>
      </c>
      <c r="AT26">
        <f>IF(Tabla1[[#This Row],[MES ADEUDO DE AÑOS PASADOS ]]&gt;0,1,0)</f>
        <v>0</v>
      </c>
      <c r="AU26" s="9">
        <f t="shared" si="1"/>
        <v>0</v>
      </c>
      <c r="AV26" s="60">
        <f>IF(Tabla1[[#This Row],[MESES DE ADEUDO DEL AÑO EN CURSO ]]&gt;0,1,0)</f>
        <v>0</v>
      </c>
      <c r="AW26" s="60"/>
      <c r="AX26" s="60"/>
      <c r="AY26" s="42"/>
      <c r="AZ26" s="43"/>
    </row>
    <row r="27" spans="1:52" ht="21.75" thickBot="1" x14ac:dyDescent="0.35">
      <c r="A27" s="106">
        <v>21</v>
      </c>
      <c r="B27" s="5" t="s">
        <v>304</v>
      </c>
      <c r="C27" s="2" t="s">
        <v>461</v>
      </c>
      <c r="D27" s="32"/>
      <c r="E27" s="35" t="s">
        <v>455</v>
      </c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24">
        <f>SUM(Tabla1[[#This Row],[ENERO ]:[DICIEMBRE]])</f>
        <v>0</v>
      </c>
      <c r="W27">
        <v>0</v>
      </c>
      <c r="X27" s="21">
        <f>COUNTIF(Tabla1[[#This Row],[ENERO ]:[DICIEMBRE]],0)-(AS27)-IF(Tabla1[[#This Row],[BAJAS]]="BAJA",IF(Tabla1[[#This Row],[ALTAS]]="ALTA",VLOOKUP(Tabla1[[#This Row],[MES DE ALTA ]],$AW$6:$AX$17,2,FALSE),12)-VLOOKUP(Tabla1[[#This Row],[MES DE BAJA ]],$AW$6:$AX$17,2,FALSE),0)</f>
        <v>0</v>
      </c>
      <c r="Y27" s="68">
        <f>SUM(Tabla1[[#This Row],[MES ADEUDO DE AÑOS PASADOS ]:[MESES DE ADEUDO DEL AÑO EN CURSO ]])-Tabla1[[#This Row],[PAGO DE DEUDA ANTERIOR EN MESES]]</f>
        <v>0</v>
      </c>
      <c r="Z27" s="15">
        <f>Tabla1[[#This Row],[MES ADEUDO DE AÑOS PASADOS ]]*$T$2</f>
        <v>0</v>
      </c>
      <c r="AA27" s="15">
        <f>Tabla1[[#This Row],[MESES DE ADEUDO DEL AÑO EN CURSO ]]*$T$2</f>
        <v>0</v>
      </c>
      <c r="AB27" s="69">
        <f>SUM(Tabla1[[#This Row],[DEUDA DE LOS MESES PASADOS EN $$]:[DEUDA DEL AÑO 2013 $$ ]])</f>
        <v>0</v>
      </c>
      <c r="AD27">
        <f>Tabla1[[#This Row],[PAGO DE DEUDA ANTERIOR EN MESES]]*$T$2</f>
        <v>0</v>
      </c>
      <c r="AG27" s="100">
        <f>IF(Tabla1[[#This Row],[TIPO DE CONSUMIDOR]]="MEDIO",IF(Tabla1[[#This Row],[ENERO ]]&gt;22.5,Tabla1[[#This Row],[ENERO ]]/22.5-1,0),IF(Tabla1[[#This Row],[ENERO ]]&gt;45,Tabla1[[#This Row],[ENERO ]]/45-1,0))</f>
        <v>0</v>
      </c>
      <c r="AH2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" s="100">
        <f>IF(Tabla1[[#This Row],[TIPO DE CONSUMIDOR]]="MEDIO",IF(Tabla1[[#This Row],[MARZO]]&gt;22.5,Tabla1[[#This Row],[MARZO]]/22.5-1,0),IF(Tabla1[[#This Row],[MARZO]]&gt;45,Tabla1[[#This Row],[MARZO]]/45-1,0))</f>
        <v>0</v>
      </c>
      <c r="AJ27" s="100">
        <f>IF(Tabla1[[#This Row],[TIPO DE CONSUMIDOR]]="MEDIO",IF(Tabla1[[#This Row],[ABRIL]]&gt;22.5,Tabla1[[#This Row],[ABRIL]]/22.5-1,0),IF(Tabla1[[#This Row],[ABRIL]]&gt;45,Tabla1[[#This Row],[ABRIL]]/45-1,0))</f>
        <v>0</v>
      </c>
      <c r="AK27" s="100">
        <f>IF(Tabla1[[#This Row],[TIPO DE CONSUMIDOR]]="MEDIO",IF(Tabla1[[#This Row],[MAYO ]]&gt;22.5,Tabla1[[#This Row],[MAYO ]]/22.5-1,0),IF(Tabla1[[#This Row],[MAYO ]]&gt;45,Tabla1[[#This Row],[MAYO ]]/45-1,0))</f>
        <v>0</v>
      </c>
      <c r="AL27" s="100">
        <f>IF(Tabla1[[#This Row],[TIPO DE CONSUMIDOR]]="MEDIO",IF(Tabla1[[#This Row],[JUNIO ]]&gt;22.5,Tabla1[[#This Row],[JUNIO ]]/22.5-1,0),IF(Tabla1[[#This Row],[JUNIO ]]&gt;45,Tabla1[[#This Row],[JUNIO ]]/45-1,0))</f>
        <v>0</v>
      </c>
      <c r="AM27" s="100">
        <f>IF(Tabla1[[#This Row],[TIPO DE CONSUMIDOR]]="MEDIO",IF(Tabla1[[#This Row],[JULIO ]]&gt;22.5,Tabla1[[#This Row],[JULIO ]]/22.5-1,0),IF(Tabla1[[#This Row],[JULIO ]]&gt;45,Tabla1[[#This Row],[JULIO ]]/45-1,0))</f>
        <v>0</v>
      </c>
      <c r="AN27" s="100">
        <f>IF(Tabla1[[#This Row],[TIPO DE CONSUMIDOR]]="MEDIO",IF(Tabla1[[#This Row],[AGOSTO]]&gt;22.5,Tabla1[[#This Row],[AGOSTO]]/22.5-1,0),IF(Tabla1[[#This Row],[AGOSTO]]&gt;45,Tabla1[[#This Row],[AGOSTO]]/45-1,0))</f>
        <v>0</v>
      </c>
      <c r="AO2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" s="101">
        <f t="shared" si="0"/>
        <v>0</v>
      </c>
      <c r="AT27">
        <f>IF(Tabla1[[#This Row],[MES ADEUDO DE AÑOS PASADOS ]]&gt;0,1,0)</f>
        <v>0</v>
      </c>
      <c r="AU27" s="9">
        <f t="shared" si="1"/>
        <v>0</v>
      </c>
      <c r="AV27" s="60">
        <f>IF(Tabla1[[#This Row],[MESES DE ADEUDO DEL AÑO EN CURSO ]]&gt;0,1,0)</f>
        <v>0</v>
      </c>
      <c r="AW27" s="42"/>
      <c r="AX27" s="42"/>
      <c r="AY27" s="42"/>
      <c r="AZ27" s="43"/>
    </row>
    <row r="28" spans="1:52" ht="21.75" thickBot="1" x14ac:dyDescent="0.35">
      <c r="A28" s="106">
        <v>22</v>
      </c>
      <c r="B28" s="5" t="s">
        <v>325</v>
      </c>
      <c r="C28" s="2" t="s">
        <v>461</v>
      </c>
      <c r="D28" s="32"/>
      <c r="E28" s="35" t="s">
        <v>455</v>
      </c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24">
        <f>SUM(Tabla1[[#This Row],[ENERO ]:[DICIEMBRE]])</f>
        <v>0</v>
      </c>
      <c r="W28">
        <v>0</v>
      </c>
      <c r="X28" s="21">
        <f>COUNTIF(Tabla1[[#This Row],[ENERO ]:[DICIEMBRE]],0)-(AS28)-IF(Tabla1[[#This Row],[BAJAS]]="BAJA",IF(Tabla1[[#This Row],[ALTAS]]="ALTA",VLOOKUP(Tabla1[[#This Row],[MES DE ALTA ]],$AW$6:$AX$17,2,FALSE),12)-VLOOKUP(Tabla1[[#This Row],[MES DE BAJA ]],$AW$6:$AX$17,2,FALSE),0)</f>
        <v>0</v>
      </c>
      <c r="Y28" s="68">
        <f>SUM(Tabla1[[#This Row],[MES ADEUDO DE AÑOS PASADOS ]:[MESES DE ADEUDO DEL AÑO EN CURSO ]])-Tabla1[[#This Row],[PAGO DE DEUDA ANTERIOR EN MESES]]</f>
        <v>0</v>
      </c>
      <c r="Z28" s="15">
        <f>Tabla1[[#This Row],[MES ADEUDO DE AÑOS PASADOS ]]*$T$2</f>
        <v>0</v>
      </c>
      <c r="AA28" s="15">
        <f>Tabla1[[#This Row],[MESES DE ADEUDO DEL AÑO EN CURSO ]]*$T$2</f>
        <v>0</v>
      </c>
      <c r="AB28" s="69">
        <f>SUM(Tabla1[[#This Row],[DEUDA DE LOS MESES PASADOS EN $$]:[DEUDA DEL AÑO 2013 $$ ]])</f>
        <v>0</v>
      </c>
      <c r="AD28">
        <f>Tabla1[[#This Row],[PAGO DE DEUDA ANTERIOR EN MESES]]*$T$2</f>
        <v>0</v>
      </c>
      <c r="AG28" s="100">
        <f>IF(Tabla1[[#This Row],[TIPO DE CONSUMIDOR]]="MEDIO",IF(Tabla1[[#This Row],[ENERO ]]&gt;22.5,Tabla1[[#This Row],[ENERO ]]/22.5-1,0),IF(Tabla1[[#This Row],[ENERO ]]&gt;45,Tabla1[[#This Row],[ENERO ]]/45-1,0))</f>
        <v>0</v>
      </c>
      <c r="AH2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" s="100">
        <f>IF(Tabla1[[#This Row],[TIPO DE CONSUMIDOR]]="MEDIO",IF(Tabla1[[#This Row],[MARZO]]&gt;22.5,Tabla1[[#This Row],[MARZO]]/22.5-1,0),IF(Tabla1[[#This Row],[MARZO]]&gt;45,Tabla1[[#This Row],[MARZO]]/45-1,0))</f>
        <v>0</v>
      </c>
      <c r="AJ28" s="100">
        <f>IF(Tabla1[[#This Row],[TIPO DE CONSUMIDOR]]="MEDIO",IF(Tabla1[[#This Row],[ABRIL]]&gt;22.5,Tabla1[[#This Row],[ABRIL]]/22.5-1,0),IF(Tabla1[[#This Row],[ABRIL]]&gt;45,Tabla1[[#This Row],[ABRIL]]/45-1,0))</f>
        <v>0</v>
      </c>
      <c r="AK28" s="100">
        <f>IF(Tabla1[[#This Row],[TIPO DE CONSUMIDOR]]="MEDIO",IF(Tabla1[[#This Row],[MAYO ]]&gt;22.5,Tabla1[[#This Row],[MAYO ]]/22.5-1,0),IF(Tabla1[[#This Row],[MAYO ]]&gt;45,Tabla1[[#This Row],[MAYO ]]/45-1,0))</f>
        <v>0</v>
      </c>
      <c r="AL28" s="100">
        <f>IF(Tabla1[[#This Row],[TIPO DE CONSUMIDOR]]="MEDIO",IF(Tabla1[[#This Row],[JUNIO ]]&gt;22.5,Tabla1[[#This Row],[JUNIO ]]/22.5-1,0),IF(Tabla1[[#This Row],[JUNIO ]]&gt;45,Tabla1[[#This Row],[JUNIO ]]/45-1,0))</f>
        <v>0</v>
      </c>
      <c r="AM28" s="100">
        <f>IF(Tabla1[[#This Row],[TIPO DE CONSUMIDOR]]="MEDIO",IF(Tabla1[[#This Row],[JULIO ]]&gt;22.5,Tabla1[[#This Row],[JULIO ]]/22.5-1,0),IF(Tabla1[[#This Row],[JULIO ]]&gt;45,Tabla1[[#This Row],[JULIO ]]/45-1,0))</f>
        <v>0</v>
      </c>
      <c r="AN28" s="100">
        <f>IF(Tabla1[[#This Row],[TIPO DE CONSUMIDOR]]="MEDIO",IF(Tabla1[[#This Row],[AGOSTO]]&gt;22.5,Tabla1[[#This Row],[AGOSTO]]/22.5-1,0),IF(Tabla1[[#This Row],[AGOSTO]]&gt;45,Tabla1[[#This Row],[AGOSTO]]/45-1,0))</f>
        <v>0</v>
      </c>
      <c r="AO2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" s="101">
        <f t="shared" si="0"/>
        <v>0</v>
      </c>
      <c r="AT28">
        <f>IF(Tabla1[[#This Row],[MES ADEUDO DE AÑOS PASADOS ]]&gt;0,1,0)</f>
        <v>0</v>
      </c>
      <c r="AU28" s="9">
        <f t="shared" si="1"/>
        <v>0</v>
      </c>
      <c r="AV28" s="60">
        <f>IF(Tabla1[[#This Row],[MESES DE ADEUDO DEL AÑO EN CURSO ]]&gt;0,1,0)</f>
        <v>0</v>
      </c>
      <c r="AW28" s="42"/>
      <c r="AX28" s="42"/>
      <c r="AY28" s="42"/>
      <c r="AZ28" s="43"/>
    </row>
    <row r="29" spans="1:52" ht="21.75" thickBot="1" x14ac:dyDescent="0.35">
      <c r="A29" s="106">
        <v>23</v>
      </c>
      <c r="B29" s="5" t="s">
        <v>383</v>
      </c>
      <c r="C29" s="2" t="s">
        <v>461</v>
      </c>
      <c r="D29" s="32"/>
      <c r="E29" s="35" t="s">
        <v>455</v>
      </c>
      <c r="F29" s="34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7"/>
      <c r="R29" s="24">
        <f>SUM(Tabla1[[#This Row],[ENERO ]:[DICIEMBRE]])</f>
        <v>0</v>
      </c>
      <c r="W29">
        <v>0</v>
      </c>
      <c r="X29" s="21">
        <f>COUNTIF(Tabla1[[#This Row],[ENERO ]:[DICIEMBRE]],0)-(AS29)-IF(Tabla1[[#This Row],[BAJAS]]="BAJA",IF(Tabla1[[#This Row],[ALTAS]]="ALTA",VLOOKUP(Tabla1[[#This Row],[MES DE ALTA ]],$AW$6:$AX$17,2,FALSE),12)-VLOOKUP(Tabla1[[#This Row],[MES DE BAJA ]],$AW$6:$AX$17,2,FALSE),0)</f>
        <v>0</v>
      </c>
      <c r="Y29" s="68">
        <f>SUM(Tabla1[[#This Row],[MES ADEUDO DE AÑOS PASADOS ]:[MESES DE ADEUDO DEL AÑO EN CURSO ]])-Tabla1[[#This Row],[PAGO DE DEUDA ANTERIOR EN MESES]]</f>
        <v>0</v>
      </c>
      <c r="Z29" s="15">
        <f>Tabla1[[#This Row],[MES ADEUDO DE AÑOS PASADOS ]]*$T$2</f>
        <v>0</v>
      </c>
      <c r="AA29" s="15">
        <f>Tabla1[[#This Row],[MESES DE ADEUDO DEL AÑO EN CURSO ]]*$T$2</f>
        <v>0</v>
      </c>
      <c r="AB29" s="69">
        <f>SUM(Tabla1[[#This Row],[DEUDA DE LOS MESES PASADOS EN $$]:[DEUDA DEL AÑO 2013 $$ ]])</f>
        <v>0</v>
      </c>
      <c r="AD29">
        <f>Tabla1[[#This Row],[PAGO DE DEUDA ANTERIOR EN MESES]]*$T$2</f>
        <v>0</v>
      </c>
      <c r="AG29" s="100">
        <f>IF(Tabla1[[#This Row],[TIPO DE CONSUMIDOR]]="MEDIO",IF(Tabla1[[#This Row],[ENERO ]]&gt;22.5,Tabla1[[#This Row],[ENERO ]]/22.5-1,0),IF(Tabla1[[#This Row],[ENERO ]]&gt;45,Tabla1[[#This Row],[ENERO ]]/45-1,0))</f>
        <v>0</v>
      </c>
      <c r="AH2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" s="100">
        <f>IF(Tabla1[[#This Row],[TIPO DE CONSUMIDOR]]="MEDIO",IF(Tabla1[[#This Row],[MARZO]]&gt;22.5,Tabla1[[#This Row],[MARZO]]/22.5-1,0),IF(Tabla1[[#This Row],[MARZO]]&gt;45,Tabla1[[#This Row],[MARZO]]/45-1,0))</f>
        <v>0</v>
      </c>
      <c r="AJ29" s="100">
        <f>IF(Tabla1[[#This Row],[TIPO DE CONSUMIDOR]]="MEDIO",IF(Tabla1[[#This Row],[ABRIL]]&gt;22.5,Tabla1[[#This Row],[ABRIL]]/22.5-1,0),IF(Tabla1[[#This Row],[ABRIL]]&gt;45,Tabla1[[#This Row],[ABRIL]]/45-1,0))</f>
        <v>0</v>
      </c>
      <c r="AK29" s="100">
        <f>IF(Tabla1[[#This Row],[TIPO DE CONSUMIDOR]]="MEDIO",IF(Tabla1[[#This Row],[MAYO ]]&gt;22.5,Tabla1[[#This Row],[MAYO ]]/22.5-1,0),IF(Tabla1[[#This Row],[MAYO ]]&gt;45,Tabla1[[#This Row],[MAYO ]]/45-1,0))</f>
        <v>0</v>
      </c>
      <c r="AL29" s="100">
        <f>IF(Tabla1[[#This Row],[TIPO DE CONSUMIDOR]]="MEDIO",IF(Tabla1[[#This Row],[JUNIO ]]&gt;22.5,Tabla1[[#This Row],[JUNIO ]]/22.5-1,0),IF(Tabla1[[#This Row],[JUNIO ]]&gt;45,Tabla1[[#This Row],[JUNIO ]]/45-1,0))</f>
        <v>0</v>
      </c>
      <c r="AM29" s="100">
        <f>IF(Tabla1[[#This Row],[TIPO DE CONSUMIDOR]]="MEDIO",IF(Tabla1[[#This Row],[JULIO ]]&gt;22.5,Tabla1[[#This Row],[JULIO ]]/22.5-1,0),IF(Tabla1[[#This Row],[JULIO ]]&gt;45,Tabla1[[#This Row],[JULIO ]]/45-1,0))</f>
        <v>0</v>
      </c>
      <c r="AN29" s="100">
        <f>IF(Tabla1[[#This Row],[TIPO DE CONSUMIDOR]]="MEDIO",IF(Tabla1[[#This Row],[AGOSTO]]&gt;22.5,Tabla1[[#This Row],[AGOSTO]]/22.5-1,0),IF(Tabla1[[#This Row],[AGOSTO]]&gt;45,Tabla1[[#This Row],[AGOSTO]]/45-1,0))</f>
        <v>0</v>
      </c>
      <c r="AO2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" s="101">
        <f t="shared" si="0"/>
        <v>0</v>
      </c>
      <c r="AT29">
        <f>IF(Tabla1[[#This Row],[MES ADEUDO DE AÑOS PASADOS ]]&gt;0,1,0)</f>
        <v>0</v>
      </c>
      <c r="AU29" s="9">
        <f t="shared" si="1"/>
        <v>0</v>
      </c>
      <c r="AV29" s="60">
        <f>IF(Tabla1[[#This Row],[MESES DE ADEUDO DEL AÑO EN CURSO ]]&gt;0,1,0)</f>
        <v>0</v>
      </c>
      <c r="AW29" s="42"/>
      <c r="AX29" s="42"/>
      <c r="AY29" s="42"/>
      <c r="AZ29" s="43"/>
    </row>
    <row r="30" spans="1:52" ht="21.75" thickBot="1" x14ac:dyDescent="0.35">
      <c r="A30" s="106">
        <v>24</v>
      </c>
      <c r="B30" s="5" t="s">
        <v>403</v>
      </c>
      <c r="C30" s="2" t="s">
        <v>461</v>
      </c>
      <c r="D30" s="32"/>
      <c r="E30" s="35" t="s">
        <v>455</v>
      </c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24">
        <f>SUM(Tabla1[[#This Row],[ENERO ]:[DICIEMBRE]])</f>
        <v>0</v>
      </c>
      <c r="W30">
        <v>0</v>
      </c>
      <c r="X30" s="21">
        <f>COUNTIF(Tabla1[[#This Row],[ENERO ]:[DICIEMBRE]],0)-(AS30)-IF(Tabla1[[#This Row],[BAJAS]]="BAJA",IF(Tabla1[[#This Row],[ALTAS]]="ALTA",VLOOKUP(Tabla1[[#This Row],[MES DE ALTA ]],$AW$6:$AX$17,2,FALSE),12)-VLOOKUP(Tabla1[[#This Row],[MES DE BAJA ]],$AW$6:$AX$17,2,FALSE),0)</f>
        <v>0</v>
      </c>
      <c r="Y30" s="68">
        <f>SUM(Tabla1[[#This Row],[MES ADEUDO DE AÑOS PASADOS ]:[MESES DE ADEUDO DEL AÑO EN CURSO ]])-Tabla1[[#This Row],[PAGO DE DEUDA ANTERIOR EN MESES]]</f>
        <v>0</v>
      </c>
      <c r="Z30" s="15">
        <f>Tabla1[[#This Row],[MES ADEUDO DE AÑOS PASADOS ]]*$T$2</f>
        <v>0</v>
      </c>
      <c r="AA30" s="15">
        <f>Tabla1[[#This Row],[MESES DE ADEUDO DEL AÑO EN CURSO ]]*$T$2</f>
        <v>0</v>
      </c>
      <c r="AB30" s="69">
        <f>SUM(Tabla1[[#This Row],[DEUDA DE LOS MESES PASADOS EN $$]:[DEUDA DEL AÑO 2013 $$ ]])</f>
        <v>0</v>
      </c>
      <c r="AD30">
        <f>Tabla1[[#This Row],[PAGO DE DEUDA ANTERIOR EN MESES]]*$T$2</f>
        <v>0</v>
      </c>
      <c r="AG30" s="100">
        <f>IF(Tabla1[[#This Row],[TIPO DE CONSUMIDOR]]="MEDIO",IF(Tabla1[[#This Row],[ENERO ]]&gt;22.5,Tabla1[[#This Row],[ENERO ]]/22.5-1,0),IF(Tabla1[[#This Row],[ENERO ]]&gt;45,Tabla1[[#This Row],[ENERO ]]/45-1,0))</f>
        <v>0</v>
      </c>
      <c r="AH3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" s="100">
        <f>IF(Tabla1[[#This Row],[TIPO DE CONSUMIDOR]]="MEDIO",IF(Tabla1[[#This Row],[MARZO]]&gt;22.5,Tabla1[[#This Row],[MARZO]]/22.5-1,0),IF(Tabla1[[#This Row],[MARZO]]&gt;45,Tabla1[[#This Row],[MARZO]]/45-1,0))</f>
        <v>0</v>
      </c>
      <c r="AJ30" s="100">
        <f>IF(Tabla1[[#This Row],[TIPO DE CONSUMIDOR]]="MEDIO",IF(Tabla1[[#This Row],[ABRIL]]&gt;22.5,Tabla1[[#This Row],[ABRIL]]/22.5-1,0),IF(Tabla1[[#This Row],[ABRIL]]&gt;45,Tabla1[[#This Row],[ABRIL]]/45-1,0))</f>
        <v>0</v>
      </c>
      <c r="AK30" s="100">
        <f>IF(Tabla1[[#This Row],[TIPO DE CONSUMIDOR]]="MEDIO",IF(Tabla1[[#This Row],[MAYO ]]&gt;22.5,Tabla1[[#This Row],[MAYO ]]/22.5-1,0),IF(Tabla1[[#This Row],[MAYO ]]&gt;45,Tabla1[[#This Row],[MAYO ]]/45-1,0))</f>
        <v>0</v>
      </c>
      <c r="AL30" s="100">
        <f>IF(Tabla1[[#This Row],[TIPO DE CONSUMIDOR]]="MEDIO",IF(Tabla1[[#This Row],[JUNIO ]]&gt;22.5,Tabla1[[#This Row],[JUNIO ]]/22.5-1,0),IF(Tabla1[[#This Row],[JUNIO ]]&gt;45,Tabla1[[#This Row],[JUNIO ]]/45-1,0))</f>
        <v>0</v>
      </c>
      <c r="AM30" s="100">
        <f>IF(Tabla1[[#This Row],[TIPO DE CONSUMIDOR]]="MEDIO",IF(Tabla1[[#This Row],[JULIO ]]&gt;22.5,Tabla1[[#This Row],[JULIO ]]/22.5-1,0),IF(Tabla1[[#This Row],[JULIO ]]&gt;45,Tabla1[[#This Row],[JULIO ]]/45-1,0))</f>
        <v>0</v>
      </c>
      <c r="AN30" s="100">
        <f>IF(Tabla1[[#This Row],[TIPO DE CONSUMIDOR]]="MEDIO",IF(Tabla1[[#This Row],[AGOSTO]]&gt;22.5,Tabla1[[#This Row],[AGOSTO]]/22.5-1,0),IF(Tabla1[[#This Row],[AGOSTO]]&gt;45,Tabla1[[#This Row],[AGOSTO]]/45-1,0))</f>
        <v>0</v>
      </c>
      <c r="AO3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" s="101">
        <f t="shared" si="0"/>
        <v>0</v>
      </c>
      <c r="AT30">
        <f>IF(Tabla1[[#This Row],[MES ADEUDO DE AÑOS PASADOS ]]&gt;0,1,0)</f>
        <v>0</v>
      </c>
      <c r="AU30" s="9">
        <f t="shared" si="1"/>
        <v>0</v>
      </c>
      <c r="AV30" s="60">
        <f>IF(Tabla1[[#This Row],[MESES DE ADEUDO DEL AÑO EN CURSO ]]&gt;0,1,0)</f>
        <v>0</v>
      </c>
      <c r="AW30" s="42"/>
      <c r="AX30" s="42"/>
      <c r="AY30" s="42"/>
      <c r="AZ30" s="43"/>
    </row>
    <row r="31" spans="1:52" ht="21.75" thickBot="1" x14ac:dyDescent="0.35">
      <c r="A31" s="106">
        <v>25</v>
      </c>
      <c r="B31" s="5" t="s">
        <v>426</v>
      </c>
      <c r="C31" s="2" t="s">
        <v>461</v>
      </c>
      <c r="D31" s="32"/>
      <c r="E31" s="35" t="s">
        <v>455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24">
        <f>SUM(Tabla1[[#This Row],[ENERO ]:[DICIEMBRE]])</f>
        <v>0</v>
      </c>
      <c r="W31">
        <v>0</v>
      </c>
      <c r="X31" s="21">
        <f>COUNTIF(Tabla1[[#This Row],[ENERO ]:[DICIEMBRE]],0)-(AS31)-IF(Tabla1[[#This Row],[BAJAS]]="BAJA",IF(Tabla1[[#This Row],[ALTAS]]="ALTA",VLOOKUP(Tabla1[[#This Row],[MES DE ALTA ]],$AW$6:$AX$17,2,FALSE),12)-VLOOKUP(Tabla1[[#This Row],[MES DE BAJA ]],$AW$6:$AX$17,2,FALSE),0)</f>
        <v>0</v>
      </c>
      <c r="Y31" s="68">
        <f>SUM(Tabla1[[#This Row],[MES ADEUDO DE AÑOS PASADOS ]:[MESES DE ADEUDO DEL AÑO EN CURSO ]])-Tabla1[[#This Row],[PAGO DE DEUDA ANTERIOR EN MESES]]</f>
        <v>0</v>
      </c>
      <c r="Z31" s="15">
        <f>Tabla1[[#This Row],[MES ADEUDO DE AÑOS PASADOS ]]*$T$2</f>
        <v>0</v>
      </c>
      <c r="AA31" s="15">
        <f>Tabla1[[#This Row],[MESES DE ADEUDO DEL AÑO EN CURSO ]]*$T$2</f>
        <v>0</v>
      </c>
      <c r="AB31" s="69">
        <f>SUM(Tabla1[[#This Row],[DEUDA DE LOS MESES PASADOS EN $$]:[DEUDA DEL AÑO 2013 $$ ]])</f>
        <v>0</v>
      </c>
      <c r="AD31">
        <f>Tabla1[[#This Row],[PAGO DE DEUDA ANTERIOR EN MESES]]*$T$2</f>
        <v>0</v>
      </c>
      <c r="AG31" s="100">
        <f>IF(Tabla1[[#This Row],[TIPO DE CONSUMIDOR]]="MEDIO",IF(Tabla1[[#This Row],[ENERO ]]&gt;22.5,Tabla1[[#This Row],[ENERO ]]/22.5-1,0),IF(Tabla1[[#This Row],[ENERO ]]&gt;45,Tabla1[[#This Row],[ENERO ]]/45-1,0))</f>
        <v>0</v>
      </c>
      <c r="AH3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" s="100">
        <f>IF(Tabla1[[#This Row],[TIPO DE CONSUMIDOR]]="MEDIO",IF(Tabla1[[#This Row],[MARZO]]&gt;22.5,Tabla1[[#This Row],[MARZO]]/22.5-1,0),IF(Tabla1[[#This Row],[MARZO]]&gt;45,Tabla1[[#This Row],[MARZO]]/45-1,0))</f>
        <v>0</v>
      </c>
      <c r="AJ31" s="100">
        <f>IF(Tabla1[[#This Row],[TIPO DE CONSUMIDOR]]="MEDIO",IF(Tabla1[[#This Row],[ABRIL]]&gt;22.5,Tabla1[[#This Row],[ABRIL]]/22.5-1,0),IF(Tabla1[[#This Row],[ABRIL]]&gt;45,Tabla1[[#This Row],[ABRIL]]/45-1,0))</f>
        <v>0</v>
      </c>
      <c r="AK31" s="100">
        <f>IF(Tabla1[[#This Row],[TIPO DE CONSUMIDOR]]="MEDIO",IF(Tabla1[[#This Row],[MAYO ]]&gt;22.5,Tabla1[[#This Row],[MAYO ]]/22.5-1,0),IF(Tabla1[[#This Row],[MAYO ]]&gt;45,Tabla1[[#This Row],[MAYO ]]/45-1,0))</f>
        <v>0</v>
      </c>
      <c r="AL31" s="100">
        <f>IF(Tabla1[[#This Row],[TIPO DE CONSUMIDOR]]="MEDIO",IF(Tabla1[[#This Row],[JUNIO ]]&gt;22.5,Tabla1[[#This Row],[JUNIO ]]/22.5-1,0),IF(Tabla1[[#This Row],[JUNIO ]]&gt;45,Tabla1[[#This Row],[JUNIO ]]/45-1,0))</f>
        <v>0</v>
      </c>
      <c r="AM31" s="100">
        <f>IF(Tabla1[[#This Row],[TIPO DE CONSUMIDOR]]="MEDIO",IF(Tabla1[[#This Row],[JULIO ]]&gt;22.5,Tabla1[[#This Row],[JULIO ]]/22.5-1,0),IF(Tabla1[[#This Row],[JULIO ]]&gt;45,Tabla1[[#This Row],[JULIO ]]/45-1,0))</f>
        <v>0</v>
      </c>
      <c r="AN31" s="100">
        <f>IF(Tabla1[[#This Row],[TIPO DE CONSUMIDOR]]="MEDIO",IF(Tabla1[[#This Row],[AGOSTO]]&gt;22.5,Tabla1[[#This Row],[AGOSTO]]/22.5-1,0),IF(Tabla1[[#This Row],[AGOSTO]]&gt;45,Tabla1[[#This Row],[AGOSTO]]/45-1,0))</f>
        <v>0</v>
      </c>
      <c r="AO3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" s="101">
        <f t="shared" si="0"/>
        <v>0</v>
      </c>
      <c r="AT31">
        <f>IF(Tabla1[[#This Row],[MES ADEUDO DE AÑOS PASADOS ]]&gt;0,1,0)</f>
        <v>0</v>
      </c>
      <c r="AU31" s="9">
        <f t="shared" si="1"/>
        <v>0</v>
      </c>
      <c r="AV31" s="60">
        <f>IF(Tabla1[[#This Row],[MESES DE ADEUDO DEL AÑO EN CURSO ]]&gt;0,1,0)</f>
        <v>0</v>
      </c>
      <c r="AW31" s="42"/>
      <c r="AX31" s="42"/>
      <c r="AY31" s="42"/>
      <c r="AZ31" s="43"/>
    </row>
    <row r="32" spans="1:52" ht="21.75" thickBot="1" x14ac:dyDescent="0.35">
      <c r="A32" s="106">
        <v>26</v>
      </c>
      <c r="B32" s="5" t="s">
        <v>114</v>
      </c>
      <c r="C32" s="2" t="s">
        <v>461</v>
      </c>
      <c r="D32" s="32"/>
      <c r="E32" s="35" t="s">
        <v>455</v>
      </c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24">
        <f>SUM(Tabla1[[#This Row],[ENERO ]:[DICIEMBRE]])</f>
        <v>0</v>
      </c>
      <c r="W32">
        <v>2</v>
      </c>
      <c r="X32" s="21">
        <f>COUNTIF(Tabla1[[#This Row],[ENERO ]:[DICIEMBRE]],0)-(AS32)-IF(Tabla1[[#This Row],[BAJAS]]="BAJA",IF(Tabla1[[#This Row],[ALTAS]]="ALTA",VLOOKUP(Tabla1[[#This Row],[MES DE ALTA ]],$AW$6:$AX$17,2,FALSE),12)-VLOOKUP(Tabla1[[#This Row],[MES DE BAJA ]],$AW$6:$AX$17,2,FALSE),0)</f>
        <v>0</v>
      </c>
      <c r="Y32" s="68">
        <f>SUM(Tabla1[[#This Row],[MES ADEUDO DE AÑOS PASADOS ]:[MESES DE ADEUDO DEL AÑO EN CURSO ]])-Tabla1[[#This Row],[PAGO DE DEUDA ANTERIOR EN MESES]]</f>
        <v>2</v>
      </c>
      <c r="Z32" s="15">
        <f>Tabla1[[#This Row],[MES ADEUDO DE AÑOS PASADOS ]]*$T$2</f>
        <v>90</v>
      </c>
      <c r="AA32" s="15">
        <f>Tabla1[[#This Row],[MESES DE ADEUDO DEL AÑO EN CURSO ]]*$T$2</f>
        <v>0</v>
      </c>
      <c r="AB32" s="69">
        <f>SUM(Tabla1[[#This Row],[DEUDA DE LOS MESES PASADOS EN $$]:[DEUDA DEL AÑO 2013 $$ ]])</f>
        <v>90</v>
      </c>
      <c r="AD32">
        <f>Tabla1[[#This Row],[PAGO DE DEUDA ANTERIOR EN MESES]]*$T$2</f>
        <v>0</v>
      </c>
      <c r="AG32" s="100">
        <f>IF(Tabla1[[#This Row],[TIPO DE CONSUMIDOR]]="MEDIO",IF(Tabla1[[#This Row],[ENERO ]]&gt;22.5,Tabla1[[#This Row],[ENERO ]]/22.5-1,0),IF(Tabla1[[#This Row],[ENERO ]]&gt;45,Tabla1[[#This Row],[ENERO ]]/45-1,0))</f>
        <v>0</v>
      </c>
      <c r="AH3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" s="100">
        <f>IF(Tabla1[[#This Row],[TIPO DE CONSUMIDOR]]="MEDIO",IF(Tabla1[[#This Row],[MARZO]]&gt;22.5,Tabla1[[#This Row],[MARZO]]/22.5-1,0),IF(Tabla1[[#This Row],[MARZO]]&gt;45,Tabla1[[#This Row],[MARZO]]/45-1,0))</f>
        <v>0</v>
      </c>
      <c r="AJ32" s="100">
        <f>IF(Tabla1[[#This Row],[TIPO DE CONSUMIDOR]]="MEDIO",IF(Tabla1[[#This Row],[ABRIL]]&gt;22.5,Tabla1[[#This Row],[ABRIL]]/22.5-1,0),IF(Tabla1[[#This Row],[ABRIL]]&gt;45,Tabla1[[#This Row],[ABRIL]]/45-1,0))</f>
        <v>0</v>
      </c>
      <c r="AK32" s="100">
        <f>IF(Tabla1[[#This Row],[TIPO DE CONSUMIDOR]]="MEDIO",IF(Tabla1[[#This Row],[MAYO ]]&gt;22.5,Tabla1[[#This Row],[MAYO ]]/22.5-1,0),IF(Tabla1[[#This Row],[MAYO ]]&gt;45,Tabla1[[#This Row],[MAYO ]]/45-1,0))</f>
        <v>0</v>
      </c>
      <c r="AL32" s="100">
        <f>IF(Tabla1[[#This Row],[TIPO DE CONSUMIDOR]]="MEDIO",IF(Tabla1[[#This Row],[JUNIO ]]&gt;22.5,Tabla1[[#This Row],[JUNIO ]]/22.5-1,0),IF(Tabla1[[#This Row],[JUNIO ]]&gt;45,Tabla1[[#This Row],[JUNIO ]]/45-1,0))</f>
        <v>0</v>
      </c>
      <c r="AM32" s="100">
        <f>IF(Tabla1[[#This Row],[TIPO DE CONSUMIDOR]]="MEDIO",IF(Tabla1[[#This Row],[JULIO ]]&gt;22.5,Tabla1[[#This Row],[JULIO ]]/22.5-1,0),IF(Tabla1[[#This Row],[JULIO ]]&gt;45,Tabla1[[#This Row],[JULIO ]]/45-1,0))</f>
        <v>0</v>
      </c>
      <c r="AN32" s="100">
        <f>IF(Tabla1[[#This Row],[TIPO DE CONSUMIDOR]]="MEDIO",IF(Tabla1[[#This Row],[AGOSTO]]&gt;22.5,Tabla1[[#This Row],[AGOSTO]]/22.5-1,0),IF(Tabla1[[#This Row],[AGOSTO]]&gt;45,Tabla1[[#This Row],[AGOSTO]]/45-1,0))</f>
        <v>0</v>
      </c>
      <c r="AO3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" s="101">
        <f t="shared" si="0"/>
        <v>0</v>
      </c>
      <c r="AT32">
        <f>IF(Tabla1[[#This Row],[MES ADEUDO DE AÑOS PASADOS ]]&gt;0,1,0)</f>
        <v>1</v>
      </c>
      <c r="AU32" s="9">
        <f t="shared" si="1"/>
        <v>1</v>
      </c>
      <c r="AV32" s="60">
        <f>IF(Tabla1[[#This Row],[MESES DE ADEUDO DEL AÑO EN CURSO ]]&gt;0,1,0)</f>
        <v>0</v>
      </c>
      <c r="AW32" s="42"/>
      <c r="AX32" s="42"/>
      <c r="AY32" s="42"/>
      <c r="AZ32" s="43"/>
    </row>
    <row r="33" spans="1:52" ht="21.75" thickBot="1" x14ac:dyDescent="0.35">
      <c r="A33" s="106">
        <v>27</v>
      </c>
      <c r="B33" s="5" t="s">
        <v>275</v>
      </c>
      <c r="C33" s="2" t="s">
        <v>461</v>
      </c>
      <c r="D33" s="32"/>
      <c r="E33" s="35" t="s">
        <v>455</v>
      </c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24">
        <f>SUM(Tabla1[[#This Row],[ENERO ]:[DICIEMBRE]])</f>
        <v>0</v>
      </c>
      <c r="W33">
        <v>4</v>
      </c>
      <c r="X33" s="21">
        <f>COUNTIF(Tabla1[[#This Row],[ENERO ]:[DICIEMBRE]],0)-(AS33)-IF(Tabla1[[#This Row],[BAJAS]]="BAJA",IF(Tabla1[[#This Row],[ALTAS]]="ALTA",VLOOKUP(Tabla1[[#This Row],[MES DE ALTA ]],$AW$6:$AX$17,2,FALSE),12)-VLOOKUP(Tabla1[[#This Row],[MES DE BAJA ]],$AW$6:$AX$17,2,FALSE),0)</f>
        <v>0</v>
      </c>
      <c r="Y33" s="68">
        <f>SUM(Tabla1[[#This Row],[MES ADEUDO DE AÑOS PASADOS ]:[MESES DE ADEUDO DEL AÑO EN CURSO ]])-Tabla1[[#This Row],[PAGO DE DEUDA ANTERIOR EN MESES]]</f>
        <v>4</v>
      </c>
      <c r="Z33" s="15">
        <f>Tabla1[[#This Row],[MES ADEUDO DE AÑOS PASADOS ]]*$T$2</f>
        <v>180</v>
      </c>
      <c r="AA33" s="15">
        <f>Tabla1[[#This Row],[MESES DE ADEUDO DEL AÑO EN CURSO ]]*$T$2</f>
        <v>0</v>
      </c>
      <c r="AB33" s="69">
        <f>SUM(Tabla1[[#This Row],[DEUDA DE LOS MESES PASADOS EN $$]:[DEUDA DEL AÑO 2013 $$ ]])</f>
        <v>180</v>
      </c>
      <c r="AD33">
        <f>Tabla1[[#This Row],[PAGO DE DEUDA ANTERIOR EN MESES]]*$T$2</f>
        <v>0</v>
      </c>
      <c r="AG33" s="100">
        <f>IF(Tabla1[[#This Row],[TIPO DE CONSUMIDOR]]="MEDIO",IF(Tabla1[[#This Row],[ENERO ]]&gt;22.5,Tabla1[[#This Row],[ENERO ]]/22.5-1,0),IF(Tabla1[[#This Row],[ENERO ]]&gt;45,Tabla1[[#This Row],[ENERO ]]/45-1,0))</f>
        <v>0</v>
      </c>
      <c r="AH3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" s="100">
        <f>IF(Tabla1[[#This Row],[TIPO DE CONSUMIDOR]]="MEDIO",IF(Tabla1[[#This Row],[MARZO]]&gt;22.5,Tabla1[[#This Row],[MARZO]]/22.5-1,0),IF(Tabla1[[#This Row],[MARZO]]&gt;45,Tabla1[[#This Row],[MARZO]]/45-1,0))</f>
        <v>0</v>
      </c>
      <c r="AJ33" s="100">
        <f>IF(Tabla1[[#This Row],[TIPO DE CONSUMIDOR]]="MEDIO",IF(Tabla1[[#This Row],[ABRIL]]&gt;22.5,Tabla1[[#This Row],[ABRIL]]/22.5-1,0),IF(Tabla1[[#This Row],[ABRIL]]&gt;45,Tabla1[[#This Row],[ABRIL]]/45-1,0))</f>
        <v>0</v>
      </c>
      <c r="AK33" s="100">
        <f>IF(Tabla1[[#This Row],[TIPO DE CONSUMIDOR]]="MEDIO",IF(Tabla1[[#This Row],[MAYO ]]&gt;22.5,Tabla1[[#This Row],[MAYO ]]/22.5-1,0),IF(Tabla1[[#This Row],[MAYO ]]&gt;45,Tabla1[[#This Row],[MAYO ]]/45-1,0))</f>
        <v>0</v>
      </c>
      <c r="AL33" s="100">
        <f>IF(Tabla1[[#This Row],[TIPO DE CONSUMIDOR]]="MEDIO",IF(Tabla1[[#This Row],[JUNIO ]]&gt;22.5,Tabla1[[#This Row],[JUNIO ]]/22.5-1,0),IF(Tabla1[[#This Row],[JUNIO ]]&gt;45,Tabla1[[#This Row],[JUNIO ]]/45-1,0))</f>
        <v>0</v>
      </c>
      <c r="AM33" s="100">
        <f>IF(Tabla1[[#This Row],[TIPO DE CONSUMIDOR]]="MEDIO",IF(Tabla1[[#This Row],[JULIO ]]&gt;22.5,Tabla1[[#This Row],[JULIO ]]/22.5-1,0),IF(Tabla1[[#This Row],[JULIO ]]&gt;45,Tabla1[[#This Row],[JULIO ]]/45-1,0))</f>
        <v>0</v>
      </c>
      <c r="AN33" s="100">
        <f>IF(Tabla1[[#This Row],[TIPO DE CONSUMIDOR]]="MEDIO",IF(Tabla1[[#This Row],[AGOSTO]]&gt;22.5,Tabla1[[#This Row],[AGOSTO]]/22.5-1,0),IF(Tabla1[[#This Row],[AGOSTO]]&gt;45,Tabla1[[#This Row],[AGOSTO]]/45-1,0))</f>
        <v>0</v>
      </c>
      <c r="AO3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" s="101">
        <f t="shared" si="0"/>
        <v>0</v>
      </c>
      <c r="AT33">
        <f>IF(Tabla1[[#This Row],[MES ADEUDO DE AÑOS PASADOS ]]&gt;0,1,0)</f>
        <v>1</v>
      </c>
      <c r="AU33" s="9">
        <f t="shared" si="1"/>
        <v>1</v>
      </c>
      <c r="AV33" s="60">
        <f>IF(Tabla1[[#This Row],[MESES DE ADEUDO DEL AÑO EN CURSO ]]&gt;0,1,0)</f>
        <v>0</v>
      </c>
      <c r="AW33" s="42"/>
      <c r="AX33" s="42"/>
      <c r="AY33" s="42"/>
      <c r="AZ33" s="43"/>
    </row>
    <row r="34" spans="1:52" ht="21.75" thickBot="1" x14ac:dyDescent="0.35">
      <c r="A34" s="106">
        <v>28</v>
      </c>
      <c r="B34" s="5" t="s">
        <v>466</v>
      </c>
      <c r="C34" s="2" t="s">
        <v>461</v>
      </c>
      <c r="D34" s="32"/>
      <c r="E34" s="35" t="s">
        <v>455</v>
      </c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24">
        <f>SUM(Tabla1[[#This Row],[ENERO ]:[DICIEMBRE]])</f>
        <v>0</v>
      </c>
      <c r="W34">
        <v>5</v>
      </c>
      <c r="X34" s="21">
        <f>COUNTIF(Tabla1[[#This Row],[ENERO ]:[DICIEMBRE]],0)-(AS34)-IF(Tabla1[[#This Row],[BAJAS]]="BAJA",IF(Tabla1[[#This Row],[ALTAS]]="ALTA",VLOOKUP(Tabla1[[#This Row],[MES DE ALTA ]],$AW$6:$AX$17,2,FALSE),12)-VLOOKUP(Tabla1[[#This Row],[MES DE BAJA ]],$AW$6:$AX$17,2,FALSE),0)</f>
        <v>0</v>
      </c>
      <c r="Y34" s="68">
        <f>SUM(Tabla1[[#This Row],[MES ADEUDO DE AÑOS PASADOS ]:[MESES DE ADEUDO DEL AÑO EN CURSO ]])-Tabla1[[#This Row],[PAGO DE DEUDA ANTERIOR EN MESES]]</f>
        <v>5</v>
      </c>
      <c r="Z34" s="15">
        <f>Tabla1[[#This Row],[MES ADEUDO DE AÑOS PASADOS ]]*$T$2</f>
        <v>225</v>
      </c>
      <c r="AA34" s="15">
        <f>Tabla1[[#This Row],[MESES DE ADEUDO DEL AÑO EN CURSO ]]*$T$2</f>
        <v>0</v>
      </c>
      <c r="AB34" s="69">
        <f>SUM(Tabla1[[#This Row],[DEUDA DE LOS MESES PASADOS EN $$]:[DEUDA DEL AÑO 2013 $$ ]])</f>
        <v>225</v>
      </c>
      <c r="AD34">
        <f>Tabla1[[#This Row],[PAGO DE DEUDA ANTERIOR EN MESES]]*$T$2</f>
        <v>0</v>
      </c>
      <c r="AG34" s="100">
        <f>IF(Tabla1[[#This Row],[TIPO DE CONSUMIDOR]]="MEDIO",IF(Tabla1[[#This Row],[ENERO ]]&gt;22.5,Tabla1[[#This Row],[ENERO ]]/22.5-1,0),IF(Tabla1[[#This Row],[ENERO ]]&gt;45,Tabla1[[#This Row],[ENERO ]]/45-1,0))</f>
        <v>0</v>
      </c>
      <c r="AH3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" s="100">
        <f>IF(Tabla1[[#This Row],[TIPO DE CONSUMIDOR]]="MEDIO",IF(Tabla1[[#This Row],[MARZO]]&gt;22.5,Tabla1[[#This Row],[MARZO]]/22.5-1,0),IF(Tabla1[[#This Row],[MARZO]]&gt;45,Tabla1[[#This Row],[MARZO]]/45-1,0))</f>
        <v>0</v>
      </c>
      <c r="AJ34" s="100">
        <f>IF(Tabla1[[#This Row],[TIPO DE CONSUMIDOR]]="MEDIO",IF(Tabla1[[#This Row],[ABRIL]]&gt;22.5,Tabla1[[#This Row],[ABRIL]]/22.5-1,0),IF(Tabla1[[#This Row],[ABRIL]]&gt;45,Tabla1[[#This Row],[ABRIL]]/45-1,0))</f>
        <v>0</v>
      </c>
      <c r="AK34" s="100">
        <f>IF(Tabla1[[#This Row],[TIPO DE CONSUMIDOR]]="MEDIO",IF(Tabla1[[#This Row],[MAYO ]]&gt;22.5,Tabla1[[#This Row],[MAYO ]]/22.5-1,0),IF(Tabla1[[#This Row],[MAYO ]]&gt;45,Tabla1[[#This Row],[MAYO ]]/45-1,0))</f>
        <v>0</v>
      </c>
      <c r="AL34" s="100">
        <f>IF(Tabla1[[#This Row],[TIPO DE CONSUMIDOR]]="MEDIO",IF(Tabla1[[#This Row],[JUNIO ]]&gt;22.5,Tabla1[[#This Row],[JUNIO ]]/22.5-1,0),IF(Tabla1[[#This Row],[JUNIO ]]&gt;45,Tabla1[[#This Row],[JUNIO ]]/45-1,0))</f>
        <v>0</v>
      </c>
      <c r="AM34" s="100">
        <f>IF(Tabla1[[#This Row],[TIPO DE CONSUMIDOR]]="MEDIO",IF(Tabla1[[#This Row],[JULIO ]]&gt;22.5,Tabla1[[#This Row],[JULIO ]]/22.5-1,0),IF(Tabla1[[#This Row],[JULIO ]]&gt;45,Tabla1[[#This Row],[JULIO ]]/45-1,0))</f>
        <v>0</v>
      </c>
      <c r="AN34" s="100">
        <f>IF(Tabla1[[#This Row],[TIPO DE CONSUMIDOR]]="MEDIO",IF(Tabla1[[#This Row],[AGOSTO]]&gt;22.5,Tabla1[[#This Row],[AGOSTO]]/22.5-1,0),IF(Tabla1[[#This Row],[AGOSTO]]&gt;45,Tabla1[[#This Row],[AGOSTO]]/45-1,0))</f>
        <v>0</v>
      </c>
      <c r="AO3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" s="101">
        <f t="shared" si="0"/>
        <v>0</v>
      </c>
      <c r="AT34">
        <f>IF(Tabla1[[#This Row],[MES ADEUDO DE AÑOS PASADOS ]]&gt;0,1,0)</f>
        <v>1</v>
      </c>
      <c r="AU34" s="9">
        <f t="shared" si="1"/>
        <v>1</v>
      </c>
      <c r="AV34" s="60">
        <f>IF(Tabla1[[#This Row],[MESES DE ADEUDO DEL AÑO EN CURSO ]]&gt;0,1,0)</f>
        <v>0</v>
      </c>
      <c r="AW34" s="42"/>
      <c r="AX34" s="42"/>
      <c r="AY34" s="42"/>
      <c r="AZ34" s="43"/>
    </row>
    <row r="35" spans="1:52" ht="21.75" thickBot="1" x14ac:dyDescent="0.35">
      <c r="A35" s="106">
        <v>29</v>
      </c>
      <c r="B35" s="5" t="s">
        <v>143</v>
      </c>
      <c r="C35" s="2" t="s">
        <v>461</v>
      </c>
      <c r="D35" s="32"/>
      <c r="E35" s="35" t="s">
        <v>455</v>
      </c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24">
        <f>SUM(Tabla1[[#This Row],[ENERO ]:[DICIEMBRE]])</f>
        <v>0</v>
      </c>
      <c r="W35">
        <v>5</v>
      </c>
      <c r="X35" s="21">
        <f>COUNTIF(Tabla1[[#This Row],[ENERO ]:[DICIEMBRE]],0)-(AS35)-IF(Tabla1[[#This Row],[BAJAS]]="BAJA",IF(Tabla1[[#This Row],[ALTAS]]="ALTA",VLOOKUP(Tabla1[[#This Row],[MES DE ALTA ]],$AW$6:$AX$17,2,FALSE),12)-VLOOKUP(Tabla1[[#This Row],[MES DE BAJA ]],$AW$6:$AX$17,2,FALSE),0)</f>
        <v>0</v>
      </c>
      <c r="Y35" s="68">
        <f>SUM(Tabla1[[#This Row],[MES ADEUDO DE AÑOS PASADOS ]:[MESES DE ADEUDO DEL AÑO EN CURSO ]])-Tabla1[[#This Row],[PAGO DE DEUDA ANTERIOR EN MESES]]</f>
        <v>5</v>
      </c>
      <c r="Z35" s="15">
        <f>Tabla1[[#This Row],[MES ADEUDO DE AÑOS PASADOS ]]*$T$2</f>
        <v>225</v>
      </c>
      <c r="AA35" s="15">
        <f>Tabla1[[#This Row],[MESES DE ADEUDO DEL AÑO EN CURSO ]]*$T$2</f>
        <v>0</v>
      </c>
      <c r="AB35" s="69">
        <f>SUM(Tabla1[[#This Row],[DEUDA DE LOS MESES PASADOS EN $$]:[DEUDA DEL AÑO 2013 $$ ]])</f>
        <v>225</v>
      </c>
      <c r="AD35">
        <f>Tabla1[[#This Row],[PAGO DE DEUDA ANTERIOR EN MESES]]*$T$2</f>
        <v>0</v>
      </c>
      <c r="AG35" s="100">
        <f>IF(Tabla1[[#This Row],[TIPO DE CONSUMIDOR]]="MEDIO",IF(Tabla1[[#This Row],[ENERO ]]&gt;22.5,Tabla1[[#This Row],[ENERO ]]/22.5-1,0),IF(Tabla1[[#This Row],[ENERO ]]&gt;45,Tabla1[[#This Row],[ENERO ]]/45-1,0))</f>
        <v>0</v>
      </c>
      <c r="AH3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" s="100">
        <f>IF(Tabla1[[#This Row],[TIPO DE CONSUMIDOR]]="MEDIO",IF(Tabla1[[#This Row],[MARZO]]&gt;22.5,Tabla1[[#This Row],[MARZO]]/22.5-1,0),IF(Tabla1[[#This Row],[MARZO]]&gt;45,Tabla1[[#This Row],[MARZO]]/45-1,0))</f>
        <v>0</v>
      </c>
      <c r="AJ35" s="100">
        <f>IF(Tabla1[[#This Row],[TIPO DE CONSUMIDOR]]="MEDIO",IF(Tabla1[[#This Row],[ABRIL]]&gt;22.5,Tabla1[[#This Row],[ABRIL]]/22.5-1,0),IF(Tabla1[[#This Row],[ABRIL]]&gt;45,Tabla1[[#This Row],[ABRIL]]/45-1,0))</f>
        <v>0</v>
      </c>
      <c r="AK35" s="100">
        <f>IF(Tabla1[[#This Row],[TIPO DE CONSUMIDOR]]="MEDIO",IF(Tabla1[[#This Row],[MAYO ]]&gt;22.5,Tabla1[[#This Row],[MAYO ]]/22.5-1,0),IF(Tabla1[[#This Row],[MAYO ]]&gt;45,Tabla1[[#This Row],[MAYO ]]/45-1,0))</f>
        <v>0</v>
      </c>
      <c r="AL35" s="100">
        <f>IF(Tabla1[[#This Row],[TIPO DE CONSUMIDOR]]="MEDIO",IF(Tabla1[[#This Row],[JUNIO ]]&gt;22.5,Tabla1[[#This Row],[JUNIO ]]/22.5-1,0),IF(Tabla1[[#This Row],[JUNIO ]]&gt;45,Tabla1[[#This Row],[JUNIO ]]/45-1,0))</f>
        <v>0</v>
      </c>
      <c r="AM35" s="100">
        <f>IF(Tabla1[[#This Row],[TIPO DE CONSUMIDOR]]="MEDIO",IF(Tabla1[[#This Row],[JULIO ]]&gt;22.5,Tabla1[[#This Row],[JULIO ]]/22.5-1,0),IF(Tabla1[[#This Row],[JULIO ]]&gt;45,Tabla1[[#This Row],[JULIO ]]/45-1,0))</f>
        <v>0</v>
      </c>
      <c r="AN35" s="100">
        <f>IF(Tabla1[[#This Row],[TIPO DE CONSUMIDOR]]="MEDIO",IF(Tabla1[[#This Row],[AGOSTO]]&gt;22.5,Tabla1[[#This Row],[AGOSTO]]/22.5-1,0),IF(Tabla1[[#This Row],[AGOSTO]]&gt;45,Tabla1[[#This Row],[AGOSTO]]/45-1,0))</f>
        <v>0</v>
      </c>
      <c r="AO3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" s="101">
        <f t="shared" si="0"/>
        <v>0</v>
      </c>
      <c r="AT35">
        <f>IF(Tabla1[[#This Row],[MES ADEUDO DE AÑOS PASADOS ]]&gt;0,1,0)</f>
        <v>1</v>
      </c>
      <c r="AU35" s="9">
        <f t="shared" si="1"/>
        <v>1</v>
      </c>
      <c r="AV35" s="60">
        <f>IF(Tabla1[[#This Row],[MESES DE ADEUDO DEL AÑO EN CURSO ]]&gt;0,1,0)</f>
        <v>0</v>
      </c>
      <c r="AW35" s="42"/>
      <c r="AX35" s="42"/>
      <c r="AY35" s="42"/>
      <c r="AZ35" s="43"/>
    </row>
    <row r="36" spans="1:52" ht="21.75" thickBot="1" x14ac:dyDescent="0.35">
      <c r="A36" s="106">
        <v>30</v>
      </c>
      <c r="B36" s="5" t="s">
        <v>188</v>
      </c>
      <c r="C36" s="2" t="s">
        <v>461</v>
      </c>
      <c r="D36" s="32"/>
      <c r="E36" s="35" t="s">
        <v>455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24">
        <f>SUM(Tabla1[[#This Row],[ENERO ]:[DICIEMBRE]])</f>
        <v>0</v>
      </c>
      <c r="W36">
        <v>5</v>
      </c>
      <c r="X36" s="21">
        <f>COUNTIF(Tabla1[[#This Row],[ENERO ]:[DICIEMBRE]],0)-(AS36)-IF(Tabla1[[#This Row],[BAJAS]]="BAJA",IF(Tabla1[[#This Row],[ALTAS]]="ALTA",VLOOKUP(Tabla1[[#This Row],[MES DE ALTA ]],$AW$6:$AX$17,2,FALSE),12)-VLOOKUP(Tabla1[[#This Row],[MES DE BAJA ]],$AW$6:$AX$17,2,FALSE),0)</f>
        <v>0</v>
      </c>
      <c r="Y36" s="68">
        <f>SUM(Tabla1[[#This Row],[MES ADEUDO DE AÑOS PASADOS ]:[MESES DE ADEUDO DEL AÑO EN CURSO ]])-Tabla1[[#This Row],[PAGO DE DEUDA ANTERIOR EN MESES]]</f>
        <v>5</v>
      </c>
      <c r="Z36" s="15">
        <f>Tabla1[[#This Row],[MES ADEUDO DE AÑOS PASADOS ]]*$T$2</f>
        <v>225</v>
      </c>
      <c r="AA36" s="15">
        <f>Tabla1[[#This Row],[MESES DE ADEUDO DEL AÑO EN CURSO ]]*$T$2</f>
        <v>0</v>
      </c>
      <c r="AB36" s="69">
        <f>SUM(Tabla1[[#This Row],[DEUDA DE LOS MESES PASADOS EN $$]:[DEUDA DEL AÑO 2013 $$ ]])</f>
        <v>225</v>
      </c>
      <c r="AD36">
        <f>Tabla1[[#This Row],[PAGO DE DEUDA ANTERIOR EN MESES]]*$T$2</f>
        <v>0</v>
      </c>
      <c r="AG36" s="100">
        <f>IF(Tabla1[[#This Row],[TIPO DE CONSUMIDOR]]="MEDIO",IF(Tabla1[[#This Row],[ENERO ]]&gt;22.5,Tabla1[[#This Row],[ENERO ]]/22.5-1,0),IF(Tabla1[[#This Row],[ENERO ]]&gt;45,Tabla1[[#This Row],[ENERO ]]/45-1,0))</f>
        <v>0</v>
      </c>
      <c r="AH3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" s="100">
        <f>IF(Tabla1[[#This Row],[TIPO DE CONSUMIDOR]]="MEDIO",IF(Tabla1[[#This Row],[MARZO]]&gt;22.5,Tabla1[[#This Row],[MARZO]]/22.5-1,0),IF(Tabla1[[#This Row],[MARZO]]&gt;45,Tabla1[[#This Row],[MARZO]]/45-1,0))</f>
        <v>0</v>
      </c>
      <c r="AJ36" s="100">
        <f>IF(Tabla1[[#This Row],[TIPO DE CONSUMIDOR]]="MEDIO",IF(Tabla1[[#This Row],[ABRIL]]&gt;22.5,Tabla1[[#This Row],[ABRIL]]/22.5-1,0),IF(Tabla1[[#This Row],[ABRIL]]&gt;45,Tabla1[[#This Row],[ABRIL]]/45-1,0))</f>
        <v>0</v>
      </c>
      <c r="AK36" s="100">
        <f>IF(Tabla1[[#This Row],[TIPO DE CONSUMIDOR]]="MEDIO",IF(Tabla1[[#This Row],[MAYO ]]&gt;22.5,Tabla1[[#This Row],[MAYO ]]/22.5-1,0),IF(Tabla1[[#This Row],[MAYO ]]&gt;45,Tabla1[[#This Row],[MAYO ]]/45-1,0))</f>
        <v>0</v>
      </c>
      <c r="AL36" s="100">
        <f>IF(Tabla1[[#This Row],[TIPO DE CONSUMIDOR]]="MEDIO",IF(Tabla1[[#This Row],[JUNIO ]]&gt;22.5,Tabla1[[#This Row],[JUNIO ]]/22.5-1,0),IF(Tabla1[[#This Row],[JUNIO ]]&gt;45,Tabla1[[#This Row],[JUNIO ]]/45-1,0))</f>
        <v>0</v>
      </c>
      <c r="AM36" s="100">
        <f>IF(Tabla1[[#This Row],[TIPO DE CONSUMIDOR]]="MEDIO",IF(Tabla1[[#This Row],[JULIO ]]&gt;22.5,Tabla1[[#This Row],[JULIO ]]/22.5-1,0),IF(Tabla1[[#This Row],[JULIO ]]&gt;45,Tabla1[[#This Row],[JULIO ]]/45-1,0))</f>
        <v>0</v>
      </c>
      <c r="AN36" s="100">
        <f>IF(Tabla1[[#This Row],[TIPO DE CONSUMIDOR]]="MEDIO",IF(Tabla1[[#This Row],[AGOSTO]]&gt;22.5,Tabla1[[#This Row],[AGOSTO]]/22.5-1,0),IF(Tabla1[[#This Row],[AGOSTO]]&gt;45,Tabla1[[#This Row],[AGOSTO]]/45-1,0))</f>
        <v>0</v>
      </c>
      <c r="AO3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" s="101">
        <f t="shared" si="0"/>
        <v>0</v>
      </c>
      <c r="AT36">
        <f>IF(Tabla1[[#This Row],[MES ADEUDO DE AÑOS PASADOS ]]&gt;0,1,0)</f>
        <v>1</v>
      </c>
      <c r="AU36" s="9">
        <f t="shared" si="1"/>
        <v>1</v>
      </c>
      <c r="AV36" s="60">
        <f>IF(Tabla1[[#This Row],[MESES DE ADEUDO DEL AÑO EN CURSO ]]&gt;0,1,0)</f>
        <v>0</v>
      </c>
      <c r="AW36" s="42"/>
      <c r="AX36" s="42"/>
      <c r="AY36" s="42"/>
      <c r="AZ36" s="43"/>
    </row>
    <row r="37" spans="1:52" ht="21.75" thickBot="1" x14ac:dyDescent="0.35">
      <c r="A37" s="106">
        <v>31</v>
      </c>
      <c r="B37" s="5" t="s">
        <v>416</v>
      </c>
      <c r="C37" s="2" t="s">
        <v>461</v>
      </c>
      <c r="D37" s="32"/>
      <c r="E37" s="35" t="s">
        <v>455</v>
      </c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24">
        <f>SUM(Tabla1[[#This Row],[ENERO ]:[DICIEMBRE]])</f>
        <v>0</v>
      </c>
      <c r="W37">
        <v>6</v>
      </c>
      <c r="X37" s="21">
        <f>COUNTIF(Tabla1[[#This Row],[ENERO ]:[DICIEMBRE]],0)-(AS37)-IF(Tabla1[[#This Row],[BAJAS]]="BAJA",IF(Tabla1[[#This Row],[ALTAS]]="ALTA",VLOOKUP(Tabla1[[#This Row],[MES DE ALTA ]],$AW$6:$AX$17,2,FALSE),12)-VLOOKUP(Tabla1[[#This Row],[MES DE BAJA ]],$AW$6:$AX$17,2,FALSE),0)</f>
        <v>0</v>
      </c>
      <c r="Y37" s="68">
        <f>SUM(Tabla1[[#This Row],[MES ADEUDO DE AÑOS PASADOS ]:[MESES DE ADEUDO DEL AÑO EN CURSO ]])-Tabla1[[#This Row],[PAGO DE DEUDA ANTERIOR EN MESES]]</f>
        <v>6</v>
      </c>
      <c r="Z37" s="15">
        <f>Tabla1[[#This Row],[MES ADEUDO DE AÑOS PASADOS ]]*$T$2</f>
        <v>270</v>
      </c>
      <c r="AA37" s="15">
        <f>Tabla1[[#This Row],[MESES DE ADEUDO DEL AÑO EN CURSO ]]*$T$2</f>
        <v>0</v>
      </c>
      <c r="AB37" s="69">
        <f>SUM(Tabla1[[#This Row],[DEUDA DE LOS MESES PASADOS EN $$]:[DEUDA DEL AÑO 2013 $$ ]])</f>
        <v>270</v>
      </c>
      <c r="AD37">
        <f>Tabla1[[#This Row],[PAGO DE DEUDA ANTERIOR EN MESES]]*$T$2</f>
        <v>0</v>
      </c>
      <c r="AG37" s="100">
        <f>IF(Tabla1[[#This Row],[TIPO DE CONSUMIDOR]]="MEDIO",IF(Tabla1[[#This Row],[ENERO ]]&gt;22.5,Tabla1[[#This Row],[ENERO ]]/22.5-1,0),IF(Tabla1[[#This Row],[ENERO ]]&gt;45,Tabla1[[#This Row],[ENERO ]]/45-1,0))</f>
        <v>0</v>
      </c>
      <c r="AH3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" s="100">
        <f>IF(Tabla1[[#This Row],[TIPO DE CONSUMIDOR]]="MEDIO",IF(Tabla1[[#This Row],[MARZO]]&gt;22.5,Tabla1[[#This Row],[MARZO]]/22.5-1,0),IF(Tabla1[[#This Row],[MARZO]]&gt;45,Tabla1[[#This Row],[MARZO]]/45-1,0))</f>
        <v>0</v>
      </c>
      <c r="AJ37" s="100">
        <f>IF(Tabla1[[#This Row],[TIPO DE CONSUMIDOR]]="MEDIO",IF(Tabla1[[#This Row],[ABRIL]]&gt;22.5,Tabla1[[#This Row],[ABRIL]]/22.5-1,0),IF(Tabla1[[#This Row],[ABRIL]]&gt;45,Tabla1[[#This Row],[ABRIL]]/45-1,0))</f>
        <v>0</v>
      </c>
      <c r="AK37" s="100">
        <f>IF(Tabla1[[#This Row],[TIPO DE CONSUMIDOR]]="MEDIO",IF(Tabla1[[#This Row],[MAYO ]]&gt;22.5,Tabla1[[#This Row],[MAYO ]]/22.5-1,0),IF(Tabla1[[#This Row],[MAYO ]]&gt;45,Tabla1[[#This Row],[MAYO ]]/45-1,0))</f>
        <v>0</v>
      </c>
      <c r="AL37" s="100">
        <f>IF(Tabla1[[#This Row],[TIPO DE CONSUMIDOR]]="MEDIO",IF(Tabla1[[#This Row],[JUNIO ]]&gt;22.5,Tabla1[[#This Row],[JUNIO ]]/22.5-1,0),IF(Tabla1[[#This Row],[JUNIO ]]&gt;45,Tabla1[[#This Row],[JUNIO ]]/45-1,0))</f>
        <v>0</v>
      </c>
      <c r="AM37" s="100">
        <f>IF(Tabla1[[#This Row],[TIPO DE CONSUMIDOR]]="MEDIO",IF(Tabla1[[#This Row],[JULIO ]]&gt;22.5,Tabla1[[#This Row],[JULIO ]]/22.5-1,0),IF(Tabla1[[#This Row],[JULIO ]]&gt;45,Tabla1[[#This Row],[JULIO ]]/45-1,0))</f>
        <v>0</v>
      </c>
      <c r="AN37" s="100">
        <f>IF(Tabla1[[#This Row],[TIPO DE CONSUMIDOR]]="MEDIO",IF(Tabla1[[#This Row],[AGOSTO]]&gt;22.5,Tabla1[[#This Row],[AGOSTO]]/22.5-1,0),IF(Tabla1[[#This Row],[AGOSTO]]&gt;45,Tabla1[[#This Row],[AGOSTO]]/45-1,0))</f>
        <v>0</v>
      </c>
      <c r="AO3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" s="101">
        <f t="shared" si="0"/>
        <v>0</v>
      </c>
      <c r="AT37">
        <f>IF(Tabla1[[#This Row],[MES ADEUDO DE AÑOS PASADOS ]]&gt;0,1,0)</f>
        <v>1</v>
      </c>
      <c r="AU37" s="9">
        <f t="shared" si="1"/>
        <v>1</v>
      </c>
      <c r="AV37" s="60">
        <f>IF(Tabla1[[#This Row],[MESES DE ADEUDO DEL AÑO EN CURSO ]]&gt;0,1,0)</f>
        <v>0</v>
      </c>
      <c r="AW37" s="42"/>
      <c r="AX37" s="42"/>
      <c r="AY37" s="42"/>
      <c r="AZ37" s="43"/>
    </row>
    <row r="38" spans="1:52" ht="21.75" thickBot="1" x14ac:dyDescent="0.35">
      <c r="A38" s="106">
        <v>32</v>
      </c>
      <c r="B38" s="5" t="s">
        <v>594</v>
      </c>
      <c r="C38" s="2" t="s">
        <v>461</v>
      </c>
      <c r="D38" s="32"/>
      <c r="E38" s="35" t="s">
        <v>455</v>
      </c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24">
        <f>SUM(Tabla1[[#This Row],[ENERO ]:[DICIEMBRE]])</f>
        <v>0</v>
      </c>
      <c r="W38">
        <v>7</v>
      </c>
      <c r="X38" s="21">
        <f>COUNTIF(Tabla1[[#This Row],[ENERO ]:[DICIEMBRE]],0)-(AS38)-IF(Tabla1[[#This Row],[BAJAS]]="BAJA",IF(Tabla1[[#This Row],[ALTAS]]="ALTA",VLOOKUP(Tabla1[[#This Row],[MES DE ALTA ]],$AW$6:$AX$17,2,FALSE),12)-VLOOKUP(Tabla1[[#This Row],[MES DE BAJA ]],$AW$6:$AX$17,2,FALSE),0)</f>
        <v>0</v>
      </c>
      <c r="Y38" s="68">
        <f>SUM(Tabla1[[#This Row],[MES ADEUDO DE AÑOS PASADOS ]:[MESES DE ADEUDO DEL AÑO EN CURSO ]])-Tabla1[[#This Row],[PAGO DE DEUDA ANTERIOR EN MESES]]</f>
        <v>7</v>
      </c>
      <c r="Z38" s="15">
        <f>Tabla1[[#This Row],[MES ADEUDO DE AÑOS PASADOS ]]*$T$2</f>
        <v>315</v>
      </c>
      <c r="AA38" s="15">
        <f>Tabla1[[#This Row],[MESES DE ADEUDO DEL AÑO EN CURSO ]]*$T$2</f>
        <v>0</v>
      </c>
      <c r="AB38" s="69">
        <f>SUM(Tabla1[[#This Row],[DEUDA DE LOS MESES PASADOS EN $$]:[DEUDA DEL AÑO 2013 $$ ]])</f>
        <v>315</v>
      </c>
      <c r="AD38">
        <f>Tabla1[[#This Row],[PAGO DE DEUDA ANTERIOR EN MESES]]*$T$2</f>
        <v>0</v>
      </c>
      <c r="AG38" s="100">
        <f>IF(Tabla1[[#This Row],[TIPO DE CONSUMIDOR]]="MEDIO",IF(Tabla1[[#This Row],[ENERO ]]&gt;22.5,Tabla1[[#This Row],[ENERO ]]/22.5-1,0),IF(Tabla1[[#This Row],[ENERO ]]&gt;45,Tabla1[[#This Row],[ENERO ]]/45-1,0))</f>
        <v>0</v>
      </c>
      <c r="AH3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" s="100">
        <f>IF(Tabla1[[#This Row],[TIPO DE CONSUMIDOR]]="MEDIO",IF(Tabla1[[#This Row],[MARZO]]&gt;22.5,Tabla1[[#This Row],[MARZO]]/22.5-1,0),IF(Tabla1[[#This Row],[MARZO]]&gt;45,Tabla1[[#This Row],[MARZO]]/45-1,0))</f>
        <v>0</v>
      </c>
      <c r="AJ38" s="100">
        <f>IF(Tabla1[[#This Row],[TIPO DE CONSUMIDOR]]="MEDIO",IF(Tabla1[[#This Row],[ABRIL]]&gt;22.5,Tabla1[[#This Row],[ABRIL]]/22.5-1,0),IF(Tabla1[[#This Row],[ABRIL]]&gt;45,Tabla1[[#This Row],[ABRIL]]/45-1,0))</f>
        <v>0</v>
      </c>
      <c r="AK38" s="100">
        <f>IF(Tabla1[[#This Row],[TIPO DE CONSUMIDOR]]="MEDIO",IF(Tabla1[[#This Row],[MAYO ]]&gt;22.5,Tabla1[[#This Row],[MAYO ]]/22.5-1,0),IF(Tabla1[[#This Row],[MAYO ]]&gt;45,Tabla1[[#This Row],[MAYO ]]/45-1,0))</f>
        <v>0</v>
      </c>
      <c r="AL38" s="100">
        <f>IF(Tabla1[[#This Row],[TIPO DE CONSUMIDOR]]="MEDIO",IF(Tabla1[[#This Row],[JUNIO ]]&gt;22.5,Tabla1[[#This Row],[JUNIO ]]/22.5-1,0),IF(Tabla1[[#This Row],[JUNIO ]]&gt;45,Tabla1[[#This Row],[JUNIO ]]/45-1,0))</f>
        <v>0</v>
      </c>
      <c r="AM38" s="100">
        <f>IF(Tabla1[[#This Row],[TIPO DE CONSUMIDOR]]="MEDIO",IF(Tabla1[[#This Row],[JULIO ]]&gt;22.5,Tabla1[[#This Row],[JULIO ]]/22.5-1,0),IF(Tabla1[[#This Row],[JULIO ]]&gt;45,Tabla1[[#This Row],[JULIO ]]/45-1,0))</f>
        <v>0</v>
      </c>
      <c r="AN38" s="100">
        <f>IF(Tabla1[[#This Row],[TIPO DE CONSUMIDOR]]="MEDIO",IF(Tabla1[[#This Row],[AGOSTO]]&gt;22.5,Tabla1[[#This Row],[AGOSTO]]/22.5-1,0),IF(Tabla1[[#This Row],[AGOSTO]]&gt;45,Tabla1[[#This Row],[AGOSTO]]/45-1,0))</f>
        <v>0</v>
      </c>
      <c r="AO3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" s="101">
        <f t="shared" si="0"/>
        <v>0</v>
      </c>
      <c r="AT38">
        <f>IF(Tabla1[[#This Row],[MES ADEUDO DE AÑOS PASADOS ]]&gt;0,1,0)</f>
        <v>1</v>
      </c>
      <c r="AU38" s="9">
        <f t="shared" si="1"/>
        <v>1</v>
      </c>
      <c r="AV38" s="60">
        <f>IF(Tabla1[[#This Row],[MESES DE ADEUDO DEL AÑO EN CURSO ]]&gt;0,1,0)</f>
        <v>0</v>
      </c>
      <c r="AW38" s="42"/>
      <c r="AX38" s="42"/>
      <c r="AY38" s="42"/>
      <c r="AZ38" s="43"/>
    </row>
    <row r="39" spans="1:52" ht="21.75" thickBot="1" x14ac:dyDescent="0.35">
      <c r="A39" s="106">
        <v>33</v>
      </c>
      <c r="B39" s="5" t="s">
        <v>460</v>
      </c>
      <c r="C39" s="2" t="s">
        <v>461</v>
      </c>
      <c r="D39" s="32"/>
      <c r="E39" s="35" t="s">
        <v>455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24">
        <f>SUM(Tabla1[[#This Row],[ENERO ]:[DICIEMBRE]])</f>
        <v>0</v>
      </c>
      <c r="W39">
        <v>8</v>
      </c>
      <c r="X39" s="21">
        <f>COUNTIF(Tabla1[[#This Row],[ENERO ]:[DICIEMBRE]],0)-(AS39)-IF(Tabla1[[#This Row],[BAJAS]]="BAJA",IF(Tabla1[[#This Row],[ALTAS]]="ALTA",VLOOKUP(Tabla1[[#This Row],[MES DE ALTA ]],$AW$6:$AX$17,2,FALSE),12)-VLOOKUP(Tabla1[[#This Row],[MES DE BAJA ]],$AW$6:$AX$17,2,FALSE),0)</f>
        <v>0</v>
      </c>
      <c r="Y39" s="68">
        <f>SUM(Tabla1[[#This Row],[MES ADEUDO DE AÑOS PASADOS ]:[MESES DE ADEUDO DEL AÑO EN CURSO ]])-Tabla1[[#This Row],[PAGO DE DEUDA ANTERIOR EN MESES]]</f>
        <v>8</v>
      </c>
      <c r="Z39" s="15">
        <f>Tabla1[[#This Row],[MES ADEUDO DE AÑOS PASADOS ]]*$T$2</f>
        <v>360</v>
      </c>
      <c r="AA39" s="15">
        <f>Tabla1[[#This Row],[MESES DE ADEUDO DEL AÑO EN CURSO ]]*$T$2</f>
        <v>0</v>
      </c>
      <c r="AB39" s="69">
        <f>SUM(Tabla1[[#This Row],[DEUDA DE LOS MESES PASADOS EN $$]:[DEUDA DEL AÑO 2013 $$ ]])</f>
        <v>360</v>
      </c>
      <c r="AD39">
        <f>Tabla1[[#This Row],[PAGO DE DEUDA ANTERIOR EN MESES]]*$T$2</f>
        <v>0</v>
      </c>
      <c r="AG39" s="100">
        <f>IF(Tabla1[[#This Row],[TIPO DE CONSUMIDOR]]="MEDIO",IF(Tabla1[[#This Row],[ENERO ]]&gt;22.5,Tabla1[[#This Row],[ENERO ]]/22.5-1,0),IF(Tabla1[[#This Row],[ENERO ]]&gt;45,Tabla1[[#This Row],[ENERO ]]/45-1,0))</f>
        <v>0</v>
      </c>
      <c r="AH3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" s="100">
        <f>IF(Tabla1[[#This Row],[TIPO DE CONSUMIDOR]]="MEDIO",IF(Tabla1[[#This Row],[MARZO]]&gt;22.5,Tabla1[[#This Row],[MARZO]]/22.5-1,0),IF(Tabla1[[#This Row],[MARZO]]&gt;45,Tabla1[[#This Row],[MARZO]]/45-1,0))</f>
        <v>0</v>
      </c>
      <c r="AJ39" s="100">
        <f>IF(Tabla1[[#This Row],[TIPO DE CONSUMIDOR]]="MEDIO",IF(Tabla1[[#This Row],[ABRIL]]&gt;22.5,Tabla1[[#This Row],[ABRIL]]/22.5-1,0),IF(Tabla1[[#This Row],[ABRIL]]&gt;45,Tabla1[[#This Row],[ABRIL]]/45-1,0))</f>
        <v>0</v>
      </c>
      <c r="AK39" s="100">
        <f>IF(Tabla1[[#This Row],[TIPO DE CONSUMIDOR]]="MEDIO",IF(Tabla1[[#This Row],[MAYO ]]&gt;22.5,Tabla1[[#This Row],[MAYO ]]/22.5-1,0),IF(Tabla1[[#This Row],[MAYO ]]&gt;45,Tabla1[[#This Row],[MAYO ]]/45-1,0))</f>
        <v>0</v>
      </c>
      <c r="AL39" s="100">
        <f>IF(Tabla1[[#This Row],[TIPO DE CONSUMIDOR]]="MEDIO",IF(Tabla1[[#This Row],[JUNIO ]]&gt;22.5,Tabla1[[#This Row],[JUNIO ]]/22.5-1,0),IF(Tabla1[[#This Row],[JUNIO ]]&gt;45,Tabla1[[#This Row],[JUNIO ]]/45-1,0))</f>
        <v>0</v>
      </c>
      <c r="AM39" s="100">
        <f>IF(Tabla1[[#This Row],[TIPO DE CONSUMIDOR]]="MEDIO",IF(Tabla1[[#This Row],[JULIO ]]&gt;22.5,Tabla1[[#This Row],[JULIO ]]/22.5-1,0),IF(Tabla1[[#This Row],[JULIO ]]&gt;45,Tabla1[[#This Row],[JULIO ]]/45-1,0))</f>
        <v>0</v>
      </c>
      <c r="AN39" s="100">
        <f>IF(Tabla1[[#This Row],[TIPO DE CONSUMIDOR]]="MEDIO",IF(Tabla1[[#This Row],[AGOSTO]]&gt;22.5,Tabla1[[#This Row],[AGOSTO]]/22.5-1,0),IF(Tabla1[[#This Row],[AGOSTO]]&gt;45,Tabla1[[#This Row],[AGOSTO]]/45-1,0))</f>
        <v>0</v>
      </c>
      <c r="AO3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" s="101">
        <f t="shared" si="0"/>
        <v>0</v>
      </c>
      <c r="AT39">
        <f>IF(Tabla1[[#This Row],[MES ADEUDO DE AÑOS PASADOS ]]&gt;0,1,0)</f>
        <v>1</v>
      </c>
      <c r="AU39" s="9">
        <f t="shared" si="1"/>
        <v>1</v>
      </c>
      <c r="AV39" s="60">
        <f>IF(Tabla1[[#This Row],[MESES DE ADEUDO DEL AÑO EN CURSO ]]&gt;0,1,0)</f>
        <v>0</v>
      </c>
      <c r="AW39" s="42"/>
      <c r="AX39" s="42"/>
      <c r="AY39" s="42"/>
      <c r="AZ39" s="43"/>
    </row>
    <row r="40" spans="1:52" ht="21.75" thickBot="1" x14ac:dyDescent="0.35">
      <c r="A40" s="106">
        <v>34</v>
      </c>
      <c r="B40" s="5" t="s">
        <v>183</v>
      </c>
      <c r="C40" s="2" t="s">
        <v>461</v>
      </c>
      <c r="D40" s="32"/>
      <c r="E40" s="35" t="s">
        <v>455</v>
      </c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24">
        <f>SUM(Tabla1[[#This Row],[ENERO ]:[DICIEMBRE]])</f>
        <v>0</v>
      </c>
      <c r="W40">
        <v>8</v>
      </c>
      <c r="X40" s="21">
        <f>COUNTIF(Tabla1[[#This Row],[ENERO ]:[DICIEMBRE]],0)-(AS40)-IF(Tabla1[[#This Row],[BAJAS]]="BAJA",IF(Tabla1[[#This Row],[ALTAS]]="ALTA",VLOOKUP(Tabla1[[#This Row],[MES DE ALTA ]],$AW$6:$AX$17,2,FALSE),12)-VLOOKUP(Tabla1[[#This Row],[MES DE BAJA ]],$AW$6:$AX$17,2,FALSE),0)</f>
        <v>0</v>
      </c>
      <c r="Y40" s="68">
        <f>SUM(Tabla1[[#This Row],[MES ADEUDO DE AÑOS PASADOS ]:[MESES DE ADEUDO DEL AÑO EN CURSO ]])-Tabla1[[#This Row],[PAGO DE DEUDA ANTERIOR EN MESES]]</f>
        <v>8</v>
      </c>
      <c r="Z40" s="15">
        <f>Tabla1[[#This Row],[MES ADEUDO DE AÑOS PASADOS ]]*$T$2</f>
        <v>360</v>
      </c>
      <c r="AA40" s="15">
        <f>Tabla1[[#This Row],[MESES DE ADEUDO DEL AÑO EN CURSO ]]*$T$2</f>
        <v>0</v>
      </c>
      <c r="AB40" s="69">
        <f>SUM(Tabla1[[#This Row],[DEUDA DE LOS MESES PASADOS EN $$]:[DEUDA DEL AÑO 2013 $$ ]])</f>
        <v>360</v>
      </c>
      <c r="AD40">
        <f>Tabla1[[#This Row],[PAGO DE DEUDA ANTERIOR EN MESES]]*$T$2</f>
        <v>0</v>
      </c>
      <c r="AG40" s="100">
        <f>IF(Tabla1[[#This Row],[TIPO DE CONSUMIDOR]]="MEDIO",IF(Tabla1[[#This Row],[ENERO ]]&gt;22.5,Tabla1[[#This Row],[ENERO ]]/22.5-1,0),IF(Tabla1[[#This Row],[ENERO ]]&gt;45,Tabla1[[#This Row],[ENERO ]]/45-1,0))</f>
        <v>0</v>
      </c>
      <c r="AH4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" s="100">
        <f>IF(Tabla1[[#This Row],[TIPO DE CONSUMIDOR]]="MEDIO",IF(Tabla1[[#This Row],[MARZO]]&gt;22.5,Tabla1[[#This Row],[MARZO]]/22.5-1,0),IF(Tabla1[[#This Row],[MARZO]]&gt;45,Tabla1[[#This Row],[MARZO]]/45-1,0))</f>
        <v>0</v>
      </c>
      <c r="AJ40" s="100">
        <f>IF(Tabla1[[#This Row],[TIPO DE CONSUMIDOR]]="MEDIO",IF(Tabla1[[#This Row],[ABRIL]]&gt;22.5,Tabla1[[#This Row],[ABRIL]]/22.5-1,0),IF(Tabla1[[#This Row],[ABRIL]]&gt;45,Tabla1[[#This Row],[ABRIL]]/45-1,0))</f>
        <v>0</v>
      </c>
      <c r="AK40" s="100">
        <f>IF(Tabla1[[#This Row],[TIPO DE CONSUMIDOR]]="MEDIO",IF(Tabla1[[#This Row],[MAYO ]]&gt;22.5,Tabla1[[#This Row],[MAYO ]]/22.5-1,0),IF(Tabla1[[#This Row],[MAYO ]]&gt;45,Tabla1[[#This Row],[MAYO ]]/45-1,0))</f>
        <v>0</v>
      </c>
      <c r="AL40" s="100">
        <f>IF(Tabla1[[#This Row],[TIPO DE CONSUMIDOR]]="MEDIO",IF(Tabla1[[#This Row],[JUNIO ]]&gt;22.5,Tabla1[[#This Row],[JUNIO ]]/22.5-1,0),IF(Tabla1[[#This Row],[JUNIO ]]&gt;45,Tabla1[[#This Row],[JUNIO ]]/45-1,0))</f>
        <v>0</v>
      </c>
      <c r="AM40" s="100">
        <f>IF(Tabla1[[#This Row],[TIPO DE CONSUMIDOR]]="MEDIO",IF(Tabla1[[#This Row],[JULIO ]]&gt;22.5,Tabla1[[#This Row],[JULIO ]]/22.5-1,0),IF(Tabla1[[#This Row],[JULIO ]]&gt;45,Tabla1[[#This Row],[JULIO ]]/45-1,0))</f>
        <v>0</v>
      </c>
      <c r="AN40" s="100">
        <f>IF(Tabla1[[#This Row],[TIPO DE CONSUMIDOR]]="MEDIO",IF(Tabla1[[#This Row],[AGOSTO]]&gt;22.5,Tabla1[[#This Row],[AGOSTO]]/22.5-1,0),IF(Tabla1[[#This Row],[AGOSTO]]&gt;45,Tabla1[[#This Row],[AGOSTO]]/45-1,0))</f>
        <v>0</v>
      </c>
      <c r="AO4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" s="101">
        <f t="shared" si="0"/>
        <v>0</v>
      </c>
      <c r="AT40">
        <f>IF(Tabla1[[#This Row],[MES ADEUDO DE AÑOS PASADOS ]]&gt;0,1,0)</f>
        <v>1</v>
      </c>
      <c r="AU40" s="9">
        <f t="shared" si="1"/>
        <v>1</v>
      </c>
      <c r="AV40" s="60">
        <f>IF(Tabla1[[#This Row],[MESES DE ADEUDO DEL AÑO EN CURSO ]]&gt;0,1,0)</f>
        <v>0</v>
      </c>
      <c r="AW40" s="42"/>
      <c r="AX40" s="42"/>
      <c r="AY40" s="42"/>
      <c r="AZ40" s="43"/>
    </row>
    <row r="41" spans="1:52" ht="21.75" thickBot="1" x14ac:dyDescent="0.35">
      <c r="A41" s="106">
        <v>35</v>
      </c>
      <c r="B41" s="5" t="s">
        <v>335</v>
      </c>
      <c r="C41" s="2" t="s">
        <v>461</v>
      </c>
      <c r="D41" s="32"/>
      <c r="E41" s="35" t="s">
        <v>455</v>
      </c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24">
        <f>SUM(Tabla1[[#This Row],[ENERO ]:[DICIEMBRE]])</f>
        <v>0</v>
      </c>
      <c r="W41">
        <v>9</v>
      </c>
      <c r="X41" s="21">
        <f>COUNTIF(Tabla1[[#This Row],[ENERO ]:[DICIEMBRE]],0)-(AS41)-IF(Tabla1[[#This Row],[BAJAS]]="BAJA",IF(Tabla1[[#This Row],[ALTAS]]="ALTA",VLOOKUP(Tabla1[[#This Row],[MES DE ALTA ]],$AW$6:$AX$17,2,FALSE),12)-VLOOKUP(Tabla1[[#This Row],[MES DE BAJA ]],$AW$6:$AX$17,2,FALSE),0)</f>
        <v>0</v>
      </c>
      <c r="Y41" s="68">
        <f>SUM(Tabla1[[#This Row],[MES ADEUDO DE AÑOS PASADOS ]:[MESES DE ADEUDO DEL AÑO EN CURSO ]])-Tabla1[[#This Row],[PAGO DE DEUDA ANTERIOR EN MESES]]</f>
        <v>9</v>
      </c>
      <c r="Z41" s="15">
        <f>Tabla1[[#This Row],[MES ADEUDO DE AÑOS PASADOS ]]*$T$2</f>
        <v>405</v>
      </c>
      <c r="AA41" s="15">
        <f>Tabla1[[#This Row],[MESES DE ADEUDO DEL AÑO EN CURSO ]]*$T$2</f>
        <v>0</v>
      </c>
      <c r="AB41" s="69">
        <f>SUM(Tabla1[[#This Row],[DEUDA DE LOS MESES PASADOS EN $$]:[DEUDA DEL AÑO 2013 $$ ]])</f>
        <v>405</v>
      </c>
      <c r="AD41">
        <f>Tabla1[[#This Row],[PAGO DE DEUDA ANTERIOR EN MESES]]*$T$2</f>
        <v>0</v>
      </c>
      <c r="AG41" s="100">
        <f>IF(Tabla1[[#This Row],[TIPO DE CONSUMIDOR]]="MEDIO",IF(Tabla1[[#This Row],[ENERO ]]&gt;22.5,Tabla1[[#This Row],[ENERO ]]/22.5-1,0),IF(Tabla1[[#This Row],[ENERO ]]&gt;45,Tabla1[[#This Row],[ENERO ]]/45-1,0))</f>
        <v>0</v>
      </c>
      <c r="AH4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" s="100">
        <f>IF(Tabla1[[#This Row],[TIPO DE CONSUMIDOR]]="MEDIO",IF(Tabla1[[#This Row],[MARZO]]&gt;22.5,Tabla1[[#This Row],[MARZO]]/22.5-1,0),IF(Tabla1[[#This Row],[MARZO]]&gt;45,Tabla1[[#This Row],[MARZO]]/45-1,0))</f>
        <v>0</v>
      </c>
      <c r="AJ41" s="100">
        <f>IF(Tabla1[[#This Row],[TIPO DE CONSUMIDOR]]="MEDIO",IF(Tabla1[[#This Row],[ABRIL]]&gt;22.5,Tabla1[[#This Row],[ABRIL]]/22.5-1,0),IF(Tabla1[[#This Row],[ABRIL]]&gt;45,Tabla1[[#This Row],[ABRIL]]/45-1,0))</f>
        <v>0</v>
      </c>
      <c r="AK41" s="100">
        <f>IF(Tabla1[[#This Row],[TIPO DE CONSUMIDOR]]="MEDIO",IF(Tabla1[[#This Row],[MAYO ]]&gt;22.5,Tabla1[[#This Row],[MAYO ]]/22.5-1,0),IF(Tabla1[[#This Row],[MAYO ]]&gt;45,Tabla1[[#This Row],[MAYO ]]/45-1,0))</f>
        <v>0</v>
      </c>
      <c r="AL41" s="100">
        <f>IF(Tabla1[[#This Row],[TIPO DE CONSUMIDOR]]="MEDIO",IF(Tabla1[[#This Row],[JUNIO ]]&gt;22.5,Tabla1[[#This Row],[JUNIO ]]/22.5-1,0),IF(Tabla1[[#This Row],[JUNIO ]]&gt;45,Tabla1[[#This Row],[JUNIO ]]/45-1,0))</f>
        <v>0</v>
      </c>
      <c r="AM41" s="100">
        <f>IF(Tabla1[[#This Row],[TIPO DE CONSUMIDOR]]="MEDIO",IF(Tabla1[[#This Row],[JULIO ]]&gt;22.5,Tabla1[[#This Row],[JULIO ]]/22.5-1,0),IF(Tabla1[[#This Row],[JULIO ]]&gt;45,Tabla1[[#This Row],[JULIO ]]/45-1,0))</f>
        <v>0</v>
      </c>
      <c r="AN41" s="100">
        <f>IF(Tabla1[[#This Row],[TIPO DE CONSUMIDOR]]="MEDIO",IF(Tabla1[[#This Row],[AGOSTO]]&gt;22.5,Tabla1[[#This Row],[AGOSTO]]/22.5-1,0),IF(Tabla1[[#This Row],[AGOSTO]]&gt;45,Tabla1[[#This Row],[AGOSTO]]/45-1,0))</f>
        <v>0</v>
      </c>
      <c r="AO4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" s="101">
        <f t="shared" si="0"/>
        <v>0</v>
      </c>
      <c r="AT41">
        <f>IF(Tabla1[[#This Row],[MES ADEUDO DE AÑOS PASADOS ]]&gt;0,1,0)</f>
        <v>1</v>
      </c>
      <c r="AU41" s="9">
        <f t="shared" si="1"/>
        <v>1</v>
      </c>
      <c r="AV41" s="60">
        <f>IF(Tabla1[[#This Row],[MESES DE ADEUDO DEL AÑO EN CURSO ]]&gt;0,1,0)</f>
        <v>0</v>
      </c>
      <c r="AW41" s="42"/>
      <c r="AX41" s="42"/>
      <c r="AY41" s="42"/>
      <c r="AZ41" s="43"/>
    </row>
    <row r="42" spans="1:52" ht="21.75" thickBot="1" x14ac:dyDescent="0.35">
      <c r="A42" s="106">
        <v>36</v>
      </c>
      <c r="B42" s="5" t="s">
        <v>465</v>
      </c>
      <c r="C42" s="2" t="s">
        <v>461</v>
      </c>
      <c r="D42" s="32"/>
      <c r="E42" s="35" t="s">
        <v>455</v>
      </c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24">
        <f>SUM(Tabla1[[#This Row],[ENERO ]:[DICIEMBRE]])</f>
        <v>0</v>
      </c>
      <c r="W42">
        <v>12</v>
      </c>
      <c r="X42" s="21">
        <f>COUNTIF(Tabla1[[#This Row],[ENERO ]:[DICIEMBRE]],0)-(AS42)-IF(Tabla1[[#This Row],[BAJAS]]="BAJA",IF(Tabla1[[#This Row],[ALTAS]]="ALTA",VLOOKUP(Tabla1[[#This Row],[MES DE ALTA ]],$AW$6:$AX$17,2,FALSE),12)-VLOOKUP(Tabla1[[#This Row],[MES DE BAJA ]],$AW$6:$AX$17,2,FALSE),0)</f>
        <v>0</v>
      </c>
      <c r="Y42" s="68">
        <f>SUM(Tabla1[[#This Row],[MES ADEUDO DE AÑOS PASADOS ]:[MESES DE ADEUDO DEL AÑO EN CURSO ]])-Tabla1[[#This Row],[PAGO DE DEUDA ANTERIOR EN MESES]]</f>
        <v>12</v>
      </c>
      <c r="Z42" s="15">
        <f>Tabla1[[#This Row],[MES ADEUDO DE AÑOS PASADOS ]]*$T$2</f>
        <v>540</v>
      </c>
      <c r="AA42" s="15">
        <f>Tabla1[[#This Row],[MESES DE ADEUDO DEL AÑO EN CURSO ]]*$T$2</f>
        <v>0</v>
      </c>
      <c r="AB42" s="69">
        <f>SUM(Tabla1[[#This Row],[DEUDA DE LOS MESES PASADOS EN $$]:[DEUDA DEL AÑO 2013 $$ ]])</f>
        <v>540</v>
      </c>
      <c r="AD42">
        <f>Tabla1[[#This Row],[PAGO DE DEUDA ANTERIOR EN MESES]]*$T$2</f>
        <v>0</v>
      </c>
      <c r="AG42" s="100">
        <f>IF(Tabla1[[#This Row],[TIPO DE CONSUMIDOR]]="MEDIO",IF(Tabla1[[#This Row],[ENERO ]]&gt;22.5,Tabla1[[#This Row],[ENERO ]]/22.5-1,0),IF(Tabla1[[#This Row],[ENERO ]]&gt;45,Tabla1[[#This Row],[ENERO ]]/45-1,0))</f>
        <v>0</v>
      </c>
      <c r="AH4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" s="100">
        <f>IF(Tabla1[[#This Row],[TIPO DE CONSUMIDOR]]="MEDIO",IF(Tabla1[[#This Row],[MARZO]]&gt;22.5,Tabla1[[#This Row],[MARZO]]/22.5-1,0),IF(Tabla1[[#This Row],[MARZO]]&gt;45,Tabla1[[#This Row],[MARZO]]/45-1,0))</f>
        <v>0</v>
      </c>
      <c r="AJ42" s="100">
        <f>IF(Tabla1[[#This Row],[TIPO DE CONSUMIDOR]]="MEDIO",IF(Tabla1[[#This Row],[ABRIL]]&gt;22.5,Tabla1[[#This Row],[ABRIL]]/22.5-1,0),IF(Tabla1[[#This Row],[ABRIL]]&gt;45,Tabla1[[#This Row],[ABRIL]]/45-1,0))</f>
        <v>0</v>
      </c>
      <c r="AK42" s="100">
        <f>IF(Tabla1[[#This Row],[TIPO DE CONSUMIDOR]]="MEDIO",IF(Tabla1[[#This Row],[MAYO ]]&gt;22.5,Tabla1[[#This Row],[MAYO ]]/22.5-1,0),IF(Tabla1[[#This Row],[MAYO ]]&gt;45,Tabla1[[#This Row],[MAYO ]]/45-1,0))</f>
        <v>0</v>
      </c>
      <c r="AL42" s="100">
        <f>IF(Tabla1[[#This Row],[TIPO DE CONSUMIDOR]]="MEDIO",IF(Tabla1[[#This Row],[JUNIO ]]&gt;22.5,Tabla1[[#This Row],[JUNIO ]]/22.5-1,0),IF(Tabla1[[#This Row],[JUNIO ]]&gt;45,Tabla1[[#This Row],[JUNIO ]]/45-1,0))</f>
        <v>0</v>
      </c>
      <c r="AM42" s="100">
        <f>IF(Tabla1[[#This Row],[TIPO DE CONSUMIDOR]]="MEDIO",IF(Tabla1[[#This Row],[JULIO ]]&gt;22.5,Tabla1[[#This Row],[JULIO ]]/22.5-1,0),IF(Tabla1[[#This Row],[JULIO ]]&gt;45,Tabla1[[#This Row],[JULIO ]]/45-1,0))</f>
        <v>0</v>
      </c>
      <c r="AN42" s="100">
        <f>IF(Tabla1[[#This Row],[TIPO DE CONSUMIDOR]]="MEDIO",IF(Tabla1[[#This Row],[AGOSTO]]&gt;22.5,Tabla1[[#This Row],[AGOSTO]]/22.5-1,0),IF(Tabla1[[#This Row],[AGOSTO]]&gt;45,Tabla1[[#This Row],[AGOSTO]]/45-1,0))</f>
        <v>0</v>
      </c>
      <c r="AO4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" s="101">
        <f t="shared" si="0"/>
        <v>0</v>
      </c>
      <c r="AT42">
        <f>IF(Tabla1[[#This Row],[MES ADEUDO DE AÑOS PASADOS ]]&gt;0,1,0)</f>
        <v>1</v>
      </c>
      <c r="AU42" s="9">
        <f t="shared" si="1"/>
        <v>1</v>
      </c>
      <c r="AV42" s="60">
        <f>IF(Tabla1[[#This Row],[MESES DE ADEUDO DEL AÑO EN CURSO ]]&gt;0,1,0)</f>
        <v>0</v>
      </c>
      <c r="AW42" s="42"/>
      <c r="AX42" s="42"/>
      <c r="AY42" s="42"/>
      <c r="AZ42" s="43"/>
    </row>
    <row r="43" spans="1:52" ht="21.75" thickBot="1" x14ac:dyDescent="0.35">
      <c r="A43" s="106">
        <v>37</v>
      </c>
      <c r="B43" s="5" t="s">
        <v>109</v>
      </c>
      <c r="C43" s="2" t="s">
        <v>461</v>
      </c>
      <c r="D43" s="32"/>
      <c r="E43" s="35" t="s">
        <v>455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24">
        <f>SUM(Tabla1[[#This Row],[ENERO ]:[DICIEMBRE]])</f>
        <v>0</v>
      </c>
      <c r="W43">
        <v>13</v>
      </c>
      <c r="X43" s="21">
        <f>COUNTIF(Tabla1[[#This Row],[ENERO ]:[DICIEMBRE]],0)-(AS43)-IF(Tabla1[[#This Row],[BAJAS]]="BAJA",IF(Tabla1[[#This Row],[ALTAS]]="ALTA",VLOOKUP(Tabla1[[#This Row],[MES DE ALTA ]],$AW$6:$AX$17,2,FALSE),12)-VLOOKUP(Tabla1[[#This Row],[MES DE BAJA ]],$AW$6:$AX$17,2,FALSE),0)</f>
        <v>0</v>
      </c>
      <c r="Y43" s="68">
        <f>SUM(Tabla1[[#This Row],[MES ADEUDO DE AÑOS PASADOS ]:[MESES DE ADEUDO DEL AÑO EN CURSO ]])-Tabla1[[#This Row],[PAGO DE DEUDA ANTERIOR EN MESES]]</f>
        <v>13</v>
      </c>
      <c r="Z43" s="15">
        <f>Tabla1[[#This Row],[MES ADEUDO DE AÑOS PASADOS ]]*$T$2</f>
        <v>585</v>
      </c>
      <c r="AA43" s="15">
        <f>Tabla1[[#This Row],[MESES DE ADEUDO DEL AÑO EN CURSO ]]*$T$2</f>
        <v>0</v>
      </c>
      <c r="AB43" s="69">
        <f>SUM(Tabla1[[#This Row],[DEUDA DE LOS MESES PASADOS EN $$]:[DEUDA DEL AÑO 2013 $$ ]])</f>
        <v>585</v>
      </c>
      <c r="AD43">
        <f>Tabla1[[#This Row],[PAGO DE DEUDA ANTERIOR EN MESES]]*$T$2</f>
        <v>0</v>
      </c>
      <c r="AG43" s="100">
        <f>IF(Tabla1[[#This Row],[TIPO DE CONSUMIDOR]]="MEDIO",IF(Tabla1[[#This Row],[ENERO ]]&gt;22.5,Tabla1[[#This Row],[ENERO ]]/22.5-1,0),IF(Tabla1[[#This Row],[ENERO ]]&gt;45,Tabla1[[#This Row],[ENERO ]]/45-1,0))</f>
        <v>0</v>
      </c>
      <c r="AH4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" s="100">
        <f>IF(Tabla1[[#This Row],[TIPO DE CONSUMIDOR]]="MEDIO",IF(Tabla1[[#This Row],[MARZO]]&gt;22.5,Tabla1[[#This Row],[MARZO]]/22.5-1,0),IF(Tabla1[[#This Row],[MARZO]]&gt;45,Tabla1[[#This Row],[MARZO]]/45-1,0))</f>
        <v>0</v>
      </c>
      <c r="AJ43" s="100">
        <f>IF(Tabla1[[#This Row],[TIPO DE CONSUMIDOR]]="MEDIO",IF(Tabla1[[#This Row],[ABRIL]]&gt;22.5,Tabla1[[#This Row],[ABRIL]]/22.5-1,0),IF(Tabla1[[#This Row],[ABRIL]]&gt;45,Tabla1[[#This Row],[ABRIL]]/45-1,0))</f>
        <v>0</v>
      </c>
      <c r="AK43" s="100">
        <f>IF(Tabla1[[#This Row],[TIPO DE CONSUMIDOR]]="MEDIO",IF(Tabla1[[#This Row],[MAYO ]]&gt;22.5,Tabla1[[#This Row],[MAYO ]]/22.5-1,0),IF(Tabla1[[#This Row],[MAYO ]]&gt;45,Tabla1[[#This Row],[MAYO ]]/45-1,0))</f>
        <v>0</v>
      </c>
      <c r="AL43" s="100">
        <f>IF(Tabla1[[#This Row],[TIPO DE CONSUMIDOR]]="MEDIO",IF(Tabla1[[#This Row],[JUNIO ]]&gt;22.5,Tabla1[[#This Row],[JUNIO ]]/22.5-1,0),IF(Tabla1[[#This Row],[JUNIO ]]&gt;45,Tabla1[[#This Row],[JUNIO ]]/45-1,0))</f>
        <v>0</v>
      </c>
      <c r="AM43" s="100">
        <f>IF(Tabla1[[#This Row],[TIPO DE CONSUMIDOR]]="MEDIO",IF(Tabla1[[#This Row],[JULIO ]]&gt;22.5,Tabla1[[#This Row],[JULIO ]]/22.5-1,0),IF(Tabla1[[#This Row],[JULIO ]]&gt;45,Tabla1[[#This Row],[JULIO ]]/45-1,0))</f>
        <v>0</v>
      </c>
      <c r="AN43" s="100">
        <f>IF(Tabla1[[#This Row],[TIPO DE CONSUMIDOR]]="MEDIO",IF(Tabla1[[#This Row],[AGOSTO]]&gt;22.5,Tabla1[[#This Row],[AGOSTO]]/22.5-1,0),IF(Tabla1[[#This Row],[AGOSTO]]&gt;45,Tabla1[[#This Row],[AGOSTO]]/45-1,0))</f>
        <v>0</v>
      </c>
      <c r="AO4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" s="101">
        <f t="shared" si="0"/>
        <v>0</v>
      </c>
      <c r="AT43">
        <f>IF(Tabla1[[#This Row],[MES ADEUDO DE AÑOS PASADOS ]]&gt;0,1,0)</f>
        <v>1</v>
      </c>
      <c r="AU43" s="9">
        <f t="shared" si="1"/>
        <v>1</v>
      </c>
      <c r="AV43" s="60">
        <f>IF(Tabla1[[#This Row],[MESES DE ADEUDO DEL AÑO EN CURSO ]]&gt;0,1,0)</f>
        <v>0</v>
      </c>
      <c r="AW43" s="42"/>
      <c r="AX43" s="42"/>
      <c r="AY43" s="42"/>
      <c r="AZ43" s="43"/>
    </row>
    <row r="44" spans="1:52" ht="21.75" thickBot="1" x14ac:dyDescent="0.35">
      <c r="A44" s="106">
        <v>38</v>
      </c>
      <c r="B44" s="5" t="s">
        <v>462</v>
      </c>
      <c r="C44" s="2" t="s">
        <v>461</v>
      </c>
      <c r="D44" s="46"/>
      <c r="E44" s="35" t="s">
        <v>455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24">
        <f>SUM(Tabla1[[#This Row],[ENERO ]:[DICIEMBRE]])</f>
        <v>0</v>
      </c>
      <c r="W44">
        <v>14</v>
      </c>
      <c r="X44" s="21">
        <f>COUNTIF(Tabla1[[#This Row],[ENERO ]:[DICIEMBRE]],0)-(AS44)-IF(Tabla1[[#This Row],[BAJAS]]="BAJA",IF(Tabla1[[#This Row],[ALTAS]]="ALTA",VLOOKUP(Tabla1[[#This Row],[MES DE ALTA ]],$AW$6:$AX$17,2,FALSE),12)-VLOOKUP(Tabla1[[#This Row],[MES DE BAJA ]],$AW$6:$AX$17,2,FALSE),0)</f>
        <v>0</v>
      </c>
      <c r="Y44" s="68">
        <f>SUM(Tabla1[[#This Row],[MES ADEUDO DE AÑOS PASADOS ]:[MESES DE ADEUDO DEL AÑO EN CURSO ]])-Tabla1[[#This Row],[PAGO DE DEUDA ANTERIOR EN MESES]]</f>
        <v>14</v>
      </c>
      <c r="Z44" s="15">
        <f>Tabla1[[#This Row],[MES ADEUDO DE AÑOS PASADOS ]]*$T$2</f>
        <v>630</v>
      </c>
      <c r="AA44" s="15">
        <f>Tabla1[[#This Row],[MESES DE ADEUDO DEL AÑO EN CURSO ]]*$T$2</f>
        <v>0</v>
      </c>
      <c r="AB44" s="69">
        <f>SUM(Tabla1[[#This Row],[DEUDA DE LOS MESES PASADOS EN $$]:[DEUDA DEL AÑO 2013 $$ ]])</f>
        <v>630</v>
      </c>
      <c r="AD44">
        <f>Tabla1[[#This Row],[PAGO DE DEUDA ANTERIOR EN MESES]]*$T$2</f>
        <v>0</v>
      </c>
      <c r="AG44" s="100">
        <f>IF(Tabla1[[#This Row],[TIPO DE CONSUMIDOR]]="MEDIO",IF(Tabla1[[#This Row],[ENERO ]]&gt;22.5,Tabla1[[#This Row],[ENERO ]]/22.5-1,0),IF(Tabla1[[#This Row],[ENERO ]]&gt;45,Tabla1[[#This Row],[ENERO ]]/45-1,0))</f>
        <v>0</v>
      </c>
      <c r="AH4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" s="100">
        <f>IF(Tabla1[[#This Row],[TIPO DE CONSUMIDOR]]="MEDIO",IF(Tabla1[[#This Row],[MARZO]]&gt;22.5,Tabla1[[#This Row],[MARZO]]/22.5-1,0),IF(Tabla1[[#This Row],[MARZO]]&gt;45,Tabla1[[#This Row],[MARZO]]/45-1,0))</f>
        <v>0</v>
      </c>
      <c r="AJ44" s="100">
        <f>IF(Tabla1[[#This Row],[TIPO DE CONSUMIDOR]]="MEDIO",IF(Tabla1[[#This Row],[ABRIL]]&gt;22.5,Tabla1[[#This Row],[ABRIL]]/22.5-1,0),IF(Tabla1[[#This Row],[ABRIL]]&gt;45,Tabla1[[#This Row],[ABRIL]]/45-1,0))</f>
        <v>0</v>
      </c>
      <c r="AK44" s="100">
        <f>IF(Tabla1[[#This Row],[TIPO DE CONSUMIDOR]]="MEDIO",IF(Tabla1[[#This Row],[MAYO ]]&gt;22.5,Tabla1[[#This Row],[MAYO ]]/22.5-1,0),IF(Tabla1[[#This Row],[MAYO ]]&gt;45,Tabla1[[#This Row],[MAYO ]]/45-1,0))</f>
        <v>0</v>
      </c>
      <c r="AL44" s="100">
        <f>IF(Tabla1[[#This Row],[TIPO DE CONSUMIDOR]]="MEDIO",IF(Tabla1[[#This Row],[JUNIO ]]&gt;22.5,Tabla1[[#This Row],[JUNIO ]]/22.5-1,0),IF(Tabla1[[#This Row],[JUNIO ]]&gt;45,Tabla1[[#This Row],[JUNIO ]]/45-1,0))</f>
        <v>0</v>
      </c>
      <c r="AM44" s="100">
        <f>IF(Tabla1[[#This Row],[TIPO DE CONSUMIDOR]]="MEDIO",IF(Tabla1[[#This Row],[JULIO ]]&gt;22.5,Tabla1[[#This Row],[JULIO ]]/22.5-1,0),IF(Tabla1[[#This Row],[JULIO ]]&gt;45,Tabla1[[#This Row],[JULIO ]]/45-1,0))</f>
        <v>0</v>
      </c>
      <c r="AN44" s="100">
        <f>IF(Tabla1[[#This Row],[TIPO DE CONSUMIDOR]]="MEDIO",IF(Tabla1[[#This Row],[AGOSTO]]&gt;22.5,Tabla1[[#This Row],[AGOSTO]]/22.5-1,0),IF(Tabla1[[#This Row],[AGOSTO]]&gt;45,Tabla1[[#This Row],[AGOSTO]]/45-1,0))</f>
        <v>0</v>
      </c>
      <c r="AO4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" s="101">
        <f t="shared" si="0"/>
        <v>0</v>
      </c>
      <c r="AT44">
        <f>IF(Tabla1[[#This Row],[MES ADEUDO DE AÑOS PASADOS ]]&gt;0,1,0)</f>
        <v>1</v>
      </c>
      <c r="AU44" s="9">
        <f t="shared" si="1"/>
        <v>1</v>
      </c>
      <c r="AV44" s="60">
        <f>IF(Tabla1[[#This Row],[MESES DE ADEUDO DEL AÑO EN CURSO ]]&gt;0,1,0)</f>
        <v>0</v>
      </c>
      <c r="AW44" s="42"/>
      <c r="AX44" s="42"/>
      <c r="AY44" s="42"/>
      <c r="AZ44" s="43"/>
    </row>
    <row r="45" spans="1:52" ht="21.75" thickBot="1" x14ac:dyDescent="0.35">
      <c r="A45" s="106">
        <v>39</v>
      </c>
      <c r="B45" s="5" t="s">
        <v>237</v>
      </c>
      <c r="C45" s="2" t="s">
        <v>461</v>
      </c>
      <c r="D45" s="32"/>
      <c r="E45" s="35" t="s">
        <v>455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24">
        <f>SUM(Tabla1[[#This Row],[ENERO ]:[DICIEMBRE]])</f>
        <v>0</v>
      </c>
      <c r="W45">
        <v>14</v>
      </c>
      <c r="X45" s="21">
        <f>COUNTIF(Tabla1[[#This Row],[ENERO ]:[DICIEMBRE]],0)-(AS45)-IF(Tabla1[[#This Row],[BAJAS]]="BAJA",IF(Tabla1[[#This Row],[ALTAS]]="ALTA",VLOOKUP(Tabla1[[#This Row],[MES DE ALTA ]],$AW$6:$AX$17,2,FALSE),12)-VLOOKUP(Tabla1[[#This Row],[MES DE BAJA ]],$AW$6:$AX$17,2,FALSE),0)</f>
        <v>0</v>
      </c>
      <c r="Y45" s="68">
        <f>SUM(Tabla1[[#This Row],[MES ADEUDO DE AÑOS PASADOS ]:[MESES DE ADEUDO DEL AÑO EN CURSO ]])-Tabla1[[#This Row],[PAGO DE DEUDA ANTERIOR EN MESES]]</f>
        <v>14</v>
      </c>
      <c r="Z45" s="15">
        <f>Tabla1[[#This Row],[MES ADEUDO DE AÑOS PASADOS ]]*$T$2</f>
        <v>630</v>
      </c>
      <c r="AA45" s="15">
        <f>Tabla1[[#This Row],[MESES DE ADEUDO DEL AÑO EN CURSO ]]*$T$2</f>
        <v>0</v>
      </c>
      <c r="AB45" s="69">
        <f>SUM(Tabla1[[#This Row],[DEUDA DE LOS MESES PASADOS EN $$]:[DEUDA DEL AÑO 2013 $$ ]])</f>
        <v>630</v>
      </c>
      <c r="AD45">
        <f>Tabla1[[#This Row],[PAGO DE DEUDA ANTERIOR EN MESES]]*$T$2</f>
        <v>0</v>
      </c>
      <c r="AG45" s="100">
        <f>IF(Tabla1[[#This Row],[TIPO DE CONSUMIDOR]]="MEDIO",IF(Tabla1[[#This Row],[ENERO ]]&gt;22.5,Tabla1[[#This Row],[ENERO ]]/22.5-1,0),IF(Tabla1[[#This Row],[ENERO ]]&gt;45,Tabla1[[#This Row],[ENERO ]]/45-1,0))</f>
        <v>0</v>
      </c>
      <c r="AH4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" s="100">
        <f>IF(Tabla1[[#This Row],[TIPO DE CONSUMIDOR]]="MEDIO",IF(Tabla1[[#This Row],[MARZO]]&gt;22.5,Tabla1[[#This Row],[MARZO]]/22.5-1,0),IF(Tabla1[[#This Row],[MARZO]]&gt;45,Tabla1[[#This Row],[MARZO]]/45-1,0))</f>
        <v>0</v>
      </c>
      <c r="AJ45" s="100">
        <f>IF(Tabla1[[#This Row],[TIPO DE CONSUMIDOR]]="MEDIO",IF(Tabla1[[#This Row],[ABRIL]]&gt;22.5,Tabla1[[#This Row],[ABRIL]]/22.5-1,0),IF(Tabla1[[#This Row],[ABRIL]]&gt;45,Tabla1[[#This Row],[ABRIL]]/45-1,0))</f>
        <v>0</v>
      </c>
      <c r="AK45" s="100">
        <f>IF(Tabla1[[#This Row],[TIPO DE CONSUMIDOR]]="MEDIO",IF(Tabla1[[#This Row],[MAYO ]]&gt;22.5,Tabla1[[#This Row],[MAYO ]]/22.5-1,0),IF(Tabla1[[#This Row],[MAYO ]]&gt;45,Tabla1[[#This Row],[MAYO ]]/45-1,0))</f>
        <v>0</v>
      </c>
      <c r="AL45" s="100">
        <f>IF(Tabla1[[#This Row],[TIPO DE CONSUMIDOR]]="MEDIO",IF(Tabla1[[#This Row],[JUNIO ]]&gt;22.5,Tabla1[[#This Row],[JUNIO ]]/22.5-1,0),IF(Tabla1[[#This Row],[JUNIO ]]&gt;45,Tabla1[[#This Row],[JUNIO ]]/45-1,0))</f>
        <v>0</v>
      </c>
      <c r="AM45" s="100">
        <f>IF(Tabla1[[#This Row],[TIPO DE CONSUMIDOR]]="MEDIO",IF(Tabla1[[#This Row],[JULIO ]]&gt;22.5,Tabla1[[#This Row],[JULIO ]]/22.5-1,0),IF(Tabla1[[#This Row],[JULIO ]]&gt;45,Tabla1[[#This Row],[JULIO ]]/45-1,0))</f>
        <v>0</v>
      </c>
      <c r="AN45" s="100">
        <f>IF(Tabla1[[#This Row],[TIPO DE CONSUMIDOR]]="MEDIO",IF(Tabla1[[#This Row],[AGOSTO]]&gt;22.5,Tabla1[[#This Row],[AGOSTO]]/22.5-1,0),IF(Tabla1[[#This Row],[AGOSTO]]&gt;45,Tabla1[[#This Row],[AGOSTO]]/45-1,0))</f>
        <v>0</v>
      </c>
      <c r="AO4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" s="101">
        <f t="shared" si="0"/>
        <v>0</v>
      </c>
      <c r="AT45">
        <f>IF(Tabla1[[#This Row],[MES ADEUDO DE AÑOS PASADOS ]]&gt;0,1,0)</f>
        <v>1</v>
      </c>
      <c r="AU45" s="9">
        <f t="shared" si="1"/>
        <v>1</v>
      </c>
      <c r="AV45" s="60">
        <f>IF(Tabla1[[#This Row],[MESES DE ADEUDO DEL AÑO EN CURSO ]]&gt;0,1,0)</f>
        <v>0</v>
      </c>
      <c r="AW45" s="42"/>
      <c r="AX45" s="42"/>
      <c r="AY45" s="42"/>
      <c r="AZ45" s="43"/>
    </row>
    <row r="46" spans="1:52" ht="21.75" thickBot="1" x14ac:dyDescent="0.35">
      <c r="A46" s="106">
        <v>40</v>
      </c>
      <c r="B46" s="5" t="s">
        <v>171</v>
      </c>
      <c r="C46" s="2" t="s">
        <v>461</v>
      </c>
      <c r="D46" s="32"/>
      <c r="E46" s="35" t="s">
        <v>455</v>
      </c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24">
        <f>SUM(Tabla1[[#This Row],[ENERO ]:[DICIEMBRE]])</f>
        <v>0</v>
      </c>
      <c r="W46">
        <v>15</v>
      </c>
      <c r="X46" s="21">
        <f>COUNTIF(Tabla1[[#This Row],[ENERO ]:[DICIEMBRE]],0)-(AS46)-IF(Tabla1[[#This Row],[BAJAS]]="BAJA",IF(Tabla1[[#This Row],[ALTAS]]="ALTA",VLOOKUP(Tabla1[[#This Row],[MES DE ALTA ]],$AW$6:$AX$17,2,FALSE),12)-VLOOKUP(Tabla1[[#This Row],[MES DE BAJA ]],$AW$6:$AX$17,2,FALSE),0)</f>
        <v>0</v>
      </c>
      <c r="Y46" s="68">
        <f>SUM(Tabla1[[#This Row],[MES ADEUDO DE AÑOS PASADOS ]:[MESES DE ADEUDO DEL AÑO EN CURSO ]])-Tabla1[[#This Row],[PAGO DE DEUDA ANTERIOR EN MESES]]</f>
        <v>15</v>
      </c>
      <c r="Z46" s="15">
        <f>Tabla1[[#This Row],[MES ADEUDO DE AÑOS PASADOS ]]*$T$2</f>
        <v>675</v>
      </c>
      <c r="AA46" s="15">
        <f>Tabla1[[#This Row],[MESES DE ADEUDO DEL AÑO EN CURSO ]]*$T$2</f>
        <v>0</v>
      </c>
      <c r="AB46" s="69">
        <f>SUM(Tabla1[[#This Row],[DEUDA DE LOS MESES PASADOS EN $$]:[DEUDA DEL AÑO 2013 $$ ]])</f>
        <v>675</v>
      </c>
      <c r="AD46">
        <f>Tabla1[[#This Row],[PAGO DE DEUDA ANTERIOR EN MESES]]*$T$2</f>
        <v>0</v>
      </c>
      <c r="AG46" s="100">
        <f>IF(Tabla1[[#This Row],[TIPO DE CONSUMIDOR]]="MEDIO",IF(Tabla1[[#This Row],[ENERO ]]&gt;22.5,Tabla1[[#This Row],[ENERO ]]/22.5-1,0),IF(Tabla1[[#This Row],[ENERO ]]&gt;45,Tabla1[[#This Row],[ENERO ]]/45-1,0))</f>
        <v>0</v>
      </c>
      <c r="AH4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" s="100">
        <f>IF(Tabla1[[#This Row],[TIPO DE CONSUMIDOR]]="MEDIO",IF(Tabla1[[#This Row],[MARZO]]&gt;22.5,Tabla1[[#This Row],[MARZO]]/22.5-1,0),IF(Tabla1[[#This Row],[MARZO]]&gt;45,Tabla1[[#This Row],[MARZO]]/45-1,0))</f>
        <v>0</v>
      </c>
      <c r="AJ46" s="100">
        <f>IF(Tabla1[[#This Row],[TIPO DE CONSUMIDOR]]="MEDIO",IF(Tabla1[[#This Row],[ABRIL]]&gt;22.5,Tabla1[[#This Row],[ABRIL]]/22.5-1,0),IF(Tabla1[[#This Row],[ABRIL]]&gt;45,Tabla1[[#This Row],[ABRIL]]/45-1,0))</f>
        <v>0</v>
      </c>
      <c r="AK46" s="100">
        <f>IF(Tabla1[[#This Row],[TIPO DE CONSUMIDOR]]="MEDIO",IF(Tabla1[[#This Row],[MAYO ]]&gt;22.5,Tabla1[[#This Row],[MAYO ]]/22.5-1,0),IF(Tabla1[[#This Row],[MAYO ]]&gt;45,Tabla1[[#This Row],[MAYO ]]/45-1,0))</f>
        <v>0</v>
      </c>
      <c r="AL46" s="100">
        <f>IF(Tabla1[[#This Row],[TIPO DE CONSUMIDOR]]="MEDIO",IF(Tabla1[[#This Row],[JUNIO ]]&gt;22.5,Tabla1[[#This Row],[JUNIO ]]/22.5-1,0),IF(Tabla1[[#This Row],[JUNIO ]]&gt;45,Tabla1[[#This Row],[JUNIO ]]/45-1,0))</f>
        <v>0</v>
      </c>
      <c r="AM46" s="100">
        <f>IF(Tabla1[[#This Row],[TIPO DE CONSUMIDOR]]="MEDIO",IF(Tabla1[[#This Row],[JULIO ]]&gt;22.5,Tabla1[[#This Row],[JULIO ]]/22.5-1,0),IF(Tabla1[[#This Row],[JULIO ]]&gt;45,Tabla1[[#This Row],[JULIO ]]/45-1,0))</f>
        <v>0</v>
      </c>
      <c r="AN46" s="100">
        <f>IF(Tabla1[[#This Row],[TIPO DE CONSUMIDOR]]="MEDIO",IF(Tabla1[[#This Row],[AGOSTO]]&gt;22.5,Tabla1[[#This Row],[AGOSTO]]/22.5-1,0),IF(Tabla1[[#This Row],[AGOSTO]]&gt;45,Tabla1[[#This Row],[AGOSTO]]/45-1,0))</f>
        <v>0</v>
      </c>
      <c r="AO4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" s="101">
        <f t="shared" si="0"/>
        <v>0</v>
      </c>
      <c r="AT46">
        <f>IF(Tabla1[[#This Row],[MES ADEUDO DE AÑOS PASADOS ]]&gt;0,1,0)</f>
        <v>1</v>
      </c>
      <c r="AU46" s="9">
        <f t="shared" si="1"/>
        <v>1</v>
      </c>
      <c r="AV46" s="60">
        <f>IF(Tabla1[[#This Row],[MESES DE ADEUDO DEL AÑO EN CURSO ]]&gt;0,1,0)</f>
        <v>0</v>
      </c>
      <c r="AW46" s="42"/>
      <c r="AX46" s="42"/>
      <c r="AY46" s="42"/>
      <c r="AZ46" s="43"/>
    </row>
    <row r="47" spans="1:52" ht="21.75" thickBot="1" x14ac:dyDescent="0.35">
      <c r="A47" s="106">
        <v>41</v>
      </c>
      <c r="B47" s="5" t="s">
        <v>391</v>
      </c>
      <c r="C47" s="2" t="s">
        <v>461</v>
      </c>
      <c r="D47" s="32"/>
      <c r="E47" s="35" t="s">
        <v>455</v>
      </c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24">
        <f>SUM(Tabla1[[#This Row],[ENERO ]:[DICIEMBRE]])</f>
        <v>0</v>
      </c>
      <c r="W47">
        <v>15</v>
      </c>
      <c r="X47" s="21">
        <f>COUNTIF(Tabla1[[#This Row],[ENERO ]:[DICIEMBRE]],0)-(AS47)-IF(Tabla1[[#This Row],[BAJAS]]="BAJA",IF(Tabla1[[#This Row],[ALTAS]]="ALTA",VLOOKUP(Tabla1[[#This Row],[MES DE ALTA ]],$AW$6:$AX$17,2,FALSE),12)-VLOOKUP(Tabla1[[#This Row],[MES DE BAJA ]],$AW$6:$AX$17,2,FALSE),0)</f>
        <v>0</v>
      </c>
      <c r="Y47" s="68">
        <f>SUM(Tabla1[[#This Row],[MES ADEUDO DE AÑOS PASADOS ]:[MESES DE ADEUDO DEL AÑO EN CURSO ]])-Tabla1[[#This Row],[PAGO DE DEUDA ANTERIOR EN MESES]]</f>
        <v>15</v>
      </c>
      <c r="Z47" s="15">
        <f>Tabla1[[#This Row],[MES ADEUDO DE AÑOS PASADOS ]]*$T$2</f>
        <v>675</v>
      </c>
      <c r="AA47" s="15">
        <f>Tabla1[[#This Row],[MESES DE ADEUDO DEL AÑO EN CURSO ]]*$T$2</f>
        <v>0</v>
      </c>
      <c r="AB47" s="69">
        <f>SUM(Tabla1[[#This Row],[DEUDA DE LOS MESES PASADOS EN $$]:[DEUDA DEL AÑO 2013 $$ ]])</f>
        <v>675</v>
      </c>
      <c r="AD47">
        <f>Tabla1[[#This Row],[PAGO DE DEUDA ANTERIOR EN MESES]]*$T$2</f>
        <v>0</v>
      </c>
      <c r="AG47" s="100">
        <f>IF(Tabla1[[#This Row],[TIPO DE CONSUMIDOR]]="MEDIO",IF(Tabla1[[#This Row],[ENERO ]]&gt;22.5,Tabla1[[#This Row],[ENERO ]]/22.5-1,0),IF(Tabla1[[#This Row],[ENERO ]]&gt;45,Tabla1[[#This Row],[ENERO ]]/45-1,0))</f>
        <v>0</v>
      </c>
      <c r="AH4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" s="100">
        <f>IF(Tabla1[[#This Row],[TIPO DE CONSUMIDOR]]="MEDIO",IF(Tabla1[[#This Row],[MARZO]]&gt;22.5,Tabla1[[#This Row],[MARZO]]/22.5-1,0),IF(Tabla1[[#This Row],[MARZO]]&gt;45,Tabla1[[#This Row],[MARZO]]/45-1,0))</f>
        <v>0</v>
      </c>
      <c r="AJ47" s="100">
        <f>IF(Tabla1[[#This Row],[TIPO DE CONSUMIDOR]]="MEDIO",IF(Tabla1[[#This Row],[ABRIL]]&gt;22.5,Tabla1[[#This Row],[ABRIL]]/22.5-1,0),IF(Tabla1[[#This Row],[ABRIL]]&gt;45,Tabla1[[#This Row],[ABRIL]]/45-1,0))</f>
        <v>0</v>
      </c>
      <c r="AK47" s="100">
        <f>IF(Tabla1[[#This Row],[TIPO DE CONSUMIDOR]]="MEDIO",IF(Tabla1[[#This Row],[MAYO ]]&gt;22.5,Tabla1[[#This Row],[MAYO ]]/22.5-1,0),IF(Tabla1[[#This Row],[MAYO ]]&gt;45,Tabla1[[#This Row],[MAYO ]]/45-1,0))</f>
        <v>0</v>
      </c>
      <c r="AL47" s="100">
        <f>IF(Tabla1[[#This Row],[TIPO DE CONSUMIDOR]]="MEDIO",IF(Tabla1[[#This Row],[JUNIO ]]&gt;22.5,Tabla1[[#This Row],[JUNIO ]]/22.5-1,0),IF(Tabla1[[#This Row],[JUNIO ]]&gt;45,Tabla1[[#This Row],[JUNIO ]]/45-1,0))</f>
        <v>0</v>
      </c>
      <c r="AM47" s="100">
        <f>IF(Tabla1[[#This Row],[TIPO DE CONSUMIDOR]]="MEDIO",IF(Tabla1[[#This Row],[JULIO ]]&gt;22.5,Tabla1[[#This Row],[JULIO ]]/22.5-1,0),IF(Tabla1[[#This Row],[JULIO ]]&gt;45,Tabla1[[#This Row],[JULIO ]]/45-1,0))</f>
        <v>0</v>
      </c>
      <c r="AN47" s="100">
        <f>IF(Tabla1[[#This Row],[TIPO DE CONSUMIDOR]]="MEDIO",IF(Tabla1[[#This Row],[AGOSTO]]&gt;22.5,Tabla1[[#This Row],[AGOSTO]]/22.5-1,0),IF(Tabla1[[#This Row],[AGOSTO]]&gt;45,Tabla1[[#This Row],[AGOSTO]]/45-1,0))</f>
        <v>0</v>
      </c>
      <c r="AO4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" s="101">
        <f t="shared" si="0"/>
        <v>0</v>
      </c>
      <c r="AT47">
        <f>IF(Tabla1[[#This Row],[MES ADEUDO DE AÑOS PASADOS ]]&gt;0,1,0)</f>
        <v>1</v>
      </c>
      <c r="AU47" s="9">
        <f t="shared" si="1"/>
        <v>1</v>
      </c>
      <c r="AV47" s="60">
        <f>IF(Tabla1[[#This Row],[MESES DE ADEUDO DEL AÑO EN CURSO ]]&gt;0,1,0)</f>
        <v>0</v>
      </c>
      <c r="AW47" s="42"/>
      <c r="AX47" s="42"/>
      <c r="AY47" s="42"/>
      <c r="AZ47" s="43"/>
    </row>
    <row r="48" spans="1:52" ht="21.75" thickBot="1" x14ac:dyDescent="0.35">
      <c r="A48" s="106">
        <v>42</v>
      </c>
      <c r="B48" s="5" t="s">
        <v>198</v>
      </c>
      <c r="C48" s="2" t="s">
        <v>461</v>
      </c>
      <c r="D48" s="32"/>
      <c r="E48" s="35" t="s">
        <v>455</v>
      </c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24">
        <f>SUM(Tabla1[[#This Row],[ENERO ]:[DICIEMBRE]])</f>
        <v>0</v>
      </c>
      <c r="W48">
        <v>17</v>
      </c>
      <c r="X48" s="21">
        <f>COUNTIF(Tabla1[[#This Row],[ENERO ]:[DICIEMBRE]],0)-(AS48)-IF(Tabla1[[#This Row],[BAJAS]]="BAJA",IF(Tabla1[[#This Row],[ALTAS]]="ALTA",VLOOKUP(Tabla1[[#This Row],[MES DE ALTA ]],$AW$6:$AX$17,2,FALSE),12)-VLOOKUP(Tabla1[[#This Row],[MES DE BAJA ]],$AW$6:$AX$17,2,FALSE),0)</f>
        <v>0</v>
      </c>
      <c r="Y48" s="68">
        <f>SUM(Tabla1[[#This Row],[MES ADEUDO DE AÑOS PASADOS ]:[MESES DE ADEUDO DEL AÑO EN CURSO ]])-Tabla1[[#This Row],[PAGO DE DEUDA ANTERIOR EN MESES]]</f>
        <v>17</v>
      </c>
      <c r="Z48" s="15">
        <f>Tabla1[[#This Row],[MES ADEUDO DE AÑOS PASADOS ]]*$T$2</f>
        <v>765</v>
      </c>
      <c r="AA48" s="15">
        <f>Tabla1[[#This Row],[MESES DE ADEUDO DEL AÑO EN CURSO ]]*$T$2</f>
        <v>0</v>
      </c>
      <c r="AB48" s="69">
        <f>SUM(Tabla1[[#This Row],[DEUDA DE LOS MESES PASADOS EN $$]:[DEUDA DEL AÑO 2013 $$ ]])</f>
        <v>765</v>
      </c>
      <c r="AD48">
        <f>Tabla1[[#This Row],[PAGO DE DEUDA ANTERIOR EN MESES]]*$T$2</f>
        <v>0</v>
      </c>
      <c r="AG48" s="100">
        <f>IF(Tabla1[[#This Row],[TIPO DE CONSUMIDOR]]="MEDIO",IF(Tabla1[[#This Row],[ENERO ]]&gt;22.5,Tabla1[[#This Row],[ENERO ]]/22.5-1,0),IF(Tabla1[[#This Row],[ENERO ]]&gt;45,Tabla1[[#This Row],[ENERO ]]/45-1,0))</f>
        <v>0</v>
      </c>
      <c r="AH4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" s="100">
        <f>IF(Tabla1[[#This Row],[TIPO DE CONSUMIDOR]]="MEDIO",IF(Tabla1[[#This Row],[MARZO]]&gt;22.5,Tabla1[[#This Row],[MARZO]]/22.5-1,0),IF(Tabla1[[#This Row],[MARZO]]&gt;45,Tabla1[[#This Row],[MARZO]]/45-1,0))</f>
        <v>0</v>
      </c>
      <c r="AJ48" s="100">
        <f>IF(Tabla1[[#This Row],[TIPO DE CONSUMIDOR]]="MEDIO",IF(Tabla1[[#This Row],[ABRIL]]&gt;22.5,Tabla1[[#This Row],[ABRIL]]/22.5-1,0),IF(Tabla1[[#This Row],[ABRIL]]&gt;45,Tabla1[[#This Row],[ABRIL]]/45-1,0))</f>
        <v>0</v>
      </c>
      <c r="AK48" s="100">
        <f>IF(Tabla1[[#This Row],[TIPO DE CONSUMIDOR]]="MEDIO",IF(Tabla1[[#This Row],[MAYO ]]&gt;22.5,Tabla1[[#This Row],[MAYO ]]/22.5-1,0),IF(Tabla1[[#This Row],[MAYO ]]&gt;45,Tabla1[[#This Row],[MAYO ]]/45-1,0))</f>
        <v>0</v>
      </c>
      <c r="AL48" s="100">
        <f>IF(Tabla1[[#This Row],[TIPO DE CONSUMIDOR]]="MEDIO",IF(Tabla1[[#This Row],[JUNIO ]]&gt;22.5,Tabla1[[#This Row],[JUNIO ]]/22.5-1,0),IF(Tabla1[[#This Row],[JUNIO ]]&gt;45,Tabla1[[#This Row],[JUNIO ]]/45-1,0))</f>
        <v>0</v>
      </c>
      <c r="AM48" s="100">
        <f>IF(Tabla1[[#This Row],[TIPO DE CONSUMIDOR]]="MEDIO",IF(Tabla1[[#This Row],[JULIO ]]&gt;22.5,Tabla1[[#This Row],[JULIO ]]/22.5-1,0),IF(Tabla1[[#This Row],[JULIO ]]&gt;45,Tabla1[[#This Row],[JULIO ]]/45-1,0))</f>
        <v>0</v>
      </c>
      <c r="AN48" s="100">
        <f>IF(Tabla1[[#This Row],[TIPO DE CONSUMIDOR]]="MEDIO",IF(Tabla1[[#This Row],[AGOSTO]]&gt;22.5,Tabla1[[#This Row],[AGOSTO]]/22.5-1,0),IF(Tabla1[[#This Row],[AGOSTO]]&gt;45,Tabla1[[#This Row],[AGOSTO]]/45-1,0))</f>
        <v>0</v>
      </c>
      <c r="AO4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" s="101">
        <f t="shared" si="0"/>
        <v>0</v>
      </c>
      <c r="AT48">
        <f>IF(Tabla1[[#This Row],[MES ADEUDO DE AÑOS PASADOS ]]&gt;0,1,0)</f>
        <v>1</v>
      </c>
      <c r="AU48" s="9">
        <f t="shared" si="1"/>
        <v>1</v>
      </c>
      <c r="AV48" s="60">
        <f>IF(Tabla1[[#This Row],[MESES DE ADEUDO DEL AÑO EN CURSO ]]&gt;0,1,0)</f>
        <v>0</v>
      </c>
      <c r="AW48" s="42"/>
      <c r="AX48" s="42"/>
      <c r="AY48" s="42"/>
      <c r="AZ48" s="43"/>
    </row>
    <row r="49" spans="1:52" ht="21.75" thickBot="1" x14ac:dyDescent="0.35">
      <c r="A49" s="106">
        <v>43</v>
      </c>
      <c r="B49" s="5" t="s">
        <v>260</v>
      </c>
      <c r="C49" s="2" t="s">
        <v>461</v>
      </c>
      <c r="D49" s="32"/>
      <c r="E49" s="35" t="s">
        <v>455</v>
      </c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24">
        <f>SUM(Tabla1[[#This Row],[ENERO ]:[DICIEMBRE]])</f>
        <v>0</v>
      </c>
      <c r="W49">
        <v>17</v>
      </c>
      <c r="X49" s="21">
        <f>COUNTIF(Tabla1[[#This Row],[ENERO ]:[DICIEMBRE]],0)-(AS49)-IF(Tabla1[[#This Row],[BAJAS]]="BAJA",IF(Tabla1[[#This Row],[ALTAS]]="ALTA",VLOOKUP(Tabla1[[#This Row],[MES DE ALTA ]],$AW$6:$AX$17,2,FALSE),12)-VLOOKUP(Tabla1[[#This Row],[MES DE BAJA ]],$AW$6:$AX$17,2,FALSE),0)</f>
        <v>0</v>
      </c>
      <c r="Y49" s="68">
        <f>SUM(Tabla1[[#This Row],[MES ADEUDO DE AÑOS PASADOS ]:[MESES DE ADEUDO DEL AÑO EN CURSO ]])-Tabla1[[#This Row],[PAGO DE DEUDA ANTERIOR EN MESES]]</f>
        <v>17</v>
      </c>
      <c r="Z49" s="15">
        <f>Tabla1[[#This Row],[MES ADEUDO DE AÑOS PASADOS ]]*$T$2</f>
        <v>765</v>
      </c>
      <c r="AA49" s="15">
        <f>Tabla1[[#This Row],[MESES DE ADEUDO DEL AÑO EN CURSO ]]*$T$2</f>
        <v>0</v>
      </c>
      <c r="AB49" s="69">
        <f>SUM(Tabla1[[#This Row],[DEUDA DE LOS MESES PASADOS EN $$]:[DEUDA DEL AÑO 2013 $$ ]])</f>
        <v>765</v>
      </c>
      <c r="AD49">
        <f>Tabla1[[#This Row],[PAGO DE DEUDA ANTERIOR EN MESES]]*$T$2</f>
        <v>0</v>
      </c>
      <c r="AG49" s="100">
        <f>IF(Tabla1[[#This Row],[TIPO DE CONSUMIDOR]]="MEDIO",IF(Tabla1[[#This Row],[ENERO ]]&gt;22.5,Tabla1[[#This Row],[ENERO ]]/22.5-1,0),IF(Tabla1[[#This Row],[ENERO ]]&gt;45,Tabla1[[#This Row],[ENERO ]]/45-1,0))</f>
        <v>0</v>
      </c>
      <c r="AH4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" s="100">
        <f>IF(Tabla1[[#This Row],[TIPO DE CONSUMIDOR]]="MEDIO",IF(Tabla1[[#This Row],[MARZO]]&gt;22.5,Tabla1[[#This Row],[MARZO]]/22.5-1,0),IF(Tabla1[[#This Row],[MARZO]]&gt;45,Tabla1[[#This Row],[MARZO]]/45-1,0))</f>
        <v>0</v>
      </c>
      <c r="AJ49" s="100">
        <f>IF(Tabla1[[#This Row],[TIPO DE CONSUMIDOR]]="MEDIO",IF(Tabla1[[#This Row],[ABRIL]]&gt;22.5,Tabla1[[#This Row],[ABRIL]]/22.5-1,0),IF(Tabla1[[#This Row],[ABRIL]]&gt;45,Tabla1[[#This Row],[ABRIL]]/45-1,0))</f>
        <v>0</v>
      </c>
      <c r="AK49" s="100">
        <f>IF(Tabla1[[#This Row],[TIPO DE CONSUMIDOR]]="MEDIO",IF(Tabla1[[#This Row],[MAYO ]]&gt;22.5,Tabla1[[#This Row],[MAYO ]]/22.5-1,0),IF(Tabla1[[#This Row],[MAYO ]]&gt;45,Tabla1[[#This Row],[MAYO ]]/45-1,0))</f>
        <v>0</v>
      </c>
      <c r="AL49" s="100">
        <f>IF(Tabla1[[#This Row],[TIPO DE CONSUMIDOR]]="MEDIO",IF(Tabla1[[#This Row],[JUNIO ]]&gt;22.5,Tabla1[[#This Row],[JUNIO ]]/22.5-1,0),IF(Tabla1[[#This Row],[JUNIO ]]&gt;45,Tabla1[[#This Row],[JUNIO ]]/45-1,0))</f>
        <v>0</v>
      </c>
      <c r="AM49" s="100">
        <f>IF(Tabla1[[#This Row],[TIPO DE CONSUMIDOR]]="MEDIO",IF(Tabla1[[#This Row],[JULIO ]]&gt;22.5,Tabla1[[#This Row],[JULIO ]]/22.5-1,0),IF(Tabla1[[#This Row],[JULIO ]]&gt;45,Tabla1[[#This Row],[JULIO ]]/45-1,0))</f>
        <v>0</v>
      </c>
      <c r="AN49" s="100">
        <f>IF(Tabla1[[#This Row],[TIPO DE CONSUMIDOR]]="MEDIO",IF(Tabla1[[#This Row],[AGOSTO]]&gt;22.5,Tabla1[[#This Row],[AGOSTO]]/22.5-1,0),IF(Tabla1[[#This Row],[AGOSTO]]&gt;45,Tabla1[[#This Row],[AGOSTO]]/45-1,0))</f>
        <v>0</v>
      </c>
      <c r="AO4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" s="101">
        <f t="shared" si="0"/>
        <v>0</v>
      </c>
      <c r="AT49">
        <f>IF(Tabla1[[#This Row],[MES ADEUDO DE AÑOS PASADOS ]]&gt;0,1,0)</f>
        <v>1</v>
      </c>
      <c r="AU49" s="9">
        <f t="shared" si="1"/>
        <v>1</v>
      </c>
      <c r="AV49" s="60">
        <f>IF(Tabla1[[#This Row],[MESES DE ADEUDO DEL AÑO EN CURSO ]]&gt;0,1,0)</f>
        <v>0</v>
      </c>
      <c r="AW49" s="42"/>
      <c r="AX49" s="42"/>
      <c r="AY49" s="42"/>
      <c r="AZ49" s="43"/>
    </row>
    <row r="50" spans="1:52" ht="21.75" thickBot="1" x14ac:dyDescent="0.35">
      <c r="A50" s="106">
        <v>44</v>
      </c>
      <c r="B50" s="5" t="s">
        <v>122</v>
      </c>
      <c r="C50" s="2" t="s">
        <v>461</v>
      </c>
      <c r="D50" s="32"/>
      <c r="E50" s="35" t="s">
        <v>455</v>
      </c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24">
        <f>SUM(Tabla1[[#This Row],[ENERO ]:[DICIEMBRE]])</f>
        <v>0</v>
      </c>
      <c r="W50">
        <v>18</v>
      </c>
      <c r="X50" s="21">
        <f>COUNTIF(Tabla1[[#This Row],[ENERO ]:[DICIEMBRE]],0)-(AS50)-IF(Tabla1[[#This Row],[BAJAS]]="BAJA",IF(Tabla1[[#This Row],[ALTAS]]="ALTA",VLOOKUP(Tabla1[[#This Row],[MES DE ALTA ]],$AW$6:$AX$17,2,FALSE),12)-VLOOKUP(Tabla1[[#This Row],[MES DE BAJA ]],$AW$6:$AX$17,2,FALSE),0)</f>
        <v>0</v>
      </c>
      <c r="Y50" s="68">
        <f>SUM(Tabla1[[#This Row],[MES ADEUDO DE AÑOS PASADOS ]:[MESES DE ADEUDO DEL AÑO EN CURSO ]])-Tabla1[[#This Row],[PAGO DE DEUDA ANTERIOR EN MESES]]</f>
        <v>18</v>
      </c>
      <c r="Z50" s="15">
        <f>Tabla1[[#This Row],[MES ADEUDO DE AÑOS PASADOS ]]*$T$2</f>
        <v>810</v>
      </c>
      <c r="AA50" s="15">
        <f>Tabla1[[#This Row],[MESES DE ADEUDO DEL AÑO EN CURSO ]]*$T$2</f>
        <v>0</v>
      </c>
      <c r="AB50" s="69">
        <f>SUM(Tabla1[[#This Row],[DEUDA DE LOS MESES PASADOS EN $$]:[DEUDA DEL AÑO 2013 $$ ]])</f>
        <v>810</v>
      </c>
      <c r="AD50">
        <f>Tabla1[[#This Row],[PAGO DE DEUDA ANTERIOR EN MESES]]*$T$2</f>
        <v>0</v>
      </c>
      <c r="AG50" s="100">
        <f>IF(Tabla1[[#This Row],[TIPO DE CONSUMIDOR]]="MEDIO",IF(Tabla1[[#This Row],[ENERO ]]&gt;22.5,Tabla1[[#This Row],[ENERO ]]/22.5-1,0),IF(Tabla1[[#This Row],[ENERO ]]&gt;45,Tabla1[[#This Row],[ENERO ]]/45-1,0))</f>
        <v>0</v>
      </c>
      <c r="AH5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" s="100">
        <f>IF(Tabla1[[#This Row],[TIPO DE CONSUMIDOR]]="MEDIO",IF(Tabla1[[#This Row],[MARZO]]&gt;22.5,Tabla1[[#This Row],[MARZO]]/22.5-1,0),IF(Tabla1[[#This Row],[MARZO]]&gt;45,Tabla1[[#This Row],[MARZO]]/45-1,0))</f>
        <v>0</v>
      </c>
      <c r="AJ50" s="100">
        <f>IF(Tabla1[[#This Row],[TIPO DE CONSUMIDOR]]="MEDIO",IF(Tabla1[[#This Row],[ABRIL]]&gt;22.5,Tabla1[[#This Row],[ABRIL]]/22.5-1,0),IF(Tabla1[[#This Row],[ABRIL]]&gt;45,Tabla1[[#This Row],[ABRIL]]/45-1,0))</f>
        <v>0</v>
      </c>
      <c r="AK50" s="100">
        <f>IF(Tabla1[[#This Row],[TIPO DE CONSUMIDOR]]="MEDIO",IF(Tabla1[[#This Row],[MAYO ]]&gt;22.5,Tabla1[[#This Row],[MAYO ]]/22.5-1,0),IF(Tabla1[[#This Row],[MAYO ]]&gt;45,Tabla1[[#This Row],[MAYO ]]/45-1,0))</f>
        <v>0</v>
      </c>
      <c r="AL50" s="100">
        <f>IF(Tabla1[[#This Row],[TIPO DE CONSUMIDOR]]="MEDIO",IF(Tabla1[[#This Row],[JUNIO ]]&gt;22.5,Tabla1[[#This Row],[JUNIO ]]/22.5-1,0),IF(Tabla1[[#This Row],[JUNIO ]]&gt;45,Tabla1[[#This Row],[JUNIO ]]/45-1,0))</f>
        <v>0</v>
      </c>
      <c r="AM50" s="100">
        <f>IF(Tabla1[[#This Row],[TIPO DE CONSUMIDOR]]="MEDIO",IF(Tabla1[[#This Row],[JULIO ]]&gt;22.5,Tabla1[[#This Row],[JULIO ]]/22.5-1,0),IF(Tabla1[[#This Row],[JULIO ]]&gt;45,Tabla1[[#This Row],[JULIO ]]/45-1,0))</f>
        <v>0</v>
      </c>
      <c r="AN50" s="100">
        <f>IF(Tabla1[[#This Row],[TIPO DE CONSUMIDOR]]="MEDIO",IF(Tabla1[[#This Row],[AGOSTO]]&gt;22.5,Tabla1[[#This Row],[AGOSTO]]/22.5-1,0),IF(Tabla1[[#This Row],[AGOSTO]]&gt;45,Tabla1[[#This Row],[AGOSTO]]/45-1,0))</f>
        <v>0</v>
      </c>
      <c r="AO5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" s="101">
        <f t="shared" si="0"/>
        <v>0</v>
      </c>
      <c r="AT50">
        <f>IF(Tabla1[[#This Row],[MES ADEUDO DE AÑOS PASADOS ]]&gt;0,1,0)</f>
        <v>1</v>
      </c>
      <c r="AU50" s="9">
        <f t="shared" si="1"/>
        <v>1</v>
      </c>
      <c r="AV50" s="60">
        <f>IF(Tabla1[[#This Row],[MESES DE ADEUDO DEL AÑO EN CURSO ]]&gt;0,1,0)</f>
        <v>0</v>
      </c>
      <c r="AW50" s="42"/>
      <c r="AX50" s="42"/>
      <c r="AY50" s="42"/>
      <c r="AZ50" s="43"/>
    </row>
    <row r="51" spans="1:52" ht="21.75" thickBot="1" x14ac:dyDescent="0.35">
      <c r="A51" s="106">
        <v>45</v>
      </c>
      <c r="B51" s="5" t="s">
        <v>264</v>
      </c>
      <c r="C51" s="2" t="s">
        <v>461</v>
      </c>
      <c r="D51" s="32"/>
      <c r="E51" s="35" t="s">
        <v>455</v>
      </c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24">
        <f>SUM(Tabla1[[#This Row],[ENERO ]:[DICIEMBRE]])</f>
        <v>0</v>
      </c>
      <c r="W51">
        <v>18</v>
      </c>
      <c r="X51" s="21">
        <f>COUNTIF(Tabla1[[#This Row],[ENERO ]:[DICIEMBRE]],0)-(AS51)-IF(Tabla1[[#This Row],[BAJAS]]="BAJA",IF(Tabla1[[#This Row],[ALTAS]]="ALTA",VLOOKUP(Tabla1[[#This Row],[MES DE ALTA ]],$AW$6:$AX$17,2,FALSE),12)-VLOOKUP(Tabla1[[#This Row],[MES DE BAJA ]],$AW$6:$AX$17,2,FALSE),0)</f>
        <v>0</v>
      </c>
      <c r="Y51" s="68">
        <f>SUM(Tabla1[[#This Row],[MES ADEUDO DE AÑOS PASADOS ]:[MESES DE ADEUDO DEL AÑO EN CURSO ]])-Tabla1[[#This Row],[PAGO DE DEUDA ANTERIOR EN MESES]]</f>
        <v>18</v>
      </c>
      <c r="Z51" s="15">
        <f>Tabla1[[#This Row],[MES ADEUDO DE AÑOS PASADOS ]]*$T$2</f>
        <v>810</v>
      </c>
      <c r="AA51" s="15">
        <f>Tabla1[[#This Row],[MESES DE ADEUDO DEL AÑO EN CURSO ]]*$T$2</f>
        <v>0</v>
      </c>
      <c r="AB51" s="69">
        <f>SUM(Tabla1[[#This Row],[DEUDA DE LOS MESES PASADOS EN $$]:[DEUDA DEL AÑO 2013 $$ ]])</f>
        <v>810</v>
      </c>
      <c r="AD51">
        <f>Tabla1[[#This Row],[PAGO DE DEUDA ANTERIOR EN MESES]]*$T$2</f>
        <v>0</v>
      </c>
      <c r="AG51" s="100">
        <f>IF(Tabla1[[#This Row],[TIPO DE CONSUMIDOR]]="MEDIO",IF(Tabla1[[#This Row],[ENERO ]]&gt;22.5,Tabla1[[#This Row],[ENERO ]]/22.5-1,0),IF(Tabla1[[#This Row],[ENERO ]]&gt;45,Tabla1[[#This Row],[ENERO ]]/45-1,0))</f>
        <v>0</v>
      </c>
      <c r="AH5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" s="100">
        <f>IF(Tabla1[[#This Row],[TIPO DE CONSUMIDOR]]="MEDIO",IF(Tabla1[[#This Row],[MARZO]]&gt;22.5,Tabla1[[#This Row],[MARZO]]/22.5-1,0),IF(Tabla1[[#This Row],[MARZO]]&gt;45,Tabla1[[#This Row],[MARZO]]/45-1,0))</f>
        <v>0</v>
      </c>
      <c r="AJ51" s="100">
        <f>IF(Tabla1[[#This Row],[TIPO DE CONSUMIDOR]]="MEDIO",IF(Tabla1[[#This Row],[ABRIL]]&gt;22.5,Tabla1[[#This Row],[ABRIL]]/22.5-1,0),IF(Tabla1[[#This Row],[ABRIL]]&gt;45,Tabla1[[#This Row],[ABRIL]]/45-1,0))</f>
        <v>0</v>
      </c>
      <c r="AK51" s="100">
        <f>IF(Tabla1[[#This Row],[TIPO DE CONSUMIDOR]]="MEDIO",IF(Tabla1[[#This Row],[MAYO ]]&gt;22.5,Tabla1[[#This Row],[MAYO ]]/22.5-1,0),IF(Tabla1[[#This Row],[MAYO ]]&gt;45,Tabla1[[#This Row],[MAYO ]]/45-1,0))</f>
        <v>0</v>
      </c>
      <c r="AL51" s="100">
        <f>IF(Tabla1[[#This Row],[TIPO DE CONSUMIDOR]]="MEDIO",IF(Tabla1[[#This Row],[JUNIO ]]&gt;22.5,Tabla1[[#This Row],[JUNIO ]]/22.5-1,0),IF(Tabla1[[#This Row],[JUNIO ]]&gt;45,Tabla1[[#This Row],[JUNIO ]]/45-1,0))</f>
        <v>0</v>
      </c>
      <c r="AM51" s="100">
        <f>IF(Tabla1[[#This Row],[TIPO DE CONSUMIDOR]]="MEDIO",IF(Tabla1[[#This Row],[JULIO ]]&gt;22.5,Tabla1[[#This Row],[JULIO ]]/22.5-1,0),IF(Tabla1[[#This Row],[JULIO ]]&gt;45,Tabla1[[#This Row],[JULIO ]]/45-1,0))</f>
        <v>0</v>
      </c>
      <c r="AN51" s="100">
        <f>IF(Tabla1[[#This Row],[TIPO DE CONSUMIDOR]]="MEDIO",IF(Tabla1[[#This Row],[AGOSTO]]&gt;22.5,Tabla1[[#This Row],[AGOSTO]]/22.5-1,0),IF(Tabla1[[#This Row],[AGOSTO]]&gt;45,Tabla1[[#This Row],[AGOSTO]]/45-1,0))</f>
        <v>0</v>
      </c>
      <c r="AO5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" s="101">
        <f t="shared" si="0"/>
        <v>0</v>
      </c>
      <c r="AT51">
        <f>IF(Tabla1[[#This Row],[MES ADEUDO DE AÑOS PASADOS ]]&gt;0,1,0)</f>
        <v>1</v>
      </c>
      <c r="AU51" s="9">
        <f t="shared" si="1"/>
        <v>1</v>
      </c>
      <c r="AV51" s="60">
        <f>IF(Tabla1[[#This Row],[MESES DE ADEUDO DEL AÑO EN CURSO ]]&gt;0,1,0)</f>
        <v>0</v>
      </c>
      <c r="AW51" s="42"/>
      <c r="AX51" s="42"/>
      <c r="AY51" s="42"/>
      <c r="AZ51" s="43"/>
    </row>
    <row r="52" spans="1:52" ht="21.75" thickBot="1" x14ac:dyDescent="0.35">
      <c r="A52" s="106">
        <v>46</v>
      </c>
      <c r="B52" s="5" t="s">
        <v>93</v>
      </c>
      <c r="C52" s="2" t="s">
        <v>461</v>
      </c>
      <c r="D52" s="32"/>
      <c r="E52" s="35" t="s">
        <v>455</v>
      </c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24">
        <f>SUM(Tabla1[[#This Row],[ENERO ]:[DICIEMBRE]])</f>
        <v>0</v>
      </c>
      <c r="W52">
        <v>19</v>
      </c>
      <c r="X52" s="21">
        <f>COUNTIF(Tabla1[[#This Row],[ENERO ]:[DICIEMBRE]],0)-(AS52)-IF(Tabla1[[#This Row],[BAJAS]]="BAJA",IF(Tabla1[[#This Row],[ALTAS]]="ALTA",VLOOKUP(Tabla1[[#This Row],[MES DE ALTA ]],$AW$6:$AX$17,2,FALSE),12)-VLOOKUP(Tabla1[[#This Row],[MES DE BAJA ]],$AW$6:$AX$17,2,FALSE),0)</f>
        <v>0</v>
      </c>
      <c r="Y52" s="68">
        <f>SUM(Tabla1[[#This Row],[MES ADEUDO DE AÑOS PASADOS ]:[MESES DE ADEUDO DEL AÑO EN CURSO ]])-Tabla1[[#This Row],[PAGO DE DEUDA ANTERIOR EN MESES]]</f>
        <v>19</v>
      </c>
      <c r="Z52" s="15">
        <f>Tabla1[[#This Row],[MES ADEUDO DE AÑOS PASADOS ]]*$T$2</f>
        <v>855</v>
      </c>
      <c r="AA52" s="15">
        <f>Tabla1[[#This Row],[MESES DE ADEUDO DEL AÑO EN CURSO ]]*$T$2</f>
        <v>0</v>
      </c>
      <c r="AB52" s="69">
        <f>SUM(Tabla1[[#This Row],[DEUDA DE LOS MESES PASADOS EN $$]:[DEUDA DEL AÑO 2013 $$ ]])</f>
        <v>855</v>
      </c>
      <c r="AD52">
        <f>Tabla1[[#This Row],[PAGO DE DEUDA ANTERIOR EN MESES]]*$T$2</f>
        <v>0</v>
      </c>
      <c r="AG52" s="100">
        <f>IF(Tabla1[[#This Row],[TIPO DE CONSUMIDOR]]="MEDIO",IF(Tabla1[[#This Row],[ENERO ]]&gt;22.5,Tabla1[[#This Row],[ENERO ]]/22.5-1,0),IF(Tabla1[[#This Row],[ENERO ]]&gt;45,Tabla1[[#This Row],[ENERO ]]/45-1,0))</f>
        <v>0</v>
      </c>
      <c r="AH5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" s="100">
        <f>IF(Tabla1[[#This Row],[TIPO DE CONSUMIDOR]]="MEDIO",IF(Tabla1[[#This Row],[MARZO]]&gt;22.5,Tabla1[[#This Row],[MARZO]]/22.5-1,0),IF(Tabla1[[#This Row],[MARZO]]&gt;45,Tabla1[[#This Row],[MARZO]]/45-1,0))</f>
        <v>0</v>
      </c>
      <c r="AJ52" s="100">
        <f>IF(Tabla1[[#This Row],[TIPO DE CONSUMIDOR]]="MEDIO",IF(Tabla1[[#This Row],[ABRIL]]&gt;22.5,Tabla1[[#This Row],[ABRIL]]/22.5-1,0),IF(Tabla1[[#This Row],[ABRIL]]&gt;45,Tabla1[[#This Row],[ABRIL]]/45-1,0))</f>
        <v>0</v>
      </c>
      <c r="AK52" s="100">
        <f>IF(Tabla1[[#This Row],[TIPO DE CONSUMIDOR]]="MEDIO",IF(Tabla1[[#This Row],[MAYO ]]&gt;22.5,Tabla1[[#This Row],[MAYO ]]/22.5-1,0),IF(Tabla1[[#This Row],[MAYO ]]&gt;45,Tabla1[[#This Row],[MAYO ]]/45-1,0))</f>
        <v>0</v>
      </c>
      <c r="AL52" s="100">
        <f>IF(Tabla1[[#This Row],[TIPO DE CONSUMIDOR]]="MEDIO",IF(Tabla1[[#This Row],[JUNIO ]]&gt;22.5,Tabla1[[#This Row],[JUNIO ]]/22.5-1,0),IF(Tabla1[[#This Row],[JUNIO ]]&gt;45,Tabla1[[#This Row],[JUNIO ]]/45-1,0))</f>
        <v>0</v>
      </c>
      <c r="AM52" s="100">
        <f>IF(Tabla1[[#This Row],[TIPO DE CONSUMIDOR]]="MEDIO",IF(Tabla1[[#This Row],[JULIO ]]&gt;22.5,Tabla1[[#This Row],[JULIO ]]/22.5-1,0),IF(Tabla1[[#This Row],[JULIO ]]&gt;45,Tabla1[[#This Row],[JULIO ]]/45-1,0))</f>
        <v>0</v>
      </c>
      <c r="AN52" s="100">
        <f>IF(Tabla1[[#This Row],[TIPO DE CONSUMIDOR]]="MEDIO",IF(Tabla1[[#This Row],[AGOSTO]]&gt;22.5,Tabla1[[#This Row],[AGOSTO]]/22.5-1,0),IF(Tabla1[[#This Row],[AGOSTO]]&gt;45,Tabla1[[#This Row],[AGOSTO]]/45-1,0))</f>
        <v>0</v>
      </c>
      <c r="AO5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" s="101">
        <f t="shared" si="0"/>
        <v>0</v>
      </c>
      <c r="AT52">
        <f>IF(Tabla1[[#This Row],[MES ADEUDO DE AÑOS PASADOS ]]&gt;0,1,0)</f>
        <v>1</v>
      </c>
      <c r="AU52" s="9">
        <f t="shared" si="1"/>
        <v>1</v>
      </c>
      <c r="AV52" s="60">
        <f>IF(Tabla1[[#This Row],[MESES DE ADEUDO DEL AÑO EN CURSO ]]&gt;0,1,0)</f>
        <v>0</v>
      </c>
      <c r="AW52" s="42"/>
      <c r="AX52" s="42"/>
      <c r="AY52" s="42"/>
      <c r="AZ52" s="43"/>
    </row>
    <row r="53" spans="1:52" ht="21.75" thickBot="1" x14ac:dyDescent="0.35">
      <c r="A53" s="106">
        <v>47</v>
      </c>
      <c r="B53" s="5" t="s">
        <v>134</v>
      </c>
      <c r="C53" s="2" t="s">
        <v>461</v>
      </c>
      <c r="D53" s="46"/>
      <c r="E53" s="36" t="s">
        <v>455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24">
        <f>SUM(Tabla1[[#This Row],[ENERO ]:[DICIEMBRE]])</f>
        <v>0</v>
      </c>
      <c r="W53">
        <v>20</v>
      </c>
      <c r="X53" s="21">
        <f>COUNTIF(Tabla1[[#This Row],[ENERO ]:[DICIEMBRE]],0)-(AS53)-IF(Tabla1[[#This Row],[BAJAS]]="BAJA",IF(Tabla1[[#This Row],[ALTAS]]="ALTA",VLOOKUP(Tabla1[[#This Row],[MES DE ALTA ]],$AW$6:$AX$17,2,FALSE),12)-VLOOKUP(Tabla1[[#This Row],[MES DE BAJA ]],$AW$6:$AX$17,2,FALSE),0)</f>
        <v>0</v>
      </c>
      <c r="Y53" s="68">
        <f>SUM(Tabla1[[#This Row],[MES ADEUDO DE AÑOS PASADOS ]:[MESES DE ADEUDO DEL AÑO EN CURSO ]])-Tabla1[[#This Row],[PAGO DE DEUDA ANTERIOR EN MESES]]</f>
        <v>20</v>
      </c>
      <c r="Z53" s="15">
        <f>Tabla1[[#This Row],[MES ADEUDO DE AÑOS PASADOS ]]*$T$2</f>
        <v>900</v>
      </c>
      <c r="AA53" s="15">
        <f>Tabla1[[#This Row],[MESES DE ADEUDO DEL AÑO EN CURSO ]]*$T$2</f>
        <v>0</v>
      </c>
      <c r="AB53" s="69">
        <f>SUM(Tabla1[[#This Row],[DEUDA DE LOS MESES PASADOS EN $$]:[DEUDA DEL AÑO 2013 $$ ]])</f>
        <v>900</v>
      </c>
      <c r="AD53">
        <f>Tabla1[[#This Row],[PAGO DE DEUDA ANTERIOR EN MESES]]*$T$2</f>
        <v>0</v>
      </c>
      <c r="AG53" s="100">
        <f>IF(Tabla1[[#This Row],[TIPO DE CONSUMIDOR]]="MEDIO",IF(Tabla1[[#This Row],[ENERO ]]&gt;22.5,Tabla1[[#This Row],[ENERO ]]/22.5-1,0),IF(Tabla1[[#This Row],[ENERO ]]&gt;45,Tabla1[[#This Row],[ENERO ]]/45-1,0))</f>
        <v>0</v>
      </c>
      <c r="AH5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" s="100">
        <f>IF(Tabla1[[#This Row],[TIPO DE CONSUMIDOR]]="MEDIO",IF(Tabla1[[#This Row],[MARZO]]&gt;22.5,Tabla1[[#This Row],[MARZO]]/22.5-1,0),IF(Tabla1[[#This Row],[MARZO]]&gt;45,Tabla1[[#This Row],[MARZO]]/45-1,0))</f>
        <v>0</v>
      </c>
      <c r="AJ53" s="100">
        <f>IF(Tabla1[[#This Row],[TIPO DE CONSUMIDOR]]="MEDIO",IF(Tabla1[[#This Row],[ABRIL]]&gt;22.5,Tabla1[[#This Row],[ABRIL]]/22.5-1,0),IF(Tabla1[[#This Row],[ABRIL]]&gt;45,Tabla1[[#This Row],[ABRIL]]/45-1,0))</f>
        <v>0</v>
      </c>
      <c r="AK53" s="100">
        <f>IF(Tabla1[[#This Row],[TIPO DE CONSUMIDOR]]="MEDIO",IF(Tabla1[[#This Row],[MAYO ]]&gt;22.5,Tabla1[[#This Row],[MAYO ]]/22.5-1,0),IF(Tabla1[[#This Row],[MAYO ]]&gt;45,Tabla1[[#This Row],[MAYO ]]/45-1,0))</f>
        <v>0</v>
      </c>
      <c r="AL53" s="100">
        <f>IF(Tabla1[[#This Row],[TIPO DE CONSUMIDOR]]="MEDIO",IF(Tabla1[[#This Row],[JUNIO ]]&gt;22.5,Tabla1[[#This Row],[JUNIO ]]/22.5-1,0),IF(Tabla1[[#This Row],[JUNIO ]]&gt;45,Tabla1[[#This Row],[JUNIO ]]/45-1,0))</f>
        <v>0</v>
      </c>
      <c r="AM53" s="100">
        <f>IF(Tabla1[[#This Row],[TIPO DE CONSUMIDOR]]="MEDIO",IF(Tabla1[[#This Row],[JULIO ]]&gt;22.5,Tabla1[[#This Row],[JULIO ]]/22.5-1,0),IF(Tabla1[[#This Row],[JULIO ]]&gt;45,Tabla1[[#This Row],[JULIO ]]/45-1,0))</f>
        <v>0</v>
      </c>
      <c r="AN53" s="100">
        <f>IF(Tabla1[[#This Row],[TIPO DE CONSUMIDOR]]="MEDIO",IF(Tabla1[[#This Row],[AGOSTO]]&gt;22.5,Tabla1[[#This Row],[AGOSTO]]/22.5-1,0),IF(Tabla1[[#This Row],[AGOSTO]]&gt;45,Tabla1[[#This Row],[AGOSTO]]/45-1,0))</f>
        <v>0</v>
      </c>
      <c r="AO5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" s="101">
        <f t="shared" si="0"/>
        <v>0</v>
      </c>
      <c r="AT53">
        <f>IF(Tabla1[[#This Row],[MES ADEUDO DE AÑOS PASADOS ]]&gt;0,1,0)</f>
        <v>1</v>
      </c>
      <c r="AU53" s="9">
        <f t="shared" si="1"/>
        <v>1</v>
      </c>
      <c r="AV53" s="60">
        <f>IF(Tabla1[[#This Row],[MESES DE ADEUDO DEL AÑO EN CURSO ]]&gt;0,1,0)</f>
        <v>0</v>
      </c>
      <c r="AW53" s="42"/>
      <c r="AX53" s="42"/>
      <c r="AY53" s="42"/>
      <c r="AZ53" s="43"/>
    </row>
    <row r="54" spans="1:52" ht="21.75" thickBot="1" x14ac:dyDescent="0.35">
      <c r="A54" s="106">
        <v>48</v>
      </c>
      <c r="B54" s="5" t="s">
        <v>595</v>
      </c>
      <c r="C54" s="2" t="s">
        <v>461</v>
      </c>
      <c r="D54" s="32"/>
      <c r="E54" s="35" t="s">
        <v>455</v>
      </c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24">
        <f>SUM(Tabla1[[#This Row],[ENERO ]:[DICIEMBRE]])</f>
        <v>0</v>
      </c>
      <c r="W54">
        <v>21</v>
      </c>
      <c r="X54" s="21">
        <f>COUNTIF(Tabla1[[#This Row],[ENERO ]:[DICIEMBRE]],0)-(AS54)-IF(Tabla1[[#This Row],[BAJAS]]="BAJA",IF(Tabla1[[#This Row],[ALTAS]]="ALTA",VLOOKUP(Tabla1[[#This Row],[MES DE ALTA ]],$AW$6:$AX$17,2,FALSE),12)-VLOOKUP(Tabla1[[#This Row],[MES DE BAJA ]],$AW$6:$AX$17,2,FALSE),0)</f>
        <v>0</v>
      </c>
      <c r="Y54" s="68">
        <f>SUM(Tabla1[[#This Row],[MES ADEUDO DE AÑOS PASADOS ]:[MESES DE ADEUDO DEL AÑO EN CURSO ]])-Tabla1[[#This Row],[PAGO DE DEUDA ANTERIOR EN MESES]]</f>
        <v>21</v>
      </c>
      <c r="Z54" s="15">
        <f>Tabla1[[#This Row],[MES ADEUDO DE AÑOS PASADOS ]]*$T$2</f>
        <v>945</v>
      </c>
      <c r="AA54" s="15">
        <f>Tabla1[[#This Row],[MESES DE ADEUDO DEL AÑO EN CURSO ]]*$T$2</f>
        <v>0</v>
      </c>
      <c r="AB54" s="69">
        <f>SUM(Tabla1[[#This Row],[DEUDA DE LOS MESES PASADOS EN $$]:[DEUDA DEL AÑO 2013 $$ ]])</f>
        <v>945</v>
      </c>
      <c r="AD54">
        <f>Tabla1[[#This Row],[PAGO DE DEUDA ANTERIOR EN MESES]]*$T$2</f>
        <v>0</v>
      </c>
      <c r="AG54" s="100">
        <f>IF(Tabla1[[#This Row],[TIPO DE CONSUMIDOR]]="MEDIO",IF(Tabla1[[#This Row],[ENERO ]]&gt;22.5,Tabla1[[#This Row],[ENERO ]]/22.5-1,0),IF(Tabla1[[#This Row],[ENERO ]]&gt;45,Tabla1[[#This Row],[ENERO ]]/45-1,0))</f>
        <v>0</v>
      </c>
      <c r="AH5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" s="100">
        <f>IF(Tabla1[[#This Row],[TIPO DE CONSUMIDOR]]="MEDIO",IF(Tabla1[[#This Row],[MARZO]]&gt;22.5,Tabla1[[#This Row],[MARZO]]/22.5-1,0),IF(Tabla1[[#This Row],[MARZO]]&gt;45,Tabla1[[#This Row],[MARZO]]/45-1,0))</f>
        <v>0</v>
      </c>
      <c r="AJ54" s="100">
        <f>IF(Tabla1[[#This Row],[TIPO DE CONSUMIDOR]]="MEDIO",IF(Tabla1[[#This Row],[ABRIL]]&gt;22.5,Tabla1[[#This Row],[ABRIL]]/22.5-1,0),IF(Tabla1[[#This Row],[ABRIL]]&gt;45,Tabla1[[#This Row],[ABRIL]]/45-1,0))</f>
        <v>0</v>
      </c>
      <c r="AK54" s="100">
        <f>IF(Tabla1[[#This Row],[TIPO DE CONSUMIDOR]]="MEDIO",IF(Tabla1[[#This Row],[MAYO ]]&gt;22.5,Tabla1[[#This Row],[MAYO ]]/22.5-1,0),IF(Tabla1[[#This Row],[MAYO ]]&gt;45,Tabla1[[#This Row],[MAYO ]]/45-1,0))</f>
        <v>0</v>
      </c>
      <c r="AL54" s="100">
        <f>IF(Tabla1[[#This Row],[TIPO DE CONSUMIDOR]]="MEDIO",IF(Tabla1[[#This Row],[JUNIO ]]&gt;22.5,Tabla1[[#This Row],[JUNIO ]]/22.5-1,0),IF(Tabla1[[#This Row],[JUNIO ]]&gt;45,Tabla1[[#This Row],[JUNIO ]]/45-1,0))</f>
        <v>0</v>
      </c>
      <c r="AM54" s="100">
        <f>IF(Tabla1[[#This Row],[TIPO DE CONSUMIDOR]]="MEDIO",IF(Tabla1[[#This Row],[JULIO ]]&gt;22.5,Tabla1[[#This Row],[JULIO ]]/22.5-1,0),IF(Tabla1[[#This Row],[JULIO ]]&gt;45,Tabla1[[#This Row],[JULIO ]]/45-1,0))</f>
        <v>0</v>
      </c>
      <c r="AN54" s="100">
        <f>IF(Tabla1[[#This Row],[TIPO DE CONSUMIDOR]]="MEDIO",IF(Tabla1[[#This Row],[AGOSTO]]&gt;22.5,Tabla1[[#This Row],[AGOSTO]]/22.5-1,0),IF(Tabla1[[#This Row],[AGOSTO]]&gt;45,Tabla1[[#This Row],[AGOSTO]]/45-1,0))</f>
        <v>0</v>
      </c>
      <c r="AO5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" s="101">
        <f t="shared" si="0"/>
        <v>0</v>
      </c>
      <c r="AT54">
        <f>IF(Tabla1[[#This Row],[MES ADEUDO DE AÑOS PASADOS ]]&gt;0,1,0)</f>
        <v>1</v>
      </c>
      <c r="AU54" s="9">
        <f t="shared" si="1"/>
        <v>1</v>
      </c>
      <c r="AV54" s="60">
        <f>IF(Tabla1[[#This Row],[MESES DE ADEUDO DEL AÑO EN CURSO ]]&gt;0,1,0)</f>
        <v>0</v>
      </c>
      <c r="AW54" s="42"/>
      <c r="AX54" s="42"/>
      <c r="AY54" s="42"/>
      <c r="AZ54" s="43"/>
    </row>
    <row r="55" spans="1:52" ht="21.75" thickBot="1" x14ac:dyDescent="0.35">
      <c r="A55" s="106">
        <v>49</v>
      </c>
      <c r="B55" s="5" t="s">
        <v>342</v>
      </c>
      <c r="C55" s="2" t="s">
        <v>461</v>
      </c>
      <c r="D55" s="32"/>
      <c r="E55" s="35" t="s">
        <v>455</v>
      </c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24">
        <f>SUM(Tabla1[[#This Row],[ENERO ]:[DICIEMBRE]])</f>
        <v>0</v>
      </c>
      <c r="W55">
        <v>21</v>
      </c>
      <c r="X55" s="21">
        <f>COUNTIF(Tabla1[[#This Row],[ENERO ]:[DICIEMBRE]],0)-(AS55)-IF(Tabla1[[#This Row],[BAJAS]]="BAJA",IF(Tabla1[[#This Row],[ALTAS]]="ALTA",VLOOKUP(Tabla1[[#This Row],[MES DE ALTA ]],$AW$6:$AX$17,2,FALSE),12)-VLOOKUP(Tabla1[[#This Row],[MES DE BAJA ]],$AW$6:$AX$17,2,FALSE),0)</f>
        <v>0</v>
      </c>
      <c r="Y55" s="68">
        <f>SUM(Tabla1[[#This Row],[MES ADEUDO DE AÑOS PASADOS ]:[MESES DE ADEUDO DEL AÑO EN CURSO ]])-Tabla1[[#This Row],[PAGO DE DEUDA ANTERIOR EN MESES]]</f>
        <v>21</v>
      </c>
      <c r="Z55" s="15">
        <f>Tabla1[[#This Row],[MES ADEUDO DE AÑOS PASADOS ]]*$T$2</f>
        <v>945</v>
      </c>
      <c r="AA55" s="15">
        <f>Tabla1[[#This Row],[MESES DE ADEUDO DEL AÑO EN CURSO ]]*$T$2</f>
        <v>0</v>
      </c>
      <c r="AB55" s="69">
        <f>SUM(Tabla1[[#This Row],[DEUDA DE LOS MESES PASADOS EN $$]:[DEUDA DEL AÑO 2013 $$ ]])</f>
        <v>945</v>
      </c>
      <c r="AD55">
        <f>Tabla1[[#This Row],[PAGO DE DEUDA ANTERIOR EN MESES]]*$T$2</f>
        <v>0</v>
      </c>
      <c r="AG55" s="100">
        <f>IF(Tabla1[[#This Row],[TIPO DE CONSUMIDOR]]="MEDIO",IF(Tabla1[[#This Row],[ENERO ]]&gt;22.5,Tabla1[[#This Row],[ENERO ]]/22.5-1,0),IF(Tabla1[[#This Row],[ENERO ]]&gt;45,Tabla1[[#This Row],[ENERO ]]/45-1,0))</f>
        <v>0</v>
      </c>
      <c r="AH5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" s="100">
        <f>IF(Tabla1[[#This Row],[TIPO DE CONSUMIDOR]]="MEDIO",IF(Tabla1[[#This Row],[MARZO]]&gt;22.5,Tabla1[[#This Row],[MARZO]]/22.5-1,0),IF(Tabla1[[#This Row],[MARZO]]&gt;45,Tabla1[[#This Row],[MARZO]]/45-1,0))</f>
        <v>0</v>
      </c>
      <c r="AJ55" s="100">
        <f>IF(Tabla1[[#This Row],[TIPO DE CONSUMIDOR]]="MEDIO",IF(Tabla1[[#This Row],[ABRIL]]&gt;22.5,Tabla1[[#This Row],[ABRIL]]/22.5-1,0),IF(Tabla1[[#This Row],[ABRIL]]&gt;45,Tabla1[[#This Row],[ABRIL]]/45-1,0))</f>
        <v>0</v>
      </c>
      <c r="AK55" s="100">
        <f>IF(Tabla1[[#This Row],[TIPO DE CONSUMIDOR]]="MEDIO",IF(Tabla1[[#This Row],[MAYO ]]&gt;22.5,Tabla1[[#This Row],[MAYO ]]/22.5-1,0),IF(Tabla1[[#This Row],[MAYO ]]&gt;45,Tabla1[[#This Row],[MAYO ]]/45-1,0))</f>
        <v>0</v>
      </c>
      <c r="AL55" s="100">
        <f>IF(Tabla1[[#This Row],[TIPO DE CONSUMIDOR]]="MEDIO",IF(Tabla1[[#This Row],[JUNIO ]]&gt;22.5,Tabla1[[#This Row],[JUNIO ]]/22.5-1,0),IF(Tabla1[[#This Row],[JUNIO ]]&gt;45,Tabla1[[#This Row],[JUNIO ]]/45-1,0))</f>
        <v>0</v>
      </c>
      <c r="AM55" s="100">
        <f>IF(Tabla1[[#This Row],[TIPO DE CONSUMIDOR]]="MEDIO",IF(Tabla1[[#This Row],[JULIO ]]&gt;22.5,Tabla1[[#This Row],[JULIO ]]/22.5-1,0),IF(Tabla1[[#This Row],[JULIO ]]&gt;45,Tabla1[[#This Row],[JULIO ]]/45-1,0))</f>
        <v>0</v>
      </c>
      <c r="AN55" s="100">
        <f>IF(Tabla1[[#This Row],[TIPO DE CONSUMIDOR]]="MEDIO",IF(Tabla1[[#This Row],[AGOSTO]]&gt;22.5,Tabla1[[#This Row],[AGOSTO]]/22.5-1,0),IF(Tabla1[[#This Row],[AGOSTO]]&gt;45,Tabla1[[#This Row],[AGOSTO]]/45-1,0))</f>
        <v>0</v>
      </c>
      <c r="AO5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" s="101">
        <f t="shared" si="0"/>
        <v>0</v>
      </c>
      <c r="AT55">
        <f>IF(Tabla1[[#This Row],[MES ADEUDO DE AÑOS PASADOS ]]&gt;0,1,0)</f>
        <v>1</v>
      </c>
      <c r="AU55" s="9">
        <f t="shared" si="1"/>
        <v>1</v>
      </c>
      <c r="AV55" s="60">
        <f>IF(Tabla1[[#This Row],[MESES DE ADEUDO DEL AÑO EN CURSO ]]&gt;0,1,0)</f>
        <v>0</v>
      </c>
      <c r="AW55" s="42"/>
      <c r="AX55" s="42"/>
      <c r="AY55" s="42"/>
      <c r="AZ55" s="43"/>
    </row>
    <row r="56" spans="1:52" ht="21.75" thickBot="1" x14ac:dyDescent="0.35">
      <c r="A56" s="106">
        <v>50</v>
      </c>
      <c r="B56" s="5" t="s">
        <v>468</v>
      </c>
      <c r="C56" s="2" t="s">
        <v>461</v>
      </c>
      <c r="D56" s="32"/>
      <c r="E56" s="35" t="s">
        <v>455</v>
      </c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24">
        <f>SUM(Tabla1[[#This Row],[ENERO ]:[DICIEMBRE]])</f>
        <v>0</v>
      </c>
      <c r="W56">
        <v>22</v>
      </c>
      <c r="X56" s="21">
        <f>COUNTIF(Tabla1[[#This Row],[ENERO ]:[DICIEMBRE]],0)-(AS56)-IF(Tabla1[[#This Row],[BAJAS]]="BAJA",IF(Tabla1[[#This Row],[ALTAS]]="ALTA",VLOOKUP(Tabla1[[#This Row],[MES DE ALTA ]],$AW$6:$AX$17,2,FALSE),12)-VLOOKUP(Tabla1[[#This Row],[MES DE BAJA ]],$AW$6:$AX$17,2,FALSE),0)</f>
        <v>0</v>
      </c>
      <c r="Y56" s="68">
        <f>SUM(Tabla1[[#This Row],[MES ADEUDO DE AÑOS PASADOS ]:[MESES DE ADEUDO DEL AÑO EN CURSO ]])-Tabla1[[#This Row],[PAGO DE DEUDA ANTERIOR EN MESES]]</f>
        <v>22</v>
      </c>
      <c r="Z56" s="15">
        <f>Tabla1[[#This Row],[MES ADEUDO DE AÑOS PASADOS ]]*$T$2</f>
        <v>990</v>
      </c>
      <c r="AA56" s="15">
        <f>Tabla1[[#This Row],[MESES DE ADEUDO DEL AÑO EN CURSO ]]*$T$2</f>
        <v>0</v>
      </c>
      <c r="AB56" s="69">
        <f>SUM(Tabla1[[#This Row],[DEUDA DE LOS MESES PASADOS EN $$]:[DEUDA DEL AÑO 2013 $$ ]])</f>
        <v>990</v>
      </c>
      <c r="AD56">
        <f>Tabla1[[#This Row],[PAGO DE DEUDA ANTERIOR EN MESES]]*$T$2</f>
        <v>0</v>
      </c>
      <c r="AG56" s="100">
        <f>IF(Tabla1[[#This Row],[TIPO DE CONSUMIDOR]]="MEDIO",IF(Tabla1[[#This Row],[ENERO ]]&gt;22.5,Tabla1[[#This Row],[ENERO ]]/22.5-1,0),IF(Tabla1[[#This Row],[ENERO ]]&gt;45,Tabla1[[#This Row],[ENERO ]]/45-1,0))</f>
        <v>0</v>
      </c>
      <c r="AH5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" s="100">
        <f>IF(Tabla1[[#This Row],[TIPO DE CONSUMIDOR]]="MEDIO",IF(Tabla1[[#This Row],[MARZO]]&gt;22.5,Tabla1[[#This Row],[MARZO]]/22.5-1,0),IF(Tabla1[[#This Row],[MARZO]]&gt;45,Tabla1[[#This Row],[MARZO]]/45-1,0))</f>
        <v>0</v>
      </c>
      <c r="AJ56" s="100">
        <f>IF(Tabla1[[#This Row],[TIPO DE CONSUMIDOR]]="MEDIO",IF(Tabla1[[#This Row],[ABRIL]]&gt;22.5,Tabla1[[#This Row],[ABRIL]]/22.5-1,0),IF(Tabla1[[#This Row],[ABRIL]]&gt;45,Tabla1[[#This Row],[ABRIL]]/45-1,0))</f>
        <v>0</v>
      </c>
      <c r="AK56" s="100">
        <f>IF(Tabla1[[#This Row],[TIPO DE CONSUMIDOR]]="MEDIO",IF(Tabla1[[#This Row],[MAYO ]]&gt;22.5,Tabla1[[#This Row],[MAYO ]]/22.5-1,0),IF(Tabla1[[#This Row],[MAYO ]]&gt;45,Tabla1[[#This Row],[MAYO ]]/45-1,0))</f>
        <v>0</v>
      </c>
      <c r="AL56" s="100">
        <f>IF(Tabla1[[#This Row],[TIPO DE CONSUMIDOR]]="MEDIO",IF(Tabla1[[#This Row],[JUNIO ]]&gt;22.5,Tabla1[[#This Row],[JUNIO ]]/22.5-1,0),IF(Tabla1[[#This Row],[JUNIO ]]&gt;45,Tabla1[[#This Row],[JUNIO ]]/45-1,0))</f>
        <v>0</v>
      </c>
      <c r="AM56" s="100">
        <f>IF(Tabla1[[#This Row],[TIPO DE CONSUMIDOR]]="MEDIO",IF(Tabla1[[#This Row],[JULIO ]]&gt;22.5,Tabla1[[#This Row],[JULIO ]]/22.5-1,0),IF(Tabla1[[#This Row],[JULIO ]]&gt;45,Tabla1[[#This Row],[JULIO ]]/45-1,0))</f>
        <v>0</v>
      </c>
      <c r="AN56" s="100">
        <f>IF(Tabla1[[#This Row],[TIPO DE CONSUMIDOR]]="MEDIO",IF(Tabla1[[#This Row],[AGOSTO]]&gt;22.5,Tabla1[[#This Row],[AGOSTO]]/22.5-1,0),IF(Tabla1[[#This Row],[AGOSTO]]&gt;45,Tabla1[[#This Row],[AGOSTO]]/45-1,0))</f>
        <v>0</v>
      </c>
      <c r="AO5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" s="101">
        <f t="shared" si="0"/>
        <v>0</v>
      </c>
      <c r="AT56">
        <f>IF(Tabla1[[#This Row],[MES ADEUDO DE AÑOS PASADOS ]]&gt;0,1,0)</f>
        <v>1</v>
      </c>
      <c r="AU56" s="9">
        <f t="shared" si="1"/>
        <v>1</v>
      </c>
      <c r="AV56" s="60">
        <f>IF(Tabla1[[#This Row],[MESES DE ADEUDO DEL AÑO EN CURSO ]]&gt;0,1,0)</f>
        <v>0</v>
      </c>
      <c r="AW56" s="42"/>
      <c r="AX56" s="42"/>
      <c r="AY56" s="42"/>
      <c r="AZ56" s="43"/>
    </row>
    <row r="57" spans="1:52" ht="21.75" thickBot="1" x14ac:dyDescent="0.35">
      <c r="A57" s="106">
        <v>51</v>
      </c>
      <c r="B57" s="5" t="s">
        <v>235</v>
      </c>
      <c r="C57" s="2" t="s">
        <v>461</v>
      </c>
      <c r="D57" s="32"/>
      <c r="E57" s="35" t="s">
        <v>455</v>
      </c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24">
        <f>SUM(Tabla1[[#This Row],[ENERO ]:[DICIEMBRE]])</f>
        <v>0</v>
      </c>
      <c r="W57">
        <v>22</v>
      </c>
      <c r="X57" s="21">
        <f>COUNTIF(Tabla1[[#This Row],[ENERO ]:[DICIEMBRE]],0)-(AS57)-IF(Tabla1[[#This Row],[BAJAS]]="BAJA",IF(Tabla1[[#This Row],[ALTAS]]="ALTA",VLOOKUP(Tabla1[[#This Row],[MES DE ALTA ]],$AW$6:$AX$17,2,FALSE),12)-VLOOKUP(Tabla1[[#This Row],[MES DE BAJA ]],$AW$6:$AX$17,2,FALSE),0)</f>
        <v>0</v>
      </c>
      <c r="Y57" s="68">
        <f>SUM(Tabla1[[#This Row],[MES ADEUDO DE AÑOS PASADOS ]:[MESES DE ADEUDO DEL AÑO EN CURSO ]])-Tabla1[[#This Row],[PAGO DE DEUDA ANTERIOR EN MESES]]</f>
        <v>22</v>
      </c>
      <c r="Z57" s="15">
        <f>Tabla1[[#This Row],[MES ADEUDO DE AÑOS PASADOS ]]*$T$2</f>
        <v>990</v>
      </c>
      <c r="AA57" s="15">
        <f>Tabla1[[#This Row],[MESES DE ADEUDO DEL AÑO EN CURSO ]]*$T$2</f>
        <v>0</v>
      </c>
      <c r="AB57" s="69">
        <f>SUM(Tabla1[[#This Row],[DEUDA DE LOS MESES PASADOS EN $$]:[DEUDA DEL AÑO 2013 $$ ]])</f>
        <v>990</v>
      </c>
      <c r="AD57">
        <f>Tabla1[[#This Row],[PAGO DE DEUDA ANTERIOR EN MESES]]*$T$2</f>
        <v>0</v>
      </c>
      <c r="AG57" s="100">
        <f>IF(Tabla1[[#This Row],[TIPO DE CONSUMIDOR]]="MEDIO",IF(Tabla1[[#This Row],[ENERO ]]&gt;22.5,Tabla1[[#This Row],[ENERO ]]/22.5-1,0),IF(Tabla1[[#This Row],[ENERO ]]&gt;45,Tabla1[[#This Row],[ENERO ]]/45-1,0))</f>
        <v>0</v>
      </c>
      <c r="AH5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" s="100">
        <f>IF(Tabla1[[#This Row],[TIPO DE CONSUMIDOR]]="MEDIO",IF(Tabla1[[#This Row],[MARZO]]&gt;22.5,Tabla1[[#This Row],[MARZO]]/22.5-1,0),IF(Tabla1[[#This Row],[MARZO]]&gt;45,Tabla1[[#This Row],[MARZO]]/45-1,0))</f>
        <v>0</v>
      </c>
      <c r="AJ57" s="100">
        <f>IF(Tabla1[[#This Row],[TIPO DE CONSUMIDOR]]="MEDIO",IF(Tabla1[[#This Row],[ABRIL]]&gt;22.5,Tabla1[[#This Row],[ABRIL]]/22.5-1,0),IF(Tabla1[[#This Row],[ABRIL]]&gt;45,Tabla1[[#This Row],[ABRIL]]/45-1,0))</f>
        <v>0</v>
      </c>
      <c r="AK57" s="100">
        <f>IF(Tabla1[[#This Row],[TIPO DE CONSUMIDOR]]="MEDIO",IF(Tabla1[[#This Row],[MAYO ]]&gt;22.5,Tabla1[[#This Row],[MAYO ]]/22.5-1,0),IF(Tabla1[[#This Row],[MAYO ]]&gt;45,Tabla1[[#This Row],[MAYO ]]/45-1,0))</f>
        <v>0</v>
      </c>
      <c r="AL57" s="100">
        <f>IF(Tabla1[[#This Row],[TIPO DE CONSUMIDOR]]="MEDIO",IF(Tabla1[[#This Row],[JUNIO ]]&gt;22.5,Tabla1[[#This Row],[JUNIO ]]/22.5-1,0),IF(Tabla1[[#This Row],[JUNIO ]]&gt;45,Tabla1[[#This Row],[JUNIO ]]/45-1,0))</f>
        <v>0</v>
      </c>
      <c r="AM57" s="100">
        <f>IF(Tabla1[[#This Row],[TIPO DE CONSUMIDOR]]="MEDIO",IF(Tabla1[[#This Row],[JULIO ]]&gt;22.5,Tabla1[[#This Row],[JULIO ]]/22.5-1,0),IF(Tabla1[[#This Row],[JULIO ]]&gt;45,Tabla1[[#This Row],[JULIO ]]/45-1,0))</f>
        <v>0</v>
      </c>
      <c r="AN57" s="100">
        <f>IF(Tabla1[[#This Row],[TIPO DE CONSUMIDOR]]="MEDIO",IF(Tabla1[[#This Row],[AGOSTO]]&gt;22.5,Tabla1[[#This Row],[AGOSTO]]/22.5-1,0),IF(Tabla1[[#This Row],[AGOSTO]]&gt;45,Tabla1[[#This Row],[AGOSTO]]/45-1,0))</f>
        <v>0</v>
      </c>
      <c r="AO5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" s="101">
        <f t="shared" si="0"/>
        <v>0</v>
      </c>
      <c r="AT57">
        <f>IF(Tabla1[[#This Row],[MES ADEUDO DE AÑOS PASADOS ]]&gt;0,1,0)</f>
        <v>1</v>
      </c>
      <c r="AU57" s="9">
        <f t="shared" si="1"/>
        <v>1</v>
      </c>
      <c r="AV57" s="60">
        <f>IF(Tabla1[[#This Row],[MESES DE ADEUDO DEL AÑO EN CURSO ]]&gt;0,1,0)</f>
        <v>0</v>
      </c>
      <c r="AW57" s="42"/>
      <c r="AX57" s="42"/>
      <c r="AY57" s="42"/>
      <c r="AZ57" s="43"/>
    </row>
    <row r="58" spans="1:52" ht="21.75" thickBot="1" x14ac:dyDescent="0.35">
      <c r="A58" s="106">
        <v>52</v>
      </c>
      <c r="B58" s="5" t="s">
        <v>305</v>
      </c>
      <c r="C58" s="2" t="s">
        <v>461</v>
      </c>
      <c r="D58" s="32"/>
      <c r="E58" s="35" t="s">
        <v>455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24">
        <f>SUM(Tabla1[[#This Row],[ENERO ]:[DICIEMBRE]])</f>
        <v>0</v>
      </c>
      <c r="W58">
        <v>22</v>
      </c>
      <c r="X58" s="21">
        <f>COUNTIF(Tabla1[[#This Row],[ENERO ]:[DICIEMBRE]],0)-(AS58)-IF(Tabla1[[#This Row],[BAJAS]]="BAJA",IF(Tabla1[[#This Row],[ALTAS]]="ALTA",VLOOKUP(Tabla1[[#This Row],[MES DE ALTA ]],$AW$6:$AX$17,2,FALSE),12)-VLOOKUP(Tabla1[[#This Row],[MES DE BAJA ]],$AW$6:$AX$17,2,FALSE),0)</f>
        <v>0</v>
      </c>
      <c r="Y58" s="68">
        <f>SUM(Tabla1[[#This Row],[MES ADEUDO DE AÑOS PASADOS ]:[MESES DE ADEUDO DEL AÑO EN CURSO ]])-Tabla1[[#This Row],[PAGO DE DEUDA ANTERIOR EN MESES]]</f>
        <v>22</v>
      </c>
      <c r="Z58" s="15">
        <f>Tabla1[[#This Row],[MES ADEUDO DE AÑOS PASADOS ]]*$T$2</f>
        <v>990</v>
      </c>
      <c r="AA58" s="15">
        <f>Tabla1[[#This Row],[MESES DE ADEUDO DEL AÑO EN CURSO ]]*$T$2</f>
        <v>0</v>
      </c>
      <c r="AB58" s="69">
        <f>SUM(Tabla1[[#This Row],[DEUDA DE LOS MESES PASADOS EN $$]:[DEUDA DEL AÑO 2013 $$ ]])</f>
        <v>990</v>
      </c>
      <c r="AD58">
        <f>Tabla1[[#This Row],[PAGO DE DEUDA ANTERIOR EN MESES]]*$T$2</f>
        <v>0</v>
      </c>
      <c r="AG58" s="100">
        <f>IF(Tabla1[[#This Row],[TIPO DE CONSUMIDOR]]="MEDIO",IF(Tabla1[[#This Row],[ENERO ]]&gt;22.5,Tabla1[[#This Row],[ENERO ]]/22.5-1,0),IF(Tabla1[[#This Row],[ENERO ]]&gt;45,Tabla1[[#This Row],[ENERO ]]/45-1,0))</f>
        <v>0</v>
      </c>
      <c r="AH5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8" s="100">
        <f>IF(Tabla1[[#This Row],[TIPO DE CONSUMIDOR]]="MEDIO",IF(Tabla1[[#This Row],[MARZO]]&gt;22.5,Tabla1[[#This Row],[MARZO]]/22.5-1,0),IF(Tabla1[[#This Row],[MARZO]]&gt;45,Tabla1[[#This Row],[MARZO]]/45-1,0))</f>
        <v>0</v>
      </c>
      <c r="AJ58" s="100">
        <f>IF(Tabla1[[#This Row],[TIPO DE CONSUMIDOR]]="MEDIO",IF(Tabla1[[#This Row],[ABRIL]]&gt;22.5,Tabla1[[#This Row],[ABRIL]]/22.5-1,0),IF(Tabla1[[#This Row],[ABRIL]]&gt;45,Tabla1[[#This Row],[ABRIL]]/45-1,0))</f>
        <v>0</v>
      </c>
      <c r="AK58" s="100">
        <f>IF(Tabla1[[#This Row],[TIPO DE CONSUMIDOR]]="MEDIO",IF(Tabla1[[#This Row],[MAYO ]]&gt;22.5,Tabla1[[#This Row],[MAYO ]]/22.5-1,0),IF(Tabla1[[#This Row],[MAYO ]]&gt;45,Tabla1[[#This Row],[MAYO ]]/45-1,0))</f>
        <v>0</v>
      </c>
      <c r="AL58" s="100">
        <f>IF(Tabla1[[#This Row],[TIPO DE CONSUMIDOR]]="MEDIO",IF(Tabla1[[#This Row],[JUNIO ]]&gt;22.5,Tabla1[[#This Row],[JUNIO ]]/22.5-1,0),IF(Tabla1[[#This Row],[JUNIO ]]&gt;45,Tabla1[[#This Row],[JUNIO ]]/45-1,0))</f>
        <v>0</v>
      </c>
      <c r="AM58" s="100">
        <f>IF(Tabla1[[#This Row],[TIPO DE CONSUMIDOR]]="MEDIO",IF(Tabla1[[#This Row],[JULIO ]]&gt;22.5,Tabla1[[#This Row],[JULIO ]]/22.5-1,0),IF(Tabla1[[#This Row],[JULIO ]]&gt;45,Tabla1[[#This Row],[JULIO ]]/45-1,0))</f>
        <v>0</v>
      </c>
      <c r="AN58" s="100">
        <f>IF(Tabla1[[#This Row],[TIPO DE CONSUMIDOR]]="MEDIO",IF(Tabla1[[#This Row],[AGOSTO]]&gt;22.5,Tabla1[[#This Row],[AGOSTO]]/22.5-1,0),IF(Tabla1[[#This Row],[AGOSTO]]&gt;45,Tabla1[[#This Row],[AGOSTO]]/45-1,0))</f>
        <v>0</v>
      </c>
      <c r="AO5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8" s="101">
        <f t="shared" si="0"/>
        <v>0</v>
      </c>
      <c r="AT58">
        <f>IF(Tabla1[[#This Row],[MES ADEUDO DE AÑOS PASADOS ]]&gt;0,1,0)</f>
        <v>1</v>
      </c>
      <c r="AU58" s="9">
        <f t="shared" si="1"/>
        <v>1</v>
      </c>
      <c r="AV58" s="60">
        <f>IF(Tabla1[[#This Row],[MESES DE ADEUDO DEL AÑO EN CURSO ]]&gt;0,1,0)</f>
        <v>0</v>
      </c>
      <c r="AW58" s="42"/>
      <c r="AX58" s="42"/>
      <c r="AY58" s="42"/>
      <c r="AZ58" s="43"/>
    </row>
    <row r="59" spans="1:52" ht="21.75" thickBot="1" x14ac:dyDescent="0.35">
      <c r="A59" s="106">
        <v>53</v>
      </c>
      <c r="B59" s="5" t="s">
        <v>339</v>
      </c>
      <c r="C59" s="2" t="s">
        <v>461</v>
      </c>
      <c r="D59" s="32"/>
      <c r="E59" s="35" t="s">
        <v>455</v>
      </c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24">
        <f>SUM(Tabla1[[#This Row],[ENERO ]:[DICIEMBRE]])</f>
        <v>0</v>
      </c>
      <c r="W59">
        <v>22</v>
      </c>
      <c r="X59" s="21">
        <f>COUNTIF(Tabla1[[#This Row],[ENERO ]:[DICIEMBRE]],0)-(AS59)-IF(Tabla1[[#This Row],[BAJAS]]="BAJA",IF(Tabla1[[#This Row],[ALTAS]]="ALTA",VLOOKUP(Tabla1[[#This Row],[MES DE ALTA ]],$AW$6:$AX$17,2,FALSE),12)-VLOOKUP(Tabla1[[#This Row],[MES DE BAJA ]],$AW$6:$AX$17,2,FALSE),0)</f>
        <v>0</v>
      </c>
      <c r="Y59" s="68">
        <f>SUM(Tabla1[[#This Row],[MES ADEUDO DE AÑOS PASADOS ]:[MESES DE ADEUDO DEL AÑO EN CURSO ]])-Tabla1[[#This Row],[PAGO DE DEUDA ANTERIOR EN MESES]]</f>
        <v>22</v>
      </c>
      <c r="Z59" s="15">
        <f>Tabla1[[#This Row],[MES ADEUDO DE AÑOS PASADOS ]]*$T$2</f>
        <v>990</v>
      </c>
      <c r="AA59" s="15">
        <f>Tabla1[[#This Row],[MESES DE ADEUDO DEL AÑO EN CURSO ]]*$T$2</f>
        <v>0</v>
      </c>
      <c r="AB59" s="69">
        <f>SUM(Tabla1[[#This Row],[DEUDA DE LOS MESES PASADOS EN $$]:[DEUDA DEL AÑO 2013 $$ ]])</f>
        <v>990</v>
      </c>
      <c r="AD59">
        <f>Tabla1[[#This Row],[PAGO DE DEUDA ANTERIOR EN MESES]]*$T$2</f>
        <v>0</v>
      </c>
      <c r="AG59" s="100">
        <f>IF(Tabla1[[#This Row],[TIPO DE CONSUMIDOR]]="MEDIO",IF(Tabla1[[#This Row],[ENERO ]]&gt;22.5,Tabla1[[#This Row],[ENERO ]]/22.5-1,0),IF(Tabla1[[#This Row],[ENERO ]]&gt;45,Tabla1[[#This Row],[ENERO ]]/45-1,0))</f>
        <v>0</v>
      </c>
      <c r="AH5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9" s="100">
        <f>IF(Tabla1[[#This Row],[TIPO DE CONSUMIDOR]]="MEDIO",IF(Tabla1[[#This Row],[MARZO]]&gt;22.5,Tabla1[[#This Row],[MARZO]]/22.5-1,0),IF(Tabla1[[#This Row],[MARZO]]&gt;45,Tabla1[[#This Row],[MARZO]]/45-1,0))</f>
        <v>0</v>
      </c>
      <c r="AJ59" s="100">
        <f>IF(Tabla1[[#This Row],[TIPO DE CONSUMIDOR]]="MEDIO",IF(Tabla1[[#This Row],[ABRIL]]&gt;22.5,Tabla1[[#This Row],[ABRIL]]/22.5-1,0),IF(Tabla1[[#This Row],[ABRIL]]&gt;45,Tabla1[[#This Row],[ABRIL]]/45-1,0))</f>
        <v>0</v>
      </c>
      <c r="AK59" s="100">
        <f>IF(Tabla1[[#This Row],[TIPO DE CONSUMIDOR]]="MEDIO",IF(Tabla1[[#This Row],[MAYO ]]&gt;22.5,Tabla1[[#This Row],[MAYO ]]/22.5-1,0),IF(Tabla1[[#This Row],[MAYO ]]&gt;45,Tabla1[[#This Row],[MAYO ]]/45-1,0))</f>
        <v>0</v>
      </c>
      <c r="AL59" s="100">
        <f>IF(Tabla1[[#This Row],[TIPO DE CONSUMIDOR]]="MEDIO",IF(Tabla1[[#This Row],[JUNIO ]]&gt;22.5,Tabla1[[#This Row],[JUNIO ]]/22.5-1,0),IF(Tabla1[[#This Row],[JUNIO ]]&gt;45,Tabla1[[#This Row],[JUNIO ]]/45-1,0))</f>
        <v>0</v>
      </c>
      <c r="AM59" s="100">
        <f>IF(Tabla1[[#This Row],[TIPO DE CONSUMIDOR]]="MEDIO",IF(Tabla1[[#This Row],[JULIO ]]&gt;22.5,Tabla1[[#This Row],[JULIO ]]/22.5-1,0),IF(Tabla1[[#This Row],[JULIO ]]&gt;45,Tabla1[[#This Row],[JULIO ]]/45-1,0))</f>
        <v>0</v>
      </c>
      <c r="AN59" s="100">
        <f>IF(Tabla1[[#This Row],[TIPO DE CONSUMIDOR]]="MEDIO",IF(Tabla1[[#This Row],[AGOSTO]]&gt;22.5,Tabla1[[#This Row],[AGOSTO]]/22.5-1,0),IF(Tabla1[[#This Row],[AGOSTO]]&gt;45,Tabla1[[#This Row],[AGOSTO]]/45-1,0))</f>
        <v>0</v>
      </c>
      <c r="AO5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9" s="101">
        <f t="shared" si="0"/>
        <v>0</v>
      </c>
      <c r="AT59">
        <f>IF(Tabla1[[#This Row],[MES ADEUDO DE AÑOS PASADOS ]]&gt;0,1,0)</f>
        <v>1</v>
      </c>
      <c r="AU59" s="9">
        <f t="shared" si="1"/>
        <v>1</v>
      </c>
      <c r="AV59" s="60">
        <f>IF(Tabla1[[#This Row],[MESES DE ADEUDO DEL AÑO EN CURSO ]]&gt;0,1,0)</f>
        <v>0</v>
      </c>
      <c r="AW59" s="42"/>
      <c r="AX59" s="42"/>
      <c r="AY59" s="42"/>
      <c r="AZ59" s="43"/>
    </row>
    <row r="60" spans="1:52" ht="21.75" thickBot="1" x14ac:dyDescent="0.35">
      <c r="A60" s="106">
        <v>54</v>
      </c>
      <c r="B60" s="5" t="s">
        <v>470</v>
      </c>
      <c r="C60" s="2" t="s">
        <v>461</v>
      </c>
      <c r="D60" s="32"/>
      <c r="E60" s="35" t="s">
        <v>455</v>
      </c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24">
        <f>SUM(Tabla1[[#This Row],[ENERO ]:[DICIEMBRE]])</f>
        <v>0</v>
      </c>
      <c r="W60">
        <v>23</v>
      </c>
      <c r="X60" s="21">
        <f>COUNTIF(Tabla1[[#This Row],[ENERO ]:[DICIEMBRE]],0)-(AS60)-IF(Tabla1[[#This Row],[BAJAS]]="BAJA",IF(Tabla1[[#This Row],[ALTAS]]="ALTA",VLOOKUP(Tabla1[[#This Row],[MES DE ALTA ]],$AW$6:$AX$17,2,FALSE),12)-VLOOKUP(Tabla1[[#This Row],[MES DE BAJA ]],$AW$6:$AX$17,2,FALSE),0)</f>
        <v>0</v>
      </c>
      <c r="Y60" s="68">
        <f>SUM(Tabla1[[#This Row],[MES ADEUDO DE AÑOS PASADOS ]:[MESES DE ADEUDO DEL AÑO EN CURSO ]])-Tabla1[[#This Row],[PAGO DE DEUDA ANTERIOR EN MESES]]</f>
        <v>23</v>
      </c>
      <c r="Z60" s="15">
        <f>Tabla1[[#This Row],[MES ADEUDO DE AÑOS PASADOS ]]*$T$2</f>
        <v>1035</v>
      </c>
      <c r="AA60" s="15">
        <f>Tabla1[[#This Row],[MESES DE ADEUDO DEL AÑO EN CURSO ]]*$T$2</f>
        <v>0</v>
      </c>
      <c r="AB60" s="69">
        <f>SUM(Tabla1[[#This Row],[DEUDA DE LOS MESES PASADOS EN $$]:[DEUDA DEL AÑO 2013 $$ ]])</f>
        <v>1035</v>
      </c>
      <c r="AD60">
        <f>Tabla1[[#This Row],[PAGO DE DEUDA ANTERIOR EN MESES]]*$T$2</f>
        <v>0</v>
      </c>
      <c r="AG60" s="100">
        <f>IF(Tabla1[[#This Row],[TIPO DE CONSUMIDOR]]="MEDIO",IF(Tabla1[[#This Row],[ENERO ]]&gt;22.5,Tabla1[[#This Row],[ENERO ]]/22.5-1,0),IF(Tabla1[[#This Row],[ENERO ]]&gt;45,Tabla1[[#This Row],[ENERO ]]/45-1,0))</f>
        <v>0</v>
      </c>
      <c r="AH6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0" s="100">
        <f>IF(Tabla1[[#This Row],[TIPO DE CONSUMIDOR]]="MEDIO",IF(Tabla1[[#This Row],[MARZO]]&gt;22.5,Tabla1[[#This Row],[MARZO]]/22.5-1,0),IF(Tabla1[[#This Row],[MARZO]]&gt;45,Tabla1[[#This Row],[MARZO]]/45-1,0))</f>
        <v>0</v>
      </c>
      <c r="AJ60" s="100">
        <f>IF(Tabla1[[#This Row],[TIPO DE CONSUMIDOR]]="MEDIO",IF(Tabla1[[#This Row],[ABRIL]]&gt;22.5,Tabla1[[#This Row],[ABRIL]]/22.5-1,0),IF(Tabla1[[#This Row],[ABRIL]]&gt;45,Tabla1[[#This Row],[ABRIL]]/45-1,0))</f>
        <v>0</v>
      </c>
      <c r="AK60" s="100">
        <f>IF(Tabla1[[#This Row],[TIPO DE CONSUMIDOR]]="MEDIO",IF(Tabla1[[#This Row],[MAYO ]]&gt;22.5,Tabla1[[#This Row],[MAYO ]]/22.5-1,0),IF(Tabla1[[#This Row],[MAYO ]]&gt;45,Tabla1[[#This Row],[MAYO ]]/45-1,0))</f>
        <v>0</v>
      </c>
      <c r="AL60" s="100">
        <f>IF(Tabla1[[#This Row],[TIPO DE CONSUMIDOR]]="MEDIO",IF(Tabla1[[#This Row],[JUNIO ]]&gt;22.5,Tabla1[[#This Row],[JUNIO ]]/22.5-1,0),IF(Tabla1[[#This Row],[JUNIO ]]&gt;45,Tabla1[[#This Row],[JUNIO ]]/45-1,0))</f>
        <v>0</v>
      </c>
      <c r="AM60" s="100">
        <f>IF(Tabla1[[#This Row],[TIPO DE CONSUMIDOR]]="MEDIO",IF(Tabla1[[#This Row],[JULIO ]]&gt;22.5,Tabla1[[#This Row],[JULIO ]]/22.5-1,0),IF(Tabla1[[#This Row],[JULIO ]]&gt;45,Tabla1[[#This Row],[JULIO ]]/45-1,0))</f>
        <v>0</v>
      </c>
      <c r="AN60" s="100">
        <f>IF(Tabla1[[#This Row],[TIPO DE CONSUMIDOR]]="MEDIO",IF(Tabla1[[#This Row],[AGOSTO]]&gt;22.5,Tabla1[[#This Row],[AGOSTO]]/22.5-1,0),IF(Tabla1[[#This Row],[AGOSTO]]&gt;45,Tabla1[[#This Row],[AGOSTO]]/45-1,0))</f>
        <v>0</v>
      </c>
      <c r="AO6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0" s="101">
        <f t="shared" si="0"/>
        <v>0</v>
      </c>
      <c r="AT60">
        <f>IF(Tabla1[[#This Row],[MES ADEUDO DE AÑOS PASADOS ]]&gt;0,1,0)</f>
        <v>1</v>
      </c>
      <c r="AU60" s="9">
        <f t="shared" si="1"/>
        <v>1</v>
      </c>
      <c r="AV60" s="60">
        <f>IF(Tabla1[[#This Row],[MESES DE ADEUDO DEL AÑO EN CURSO ]]&gt;0,1,0)</f>
        <v>0</v>
      </c>
      <c r="AW60" s="42"/>
      <c r="AX60" s="42"/>
      <c r="AY60" s="42"/>
      <c r="AZ60" s="43"/>
    </row>
    <row r="61" spans="1:52" ht="21.75" thickBot="1" x14ac:dyDescent="0.35">
      <c r="A61" s="106">
        <v>55</v>
      </c>
      <c r="B61" s="5" t="s">
        <v>471</v>
      </c>
      <c r="C61" s="2" t="s">
        <v>461</v>
      </c>
      <c r="D61" s="32"/>
      <c r="E61" s="35" t="s">
        <v>455</v>
      </c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24">
        <f>SUM(Tabla1[[#This Row],[ENERO ]:[DICIEMBRE]])</f>
        <v>0</v>
      </c>
      <c r="W61">
        <v>23</v>
      </c>
      <c r="X61" s="21">
        <f>COUNTIF(Tabla1[[#This Row],[ENERO ]:[DICIEMBRE]],0)-(AS61)-IF(Tabla1[[#This Row],[BAJAS]]="BAJA",IF(Tabla1[[#This Row],[ALTAS]]="ALTA",VLOOKUP(Tabla1[[#This Row],[MES DE ALTA ]],$AW$6:$AX$17,2,FALSE),12)-VLOOKUP(Tabla1[[#This Row],[MES DE BAJA ]],$AW$6:$AX$17,2,FALSE),0)</f>
        <v>0</v>
      </c>
      <c r="Y61" s="68">
        <f>SUM(Tabla1[[#This Row],[MES ADEUDO DE AÑOS PASADOS ]:[MESES DE ADEUDO DEL AÑO EN CURSO ]])-Tabla1[[#This Row],[PAGO DE DEUDA ANTERIOR EN MESES]]</f>
        <v>23</v>
      </c>
      <c r="Z61" s="15">
        <f>Tabla1[[#This Row],[MES ADEUDO DE AÑOS PASADOS ]]*$T$2</f>
        <v>1035</v>
      </c>
      <c r="AA61" s="15">
        <f>Tabla1[[#This Row],[MESES DE ADEUDO DEL AÑO EN CURSO ]]*$T$2</f>
        <v>0</v>
      </c>
      <c r="AB61" s="69">
        <f>SUM(Tabla1[[#This Row],[DEUDA DE LOS MESES PASADOS EN $$]:[DEUDA DEL AÑO 2013 $$ ]])</f>
        <v>1035</v>
      </c>
      <c r="AD61">
        <f>Tabla1[[#This Row],[PAGO DE DEUDA ANTERIOR EN MESES]]*$T$2</f>
        <v>0</v>
      </c>
      <c r="AG61" s="100">
        <f>IF(Tabla1[[#This Row],[TIPO DE CONSUMIDOR]]="MEDIO",IF(Tabla1[[#This Row],[ENERO ]]&gt;22.5,Tabla1[[#This Row],[ENERO ]]/22.5-1,0),IF(Tabla1[[#This Row],[ENERO ]]&gt;45,Tabla1[[#This Row],[ENERO ]]/45-1,0))</f>
        <v>0</v>
      </c>
      <c r="AH6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1" s="100">
        <f>IF(Tabla1[[#This Row],[TIPO DE CONSUMIDOR]]="MEDIO",IF(Tabla1[[#This Row],[MARZO]]&gt;22.5,Tabla1[[#This Row],[MARZO]]/22.5-1,0),IF(Tabla1[[#This Row],[MARZO]]&gt;45,Tabla1[[#This Row],[MARZO]]/45-1,0))</f>
        <v>0</v>
      </c>
      <c r="AJ61" s="100">
        <f>IF(Tabla1[[#This Row],[TIPO DE CONSUMIDOR]]="MEDIO",IF(Tabla1[[#This Row],[ABRIL]]&gt;22.5,Tabla1[[#This Row],[ABRIL]]/22.5-1,0),IF(Tabla1[[#This Row],[ABRIL]]&gt;45,Tabla1[[#This Row],[ABRIL]]/45-1,0))</f>
        <v>0</v>
      </c>
      <c r="AK61" s="100">
        <f>IF(Tabla1[[#This Row],[TIPO DE CONSUMIDOR]]="MEDIO",IF(Tabla1[[#This Row],[MAYO ]]&gt;22.5,Tabla1[[#This Row],[MAYO ]]/22.5-1,0),IF(Tabla1[[#This Row],[MAYO ]]&gt;45,Tabla1[[#This Row],[MAYO ]]/45-1,0))</f>
        <v>0</v>
      </c>
      <c r="AL61" s="100">
        <f>IF(Tabla1[[#This Row],[TIPO DE CONSUMIDOR]]="MEDIO",IF(Tabla1[[#This Row],[JUNIO ]]&gt;22.5,Tabla1[[#This Row],[JUNIO ]]/22.5-1,0),IF(Tabla1[[#This Row],[JUNIO ]]&gt;45,Tabla1[[#This Row],[JUNIO ]]/45-1,0))</f>
        <v>0</v>
      </c>
      <c r="AM61" s="100">
        <f>IF(Tabla1[[#This Row],[TIPO DE CONSUMIDOR]]="MEDIO",IF(Tabla1[[#This Row],[JULIO ]]&gt;22.5,Tabla1[[#This Row],[JULIO ]]/22.5-1,0),IF(Tabla1[[#This Row],[JULIO ]]&gt;45,Tabla1[[#This Row],[JULIO ]]/45-1,0))</f>
        <v>0</v>
      </c>
      <c r="AN61" s="100">
        <f>IF(Tabla1[[#This Row],[TIPO DE CONSUMIDOR]]="MEDIO",IF(Tabla1[[#This Row],[AGOSTO]]&gt;22.5,Tabla1[[#This Row],[AGOSTO]]/22.5-1,0),IF(Tabla1[[#This Row],[AGOSTO]]&gt;45,Tabla1[[#This Row],[AGOSTO]]/45-1,0))</f>
        <v>0</v>
      </c>
      <c r="AO6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1" s="101">
        <f t="shared" si="0"/>
        <v>0</v>
      </c>
      <c r="AT61">
        <f>IF(Tabla1[[#This Row],[MES ADEUDO DE AÑOS PASADOS ]]&gt;0,1,0)</f>
        <v>1</v>
      </c>
      <c r="AU61" s="9">
        <f t="shared" si="1"/>
        <v>1</v>
      </c>
      <c r="AV61" s="60">
        <f>IF(Tabla1[[#This Row],[MESES DE ADEUDO DEL AÑO EN CURSO ]]&gt;0,1,0)</f>
        <v>0</v>
      </c>
      <c r="AW61" s="42"/>
      <c r="AX61" s="42"/>
      <c r="AY61" s="42"/>
      <c r="AZ61" s="43"/>
    </row>
    <row r="62" spans="1:52" ht="21.75" thickBot="1" x14ac:dyDescent="0.35">
      <c r="A62" s="106">
        <v>56</v>
      </c>
      <c r="B62" s="5" t="s">
        <v>86</v>
      </c>
      <c r="C62" s="2" t="s">
        <v>461</v>
      </c>
      <c r="D62" s="32"/>
      <c r="E62" s="35" t="s">
        <v>455</v>
      </c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24">
        <f>SUM(Tabla1[[#This Row],[ENERO ]:[DICIEMBRE]])</f>
        <v>0</v>
      </c>
      <c r="W62">
        <v>24</v>
      </c>
      <c r="X62" s="21">
        <f>COUNTIF(Tabla1[[#This Row],[ENERO ]:[DICIEMBRE]],0)-(AS62)-IF(Tabla1[[#This Row],[BAJAS]]="BAJA",IF(Tabla1[[#This Row],[ALTAS]]="ALTA",VLOOKUP(Tabla1[[#This Row],[MES DE ALTA ]],$AW$6:$AX$17,2,FALSE),12)-VLOOKUP(Tabla1[[#This Row],[MES DE BAJA ]],$AW$6:$AX$17,2,FALSE),0)</f>
        <v>0</v>
      </c>
      <c r="Y62" s="68">
        <f>SUM(Tabla1[[#This Row],[MES ADEUDO DE AÑOS PASADOS ]:[MESES DE ADEUDO DEL AÑO EN CURSO ]])-Tabla1[[#This Row],[PAGO DE DEUDA ANTERIOR EN MESES]]</f>
        <v>24</v>
      </c>
      <c r="Z62" s="15">
        <f>Tabla1[[#This Row],[MES ADEUDO DE AÑOS PASADOS ]]*$T$2</f>
        <v>1080</v>
      </c>
      <c r="AA62" s="15">
        <f>Tabla1[[#This Row],[MESES DE ADEUDO DEL AÑO EN CURSO ]]*$T$2</f>
        <v>0</v>
      </c>
      <c r="AB62" s="69">
        <f>SUM(Tabla1[[#This Row],[DEUDA DE LOS MESES PASADOS EN $$]:[DEUDA DEL AÑO 2013 $$ ]])</f>
        <v>1080</v>
      </c>
      <c r="AD62">
        <f>Tabla1[[#This Row],[PAGO DE DEUDA ANTERIOR EN MESES]]*$T$2</f>
        <v>0</v>
      </c>
      <c r="AG62" s="100">
        <f>IF(Tabla1[[#This Row],[TIPO DE CONSUMIDOR]]="MEDIO",IF(Tabla1[[#This Row],[ENERO ]]&gt;22.5,Tabla1[[#This Row],[ENERO ]]/22.5-1,0),IF(Tabla1[[#This Row],[ENERO ]]&gt;45,Tabla1[[#This Row],[ENERO ]]/45-1,0))</f>
        <v>0</v>
      </c>
      <c r="AH6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2" s="100">
        <f>IF(Tabla1[[#This Row],[TIPO DE CONSUMIDOR]]="MEDIO",IF(Tabla1[[#This Row],[MARZO]]&gt;22.5,Tabla1[[#This Row],[MARZO]]/22.5-1,0),IF(Tabla1[[#This Row],[MARZO]]&gt;45,Tabla1[[#This Row],[MARZO]]/45-1,0))</f>
        <v>0</v>
      </c>
      <c r="AJ62" s="100">
        <f>IF(Tabla1[[#This Row],[TIPO DE CONSUMIDOR]]="MEDIO",IF(Tabla1[[#This Row],[ABRIL]]&gt;22.5,Tabla1[[#This Row],[ABRIL]]/22.5-1,0),IF(Tabla1[[#This Row],[ABRIL]]&gt;45,Tabla1[[#This Row],[ABRIL]]/45-1,0))</f>
        <v>0</v>
      </c>
      <c r="AK62" s="100">
        <f>IF(Tabla1[[#This Row],[TIPO DE CONSUMIDOR]]="MEDIO",IF(Tabla1[[#This Row],[MAYO ]]&gt;22.5,Tabla1[[#This Row],[MAYO ]]/22.5-1,0),IF(Tabla1[[#This Row],[MAYO ]]&gt;45,Tabla1[[#This Row],[MAYO ]]/45-1,0))</f>
        <v>0</v>
      </c>
      <c r="AL62" s="100">
        <f>IF(Tabla1[[#This Row],[TIPO DE CONSUMIDOR]]="MEDIO",IF(Tabla1[[#This Row],[JUNIO ]]&gt;22.5,Tabla1[[#This Row],[JUNIO ]]/22.5-1,0),IF(Tabla1[[#This Row],[JUNIO ]]&gt;45,Tabla1[[#This Row],[JUNIO ]]/45-1,0))</f>
        <v>0</v>
      </c>
      <c r="AM62" s="100">
        <f>IF(Tabla1[[#This Row],[TIPO DE CONSUMIDOR]]="MEDIO",IF(Tabla1[[#This Row],[JULIO ]]&gt;22.5,Tabla1[[#This Row],[JULIO ]]/22.5-1,0),IF(Tabla1[[#This Row],[JULIO ]]&gt;45,Tabla1[[#This Row],[JULIO ]]/45-1,0))</f>
        <v>0</v>
      </c>
      <c r="AN62" s="100">
        <f>IF(Tabla1[[#This Row],[TIPO DE CONSUMIDOR]]="MEDIO",IF(Tabla1[[#This Row],[AGOSTO]]&gt;22.5,Tabla1[[#This Row],[AGOSTO]]/22.5-1,0),IF(Tabla1[[#This Row],[AGOSTO]]&gt;45,Tabla1[[#This Row],[AGOSTO]]/45-1,0))</f>
        <v>0</v>
      </c>
      <c r="AO6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2" s="101">
        <f t="shared" si="0"/>
        <v>0</v>
      </c>
      <c r="AT62">
        <f>IF(Tabla1[[#This Row],[MES ADEUDO DE AÑOS PASADOS ]]&gt;0,1,0)</f>
        <v>1</v>
      </c>
      <c r="AU62" s="9">
        <f t="shared" si="1"/>
        <v>1</v>
      </c>
      <c r="AV62" s="60">
        <f>IF(Tabla1[[#This Row],[MESES DE ADEUDO DEL AÑO EN CURSO ]]&gt;0,1,0)</f>
        <v>0</v>
      </c>
      <c r="AW62" s="42"/>
      <c r="AX62" s="42"/>
      <c r="AY62" s="42"/>
      <c r="AZ62" s="43"/>
    </row>
    <row r="63" spans="1:52" ht="21.75" thickBot="1" x14ac:dyDescent="0.35">
      <c r="A63" s="106">
        <v>57</v>
      </c>
      <c r="B63" s="5" t="s">
        <v>472</v>
      </c>
      <c r="C63" s="2" t="s">
        <v>461</v>
      </c>
      <c r="D63" s="46"/>
      <c r="E63" s="36" t="s">
        <v>455</v>
      </c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24">
        <f>SUM(Tabla1[[#This Row],[ENERO ]:[DICIEMBRE]])</f>
        <v>0</v>
      </c>
      <c r="W63">
        <v>27</v>
      </c>
      <c r="X63" s="21">
        <f>COUNTIF(Tabla1[[#This Row],[ENERO ]:[DICIEMBRE]],0)-(AS63)-IF(Tabla1[[#This Row],[BAJAS]]="BAJA",IF(Tabla1[[#This Row],[ALTAS]]="ALTA",VLOOKUP(Tabla1[[#This Row],[MES DE ALTA ]],$AW$6:$AX$17,2,FALSE),12)-VLOOKUP(Tabla1[[#This Row],[MES DE BAJA ]],$AW$6:$AX$17,2,FALSE),0)</f>
        <v>0</v>
      </c>
      <c r="Y63" s="68">
        <f>SUM(Tabla1[[#This Row],[MES ADEUDO DE AÑOS PASADOS ]:[MESES DE ADEUDO DEL AÑO EN CURSO ]])-Tabla1[[#This Row],[PAGO DE DEUDA ANTERIOR EN MESES]]</f>
        <v>27</v>
      </c>
      <c r="Z63" s="15">
        <f>Tabla1[[#This Row],[MES ADEUDO DE AÑOS PASADOS ]]*$T$2</f>
        <v>1215</v>
      </c>
      <c r="AA63" s="15">
        <f>Tabla1[[#This Row],[MESES DE ADEUDO DEL AÑO EN CURSO ]]*$T$2</f>
        <v>0</v>
      </c>
      <c r="AB63" s="69">
        <f>SUM(Tabla1[[#This Row],[DEUDA DE LOS MESES PASADOS EN $$]:[DEUDA DEL AÑO 2013 $$ ]])</f>
        <v>1215</v>
      </c>
      <c r="AD63">
        <f>Tabla1[[#This Row],[PAGO DE DEUDA ANTERIOR EN MESES]]*$T$2</f>
        <v>0</v>
      </c>
      <c r="AG63" s="100">
        <f>IF(Tabla1[[#This Row],[TIPO DE CONSUMIDOR]]="MEDIO",IF(Tabla1[[#This Row],[ENERO ]]&gt;22.5,Tabla1[[#This Row],[ENERO ]]/22.5-1,0),IF(Tabla1[[#This Row],[ENERO ]]&gt;45,Tabla1[[#This Row],[ENERO ]]/45-1,0))</f>
        <v>0</v>
      </c>
      <c r="AH6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3" s="100">
        <f>IF(Tabla1[[#This Row],[TIPO DE CONSUMIDOR]]="MEDIO",IF(Tabla1[[#This Row],[MARZO]]&gt;22.5,Tabla1[[#This Row],[MARZO]]/22.5-1,0),IF(Tabla1[[#This Row],[MARZO]]&gt;45,Tabla1[[#This Row],[MARZO]]/45-1,0))</f>
        <v>0</v>
      </c>
      <c r="AJ63" s="100">
        <f>IF(Tabla1[[#This Row],[TIPO DE CONSUMIDOR]]="MEDIO",IF(Tabla1[[#This Row],[ABRIL]]&gt;22.5,Tabla1[[#This Row],[ABRIL]]/22.5-1,0),IF(Tabla1[[#This Row],[ABRIL]]&gt;45,Tabla1[[#This Row],[ABRIL]]/45-1,0))</f>
        <v>0</v>
      </c>
      <c r="AK63" s="100">
        <f>IF(Tabla1[[#This Row],[TIPO DE CONSUMIDOR]]="MEDIO",IF(Tabla1[[#This Row],[MAYO ]]&gt;22.5,Tabla1[[#This Row],[MAYO ]]/22.5-1,0),IF(Tabla1[[#This Row],[MAYO ]]&gt;45,Tabla1[[#This Row],[MAYO ]]/45-1,0))</f>
        <v>0</v>
      </c>
      <c r="AL63" s="100">
        <f>IF(Tabla1[[#This Row],[TIPO DE CONSUMIDOR]]="MEDIO",IF(Tabla1[[#This Row],[JUNIO ]]&gt;22.5,Tabla1[[#This Row],[JUNIO ]]/22.5-1,0),IF(Tabla1[[#This Row],[JUNIO ]]&gt;45,Tabla1[[#This Row],[JUNIO ]]/45-1,0))</f>
        <v>0</v>
      </c>
      <c r="AM63" s="100">
        <f>IF(Tabla1[[#This Row],[TIPO DE CONSUMIDOR]]="MEDIO",IF(Tabla1[[#This Row],[JULIO ]]&gt;22.5,Tabla1[[#This Row],[JULIO ]]/22.5-1,0),IF(Tabla1[[#This Row],[JULIO ]]&gt;45,Tabla1[[#This Row],[JULIO ]]/45-1,0))</f>
        <v>0</v>
      </c>
      <c r="AN63" s="100">
        <f>IF(Tabla1[[#This Row],[TIPO DE CONSUMIDOR]]="MEDIO",IF(Tabla1[[#This Row],[AGOSTO]]&gt;22.5,Tabla1[[#This Row],[AGOSTO]]/22.5-1,0),IF(Tabla1[[#This Row],[AGOSTO]]&gt;45,Tabla1[[#This Row],[AGOSTO]]/45-1,0))</f>
        <v>0</v>
      </c>
      <c r="AO6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3" s="101">
        <f t="shared" si="0"/>
        <v>0</v>
      </c>
      <c r="AT63">
        <f>IF(Tabla1[[#This Row],[MES ADEUDO DE AÑOS PASADOS ]]&gt;0,1,0)</f>
        <v>1</v>
      </c>
      <c r="AU63" s="9">
        <f t="shared" si="1"/>
        <v>1</v>
      </c>
      <c r="AV63" s="60">
        <f>IF(Tabla1[[#This Row],[MESES DE ADEUDO DEL AÑO EN CURSO ]]&gt;0,1,0)</f>
        <v>0</v>
      </c>
      <c r="AW63" s="42"/>
      <c r="AX63" s="42"/>
      <c r="AY63" s="42"/>
      <c r="AZ63" s="43"/>
    </row>
    <row r="64" spans="1:52" ht="21.75" thickBot="1" x14ac:dyDescent="0.35">
      <c r="A64" s="106">
        <v>58</v>
      </c>
      <c r="B64" s="93" t="s">
        <v>648</v>
      </c>
      <c r="C64" s="94" t="s">
        <v>461</v>
      </c>
      <c r="D64" s="95"/>
      <c r="E64" s="35" t="s">
        <v>455</v>
      </c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118">
        <f>SUM(Tabla1[[#This Row],[ENERO ]:[DICIEMBRE]])</f>
        <v>0</v>
      </c>
      <c r="W64">
        <v>27</v>
      </c>
      <c r="X64" s="21">
        <f>COUNTIF(Tabla1[[#This Row],[ENERO ]:[DICIEMBRE]],0)-(AS64)-IF(Tabla1[[#This Row],[BAJAS]]="BAJA",IF(Tabla1[[#This Row],[ALTAS]]="ALTA",VLOOKUP(Tabla1[[#This Row],[MES DE ALTA ]],$AW$6:$AX$17,2,FALSE),12)-VLOOKUP(Tabla1[[#This Row],[MES DE BAJA ]],$AW$6:$AX$17,2,FALSE),0)</f>
        <v>0</v>
      </c>
      <c r="Y64" s="91">
        <f>SUM(Tabla1[[#This Row],[MES ADEUDO DE AÑOS PASADOS ]:[MESES DE ADEUDO DEL AÑO EN CURSO ]])-Tabla1[[#This Row],[PAGO DE DEUDA ANTERIOR EN MESES]]</f>
        <v>27</v>
      </c>
      <c r="Z64" s="15">
        <f>Tabla1[[#This Row],[MES ADEUDO DE AÑOS PASADOS ]]*$T$2</f>
        <v>1215</v>
      </c>
      <c r="AA64" s="15">
        <f>Tabla1[[#This Row],[MESES DE ADEUDO DEL AÑO EN CURSO ]]*$T$2</f>
        <v>0</v>
      </c>
      <c r="AB64" s="69">
        <f>SUM(Tabla1[[#This Row],[DEUDA DE LOS MESES PASADOS EN $$]:[DEUDA DEL AÑO 2013 $$ ]])</f>
        <v>1215</v>
      </c>
      <c r="AD64">
        <f>Tabla1[[#This Row],[PAGO DE DEUDA ANTERIOR EN MESES]]*$T$2</f>
        <v>0</v>
      </c>
      <c r="AG64" s="100">
        <f>IF(Tabla1[[#This Row],[TIPO DE CONSUMIDOR]]="MEDIO",IF(Tabla1[[#This Row],[ENERO ]]&gt;22.5,Tabla1[[#This Row],[ENERO ]]/22.5-1,0),IF(Tabla1[[#This Row],[ENERO ]]&gt;45,Tabla1[[#This Row],[ENERO ]]/45-1,0))</f>
        <v>0</v>
      </c>
      <c r="AH6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4" s="100">
        <f>IF(Tabla1[[#This Row],[TIPO DE CONSUMIDOR]]="MEDIO",IF(Tabla1[[#This Row],[MARZO]]&gt;22.5,Tabla1[[#This Row],[MARZO]]/22.5-1,0),IF(Tabla1[[#This Row],[MARZO]]&gt;45,Tabla1[[#This Row],[MARZO]]/45-1,0))</f>
        <v>0</v>
      </c>
      <c r="AJ64" s="100">
        <f>IF(Tabla1[[#This Row],[TIPO DE CONSUMIDOR]]="MEDIO",IF(Tabla1[[#This Row],[ABRIL]]&gt;22.5,Tabla1[[#This Row],[ABRIL]]/22.5-1,0),IF(Tabla1[[#This Row],[ABRIL]]&gt;45,Tabla1[[#This Row],[ABRIL]]/45-1,0))</f>
        <v>0</v>
      </c>
      <c r="AK64" s="100">
        <f>IF(Tabla1[[#This Row],[TIPO DE CONSUMIDOR]]="MEDIO",IF(Tabla1[[#This Row],[MAYO ]]&gt;22.5,Tabla1[[#This Row],[MAYO ]]/22.5-1,0),IF(Tabla1[[#This Row],[MAYO ]]&gt;45,Tabla1[[#This Row],[MAYO ]]/45-1,0))</f>
        <v>0</v>
      </c>
      <c r="AL64" s="100">
        <f>IF(Tabla1[[#This Row],[TIPO DE CONSUMIDOR]]="MEDIO",IF(Tabla1[[#This Row],[JUNIO ]]&gt;22.5,Tabla1[[#This Row],[JUNIO ]]/22.5-1,0),IF(Tabla1[[#This Row],[JUNIO ]]&gt;45,Tabla1[[#This Row],[JUNIO ]]/45-1,0))</f>
        <v>0</v>
      </c>
      <c r="AM64" s="100">
        <f>IF(Tabla1[[#This Row],[TIPO DE CONSUMIDOR]]="MEDIO",IF(Tabla1[[#This Row],[JULIO ]]&gt;22.5,Tabla1[[#This Row],[JULIO ]]/22.5-1,0),IF(Tabla1[[#This Row],[JULIO ]]&gt;45,Tabla1[[#This Row],[JULIO ]]/45-1,0))</f>
        <v>0</v>
      </c>
      <c r="AN64" s="100">
        <f>IF(Tabla1[[#This Row],[TIPO DE CONSUMIDOR]]="MEDIO",IF(Tabla1[[#This Row],[AGOSTO]]&gt;22.5,Tabla1[[#This Row],[AGOSTO]]/22.5-1,0),IF(Tabla1[[#This Row],[AGOSTO]]&gt;45,Tabla1[[#This Row],[AGOSTO]]/45-1,0))</f>
        <v>0</v>
      </c>
      <c r="AO6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4" s="101">
        <f t="shared" si="0"/>
        <v>0</v>
      </c>
      <c r="AT64">
        <f>IF(Tabla1[[#This Row],[MES ADEUDO DE AÑOS PASADOS ]]&gt;0,1,0)</f>
        <v>1</v>
      </c>
      <c r="AU64" s="9">
        <f t="shared" si="1"/>
        <v>1</v>
      </c>
      <c r="AV64" s="60">
        <f>IF(Tabla1[[#This Row],[MESES DE ADEUDO DEL AÑO EN CURSO ]]&gt;0,1,0)</f>
        <v>0</v>
      </c>
      <c r="AW64" s="42"/>
      <c r="AX64" s="42"/>
      <c r="AY64" s="42"/>
      <c r="AZ64" s="43"/>
    </row>
    <row r="65" spans="1:52" ht="21.75" thickBot="1" x14ac:dyDescent="0.35">
      <c r="A65" s="106">
        <v>59</v>
      </c>
      <c r="B65" s="5" t="s">
        <v>473</v>
      </c>
      <c r="C65" s="2" t="s">
        <v>461</v>
      </c>
      <c r="D65" s="32"/>
      <c r="E65" s="35" t="s">
        <v>455</v>
      </c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24">
        <f>SUM(Tabla1[[#This Row],[ENERO ]:[DICIEMBRE]])</f>
        <v>0</v>
      </c>
      <c r="W65">
        <v>39</v>
      </c>
      <c r="X65" s="21">
        <f>COUNTIF(Tabla1[[#This Row],[ENERO ]:[DICIEMBRE]],0)-(AS65)-IF(Tabla1[[#This Row],[BAJAS]]="BAJA",IF(Tabla1[[#This Row],[ALTAS]]="ALTA",VLOOKUP(Tabla1[[#This Row],[MES DE ALTA ]],$AW$6:$AX$17,2,FALSE),12)-VLOOKUP(Tabla1[[#This Row],[MES DE BAJA ]],$AW$6:$AX$17,2,FALSE),0)</f>
        <v>0</v>
      </c>
      <c r="Y65" s="68">
        <f>SUM(Tabla1[[#This Row],[MES ADEUDO DE AÑOS PASADOS ]:[MESES DE ADEUDO DEL AÑO EN CURSO ]])-Tabla1[[#This Row],[PAGO DE DEUDA ANTERIOR EN MESES]]</f>
        <v>39</v>
      </c>
      <c r="Z65" s="15">
        <f>Tabla1[[#This Row],[MES ADEUDO DE AÑOS PASADOS ]]*$T$2</f>
        <v>1755</v>
      </c>
      <c r="AA65" s="15">
        <f>Tabla1[[#This Row],[MESES DE ADEUDO DEL AÑO EN CURSO ]]*$T$2</f>
        <v>0</v>
      </c>
      <c r="AB65" s="69">
        <f>SUM(Tabla1[[#This Row],[DEUDA DE LOS MESES PASADOS EN $$]:[DEUDA DEL AÑO 2013 $$ ]])</f>
        <v>1755</v>
      </c>
      <c r="AD65">
        <f>Tabla1[[#This Row],[PAGO DE DEUDA ANTERIOR EN MESES]]*$T$2</f>
        <v>0</v>
      </c>
      <c r="AG65" s="100">
        <f>IF(Tabla1[[#This Row],[TIPO DE CONSUMIDOR]]="MEDIO",IF(Tabla1[[#This Row],[ENERO ]]&gt;22.5,Tabla1[[#This Row],[ENERO ]]/22.5-1,0),IF(Tabla1[[#This Row],[ENERO ]]&gt;45,Tabla1[[#This Row],[ENERO ]]/45-1,0))</f>
        <v>0</v>
      </c>
      <c r="AH6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5" s="100">
        <f>IF(Tabla1[[#This Row],[TIPO DE CONSUMIDOR]]="MEDIO",IF(Tabla1[[#This Row],[MARZO]]&gt;22.5,Tabla1[[#This Row],[MARZO]]/22.5-1,0),IF(Tabla1[[#This Row],[MARZO]]&gt;45,Tabla1[[#This Row],[MARZO]]/45-1,0))</f>
        <v>0</v>
      </c>
      <c r="AJ65" s="100">
        <f>IF(Tabla1[[#This Row],[TIPO DE CONSUMIDOR]]="MEDIO",IF(Tabla1[[#This Row],[ABRIL]]&gt;22.5,Tabla1[[#This Row],[ABRIL]]/22.5-1,0),IF(Tabla1[[#This Row],[ABRIL]]&gt;45,Tabla1[[#This Row],[ABRIL]]/45-1,0))</f>
        <v>0</v>
      </c>
      <c r="AK65" s="100">
        <f>IF(Tabla1[[#This Row],[TIPO DE CONSUMIDOR]]="MEDIO",IF(Tabla1[[#This Row],[MAYO ]]&gt;22.5,Tabla1[[#This Row],[MAYO ]]/22.5-1,0),IF(Tabla1[[#This Row],[MAYO ]]&gt;45,Tabla1[[#This Row],[MAYO ]]/45-1,0))</f>
        <v>0</v>
      </c>
      <c r="AL65" s="100">
        <f>IF(Tabla1[[#This Row],[TIPO DE CONSUMIDOR]]="MEDIO",IF(Tabla1[[#This Row],[JUNIO ]]&gt;22.5,Tabla1[[#This Row],[JUNIO ]]/22.5-1,0),IF(Tabla1[[#This Row],[JUNIO ]]&gt;45,Tabla1[[#This Row],[JUNIO ]]/45-1,0))</f>
        <v>0</v>
      </c>
      <c r="AM65" s="100">
        <f>IF(Tabla1[[#This Row],[TIPO DE CONSUMIDOR]]="MEDIO",IF(Tabla1[[#This Row],[JULIO ]]&gt;22.5,Tabla1[[#This Row],[JULIO ]]/22.5-1,0),IF(Tabla1[[#This Row],[JULIO ]]&gt;45,Tabla1[[#This Row],[JULIO ]]/45-1,0))</f>
        <v>0</v>
      </c>
      <c r="AN65" s="100">
        <f>IF(Tabla1[[#This Row],[TIPO DE CONSUMIDOR]]="MEDIO",IF(Tabla1[[#This Row],[AGOSTO]]&gt;22.5,Tabla1[[#This Row],[AGOSTO]]/22.5-1,0),IF(Tabla1[[#This Row],[AGOSTO]]&gt;45,Tabla1[[#This Row],[AGOSTO]]/45-1,0))</f>
        <v>0</v>
      </c>
      <c r="AO6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5" s="101">
        <f t="shared" si="0"/>
        <v>0</v>
      </c>
      <c r="AT65">
        <f>IF(Tabla1[[#This Row],[MES ADEUDO DE AÑOS PASADOS ]]&gt;0,1,0)</f>
        <v>1</v>
      </c>
      <c r="AU65" s="9">
        <f t="shared" si="1"/>
        <v>1</v>
      </c>
      <c r="AV65" s="60">
        <f>IF(Tabla1[[#This Row],[MESES DE ADEUDO DEL AÑO EN CURSO ]]&gt;0,1,0)</f>
        <v>0</v>
      </c>
      <c r="AW65" s="42"/>
      <c r="AX65" s="42"/>
      <c r="AY65" s="42"/>
      <c r="AZ65" s="43"/>
    </row>
    <row r="66" spans="1:52" ht="21.75" thickBot="1" x14ac:dyDescent="0.35">
      <c r="A66" s="106">
        <v>60</v>
      </c>
      <c r="B66" s="5" t="s">
        <v>464</v>
      </c>
      <c r="C66" s="2" t="s">
        <v>461</v>
      </c>
      <c r="D66" s="32"/>
      <c r="E66" s="35" t="s">
        <v>455</v>
      </c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24">
        <f>SUM(Tabla1[[#This Row],[ENERO ]:[DICIEMBRE]])</f>
        <v>0</v>
      </c>
      <c r="W66">
        <v>40</v>
      </c>
      <c r="X66" s="21">
        <f>COUNTIF(Tabla1[[#This Row],[ENERO ]:[DICIEMBRE]],0)-(AS66)-IF(Tabla1[[#This Row],[BAJAS]]="BAJA",IF(Tabla1[[#This Row],[ALTAS]]="ALTA",VLOOKUP(Tabla1[[#This Row],[MES DE ALTA ]],$AW$6:$AX$17,2,FALSE),12)-VLOOKUP(Tabla1[[#This Row],[MES DE BAJA ]],$AW$6:$AX$17,2,FALSE),0)</f>
        <v>0</v>
      </c>
      <c r="Y66" s="68">
        <f>SUM(Tabla1[[#This Row],[MES ADEUDO DE AÑOS PASADOS ]:[MESES DE ADEUDO DEL AÑO EN CURSO ]])-Tabla1[[#This Row],[PAGO DE DEUDA ANTERIOR EN MESES]]</f>
        <v>40</v>
      </c>
      <c r="Z66" s="15">
        <f>Tabla1[[#This Row],[MES ADEUDO DE AÑOS PASADOS ]]*$T$2</f>
        <v>1800</v>
      </c>
      <c r="AA66" s="15">
        <f>Tabla1[[#This Row],[MESES DE ADEUDO DEL AÑO EN CURSO ]]*$T$2</f>
        <v>0</v>
      </c>
      <c r="AB66" s="69">
        <f>SUM(Tabla1[[#This Row],[DEUDA DE LOS MESES PASADOS EN $$]:[DEUDA DEL AÑO 2013 $$ ]])</f>
        <v>1800</v>
      </c>
      <c r="AD66">
        <f>Tabla1[[#This Row],[PAGO DE DEUDA ANTERIOR EN MESES]]*$T$2</f>
        <v>0</v>
      </c>
      <c r="AG66" s="100">
        <f>IF(Tabla1[[#This Row],[TIPO DE CONSUMIDOR]]="MEDIO",IF(Tabla1[[#This Row],[ENERO ]]&gt;22.5,Tabla1[[#This Row],[ENERO ]]/22.5-1,0),IF(Tabla1[[#This Row],[ENERO ]]&gt;45,Tabla1[[#This Row],[ENERO ]]/45-1,0))</f>
        <v>0</v>
      </c>
      <c r="AH6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6" s="100">
        <f>IF(Tabla1[[#This Row],[TIPO DE CONSUMIDOR]]="MEDIO",IF(Tabla1[[#This Row],[MARZO]]&gt;22.5,Tabla1[[#This Row],[MARZO]]/22.5-1,0),IF(Tabla1[[#This Row],[MARZO]]&gt;45,Tabla1[[#This Row],[MARZO]]/45-1,0))</f>
        <v>0</v>
      </c>
      <c r="AJ66" s="100">
        <f>IF(Tabla1[[#This Row],[TIPO DE CONSUMIDOR]]="MEDIO",IF(Tabla1[[#This Row],[ABRIL]]&gt;22.5,Tabla1[[#This Row],[ABRIL]]/22.5-1,0),IF(Tabla1[[#This Row],[ABRIL]]&gt;45,Tabla1[[#This Row],[ABRIL]]/45-1,0))</f>
        <v>0</v>
      </c>
      <c r="AK66" s="100">
        <f>IF(Tabla1[[#This Row],[TIPO DE CONSUMIDOR]]="MEDIO",IF(Tabla1[[#This Row],[MAYO ]]&gt;22.5,Tabla1[[#This Row],[MAYO ]]/22.5-1,0),IF(Tabla1[[#This Row],[MAYO ]]&gt;45,Tabla1[[#This Row],[MAYO ]]/45-1,0))</f>
        <v>0</v>
      </c>
      <c r="AL66" s="100">
        <f>IF(Tabla1[[#This Row],[TIPO DE CONSUMIDOR]]="MEDIO",IF(Tabla1[[#This Row],[JUNIO ]]&gt;22.5,Tabla1[[#This Row],[JUNIO ]]/22.5-1,0),IF(Tabla1[[#This Row],[JUNIO ]]&gt;45,Tabla1[[#This Row],[JUNIO ]]/45-1,0))</f>
        <v>0</v>
      </c>
      <c r="AM66" s="100">
        <f>IF(Tabla1[[#This Row],[TIPO DE CONSUMIDOR]]="MEDIO",IF(Tabla1[[#This Row],[JULIO ]]&gt;22.5,Tabla1[[#This Row],[JULIO ]]/22.5-1,0),IF(Tabla1[[#This Row],[JULIO ]]&gt;45,Tabla1[[#This Row],[JULIO ]]/45-1,0))</f>
        <v>0</v>
      </c>
      <c r="AN66" s="100">
        <f>IF(Tabla1[[#This Row],[TIPO DE CONSUMIDOR]]="MEDIO",IF(Tabla1[[#This Row],[AGOSTO]]&gt;22.5,Tabla1[[#This Row],[AGOSTO]]/22.5-1,0),IF(Tabla1[[#This Row],[AGOSTO]]&gt;45,Tabla1[[#This Row],[AGOSTO]]/45-1,0))</f>
        <v>0</v>
      </c>
      <c r="AO6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6" s="101">
        <f t="shared" si="0"/>
        <v>0</v>
      </c>
      <c r="AT66">
        <f>IF(Tabla1[[#This Row],[MES ADEUDO DE AÑOS PASADOS ]]&gt;0,1,0)</f>
        <v>1</v>
      </c>
      <c r="AU66" s="9">
        <f t="shared" si="1"/>
        <v>1</v>
      </c>
      <c r="AV66" s="60">
        <f>IF(Tabla1[[#This Row],[MESES DE ADEUDO DEL AÑO EN CURSO ]]&gt;0,1,0)</f>
        <v>0</v>
      </c>
      <c r="AW66" s="42"/>
      <c r="AX66" s="42"/>
      <c r="AY66" s="42"/>
      <c r="AZ66" s="43"/>
    </row>
    <row r="67" spans="1:52" ht="21.75" thickBot="1" x14ac:dyDescent="0.35">
      <c r="A67" s="106">
        <v>61</v>
      </c>
      <c r="B67" s="5" t="s">
        <v>467</v>
      </c>
      <c r="C67" s="2" t="s">
        <v>461</v>
      </c>
      <c r="D67" s="32"/>
      <c r="E67" s="35" t="s">
        <v>455</v>
      </c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24">
        <f>SUM(Tabla1[[#This Row],[ENERO ]:[DICIEMBRE]])</f>
        <v>0</v>
      </c>
      <c r="W67">
        <v>44</v>
      </c>
      <c r="X67" s="21">
        <f>COUNTIF(Tabla1[[#This Row],[ENERO ]:[DICIEMBRE]],0)-(AS67)-IF(Tabla1[[#This Row],[BAJAS]]="BAJA",IF(Tabla1[[#This Row],[ALTAS]]="ALTA",VLOOKUP(Tabla1[[#This Row],[MES DE ALTA ]],$AW$6:$AX$17,2,FALSE),12)-VLOOKUP(Tabla1[[#This Row],[MES DE BAJA ]],$AW$6:$AX$17,2,FALSE),0)</f>
        <v>0</v>
      </c>
      <c r="Y67" s="68">
        <f>SUM(Tabla1[[#This Row],[MES ADEUDO DE AÑOS PASADOS ]:[MESES DE ADEUDO DEL AÑO EN CURSO ]])-Tabla1[[#This Row],[PAGO DE DEUDA ANTERIOR EN MESES]]</f>
        <v>44</v>
      </c>
      <c r="Z67" s="15">
        <f>Tabla1[[#This Row],[MES ADEUDO DE AÑOS PASADOS ]]*$T$2</f>
        <v>1980</v>
      </c>
      <c r="AA67" s="15">
        <f>Tabla1[[#This Row],[MESES DE ADEUDO DEL AÑO EN CURSO ]]*$T$2</f>
        <v>0</v>
      </c>
      <c r="AB67" s="69">
        <f>SUM(Tabla1[[#This Row],[DEUDA DE LOS MESES PASADOS EN $$]:[DEUDA DEL AÑO 2013 $$ ]])</f>
        <v>1980</v>
      </c>
      <c r="AD67">
        <f>Tabla1[[#This Row],[PAGO DE DEUDA ANTERIOR EN MESES]]*$T$2</f>
        <v>0</v>
      </c>
      <c r="AG67" s="100">
        <f>IF(Tabla1[[#This Row],[TIPO DE CONSUMIDOR]]="MEDIO",IF(Tabla1[[#This Row],[ENERO ]]&gt;22.5,Tabla1[[#This Row],[ENERO ]]/22.5-1,0),IF(Tabla1[[#This Row],[ENERO ]]&gt;45,Tabla1[[#This Row],[ENERO ]]/45-1,0))</f>
        <v>0</v>
      </c>
      <c r="AH6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7" s="100">
        <f>IF(Tabla1[[#This Row],[TIPO DE CONSUMIDOR]]="MEDIO",IF(Tabla1[[#This Row],[MARZO]]&gt;22.5,Tabla1[[#This Row],[MARZO]]/22.5-1,0),IF(Tabla1[[#This Row],[MARZO]]&gt;45,Tabla1[[#This Row],[MARZO]]/45-1,0))</f>
        <v>0</v>
      </c>
      <c r="AJ67" s="100">
        <f>IF(Tabla1[[#This Row],[TIPO DE CONSUMIDOR]]="MEDIO",IF(Tabla1[[#This Row],[ABRIL]]&gt;22.5,Tabla1[[#This Row],[ABRIL]]/22.5-1,0),IF(Tabla1[[#This Row],[ABRIL]]&gt;45,Tabla1[[#This Row],[ABRIL]]/45-1,0))</f>
        <v>0</v>
      </c>
      <c r="AK67" s="100">
        <f>IF(Tabla1[[#This Row],[TIPO DE CONSUMIDOR]]="MEDIO",IF(Tabla1[[#This Row],[MAYO ]]&gt;22.5,Tabla1[[#This Row],[MAYO ]]/22.5-1,0),IF(Tabla1[[#This Row],[MAYO ]]&gt;45,Tabla1[[#This Row],[MAYO ]]/45-1,0))</f>
        <v>0</v>
      </c>
      <c r="AL67" s="100">
        <f>IF(Tabla1[[#This Row],[TIPO DE CONSUMIDOR]]="MEDIO",IF(Tabla1[[#This Row],[JUNIO ]]&gt;22.5,Tabla1[[#This Row],[JUNIO ]]/22.5-1,0),IF(Tabla1[[#This Row],[JUNIO ]]&gt;45,Tabla1[[#This Row],[JUNIO ]]/45-1,0))</f>
        <v>0</v>
      </c>
      <c r="AM67" s="100">
        <f>IF(Tabla1[[#This Row],[TIPO DE CONSUMIDOR]]="MEDIO",IF(Tabla1[[#This Row],[JULIO ]]&gt;22.5,Tabla1[[#This Row],[JULIO ]]/22.5-1,0),IF(Tabla1[[#This Row],[JULIO ]]&gt;45,Tabla1[[#This Row],[JULIO ]]/45-1,0))</f>
        <v>0</v>
      </c>
      <c r="AN67" s="100">
        <f>IF(Tabla1[[#This Row],[TIPO DE CONSUMIDOR]]="MEDIO",IF(Tabla1[[#This Row],[AGOSTO]]&gt;22.5,Tabla1[[#This Row],[AGOSTO]]/22.5-1,0),IF(Tabla1[[#This Row],[AGOSTO]]&gt;45,Tabla1[[#This Row],[AGOSTO]]/45-1,0))</f>
        <v>0</v>
      </c>
      <c r="AO6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7" s="101">
        <f t="shared" si="0"/>
        <v>0</v>
      </c>
      <c r="AT67">
        <f>IF(Tabla1[[#This Row],[MES ADEUDO DE AÑOS PASADOS ]]&gt;0,1,0)</f>
        <v>1</v>
      </c>
      <c r="AU67" s="9">
        <f t="shared" si="1"/>
        <v>1</v>
      </c>
      <c r="AV67" s="60">
        <f>IF(Tabla1[[#This Row],[MESES DE ADEUDO DEL AÑO EN CURSO ]]&gt;0,1,0)</f>
        <v>0</v>
      </c>
      <c r="AW67" s="42"/>
      <c r="AX67" s="42"/>
      <c r="AY67" s="42"/>
      <c r="AZ67" s="43"/>
    </row>
    <row r="68" spans="1:52" ht="21.75" thickBot="1" x14ac:dyDescent="0.35">
      <c r="A68" s="106">
        <v>62</v>
      </c>
      <c r="B68" s="5" t="s">
        <v>463</v>
      </c>
      <c r="C68" s="2" t="s">
        <v>461</v>
      </c>
      <c r="D68" s="32"/>
      <c r="E68" s="35" t="s">
        <v>455</v>
      </c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24">
        <f>SUM(Tabla1[[#This Row],[ENERO ]:[DICIEMBRE]])</f>
        <v>0</v>
      </c>
      <c r="W68">
        <v>46</v>
      </c>
      <c r="X68" s="21">
        <f>COUNTIF(Tabla1[[#This Row],[ENERO ]:[DICIEMBRE]],0)-(AS68)-IF(Tabla1[[#This Row],[BAJAS]]="BAJA",IF(Tabla1[[#This Row],[ALTAS]]="ALTA",VLOOKUP(Tabla1[[#This Row],[MES DE ALTA ]],$AW$6:$AX$17,2,FALSE),12)-VLOOKUP(Tabla1[[#This Row],[MES DE BAJA ]],$AW$6:$AX$17,2,FALSE),0)</f>
        <v>0</v>
      </c>
      <c r="Y68" s="68">
        <f>SUM(Tabla1[[#This Row],[MES ADEUDO DE AÑOS PASADOS ]:[MESES DE ADEUDO DEL AÑO EN CURSO ]])-Tabla1[[#This Row],[PAGO DE DEUDA ANTERIOR EN MESES]]</f>
        <v>46</v>
      </c>
      <c r="Z68" s="15">
        <f>Tabla1[[#This Row],[MES ADEUDO DE AÑOS PASADOS ]]*$T$2</f>
        <v>2070</v>
      </c>
      <c r="AA68" s="15">
        <f>Tabla1[[#This Row],[MESES DE ADEUDO DEL AÑO EN CURSO ]]*$T$2</f>
        <v>0</v>
      </c>
      <c r="AB68" s="69">
        <f>SUM(Tabla1[[#This Row],[DEUDA DE LOS MESES PASADOS EN $$]:[DEUDA DEL AÑO 2013 $$ ]])</f>
        <v>2070</v>
      </c>
      <c r="AD68">
        <f>Tabla1[[#This Row],[PAGO DE DEUDA ANTERIOR EN MESES]]*$T$2</f>
        <v>0</v>
      </c>
      <c r="AG68" s="100">
        <f>IF(Tabla1[[#This Row],[TIPO DE CONSUMIDOR]]="MEDIO",IF(Tabla1[[#This Row],[ENERO ]]&gt;22.5,Tabla1[[#This Row],[ENERO ]]/22.5-1,0),IF(Tabla1[[#This Row],[ENERO ]]&gt;45,Tabla1[[#This Row],[ENERO ]]/45-1,0))</f>
        <v>0</v>
      </c>
      <c r="AH6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8" s="100">
        <f>IF(Tabla1[[#This Row],[TIPO DE CONSUMIDOR]]="MEDIO",IF(Tabla1[[#This Row],[MARZO]]&gt;22.5,Tabla1[[#This Row],[MARZO]]/22.5-1,0),IF(Tabla1[[#This Row],[MARZO]]&gt;45,Tabla1[[#This Row],[MARZO]]/45-1,0))</f>
        <v>0</v>
      </c>
      <c r="AJ68" s="100">
        <f>IF(Tabla1[[#This Row],[TIPO DE CONSUMIDOR]]="MEDIO",IF(Tabla1[[#This Row],[ABRIL]]&gt;22.5,Tabla1[[#This Row],[ABRIL]]/22.5-1,0),IF(Tabla1[[#This Row],[ABRIL]]&gt;45,Tabla1[[#This Row],[ABRIL]]/45-1,0))</f>
        <v>0</v>
      </c>
      <c r="AK68" s="100">
        <f>IF(Tabla1[[#This Row],[TIPO DE CONSUMIDOR]]="MEDIO",IF(Tabla1[[#This Row],[MAYO ]]&gt;22.5,Tabla1[[#This Row],[MAYO ]]/22.5-1,0),IF(Tabla1[[#This Row],[MAYO ]]&gt;45,Tabla1[[#This Row],[MAYO ]]/45-1,0))</f>
        <v>0</v>
      </c>
      <c r="AL68" s="100">
        <f>IF(Tabla1[[#This Row],[TIPO DE CONSUMIDOR]]="MEDIO",IF(Tabla1[[#This Row],[JUNIO ]]&gt;22.5,Tabla1[[#This Row],[JUNIO ]]/22.5-1,0),IF(Tabla1[[#This Row],[JUNIO ]]&gt;45,Tabla1[[#This Row],[JUNIO ]]/45-1,0))</f>
        <v>0</v>
      </c>
      <c r="AM68" s="100">
        <f>IF(Tabla1[[#This Row],[TIPO DE CONSUMIDOR]]="MEDIO",IF(Tabla1[[#This Row],[JULIO ]]&gt;22.5,Tabla1[[#This Row],[JULIO ]]/22.5-1,0),IF(Tabla1[[#This Row],[JULIO ]]&gt;45,Tabla1[[#This Row],[JULIO ]]/45-1,0))</f>
        <v>0</v>
      </c>
      <c r="AN68" s="100">
        <f>IF(Tabla1[[#This Row],[TIPO DE CONSUMIDOR]]="MEDIO",IF(Tabla1[[#This Row],[AGOSTO]]&gt;22.5,Tabla1[[#This Row],[AGOSTO]]/22.5-1,0),IF(Tabla1[[#This Row],[AGOSTO]]&gt;45,Tabla1[[#This Row],[AGOSTO]]/45-1,0))</f>
        <v>0</v>
      </c>
      <c r="AO6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8" s="101">
        <f t="shared" si="0"/>
        <v>0</v>
      </c>
      <c r="AT68">
        <f>IF(Tabla1[[#This Row],[MES ADEUDO DE AÑOS PASADOS ]]&gt;0,1,0)</f>
        <v>1</v>
      </c>
      <c r="AU68" s="9">
        <f t="shared" si="1"/>
        <v>1</v>
      </c>
      <c r="AV68" s="60">
        <f>IF(Tabla1[[#This Row],[MESES DE ADEUDO DEL AÑO EN CURSO ]]&gt;0,1,0)</f>
        <v>0</v>
      </c>
      <c r="AW68" s="42"/>
      <c r="AX68" s="42"/>
      <c r="AY68" s="42"/>
      <c r="AZ68" s="43"/>
    </row>
    <row r="69" spans="1:52" ht="21.75" thickBot="1" x14ac:dyDescent="0.35">
      <c r="A69" s="106">
        <v>63</v>
      </c>
      <c r="B69" s="5" t="s">
        <v>226</v>
      </c>
      <c r="C69" s="2" t="s">
        <v>478</v>
      </c>
      <c r="D69" s="32"/>
      <c r="E69" s="35" t="s">
        <v>455</v>
      </c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24">
        <f>SUM(Tabla1[[#This Row],[ENERO ]:[DICIEMBRE]])</f>
        <v>0</v>
      </c>
      <c r="W69">
        <v>0</v>
      </c>
      <c r="X69" s="21">
        <f>COUNTIF(Tabla1[[#This Row],[ENERO ]:[DICIEMBRE]],0)-(AS69)-IF(Tabla1[[#This Row],[BAJAS]]="BAJA",IF(Tabla1[[#This Row],[ALTAS]]="ALTA",VLOOKUP(Tabla1[[#This Row],[MES DE ALTA ]],$AW$6:$AX$17,2,FALSE),12)-VLOOKUP(Tabla1[[#This Row],[MES DE BAJA ]],$AW$6:$AX$17,2,FALSE),0)</f>
        <v>0</v>
      </c>
      <c r="Y69" s="68">
        <f>SUM(Tabla1[[#This Row],[MES ADEUDO DE AÑOS PASADOS ]:[MESES DE ADEUDO DEL AÑO EN CURSO ]])-Tabla1[[#This Row],[PAGO DE DEUDA ANTERIOR EN MESES]]</f>
        <v>0</v>
      </c>
      <c r="Z69" s="15">
        <f>Tabla1[[#This Row],[MES ADEUDO DE AÑOS PASADOS ]]*$T$2</f>
        <v>0</v>
      </c>
      <c r="AA69" s="15">
        <f>Tabla1[[#This Row],[MESES DE ADEUDO DEL AÑO EN CURSO ]]*$T$2</f>
        <v>0</v>
      </c>
      <c r="AB69" s="69">
        <f>SUM(Tabla1[[#This Row],[DEUDA DE LOS MESES PASADOS EN $$]:[DEUDA DEL AÑO 2013 $$ ]])</f>
        <v>0</v>
      </c>
      <c r="AD69">
        <f>Tabla1[[#This Row],[PAGO DE DEUDA ANTERIOR EN MESES]]*$T$2</f>
        <v>0</v>
      </c>
      <c r="AG69" s="100">
        <f>IF(Tabla1[[#This Row],[TIPO DE CONSUMIDOR]]="MEDIO",IF(Tabla1[[#This Row],[ENERO ]]&gt;22.5,Tabla1[[#This Row],[ENERO ]]/22.5-1,0),IF(Tabla1[[#This Row],[ENERO ]]&gt;45,Tabla1[[#This Row],[ENERO ]]/45-1,0))</f>
        <v>0</v>
      </c>
      <c r="AH6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69" s="100">
        <f>IF(Tabla1[[#This Row],[TIPO DE CONSUMIDOR]]="MEDIO",IF(Tabla1[[#This Row],[MARZO]]&gt;22.5,Tabla1[[#This Row],[MARZO]]/22.5-1,0),IF(Tabla1[[#This Row],[MARZO]]&gt;45,Tabla1[[#This Row],[MARZO]]/45-1,0))</f>
        <v>0</v>
      </c>
      <c r="AJ69" s="100">
        <f>IF(Tabla1[[#This Row],[TIPO DE CONSUMIDOR]]="MEDIO",IF(Tabla1[[#This Row],[ABRIL]]&gt;22.5,Tabla1[[#This Row],[ABRIL]]/22.5-1,0),IF(Tabla1[[#This Row],[ABRIL]]&gt;45,Tabla1[[#This Row],[ABRIL]]/45-1,0))</f>
        <v>0</v>
      </c>
      <c r="AK69" s="100">
        <f>IF(Tabla1[[#This Row],[TIPO DE CONSUMIDOR]]="MEDIO",IF(Tabla1[[#This Row],[MAYO ]]&gt;22.5,Tabla1[[#This Row],[MAYO ]]/22.5-1,0),IF(Tabla1[[#This Row],[MAYO ]]&gt;45,Tabla1[[#This Row],[MAYO ]]/45-1,0))</f>
        <v>0</v>
      </c>
      <c r="AL69" s="100">
        <f>IF(Tabla1[[#This Row],[TIPO DE CONSUMIDOR]]="MEDIO",IF(Tabla1[[#This Row],[JUNIO ]]&gt;22.5,Tabla1[[#This Row],[JUNIO ]]/22.5-1,0),IF(Tabla1[[#This Row],[JUNIO ]]&gt;45,Tabla1[[#This Row],[JUNIO ]]/45-1,0))</f>
        <v>0</v>
      </c>
      <c r="AM69" s="100">
        <f>IF(Tabla1[[#This Row],[TIPO DE CONSUMIDOR]]="MEDIO",IF(Tabla1[[#This Row],[JULIO ]]&gt;22.5,Tabla1[[#This Row],[JULIO ]]/22.5-1,0),IF(Tabla1[[#This Row],[JULIO ]]&gt;45,Tabla1[[#This Row],[JULIO ]]/45-1,0))</f>
        <v>0</v>
      </c>
      <c r="AN69" s="100">
        <f>IF(Tabla1[[#This Row],[TIPO DE CONSUMIDOR]]="MEDIO",IF(Tabla1[[#This Row],[AGOSTO]]&gt;22.5,Tabla1[[#This Row],[AGOSTO]]/22.5-1,0),IF(Tabla1[[#This Row],[AGOSTO]]&gt;45,Tabla1[[#This Row],[AGOSTO]]/45-1,0))</f>
        <v>0</v>
      </c>
      <c r="AO6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6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6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6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69" s="101">
        <f t="shared" si="0"/>
        <v>0</v>
      </c>
      <c r="AT69">
        <f>IF(Tabla1[[#This Row],[MES ADEUDO DE AÑOS PASADOS ]]&gt;0,1,0)</f>
        <v>0</v>
      </c>
      <c r="AU69" s="9">
        <f t="shared" si="1"/>
        <v>0</v>
      </c>
      <c r="AV69" s="60">
        <f>IF(Tabla1[[#This Row],[MESES DE ADEUDO DEL AÑO EN CURSO ]]&gt;0,1,0)</f>
        <v>0</v>
      </c>
      <c r="AW69" s="42"/>
      <c r="AX69" s="42"/>
      <c r="AY69" s="42"/>
      <c r="AZ69" s="43"/>
    </row>
    <row r="70" spans="1:52" ht="21.75" thickBot="1" x14ac:dyDescent="0.35">
      <c r="A70" s="106">
        <v>64</v>
      </c>
      <c r="B70" s="47" t="s">
        <v>477</v>
      </c>
      <c r="C70" s="2" t="s">
        <v>478</v>
      </c>
      <c r="D70" s="32"/>
      <c r="E70" s="35" t="s">
        <v>455</v>
      </c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24">
        <f>SUM(Tabla1[[#This Row],[ENERO ]:[DICIEMBRE]])</f>
        <v>0</v>
      </c>
      <c r="W70">
        <v>0</v>
      </c>
      <c r="X70" s="21">
        <f>COUNTIF(Tabla1[[#This Row],[ENERO ]:[DICIEMBRE]],0)-(AS70)-IF(Tabla1[[#This Row],[BAJAS]]="BAJA",IF(Tabla1[[#This Row],[ALTAS]]="ALTA",VLOOKUP(Tabla1[[#This Row],[MES DE ALTA ]],$AW$6:$AX$17,2,FALSE),12)-VLOOKUP(Tabla1[[#This Row],[MES DE BAJA ]],$AW$6:$AX$17,2,FALSE),0)</f>
        <v>0</v>
      </c>
      <c r="Y70" s="68">
        <f>SUM(Tabla1[[#This Row],[MES ADEUDO DE AÑOS PASADOS ]:[MESES DE ADEUDO DEL AÑO EN CURSO ]])-Tabla1[[#This Row],[PAGO DE DEUDA ANTERIOR EN MESES]]</f>
        <v>0</v>
      </c>
      <c r="Z70" s="15">
        <f>Tabla1[[#This Row],[MES ADEUDO DE AÑOS PASADOS ]]*$T$2</f>
        <v>0</v>
      </c>
      <c r="AA70" s="15">
        <f>Tabla1[[#This Row],[MESES DE ADEUDO DEL AÑO EN CURSO ]]*$T$2</f>
        <v>0</v>
      </c>
      <c r="AB70" s="69">
        <f>SUM(Tabla1[[#This Row],[DEUDA DE LOS MESES PASADOS EN $$]:[DEUDA DEL AÑO 2013 $$ ]])</f>
        <v>0</v>
      </c>
      <c r="AD70">
        <f>Tabla1[[#This Row],[PAGO DE DEUDA ANTERIOR EN MESES]]*$T$2</f>
        <v>0</v>
      </c>
      <c r="AG70" s="100">
        <f>IF(Tabla1[[#This Row],[TIPO DE CONSUMIDOR]]="MEDIO",IF(Tabla1[[#This Row],[ENERO ]]&gt;22.5,Tabla1[[#This Row],[ENERO ]]/22.5-1,0),IF(Tabla1[[#This Row],[ENERO ]]&gt;45,Tabla1[[#This Row],[ENERO ]]/45-1,0))</f>
        <v>0</v>
      </c>
      <c r="AH7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0" s="100">
        <f>IF(Tabla1[[#This Row],[TIPO DE CONSUMIDOR]]="MEDIO",IF(Tabla1[[#This Row],[MARZO]]&gt;22.5,Tabla1[[#This Row],[MARZO]]/22.5-1,0),IF(Tabla1[[#This Row],[MARZO]]&gt;45,Tabla1[[#This Row],[MARZO]]/45-1,0))</f>
        <v>0</v>
      </c>
      <c r="AJ70" s="100">
        <f>IF(Tabla1[[#This Row],[TIPO DE CONSUMIDOR]]="MEDIO",IF(Tabla1[[#This Row],[ABRIL]]&gt;22.5,Tabla1[[#This Row],[ABRIL]]/22.5-1,0),IF(Tabla1[[#This Row],[ABRIL]]&gt;45,Tabla1[[#This Row],[ABRIL]]/45-1,0))</f>
        <v>0</v>
      </c>
      <c r="AK70" s="100">
        <f>IF(Tabla1[[#This Row],[TIPO DE CONSUMIDOR]]="MEDIO",IF(Tabla1[[#This Row],[MAYO ]]&gt;22.5,Tabla1[[#This Row],[MAYO ]]/22.5-1,0),IF(Tabla1[[#This Row],[MAYO ]]&gt;45,Tabla1[[#This Row],[MAYO ]]/45-1,0))</f>
        <v>0</v>
      </c>
      <c r="AL70" s="100">
        <f>IF(Tabla1[[#This Row],[TIPO DE CONSUMIDOR]]="MEDIO",IF(Tabla1[[#This Row],[JUNIO ]]&gt;22.5,Tabla1[[#This Row],[JUNIO ]]/22.5-1,0),IF(Tabla1[[#This Row],[JUNIO ]]&gt;45,Tabla1[[#This Row],[JUNIO ]]/45-1,0))</f>
        <v>0</v>
      </c>
      <c r="AM70" s="100">
        <f>IF(Tabla1[[#This Row],[TIPO DE CONSUMIDOR]]="MEDIO",IF(Tabla1[[#This Row],[JULIO ]]&gt;22.5,Tabla1[[#This Row],[JULIO ]]/22.5-1,0),IF(Tabla1[[#This Row],[JULIO ]]&gt;45,Tabla1[[#This Row],[JULIO ]]/45-1,0))</f>
        <v>0</v>
      </c>
      <c r="AN70" s="100">
        <f>IF(Tabla1[[#This Row],[TIPO DE CONSUMIDOR]]="MEDIO",IF(Tabla1[[#This Row],[AGOSTO]]&gt;22.5,Tabla1[[#This Row],[AGOSTO]]/22.5-1,0),IF(Tabla1[[#This Row],[AGOSTO]]&gt;45,Tabla1[[#This Row],[AGOSTO]]/45-1,0))</f>
        <v>0</v>
      </c>
      <c r="AO7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0" s="101">
        <f t="shared" si="0"/>
        <v>0</v>
      </c>
      <c r="AT70">
        <f>IF(Tabla1[[#This Row],[MES ADEUDO DE AÑOS PASADOS ]]&gt;0,1,0)</f>
        <v>0</v>
      </c>
      <c r="AU70" s="9">
        <f t="shared" si="1"/>
        <v>0</v>
      </c>
      <c r="AV70" s="60">
        <f>IF(Tabla1[[#This Row],[MESES DE ADEUDO DEL AÑO EN CURSO ]]&gt;0,1,0)</f>
        <v>0</v>
      </c>
      <c r="AW70" s="42"/>
      <c r="AX70" s="42"/>
      <c r="AY70" s="42"/>
      <c r="AZ70" s="43"/>
    </row>
    <row r="71" spans="1:52" ht="21.75" thickBot="1" x14ac:dyDescent="0.35">
      <c r="A71" s="106">
        <v>65</v>
      </c>
      <c r="B71" s="5" t="s">
        <v>277</v>
      </c>
      <c r="C71" s="2" t="s">
        <v>478</v>
      </c>
      <c r="D71" s="32"/>
      <c r="E71" s="35" t="s">
        <v>455</v>
      </c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24">
        <f>SUM(Tabla1[[#This Row],[ENERO ]:[DICIEMBRE]])</f>
        <v>0</v>
      </c>
      <c r="W71">
        <v>0</v>
      </c>
      <c r="X71" s="21">
        <f>COUNTIF(Tabla1[[#This Row],[ENERO ]:[DICIEMBRE]],0)-(AS71)-IF(Tabla1[[#This Row],[BAJAS]]="BAJA",IF(Tabla1[[#This Row],[ALTAS]]="ALTA",VLOOKUP(Tabla1[[#This Row],[MES DE ALTA ]],$AW$6:$AX$17,2,FALSE),12)-VLOOKUP(Tabla1[[#This Row],[MES DE BAJA ]],$AW$6:$AX$17,2,FALSE),0)</f>
        <v>0</v>
      </c>
      <c r="Y71" s="68">
        <f>SUM(Tabla1[[#This Row],[MES ADEUDO DE AÑOS PASADOS ]:[MESES DE ADEUDO DEL AÑO EN CURSO ]])-Tabla1[[#This Row],[PAGO DE DEUDA ANTERIOR EN MESES]]</f>
        <v>0</v>
      </c>
      <c r="Z71" s="15">
        <f>Tabla1[[#This Row],[MES ADEUDO DE AÑOS PASADOS ]]*$T$2</f>
        <v>0</v>
      </c>
      <c r="AA71" s="15">
        <f>Tabla1[[#This Row],[MESES DE ADEUDO DEL AÑO EN CURSO ]]*$T$2</f>
        <v>0</v>
      </c>
      <c r="AB71" s="69">
        <f>SUM(Tabla1[[#This Row],[DEUDA DE LOS MESES PASADOS EN $$]:[DEUDA DEL AÑO 2013 $$ ]])</f>
        <v>0</v>
      </c>
      <c r="AD71">
        <f>Tabla1[[#This Row],[PAGO DE DEUDA ANTERIOR EN MESES]]*$T$2</f>
        <v>0</v>
      </c>
      <c r="AG71" s="100">
        <f>IF(Tabla1[[#This Row],[TIPO DE CONSUMIDOR]]="MEDIO",IF(Tabla1[[#This Row],[ENERO ]]&gt;22.5,Tabla1[[#This Row],[ENERO ]]/22.5-1,0),IF(Tabla1[[#This Row],[ENERO ]]&gt;45,Tabla1[[#This Row],[ENERO ]]/45-1,0))</f>
        <v>0</v>
      </c>
      <c r="AH7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1" s="100">
        <f>IF(Tabla1[[#This Row],[TIPO DE CONSUMIDOR]]="MEDIO",IF(Tabla1[[#This Row],[MARZO]]&gt;22.5,Tabla1[[#This Row],[MARZO]]/22.5-1,0),IF(Tabla1[[#This Row],[MARZO]]&gt;45,Tabla1[[#This Row],[MARZO]]/45-1,0))</f>
        <v>0</v>
      </c>
      <c r="AJ71" s="100">
        <f>IF(Tabla1[[#This Row],[TIPO DE CONSUMIDOR]]="MEDIO",IF(Tabla1[[#This Row],[ABRIL]]&gt;22.5,Tabla1[[#This Row],[ABRIL]]/22.5-1,0),IF(Tabla1[[#This Row],[ABRIL]]&gt;45,Tabla1[[#This Row],[ABRIL]]/45-1,0))</f>
        <v>0</v>
      </c>
      <c r="AK71" s="100">
        <f>IF(Tabla1[[#This Row],[TIPO DE CONSUMIDOR]]="MEDIO",IF(Tabla1[[#This Row],[MAYO ]]&gt;22.5,Tabla1[[#This Row],[MAYO ]]/22.5-1,0),IF(Tabla1[[#This Row],[MAYO ]]&gt;45,Tabla1[[#This Row],[MAYO ]]/45-1,0))</f>
        <v>0</v>
      </c>
      <c r="AL71" s="100">
        <f>IF(Tabla1[[#This Row],[TIPO DE CONSUMIDOR]]="MEDIO",IF(Tabla1[[#This Row],[JUNIO ]]&gt;22.5,Tabla1[[#This Row],[JUNIO ]]/22.5-1,0),IF(Tabla1[[#This Row],[JUNIO ]]&gt;45,Tabla1[[#This Row],[JUNIO ]]/45-1,0))</f>
        <v>0</v>
      </c>
      <c r="AM71" s="100">
        <f>IF(Tabla1[[#This Row],[TIPO DE CONSUMIDOR]]="MEDIO",IF(Tabla1[[#This Row],[JULIO ]]&gt;22.5,Tabla1[[#This Row],[JULIO ]]/22.5-1,0),IF(Tabla1[[#This Row],[JULIO ]]&gt;45,Tabla1[[#This Row],[JULIO ]]/45-1,0))</f>
        <v>0</v>
      </c>
      <c r="AN71" s="100">
        <f>IF(Tabla1[[#This Row],[TIPO DE CONSUMIDOR]]="MEDIO",IF(Tabla1[[#This Row],[AGOSTO]]&gt;22.5,Tabla1[[#This Row],[AGOSTO]]/22.5-1,0),IF(Tabla1[[#This Row],[AGOSTO]]&gt;45,Tabla1[[#This Row],[AGOSTO]]/45-1,0))</f>
        <v>0</v>
      </c>
      <c r="AO7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1" s="101">
        <f t="shared" ref="AS71:AS134" si="3">SUM(AG71:AR71)</f>
        <v>0</v>
      </c>
      <c r="AT71">
        <f>IF(Tabla1[[#This Row],[MES ADEUDO DE AÑOS PASADOS ]]&gt;0,1,0)</f>
        <v>0</v>
      </c>
      <c r="AU71" s="9">
        <f t="shared" ref="AU71:AU134" si="4">IF(Y71&gt;0,1,0)</f>
        <v>0</v>
      </c>
      <c r="AV71" s="60">
        <f>IF(Tabla1[[#This Row],[MESES DE ADEUDO DEL AÑO EN CURSO ]]&gt;0,1,0)</f>
        <v>0</v>
      </c>
      <c r="AW71" s="42"/>
      <c r="AX71" s="42"/>
      <c r="AY71" s="42"/>
      <c r="AZ71" s="43"/>
    </row>
    <row r="72" spans="1:52" ht="21.75" thickBot="1" x14ac:dyDescent="0.35">
      <c r="A72" s="106">
        <v>66</v>
      </c>
      <c r="B72" s="5" t="s">
        <v>598</v>
      </c>
      <c r="C72" s="2" t="s">
        <v>478</v>
      </c>
      <c r="D72" s="32"/>
      <c r="E72" s="35" t="s">
        <v>455</v>
      </c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24">
        <f>SUM(Tabla1[[#This Row],[ENERO ]:[DICIEMBRE]])</f>
        <v>0</v>
      </c>
      <c r="W72">
        <v>0</v>
      </c>
      <c r="X72" s="21">
        <f>COUNTIF(Tabla1[[#This Row],[ENERO ]:[DICIEMBRE]],0)-(AS72)-IF(Tabla1[[#This Row],[BAJAS]]="BAJA",IF(Tabla1[[#This Row],[ALTAS]]="ALTA",VLOOKUP(Tabla1[[#This Row],[MES DE ALTA ]],$AW$6:$AX$17,2,FALSE),12)-VLOOKUP(Tabla1[[#This Row],[MES DE BAJA ]],$AW$6:$AX$17,2,FALSE),0)</f>
        <v>0</v>
      </c>
      <c r="Y72" s="68">
        <f>SUM(Tabla1[[#This Row],[MES ADEUDO DE AÑOS PASADOS ]:[MESES DE ADEUDO DEL AÑO EN CURSO ]])-Tabla1[[#This Row],[PAGO DE DEUDA ANTERIOR EN MESES]]</f>
        <v>0</v>
      </c>
      <c r="Z72" s="15">
        <f>Tabla1[[#This Row],[MES ADEUDO DE AÑOS PASADOS ]]*$T$2</f>
        <v>0</v>
      </c>
      <c r="AA72" s="15">
        <f>Tabla1[[#This Row],[MESES DE ADEUDO DEL AÑO EN CURSO ]]*$T$2</f>
        <v>0</v>
      </c>
      <c r="AB72" s="69">
        <f>SUM(Tabla1[[#This Row],[DEUDA DE LOS MESES PASADOS EN $$]:[DEUDA DEL AÑO 2013 $$ ]])</f>
        <v>0</v>
      </c>
      <c r="AD72">
        <f>Tabla1[[#This Row],[PAGO DE DEUDA ANTERIOR EN MESES]]*$T$2</f>
        <v>0</v>
      </c>
      <c r="AG72" s="100">
        <f>IF(Tabla1[[#This Row],[TIPO DE CONSUMIDOR]]="MEDIO",IF(Tabla1[[#This Row],[ENERO ]]&gt;22.5,Tabla1[[#This Row],[ENERO ]]/22.5-1,0),IF(Tabla1[[#This Row],[ENERO ]]&gt;45,Tabla1[[#This Row],[ENERO ]]/45-1,0))</f>
        <v>0</v>
      </c>
      <c r="AH7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2" s="100">
        <f>IF(Tabla1[[#This Row],[TIPO DE CONSUMIDOR]]="MEDIO",IF(Tabla1[[#This Row],[MARZO]]&gt;22.5,Tabla1[[#This Row],[MARZO]]/22.5-1,0),IF(Tabla1[[#This Row],[MARZO]]&gt;45,Tabla1[[#This Row],[MARZO]]/45-1,0))</f>
        <v>0</v>
      </c>
      <c r="AJ72" s="100">
        <f>IF(Tabla1[[#This Row],[TIPO DE CONSUMIDOR]]="MEDIO",IF(Tabla1[[#This Row],[ABRIL]]&gt;22.5,Tabla1[[#This Row],[ABRIL]]/22.5-1,0),IF(Tabla1[[#This Row],[ABRIL]]&gt;45,Tabla1[[#This Row],[ABRIL]]/45-1,0))</f>
        <v>0</v>
      </c>
      <c r="AK72" s="100">
        <f>IF(Tabla1[[#This Row],[TIPO DE CONSUMIDOR]]="MEDIO",IF(Tabla1[[#This Row],[MAYO ]]&gt;22.5,Tabla1[[#This Row],[MAYO ]]/22.5-1,0),IF(Tabla1[[#This Row],[MAYO ]]&gt;45,Tabla1[[#This Row],[MAYO ]]/45-1,0))</f>
        <v>0</v>
      </c>
      <c r="AL72" s="100">
        <f>IF(Tabla1[[#This Row],[TIPO DE CONSUMIDOR]]="MEDIO",IF(Tabla1[[#This Row],[JUNIO ]]&gt;22.5,Tabla1[[#This Row],[JUNIO ]]/22.5-1,0),IF(Tabla1[[#This Row],[JUNIO ]]&gt;45,Tabla1[[#This Row],[JUNIO ]]/45-1,0))</f>
        <v>0</v>
      </c>
      <c r="AM72" s="100">
        <f>IF(Tabla1[[#This Row],[TIPO DE CONSUMIDOR]]="MEDIO",IF(Tabla1[[#This Row],[JULIO ]]&gt;22.5,Tabla1[[#This Row],[JULIO ]]/22.5-1,0),IF(Tabla1[[#This Row],[JULIO ]]&gt;45,Tabla1[[#This Row],[JULIO ]]/45-1,0))</f>
        <v>0</v>
      </c>
      <c r="AN72" s="100">
        <f>IF(Tabla1[[#This Row],[TIPO DE CONSUMIDOR]]="MEDIO",IF(Tabla1[[#This Row],[AGOSTO]]&gt;22.5,Tabla1[[#This Row],[AGOSTO]]/22.5-1,0),IF(Tabla1[[#This Row],[AGOSTO]]&gt;45,Tabla1[[#This Row],[AGOSTO]]/45-1,0))</f>
        <v>0</v>
      </c>
      <c r="AO7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2" s="101">
        <f t="shared" si="3"/>
        <v>0</v>
      </c>
      <c r="AT72">
        <f>IF(Tabla1[[#This Row],[MES ADEUDO DE AÑOS PASADOS ]]&gt;0,1,0)</f>
        <v>0</v>
      </c>
      <c r="AU72" s="9">
        <f t="shared" si="4"/>
        <v>0</v>
      </c>
      <c r="AV72" s="60">
        <f>IF(Tabla1[[#This Row],[MESES DE ADEUDO DEL AÑO EN CURSO ]]&gt;0,1,0)</f>
        <v>0</v>
      </c>
      <c r="AW72" s="42"/>
      <c r="AX72" s="42"/>
      <c r="AY72" s="42"/>
      <c r="AZ72" s="43"/>
    </row>
    <row r="73" spans="1:52" ht="21.75" thickBot="1" x14ac:dyDescent="0.35">
      <c r="A73" s="106">
        <v>67</v>
      </c>
      <c r="B73" s="5" t="s">
        <v>403</v>
      </c>
      <c r="C73" s="2" t="s">
        <v>478</v>
      </c>
      <c r="D73" s="32"/>
      <c r="E73" s="35" t="s">
        <v>455</v>
      </c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24">
        <f>SUM(Tabla1[[#This Row],[ENERO ]:[DICIEMBRE]])</f>
        <v>0</v>
      </c>
      <c r="W73">
        <v>0</v>
      </c>
      <c r="X73" s="21">
        <f>COUNTIF(Tabla1[[#This Row],[ENERO ]:[DICIEMBRE]],0)-(AS73)-IF(Tabla1[[#This Row],[BAJAS]]="BAJA",IF(Tabla1[[#This Row],[ALTAS]]="ALTA",VLOOKUP(Tabla1[[#This Row],[MES DE ALTA ]],$AW$6:$AX$17,2,FALSE),12)-VLOOKUP(Tabla1[[#This Row],[MES DE BAJA ]],$AW$6:$AX$17,2,FALSE),0)</f>
        <v>0</v>
      </c>
      <c r="Y73" s="68">
        <f>SUM(Tabla1[[#This Row],[MES ADEUDO DE AÑOS PASADOS ]:[MESES DE ADEUDO DEL AÑO EN CURSO ]])-Tabla1[[#This Row],[PAGO DE DEUDA ANTERIOR EN MESES]]</f>
        <v>0</v>
      </c>
      <c r="Z73" s="15">
        <f>Tabla1[[#This Row],[MES ADEUDO DE AÑOS PASADOS ]]*$T$2</f>
        <v>0</v>
      </c>
      <c r="AA73" s="15">
        <f>Tabla1[[#This Row],[MESES DE ADEUDO DEL AÑO EN CURSO ]]*$T$2</f>
        <v>0</v>
      </c>
      <c r="AB73" s="69">
        <f>SUM(Tabla1[[#This Row],[DEUDA DE LOS MESES PASADOS EN $$]:[DEUDA DEL AÑO 2013 $$ ]])</f>
        <v>0</v>
      </c>
      <c r="AD73">
        <f>Tabla1[[#This Row],[PAGO DE DEUDA ANTERIOR EN MESES]]*$T$2</f>
        <v>0</v>
      </c>
      <c r="AG73" s="100">
        <f>IF(Tabla1[[#This Row],[TIPO DE CONSUMIDOR]]="MEDIO",IF(Tabla1[[#This Row],[ENERO ]]&gt;22.5,Tabla1[[#This Row],[ENERO ]]/22.5-1,0),IF(Tabla1[[#This Row],[ENERO ]]&gt;45,Tabla1[[#This Row],[ENERO ]]/45-1,0))</f>
        <v>0</v>
      </c>
      <c r="AH7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3" s="100">
        <f>IF(Tabla1[[#This Row],[TIPO DE CONSUMIDOR]]="MEDIO",IF(Tabla1[[#This Row],[MARZO]]&gt;22.5,Tabla1[[#This Row],[MARZO]]/22.5-1,0),IF(Tabla1[[#This Row],[MARZO]]&gt;45,Tabla1[[#This Row],[MARZO]]/45-1,0))</f>
        <v>0</v>
      </c>
      <c r="AJ73" s="100">
        <f>IF(Tabla1[[#This Row],[TIPO DE CONSUMIDOR]]="MEDIO",IF(Tabla1[[#This Row],[ABRIL]]&gt;22.5,Tabla1[[#This Row],[ABRIL]]/22.5-1,0),IF(Tabla1[[#This Row],[ABRIL]]&gt;45,Tabla1[[#This Row],[ABRIL]]/45-1,0))</f>
        <v>0</v>
      </c>
      <c r="AK73" s="100">
        <f>IF(Tabla1[[#This Row],[TIPO DE CONSUMIDOR]]="MEDIO",IF(Tabla1[[#This Row],[MAYO ]]&gt;22.5,Tabla1[[#This Row],[MAYO ]]/22.5-1,0),IF(Tabla1[[#This Row],[MAYO ]]&gt;45,Tabla1[[#This Row],[MAYO ]]/45-1,0))</f>
        <v>0</v>
      </c>
      <c r="AL73" s="100">
        <f>IF(Tabla1[[#This Row],[TIPO DE CONSUMIDOR]]="MEDIO",IF(Tabla1[[#This Row],[JUNIO ]]&gt;22.5,Tabla1[[#This Row],[JUNIO ]]/22.5-1,0),IF(Tabla1[[#This Row],[JUNIO ]]&gt;45,Tabla1[[#This Row],[JUNIO ]]/45-1,0))</f>
        <v>0</v>
      </c>
      <c r="AM73" s="100">
        <f>IF(Tabla1[[#This Row],[TIPO DE CONSUMIDOR]]="MEDIO",IF(Tabla1[[#This Row],[JULIO ]]&gt;22.5,Tabla1[[#This Row],[JULIO ]]/22.5-1,0),IF(Tabla1[[#This Row],[JULIO ]]&gt;45,Tabla1[[#This Row],[JULIO ]]/45-1,0))</f>
        <v>0</v>
      </c>
      <c r="AN73" s="100">
        <f>IF(Tabla1[[#This Row],[TIPO DE CONSUMIDOR]]="MEDIO",IF(Tabla1[[#This Row],[AGOSTO]]&gt;22.5,Tabla1[[#This Row],[AGOSTO]]/22.5-1,0),IF(Tabla1[[#This Row],[AGOSTO]]&gt;45,Tabla1[[#This Row],[AGOSTO]]/45-1,0))</f>
        <v>0</v>
      </c>
      <c r="AO7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3" s="101">
        <f t="shared" si="3"/>
        <v>0</v>
      </c>
      <c r="AT73">
        <f>IF(Tabla1[[#This Row],[MES ADEUDO DE AÑOS PASADOS ]]&gt;0,1,0)</f>
        <v>0</v>
      </c>
      <c r="AU73" s="9">
        <f t="shared" si="4"/>
        <v>0</v>
      </c>
      <c r="AV73" s="60">
        <f>IF(Tabla1[[#This Row],[MESES DE ADEUDO DEL AÑO EN CURSO ]]&gt;0,1,0)</f>
        <v>0</v>
      </c>
      <c r="AW73" s="42"/>
      <c r="AX73" s="42"/>
      <c r="AY73" s="42"/>
      <c r="AZ73" s="43"/>
    </row>
    <row r="74" spans="1:52" ht="21.75" thickBot="1" x14ac:dyDescent="0.35">
      <c r="A74" s="106">
        <v>68</v>
      </c>
      <c r="B74" s="5" t="s">
        <v>57</v>
      </c>
      <c r="C74" s="2" t="s">
        <v>478</v>
      </c>
      <c r="D74" s="32"/>
      <c r="E74" s="35" t="s">
        <v>455</v>
      </c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24">
        <f>SUM(Tabla1[[#This Row],[ENERO ]:[DICIEMBRE]])</f>
        <v>0</v>
      </c>
      <c r="W74">
        <v>5</v>
      </c>
      <c r="X74" s="21">
        <f>COUNTIF(Tabla1[[#This Row],[ENERO ]:[DICIEMBRE]],0)-(AS74)-IF(Tabla1[[#This Row],[BAJAS]]="BAJA",IF(Tabla1[[#This Row],[ALTAS]]="ALTA",VLOOKUP(Tabla1[[#This Row],[MES DE ALTA ]],$AW$6:$AX$17,2,FALSE),12)-VLOOKUP(Tabla1[[#This Row],[MES DE BAJA ]],$AW$6:$AX$17,2,FALSE),0)</f>
        <v>0</v>
      </c>
      <c r="Y74" s="68">
        <f>SUM(Tabla1[[#This Row],[MES ADEUDO DE AÑOS PASADOS ]:[MESES DE ADEUDO DEL AÑO EN CURSO ]])-Tabla1[[#This Row],[PAGO DE DEUDA ANTERIOR EN MESES]]</f>
        <v>5</v>
      </c>
      <c r="Z74" s="15">
        <f>Tabla1[[#This Row],[MES ADEUDO DE AÑOS PASADOS ]]*$T$2</f>
        <v>225</v>
      </c>
      <c r="AA74" s="15">
        <f>Tabla1[[#This Row],[MESES DE ADEUDO DEL AÑO EN CURSO ]]*$T$2</f>
        <v>0</v>
      </c>
      <c r="AB74" s="69">
        <f>SUM(Tabla1[[#This Row],[DEUDA DE LOS MESES PASADOS EN $$]:[DEUDA DEL AÑO 2013 $$ ]])</f>
        <v>225</v>
      </c>
      <c r="AD74">
        <f>Tabla1[[#This Row],[PAGO DE DEUDA ANTERIOR EN MESES]]*$T$2</f>
        <v>0</v>
      </c>
      <c r="AG74" s="100">
        <f>IF(Tabla1[[#This Row],[TIPO DE CONSUMIDOR]]="MEDIO",IF(Tabla1[[#This Row],[ENERO ]]&gt;22.5,Tabla1[[#This Row],[ENERO ]]/22.5-1,0),IF(Tabla1[[#This Row],[ENERO ]]&gt;45,Tabla1[[#This Row],[ENERO ]]/45-1,0))</f>
        <v>0</v>
      </c>
      <c r="AH7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4" s="100">
        <f>IF(Tabla1[[#This Row],[TIPO DE CONSUMIDOR]]="MEDIO",IF(Tabla1[[#This Row],[MARZO]]&gt;22.5,Tabla1[[#This Row],[MARZO]]/22.5-1,0),IF(Tabla1[[#This Row],[MARZO]]&gt;45,Tabla1[[#This Row],[MARZO]]/45-1,0))</f>
        <v>0</v>
      </c>
      <c r="AJ74" s="100">
        <f>IF(Tabla1[[#This Row],[TIPO DE CONSUMIDOR]]="MEDIO",IF(Tabla1[[#This Row],[ABRIL]]&gt;22.5,Tabla1[[#This Row],[ABRIL]]/22.5-1,0),IF(Tabla1[[#This Row],[ABRIL]]&gt;45,Tabla1[[#This Row],[ABRIL]]/45-1,0))</f>
        <v>0</v>
      </c>
      <c r="AK74" s="100">
        <f>IF(Tabla1[[#This Row],[TIPO DE CONSUMIDOR]]="MEDIO",IF(Tabla1[[#This Row],[MAYO ]]&gt;22.5,Tabla1[[#This Row],[MAYO ]]/22.5-1,0),IF(Tabla1[[#This Row],[MAYO ]]&gt;45,Tabla1[[#This Row],[MAYO ]]/45-1,0))</f>
        <v>0</v>
      </c>
      <c r="AL74" s="100">
        <f>IF(Tabla1[[#This Row],[TIPO DE CONSUMIDOR]]="MEDIO",IF(Tabla1[[#This Row],[JUNIO ]]&gt;22.5,Tabla1[[#This Row],[JUNIO ]]/22.5-1,0),IF(Tabla1[[#This Row],[JUNIO ]]&gt;45,Tabla1[[#This Row],[JUNIO ]]/45-1,0))</f>
        <v>0</v>
      </c>
      <c r="AM74" s="100">
        <f>IF(Tabla1[[#This Row],[TIPO DE CONSUMIDOR]]="MEDIO",IF(Tabla1[[#This Row],[JULIO ]]&gt;22.5,Tabla1[[#This Row],[JULIO ]]/22.5-1,0),IF(Tabla1[[#This Row],[JULIO ]]&gt;45,Tabla1[[#This Row],[JULIO ]]/45-1,0))</f>
        <v>0</v>
      </c>
      <c r="AN74" s="100">
        <f>IF(Tabla1[[#This Row],[TIPO DE CONSUMIDOR]]="MEDIO",IF(Tabla1[[#This Row],[AGOSTO]]&gt;22.5,Tabla1[[#This Row],[AGOSTO]]/22.5-1,0),IF(Tabla1[[#This Row],[AGOSTO]]&gt;45,Tabla1[[#This Row],[AGOSTO]]/45-1,0))</f>
        <v>0</v>
      </c>
      <c r="AO7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4" s="101">
        <f t="shared" si="3"/>
        <v>0</v>
      </c>
      <c r="AT74">
        <f>IF(Tabla1[[#This Row],[MES ADEUDO DE AÑOS PASADOS ]]&gt;0,1,0)</f>
        <v>1</v>
      </c>
      <c r="AU74" s="9">
        <f t="shared" si="4"/>
        <v>1</v>
      </c>
      <c r="AV74" s="60">
        <f>IF(Tabla1[[#This Row],[MESES DE ADEUDO DEL AÑO EN CURSO ]]&gt;0,1,0)</f>
        <v>0</v>
      </c>
      <c r="AW74" s="42"/>
      <c r="AX74" s="42"/>
      <c r="AY74" s="42"/>
      <c r="AZ74" s="43"/>
    </row>
    <row r="75" spans="1:52" ht="21.75" thickBot="1" x14ac:dyDescent="0.35">
      <c r="A75" s="106">
        <v>69</v>
      </c>
      <c r="B75" s="5" t="s">
        <v>125</v>
      </c>
      <c r="C75" s="2" t="s">
        <v>478</v>
      </c>
      <c r="D75" s="32"/>
      <c r="E75" s="35" t="s">
        <v>455</v>
      </c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24">
        <f>SUM(Tabla1[[#This Row],[ENERO ]:[DICIEMBRE]])</f>
        <v>0</v>
      </c>
      <c r="W75">
        <v>15</v>
      </c>
      <c r="X75" s="21">
        <f>COUNTIF(Tabla1[[#This Row],[ENERO ]:[DICIEMBRE]],0)-(AS75)-IF(Tabla1[[#This Row],[BAJAS]]="BAJA",IF(Tabla1[[#This Row],[ALTAS]]="ALTA",VLOOKUP(Tabla1[[#This Row],[MES DE ALTA ]],$AW$6:$AX$17,2,FALSE),12)-VLOOKUP(Tabla1[[#This Row],[MES DE BAJA ]],$AW$6:$AX$17,2,FALSE),0)</f>
        <v>0</v>
      </c>
      <c r="Y75" s="68">
        <f>SUM(Tabla1[[#This Row],[MES ADEUDO DE AÑOS PASADOS ]:[MESES DE ADEUDO DEL AÑO EN CURSO ]])-Tabla1[[#This Row],[PAGO DE DEUDA ANTERIOR EN MESES]]</f>
        <v>15</v>
      </c>
      <c r="Z75" s="15">
        <f>Tabla1[[#This Row],[MES ADEUDO DE AÑOS PASADOS ]]*$T$2</f>
        <v>675</v>
      </c>
      <c r="AA75" s="15">
        <f>Tabla1[[#This Row],[MESES DE ADEUDO DEL AÑO EN CURSO ]]*$T$2</f>
        <v>0</v>
      </c>
      <c r="AB75" s="69">
        <f>SUM(Tabla1[[#This Row],[DEUDA DE LOS MESES PASADOS EN $$]:[DEUDA DEL AÑO 2013 $$ ]])</f>
        <v>675</v>
      </c>
      <c r="AD75">
        <f>Tabla1[[#This Row],[PAGO DE DEUDA ANTERIOR EN MESES]]*$T$2</f>
        <v>0</v>
      </c>
      <c r="AG75" s="100">
        <f>IF(Tabla1[[#This Row],[TIPO DE CONSUMIDOR]]="MEDIO",IF(Tabla1[[#This Row],[ENERO ]]&gt;22.5,Tabla1[[#This Row],[ENERO ]]/22.5-1,0),IF(Tabla1[[#This Row],[ENERO ]]&gt;45,Tabla1[[#This Row],[ENERO ]]/45-1,0))</f>
        <v>0</v>
      </c>
      <c r="AH7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5" s="100">
        <f>IF(Tabla1[[#This Row],[TIPO DE CONSUMIDOR]]="MEDIO",IF(Tabla1[[#This Row],[MARZO]]&gt;22.5,Tabla1[[#This Row],[MARZO]]/22.5-1,0),IF(Tabla1[[#This Row],[MARZO]]&gt;45,Tabla1[[#This Row],[MARZO]]/45-1,0))</f>
        <v>0</v>
      </c>
      <c r="AJ75" s="100">
        <f>IF(Tabla1[[#This Row],[TIPO DE CONSUMIDOR]]="MEDIO",IF(Tabla1[[#This Row],[ABRIL]]&gt;22.5,Tabla1[[#This Row],[ABRIL]]/22.5-1,0),IF(Tabla1[[#This Row],[ABRIL]]&gt;45,Tabla1[[#This Row],[ABRIL]]/45-1,0))</f>
        <v>0</v>
      </c>
      <c r="AK75" s="100">
        <f>IF(Tabla1[[#This Row],[TIPO DE CONSUMIDOR]]="MEDIO",IF(Tabla1[[#This Row],[MAYO ]]&gt;22.5,Tabla1[[#This Row],[MAYO ]]/22.5-1,0),IF(Tabla1[[#This Row],[MAYO ]]&gt;45,Tabla1[[#This Row],[MAYO ]]/45-1,0))</f>
        <v>0</v>
      </c>
      <c r="AL75" s="100">
        <f>IF(Tabla1[[#This Row],[TIPO DE CONSUMIDOR]]="MEDIO",IF(Tabla1[[#This Row],[JUNIO ]]&gt;22.5,Tabla1[[#This Row],[JUNIO ]]/22.5-1,0),IF(Tabla1[[#This Row],[JUNIO ]]&gt;45,Tabla1[[#This Row],[JUNIO ]]/45-1,0))</f>
        <v>0</v>
      </c>
      <c r="AM75" s="100">
        <f>IF(Tabla1[[#This Row],[TIPO DE CONSUMIDOR]]="MEDIO",IF(Tabla1[[#This Row],[JULIO ]]&gt;22.5,Tabla1[[#This Row],[JULIO ]]/22.5-1,0),IF(Tabla1[[#This Row],[JULIO ]]&gt;45,Tabla1[[#This Row],[JULIO ]]/45-1,0))</f>
        <v>0</v>
      </c>
      <c r="AN75" s="100">
        <f>IF(Tabla1[[#This Row],[TIPO DE CONSUMIDOR]]="MEDIO",IF(Tabla1[[#This Row],[AGOSTO]]&gt;22.5,Tabla1[[#This Row],[AGOSTO]]/22.5-1,0),IF(Tabla1[[#This Row],[AGOSTO]]&gt;45,Tabla1[[#This Row],[AGOSTO]]/45-1,0))</f>
        <v>0</v>
      </c>
      <c r="AO7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5" s="101">
        <f t="shared" si="3"/>
        <v>0</v>
      </c>
      <c r="AT75">
        <f>IF(Tabla1[[#This Row],[MES ADEUDO DE AÑOS PASADOS ]]&gt;0,1,0)</f>
        <v>1</v>
      </c>
      <c r="AU75" s="9">
        <f t="shared" si="4"/>
        <v>1</v>
      </c>
      <c r="AV75" s="60">
        <f>IF(Tabla1[[#This Row],[MESES DE ADEUDO DEL AÑO EN CURSO ]]&gt;0,1,0)</f>
        <v>0</v>
      </c>
      <c r="AW75" s="42"/>
      <c r="AX75" s="42"/>
      <c r="AY75" s="42"/>
      <c r="AZ75" s="43"/>
    </row>
    <row r="76" spans="1:52" ht="21.75" thickBot="1" x14ac:dyDescent="0.35">
      <c r="A76" s="106">
        <v>70</v>
      </c>
      <c r="B76" s="5" t="s">
        <v>53</v>
      </c>
      <c r="C76" s="2" t="s">
        <v>478</v>
      </c>
      <c r="D76" s="32"/>
      <c r="E76" s="35" t="s">
        <v>455</v>
      </c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24">
        <f>SUM(Tabla1[[#This Row],[ENERO ]:[DICIEMBRE]])</f>
        <v>0</v>
      </c>
      <c r="W76">
        <v>21</v>
      </c>
      <c r="X76" s="21">
        <f>COUNTIF(Tabla1[[#This Row],[ENERO ]:[DICIEMBRE]],0)-(AS76)-IF(Tabla1[[#This Row],[BAJAS]]="BAJA",IF(Tabla1[[#This Row],[ALTAS]]="ALTA",VLOOKUP(Tabla1[[#This Row],[MES DE ALTA ]],$AW$6:$AX$17,2,FALSE),12)-VLOOKUP(Tabla1[[#This Row],[MES DE BAJA ]],$AW$6:$AX$17,2,FALSE),0)</f>
        <v>0</v>
      </c>
      <c r="Y76" s="68">
        <f>SUM(Tabla1[[#This Row],[MES ADEUDO DE AÑOS PASADOS ]:[MESES DE ADEUDO DEL AÑO EN CURSO ]])-Tabla1[[#This Row],[PAGO DE DEUDA ANTERIOR EN MESES]]</f>
        <v>21</v>
      </c>
      <c r="Z76" s="15">
        <f>Tabla1[[#This Row],[MES ADEUDO DE AÑOS PASADOS ]]*$T$2</f>
        <v>945</v>
      </c>
      <c r="AA76" s="15">
        <f>Tabla1[[#This Row],[MESES DE ADEUDO DEL AÑO EN CURSO ]]*$T$2</f>
        <v>0</v>
      </c>
      <c r="AB76" s="69">
        <f>SUM(Tabla1[[#This Row],[DEUDA DE LOS MESES PASADOS EN $$]:[DEUDA DEL AÑO 2013 $$ ]])</f>
        <v>945</v>
      </c>
      <c r="AD76">
        <f>Tabla1[[#This Row],[PAGO DE DEUDA ANTERIOR EN MESES]]*$T$2</f>
        <v>0</v>
      </c>
      <c r="AG76" s="100">
        <f>IF(Tabla1[[#This Row],[TIPO DE CONSUMIDOR]]="MEDIO",IF(Tabla1[[#This Row],[ENERO ]]&gt;22.5,Tabla1[[#This Row],[ENERO ]]/22.5-1,0),IF(Tabla1[[#This Row],[ENERO ]]&gt;45,Tabla1[[#This Row],[ENERO ]]/45-1,0))</f>
        <v>0</v>
      </c>
      <c r="AH7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6" s="100">
        <f>IF(Tabla1[[#This Row],[TIPO DE CONSUMIDOR]]="MEDIO",IF(Tabla1[[#This Row],[MARZO]]&gt;22.5,Tabla1[[#This Row],[MARZO]]/22.5-1,0),IF(Tabla1[[#This Row],[MARZO]]&gt;45,Tabla1[[#This Row],[MARZO]]/45-1,0))</f>
        <v>0</v>
      </c>
      <c r="AJ76" s="100">
        <f>IF(Tabla1[[#This Row],[TIPO DE CONSUMIDOR]]="MEDIO",IF(Tabla1[[#This Row],[ABRIL]]&gt;22.5,Tabla1[[#This Row],[ABRIL]]/22.5-1,0),IF(Tabla1[[#This Row],[ABRIL]]&gt;45,Tabla1[[#This Row],[ABRIL]]/45-1,0))</f>
        <v>0</v>
      </c>
      <c r="AK76" s="100">
        <f>IF(Tabla1[[#This Row],[TIPO DE CONSUMIDOR]]="MEDIO",IF(Tabla1[[#This Row],[MAYO ]]&gt;22.5,Tabla1[[#This Row],[MAYO ]]/22.5-1,0),IF(Tabla1[[#This Row],[MAYO ]]&gt;45,Tabla1[[#This Row],[MAYO ]]/45-1,0))</f>
        <v>0</v>
      </c>
      <c r="AL76" s="100">
        <f>IF(Tabla1[[#This Row],[TIPO DE CONSUMIDOR]]="MEDIO",IF(Tabla1[[#This Row],[JUNIO ]]&gt;22.5,Tabla1[[#This Row],[JUNIO ]]/22.5-1,0),IF(Tabla1[[#This Row],[JUNIO ]]&gt;45,Tabla1[[#This Row],[JUNIO ]]/45-1,0))</f>
        <v>0</v>
      </c>
      <c r="AM76" s="100">
        <f>IF(Tabla1[[#This Row],[TIPO DE CONSUMIDOR]]="MEDIO",IF(Tabla1[[#This Row],[JULIO ]]&gt;22.5,Tabla1[[#This Row],[JULIO ]]/22.5-1,0),IF(Tabla1[[#This Row],[JULIO ]]&gt;45,Tabla1[[#This Row],[JULIO ]]/45-1,0))</f>
        <v>0</v>
      </c>
      <c r="AN76" s="100">
        <f>IF(Tabla1[[#This Row],[TIPO DE CONSUMIDOR]]="MEDIO",IF(Tabla1[[#This Row],[AGOSTO]]&gt;22.5,Tabla1[[#This Row],[AGOSTO]]/22.5-1,0),IF(Tabla1[[#This Row],[AGOSTO]]&gt;45,Tabla1[[#This Row],[AGOSTO]]/45-1,0))</f>
        <v>0</v>
      </c>
      <c r="AO7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6" s="101">
        <f t="shared" si="3"/>
        <v>0</v>
      </c>
      <c r="AT76">
        <f>IF(Tabla1[[#This Row],[MES ADEUDO DE AÑOS PASADOS ]]&gt;0,1,0)</f>
        <v>1</v>
      </c>
      <c r="AU76" s="9">
        <f t="shared" si="4"/>
        <v>1</v>
      </c>
      <c r="AV76" s="60">
        <f>IF(Tabla1[[#This Row],[MESES DE ADEUDO DEL AÑO EN CURSO ]]&gt;0,1,0)</f>
        <v>0</v>
      </c>
      <c r="AW76" s="42"/>
      <c r="AX76" s="42"/>
      <c r="AY76" s="42"/>
      <c r="AZ76" s="43"/>
    </row>
    <row r="77" spans="1:52" ht="21.75" thickBot="1" x14ac:dyDescent="0.35">
      <c r="A77" s="106">
        <v>71</v>
      </c>
      <c r="B77" s="5" t="s">
        <v>479</v>
      </c>
      <c r="C77" s="2" t="s">
        <v>480</v>
      </c>
      <c r="D77" s="32"/>
      <c r="E77" s="35" t="s">
        <v>455</v>
      </c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24">
        <f>SUM(Tabla1[[#This Row],[ENERO ]:[DICIEMBRE]])</f>
        <v>0</v>
      </c>
      <c r="W77">
        <v>0</v>
      </c>
      <c r="X77" s="21">
        <f>COUNTIF(Tabla1[[#This Row],[ENERO ]:[DICIEMBRE]],0)-(AS77)-IF(Tabla1[[#This Row],[BAJAS]]="BAJA",IF(Tabla1[[#This Row],[ALTAS]]="ALTA",VLOOKUP(Tabla1[[#This Row],[MES DE ALTA ]],$AW$6:$AX$17,2,FALSE),12)-VLOOKUP(Tabla1[[#This Row],[MES DE BAJA ]],$AW$6:$AX$17,2,FALSE),0)</f>
        <v>0</v>
      </c>
      <c r="Y77" s="68">
        <f>SUM(Tabla1[[#This Row],[MES ADEUDO DE AÑOS PASADOS ]:[MESES DE ADEUDO DEL AÑO EN CURSO ]])-Tabla1[[#This Row],[PAGO DE DEUDA ANTERIOR EN MESES]]</f>
        <v>0</v>
      </c>
      <c r="Z77" s="15">
        <f>Tabla1[[#This Row],[MES ADEUDO DE AÑOS PASADOS ]]*$T$2</f>
        <v>0</v>
      </c>
      <c r="AA77" s="15">
        <f>Tabla1[[#This Row],[MESES DE ADEUDO DEL AÑO EN CURSO ]]*$T$2</f>
        <v>0</v>
      </c>
      <c r="AB77" s="69">
        <f>SUM(Tabla1[[#This Row],[DEUDA DE LOS MESES PASADOS EN $$]:[DEUDA DEL AÑO 2013 $$ ]])</f>
        <v>0</v>
      </c>
      <c r="AD77">
        <f>Tabla1[[#This Row],[PAGO DE DEUDA ANTERIOR EN MESES]]*$T$2</f>
        <v>0</v>
      </c>
      <c r="AG77" s="100">
        <f>IF(Tabla1[[#This Row],[TIPO DE CONSUMIDOR]]="MEDIO",IF(Tabla1[[#This Row],[ENERO ]]&gt;22.5,Tabla1[[#This Row],[ENERO ]]/22.5-1,0),IF(Tabla1[[#This Row],[ENERO ]]&gt;45,Tabla1[[#This Row],[ENERO ]]/45-1,0))</f>
        <v>0</v>
      </c>
      <c r="AH7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7" s="100">
        <f>IF(Tabla1[[#This Row],[TIPO DE CONSUMIDOR]]="MEDIO",IF(Tabla1[[#This Row],[MARZO]]&gt;22.5,Tabla1[[#This Row],[MARZO]]/22.5-1,0),IF(Tabla1[[#This Row],[MARZO]]&gt;45,Tabla1[[#This Row],[MARZO]]/45-1,0))</f>
        <v>0</v>
      </c>
      <c r="AJ77" s="100">
        <f>IF(Tabla1[[#This Row],[TIPO DE CONSUMIDOR]]="MEDIO",IF(Tabla1[[#This Row],[ABRIL]]&gt;22.5,Tabla1[[#This Row],[ABRIL]]/22.5-1,0),IF(Tabla1[[#This Row],[ABRIL]]&gt;45,Tabla1[[#This Row],[ABRIL]]/45-1,0))</f>
        <v>0</v>
      </c>
      <c r="AK77" s="100">
        <f>IF(Tabla1[[#This Row],[TIPO DE CONSUMIDOR]]="MEDIO",IF(Tabla1[[#This Row],[MAYO ]]&gt;22.5,Tabla1[[#This Row],[MAYO ]]/22.5-1,0),IF(Tabla1[[#This Row],[MAYO ]]&gt;45,Tabla1[[#This Row],[MAYO ]]/45-1,0))</f>
        <v>0</v>
      </c>
      <c r="AL77" s="100">
        <f>IF(Tabla1[[#This Row],[TIPO DE CONSUMIDOR]]="MEDIO",IF(Tabla1[[#This Row],[JUNIO ]]&gt;22.5,Tabla1[[#This Row],[JUNIO ]]/22.5-1,0),IF(Tabla1[[#This Row],[JUNIO ]]&gt;45,Tabla1[[#This Row],[JUNIO ]]/45-1,0))</f>
        <v>0</v>
      </c>
      <c r="AM77" s="100">
        <f>IF(Tabla1[[#This Row],[TIPO DE CONSUMIDOR]]="MEDIO",IF(Tabla1[[#This Row],[JULIO ]]&gt;22.5,Tabla1[[#This Row],[JULIO ]]/22.5-1,0),IF(Tabla1[[#This Row],[JULIO ]]&gt;45,Tabla1[[#This Row],[JULIO ]]/45-1,0))</f>
        <v>0</v>
      </c>
      <c r="AN77" s="100">
        <f>IF(Tabla1[[#This Row],[TIPO DE CONSUMIDOR]]="MEDIO",IF(Tabla1[[#This Row],[AGOSTO]]&gt;22.5,Tabla1[[#This Row],[AGOSTO]]/22.5-1,0),IF(Tabla1[[#This Row],[AGOSTO]]&gt;45,Tabla1[[#This Row],[AGOSTO]]/45-1,0))</f>
        <v>0</v>
      </c>
      <c r="AO7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7" s="101">
        <f t="shared" si="3"/>
        <v>0</v>
      </c>
      <c r="AT77">
        <f>IF(Tabla1[[#This Row],[MES ADEUDO DE AÑOS PASADOS ]]&gt;0,1,0)</f>
        <v>0</v>
      </c>
      <c r="AU77" s="9">
        <f t="shared" si="4"/>
        <v>0</v>
      </c>
      <c r="AV77" s="60">
        <f>IF(Tabla1[[#This Row],[MESES DE ADEUDO DEL AÑO EN CURSO ]]&gt;0,1,0)</f>
        <v>0</v>
      </c>
      <c r="AW77" s="42"/>
      <c r="AX77" s="42"/>
      <c r="AY77" s="42"/>
      <c r="AZ77" s="43"/>
    </row>
    <row r="78" spans="1:52" ht="21.75" thickBot="1" x14ac:dyDescent="0.35">
      <c r="A78" s="106">
        <v>72</v>
      </c>
      <c r="B78" s="5" t="s">
        <v>481</v>
      </c>
      <c r="C78" s="2" t="s">
        <v>480</v>
      </c>
      <c r="D78" s="32"/>
      <c r="E78" s="35" t="s">
        <v>455</v>
      </c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24">
        <f>SUM(Tabla1[[#This Row],[ENERO ]:[DICIEMBRE]])</f>
        <v>0</v>
      </c>
      <c r="W78">
        <v>0</v>
      </c>
      <c r="X78" s="21">
        <f>COUNTIF(Tabla1[[#This Row],[ENERO ]:[DICIEMBRE]],0)-(AS78)-IF(Tabla1[[#This Row],[BAJAS]]="BAJA",IF(Tabla1[[#This Row],[ALTAS]]="ALTA",VLOOKUP(Tabla1[[#This Row],[MES DE ALTA ]],$AW$6:$AX$17,2,FALSE),12)-VLOOKUP(Tabla1[[#This Row],[MES DE BAJA ]],$AW$6:$AX$17,2,FALSE),0)</f>
        <v>0</v>
      </c>
      <c r="Y78" s="68">
        <f>SUM(Tabla1[[#This Row],[MES ADEUDO DE AÑOS PASADOS ]:[MESES DE ADEUDO DEL AÑO EN CURSO ]])-Tabla1[[#This Row],[PAGO DE DEUDA ANTERIOR EN MESES]]</f>
        <v>0</v>
      </c>
      <c r="Z78" s="15">
        <f>Tabla1[[#This Row],[MES ADEUDO DE AÑOS PASADOS ]]*$T$2</f>
        <v>0</v>
      </c>
      <c r="AA78" s="15">
        <f>Tabla1[[#This Row],[MESES DE ADEUDO DEL AÑO EN CURSO ]]*$T$2</f>
        <v>0</v>
      </c>
      <c r="AB78" s="69">
        <f>SUM(Tabla1[[#This Row],[DEUDA DE LOS MESES PASADOS EN $$]:[DEUDA DEL AÑO 2013 $$ ]])</f>
        <v>0</v>
      </c>
      <c r="AD78">
        <f>Tabla1[[#This Row],[PAGO DE DEUDA ANTERIOR EN MESES]]*$T$2</f>
        <v>0</v>
      </c>
      <c r="AG78" s="100">
        <f>IF(Tabla1[[#This Row],[TIPO DE CONSUMIDOR]]="MEDIO",IF(Tabla1[[#This Row],[ENERO ]]&gt;22.5,Tabla1[[#This Row],[ENERO ]]/22.5-1,0),IF(Tabla1[[#This Row],[ENERO ]]&gt;45,Tabla1[[#This Row],[ENERO ]]/45-1,0))</f>
        <v>0</v>
      </c>
      <c r="AH7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8" s="100">
        <f>IF(Tabla1[[#This Row],[TIPO DE CONSUMIDOR]]="MEDIO",IF(Tabla1[[#This Row],[MARZO]]&gt;22.5,Tabla1[[#This Row],[MARZO]]/22.5-1,0),IF(Tabla1[[#This Row],[MARZO]]&gt;45,Tabla1[[#This Row],[MARZO]]/45-1,0))</f>
        <v>0</v>
      </c>
      <c r="AJ78" s="100">
        <f>IF(Tabla1[[#This Row],[TIPO DE CONSUMIDOR]]="MEDIO",IF(Tabla1[[#This Row],[ABRIL]]&gt;22.5,Tabla1[[#This Row],[ABRIL]]/22.5-1,0),IF(Tabla1[[#This Row],[ABRIL]]&gt;45,Tabla1[[#This Row],[ABRIL]]/45-1,0))</f>
        <v>0</v>
      </c>
      <c r="AK78" s="100">
        <f>IF(Tabla1[[#This Row],[TIPO DE CONSUMIDOR]]="MEDIO",IF(Tabla1[[#This Row],[MAYO ]]&gt;22.5,Tabla1[[#This Row],[MAYO ]]/22.5-1,0),IF(Tabla1[[#This Row],[MAYO ]]&gt;45,Tabla1[[#This Row],[MAYO ]]/45-1,0))</f>
        <v>0</v>
      </c>
      <c r="AL78" s="100">
        <f>IF(Tabla1[[#This Row],[TIPO DE CONSUMIDOR]]="MEDIO",IF(Tabla1[[#This Row],[JUNIO ]]&gt;22.5,Tabla1[[#This Row],[JUNIO ]]/22.5-1,0),IF(Tabla1[[#This Row],[JUNIO ]]&gt;45,Tabla1[[#This Row],[JUNIO ]]/45-1,0))</f>
        <v>0</v>
      </c>
      <c r="AM78" s="100">
        <f>IF(Tabla1[[#This Row],[TIPO DE CONSUMIDOR]]="MEDIO",IF(Tabla1[[#This Row],[JULIO ]]&gt;22.5,Tabla1[[#This Row],[JULIO ]]/22.5-1,0),IF(Tabla1[[#This Row],[JULIO ]]&gt;45,Tabla1[[#This Row],[JULIO ]]/45-1,0))</f>
        <v>0</v>
      </c>
      <c r="AN78" s="100">
        <f>IF(Tabla1[[#This Row],[TIPO DE CONSUMIDOR]]="MEDIO",IF(Tabla1[[#This Row],[AGOSTO]]&gt;22.5,Tabla1[[#This Row],[AGOSTO]]/22.5-1,0),IF(Tabla1[[#This Row],[AGOSTO]]&gt;45,Tabla1[[#This Row],[AGOSTO]]/45-1,0))</f>
        <v>0</v>
      </c>
      <c r="AO7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8" s="101">
        <f t="shared" si="3"/>
        <v>0</v>
      </c>
      <c r="AT78">
        <f>IF(Tabla1[[#This Row],[MES ADEUDO DE AÑOS PASADOS ]]&gt;0,1,0)</f>
        <v>0</v>
      </c>
      <c r="AU78" s="9">
        <f t="shared" si="4"/>
        <v>0</v>
      </c>
      <c r="AV78" s="60">
        <f>IF(Tabla1[[#This Row],[MESES DE ADEUDO DEL AÑO EN CURSO ]]&gt;0,1,0)</f>
        <v>0</v>
      </c>
      <c r="AW78" s="42"/>
      <c r="AX78" s="42"/>
      <c r="AY78" s="42"/>
      <c r="AZ78" s="43"/>
    </row>
    <row r="79" spans="1:52" ht="21.75" thickBot="1" x14ac:dyDescent="0.35">
      <c r="A79" s="106">
        <v>73</v>
      </c>
      <c r="B79" s="5" t="s">
        <v>482</v>
      </c>
      <c r="C79" s="2" t="s">
        <v>480</v>
      </c>
      <c r="D79" s="32"/>
      <c r="E79" s="35" t="s">
        <v>455</v>
      </c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24">
        <f>SUM(Tabla1[[#This Row],[ENERO ]:[DICIEMBRE]])</f>
        <v>0</v>
      </c>
      <c r="W79">
        <v>0</v>
      </c>
      <c r="X79" s="21">
        <f>COUNTIF(Tabla1[[#This Row],[ENERO ]:[DICIEMBRE]],0)-(AS79)-IF(Tabla1[[#This Row],[BAJAS]]="BAJA",IF(Tabla1[[#This Row],[ALTAS]]="ALTA",VLOOKUP(Tabla1[[#This Row],[MES DE ALTA ]],$AW$6:$AX$17,2,FALSE),12)-VLOOKUP(Tabla1[[#This Row],[MES DE BAJA ]],$AW$6:$AX$17,2,FALSE),0)</f>
        <v>0</v>
      </c>
      <c r="Y79" s="68">
        <f>SUM(Tabla1[[#This Row],[MES ADEUDO DE AÑOS PASADOS ]:[MESES DE ADEUDO DEL AÑO EN CURSO ]])-Tabla1[[#This Row],[PAGO DE DEUDA ANTERIOR EN MESES]]</f>
        <v>0</v>
      </c>
      <c r="Z79" s="15">
        <f>Tabla1[[#This Row],[MES ADEUDO DE AÑOS PASADOS ]]*$T$2</f>
        <v>0</v>
      </c>
      <c r="AA79" s="15">
        <f>Tabla1[[#This Row],[MESES DE ADEUDO DEL AÑO EN CURSO ]]*$T$2</f>
        <v>0</v>
      </c>
      <c r="AB79" s="69">
        <f>SUM(Tabla1[[#This Row],[DEUDA DE LOS MESES PASADOS EN $$]:[DEUDA DEL AÑO 2013 $$ ]])</f>
        <v>0</v>
      </c>
      <c r="AD79">
        <f>Tabla1[[#This Row],[PAGO DE DEUDA ANTERIOR EN MESES]]*$T$2</f>
        <v>0</v>
      </c>
      <c r="AG79" s="100">
        <f>IF(Tabla1[[#This Row],[TIPO DE CONSUMIDOR]]="MEDIO",IF(Tabla1[[#This Row],[ENERO ]]&gt;22.5,Tabla1[[#This Row],[ENERO ]]/22.5-1,0),IF(Tabla1[[#This Row],[ENERO ]]&gt;45,Tabla1[[#This Row],[ENERO ]]/45-1,0))</f>
        <v>0</v>
      </c>
      <c r="AH7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79" s="100">
        <f>IF(Tabla1[[#This Row],[TIPO DE CONSUMIDOR]]="MEDIO",IF(Tabla1[[#This Row],[MARZO]]&gt;22.5,Tabla1[[#This Row],[MARZO]]/22.5-1,0),IF(Tabla1[[#This Row],[MARZO]]&gt;45,Tabla1[[#This Row],[MARZO]]/45-1,0))</f>
        <v>0</v>
      </c>
      <c r="AJ79" s="100">
        <f>IF(Tabla1[[#This Row],[TIPO DE CONSUMIDOR]]="MEDIO",IF(Tabla1[[#This Row],[ABRIL]]&gt;22.5,Tabla1[[#This Row],[ABRIL]]/22.5-1,0),IF(Tabla1[[#This Row],[ABRIL]]&gt;45,Tabla1[[#This Row],[ABRIL]]/45-1,0))</f>
        <v>0</v>
      </c>
      <c r="AK79" s="100">
        <f>IF(Tabla1[[#This Row],[TIPO DE CONSUMIDOR]]="MEDIO",IF(Tabla1[[#This Row],[MAYO ]]&gt;22.5,Tabla1[[#This Row],[MAYO ]]/22.5-1,0),IF(Tabla1[[#This Row],[MAYO ]]&gt;45,Tabla1[[#This Row],[MAYO ]]/45-1,0))</f>
        <v>0</v>
      </c>
      <c r="AL79" s="100">
        <f>IF(Tabla1[[#This Row],[TIPO DE CONSUMIDOR]]="MEDIO",IF(Tabla1[[#This Row],[JUNIO ]]&gt;22.5,Tabla1[[#This Row],[JUNIO ]]/22.5-1,0),IF(Tabla1[[#This Row],[JUNIO ]]&gt;45,Tabla1[[#This Row],[JUNIO ]]/45-1,0))</f>
        <v>0</v>
      </c>
      <c r="AM79" s="100">
        <f>IF(Tabla1[[#This Row],[TIPO DE CONSUMIDOR]]="MEDIO",IF(Tabla1[[#This Row],[JULIO ]]&gt;22.5,Tabla1[[#This Row],[JULIO ]]/22.5-1,0),IF(Tabla1[[#This Row],[JULIO ]]&gt;45,Tabla1[[#This Row],[JULIO ]]/45-1,0))</f>
        <v>0</v>
      </c>
      <c r="AN79" s="100">
        <f>IF(Tabla1[[#This Row],[TIPO DE CONSUMIDOR]]="MEDIO",IF(Tabla1[[#This Row],[AGOSTO]]&gt;22.5,Tabla1[[#This Row],[AGOSTO]]/22.5-1,0),IF(Tabla1[[#This Row],[AGOSTO]]&gt;45,Tabla1[[#This Row],[AGOSTO]]/45-1,0))</f>
        <v>0</v>
      </c>
      <c r="AO7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7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7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7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79" s="101">
        <f t="shared" si="3"/>
        <v>0</v>
      </c>
      <c r="AT79">
        <f>IF(Tabla1[[#This Row],[MES ADEUDO DE AÑOS PASADOS ]]&gt;0,1,0)</f>
        <v>0</v>
      </c>
      <c r="AU79" s="9">
        <f t="shared" si="4"/>
        <v>0</v>
      </c>
      <c r="AV79" s="60">
        <f>IF(Tabla1[[#This Row],[MESES DE ADEUDO DEL AÑO EN CURSO ]]&gt;0,1,0)</f>
        <v>0</v>
      </c>
      <c r="AW79" s="42"/>
      <c r="AX79" s="42"/>
      <c r="AY79" s="42"/>
      <c r="AZ79" s="43"/>
    </row>
    <row r="80" spans="1:52" ht="21.75" thickBot="1" x14ac:dyDescent="0.35">
      <c r="A80" s="106">
        <v>74</v>
      </c>
      <c r="B80" s="5" t="s">
        <v>20</v>
      </c>
      <c r="C80" s="2" t="s">
        <v>480</v>
      </c>
      <c r="D80" s="32"/>
      <c r="E80" s="35" t="s">
        <v>455</v>
      </c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24">
        <f>SUM(Tabla1[[#This Row],[ENERO ]:[DICIEMBRE]])</f>
        <v>0</v>
      </c>
      <c r="W80">
        <v>0</v>
      </c>
      <c r="X80" s="21">
        <f>COUNTIF(Tabla1[[#This Row],[ENERO ]:[DICIEMBRE]],0)-(AS80)-IF(Tabla1[[#This Row],[BAJAS]]="BAJA",IF(Tabla1[[#This Row],[ALTAS]]="ALTA",VLOOKUP(Tabla1[[#This Row],[MES DE ALTA ]],$AW$6:$AX$17,2,FALSE),12)-VLOOKUP(Tabla1[[#This Row],[MES DE BAJA ]],$AW$6:$AX$17,2,FALSE),0)</f>
        <v>0</v>
      </c>
      <c r="Y80" s="68">
        <f>SUM(Tabla1[[#This Row],[MES ADEUDO DE AÑOS PASADOS ]:[MESES DE ADEUDO DEL AÑO EN CURSO ]])-Tabla1[[#This Row],[PAGO DE DEUDA ANTERIOR EN MESES]]</f>
        <v>0</v>
      </c>
      <c r="Z80" s="15">
        <f>Tabla1[[#This Row],[MES ADEUDO DE AÑOS PASADOS ]]*$T$2</f>
        <v>0</v>
      </c>
      <c r="AA80" s="15">
        <f>Tabla1[[#This Row],[MESES DE ADEUDO DEL AÑO EN CURSO ]]*$T$2</f>
        <v>0</v>
      </c>
      <c r="AB80" s="69">
        <f>SUM(Tabla1[[#This Row],[DEUDA DE LOS MESES PASADOS EN $$]:[DEUDA DEL AÑO 2013 $$ ]])</f>
        <v>0</v>
      </c>
      <c r="AD80">
        <f>Tabla1[[#This Row],[PAGO DE DEUDA ANTERIOR EN MESES]]*$T$2</f>
        <v>0</v>
      </c>
      <c r="AG80" s="100">
        <f>IF(Tabla1[[#This Row],[TIPO DE CONSUMIDOR]]="MEDIO",IF(Tabla1[[#This Row],[ENERO ]]&gt;22.5,Tabla1[[#This Row],[ENERO ]]/22.5-1,0),IF(Tabla1[[#This Row],[ENERO ]]&gt;45,Tabla1[[#This Row],[ENERO ]]/45-1,0))</f>
        <v>0</v>
      </c>
      <c r="AH8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0" s="100">
        <f>IF(Tabla1[[#This Row],[TIPO DE CONSUMIDOR]]="MEDIO",IF(Tabla1[[#This Row],[MARZO]]&gt;22.5,Tabla1[[#This Row],[MARZO]]/22.5-1,0),IF(Tabla1[[#This Row],[MARZO]]&gt;45,Tabla1[[#This Row],[MARZO]]/45-1,0))</f>
        <v>0</v>
      </c>
      <c r="AJ80" s="100">
        <f>IF(Tabla1[[#This Row],[TIPO DE CONSUMIDOR]]="MEDIO",IF(Tabla1[[#This Row],[ABRIL]]&gt;22.5,Tabla1[[#This Row],[ABRIL]]/22.5-1,0),IF(Tabla1[[#This Row],[ABRIL]]&gt;45,Tabla1[[#This Row],[ABRIL]]/45-1,0))</f>
        <v>0</v>
      </c>
      <c r="AK80" s="100">
        <f>IF(Tabla1[[#This Row],[TIPO DE CONSUMIDOR]]="MEDIO",IF(Tabla1[[#This Row],[MAYO ]]&gt;22.5,Tabla1[[#This Row],[MAYO ]]/22.5-1,0),IF(Tabla1[[#This Row],[MAYO ]]&gt;45,Tabla1[[#This Row],[MAYO ]]/45-1,0))</f>
        <v>0</v>
      </c>
      <c r="AL80" s="100">
        <f>IF(Tabla1[[#This Row],[TIPO DE CONSUMIDOR]]="MEDIO",IF(Tabla1[[#This Row],[JUNIO ]]&gt;22.5,Tabla1[[#This Row],[JUNIO ]]/22.5-1,0),IF(Tabla1[[#This Row],[JUNIO ]]&gt;45,Tabla1[[#This Row],[JUNIO ]]/45-1,0))</f>
        <v>0</v>
      </c>
      <c r="AM80" s="100">
        <f>IF(Tabla1[[#This Row],[TIPO DE CONSUMIDOR]]="MEDIO",IF(Tabla1[[#This Row],[JULIO ]]&gt;22.5,Tabla1[[#This Row],[JULIO ]]/22.5-1,0),IF(Tabla1[[#This Row],[JULIO ]]&gt;45,Tabla1[[#This Row],[JULIO ]]/45-1,0))</f>
        <v>0</v>
      </c>
      <c r="AN80" s="100">
        <f>IF(Tabla1[[#This Row],[TIPO DE CONSUMIDOR]]="MEDIO",IF(Tabla1[[#This Row],[AGOSTO]]&gt;22.5,Tabla1[[#This Row],[AGOSTO]]/22.5-1,0),IF(Tabla1[[#This Row],[AGOSTO]]&gt;45,Tabla1[[#This Row],[AGOSTO]]/45-1,0))</f>
        <v>0</v>
      </c>
      <c r="AO8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0" s="101">
        <f t="shared" si="3"/>
        <v>0</v>
      </c>
      <c r="AT80">
        <f>IF(Tabla1[[#This Row],[MES ADEUDO DE AÑOS PASADOS ]]&gt;0,1,0)</f>
        <v>0</v>
      </c>
      <c r="AU80" s="9">
        <f t="shared" si="4"/>
        <v>0</v>
      </c>
      <c r="AV80" s="60">
        <f>IF(Tabla1[[#This Row],[MESES DE ADEUDO DEL AÑO EN CURSO ]]&gt;0,1,0)</f>
        <v>0</v>
      </c>
      <c r="AW80" s="42"/>
      <c r="AX80" s="42"/>
      <c r="AY80" s="42"/>
      <c r="AZ80" s="43"/>
    </row>
    <row r="81" spans="1:52" ht="21.75" thickBot="1" x14ac:dyDescent="0.35">
      <c r="A81" s="106">
        <v>75</v>
      </c>
      <c r="B81" s="5" t="s">
        <v>67</v>
      </c>
      <c r="C81" s="2" t="s">
        <v>480</v>
      </c>
      <c r="D81" s="32"/>
      <c r="E81" s="35" t="s">
        <v>455</v>
      </c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24">
        <f>SUM(Tabla1[[#This Row],[ENERO ]:[DICIEMBRE]])</f>
        <v>0</v>
      </c>
      <c r="W81">
        <v>0</v>
      </c>
      <c r="X81" s="21">
        <f>COUNTIF(Tabla1[[#This Row],[ENERO ]:[DICIEMBRE]],0)-(AS81)-IF(Tabla1[[#This Row],[BAJAS]]="BAJA",IF(Tabla1[[#This Row],[ALTAS]]="ALTA",VLOOKUP(Tabla1[[#This Row],[MES DE ALTA ]],$AW$6:$AX$17,2,FALSE),12)-VLOOKUP(Tabla1[[#This Row],[MES DE BAJA ]],$AW$6:$AX$17,2,FALSE),0)</f>
        <v>0</v>
      </c>
      <c r="Y81" s="68">
        <f>SUM(Tabla1[[#This Row],[MES ADEUDO DE AÑOS PASADOS ]:[MESES DE ADEUDO DEL AÑO EN CURSO ]])-Tabla1[[#This Row],[PAGO DE DEUDA ANTERIOR EN MESES]]</f>
        <v>0</v>
      </c>
      <c r="Z81" s="15">
        <f>Tabla1[[#This Row],[MES ADEUDO DE AÑOS PASADOS ]]*$T$2</f>
        <v>0</v>
      </c>
      <c r="AA81" s="15">
        <f>Tabla1[[#This Row],[MESES DE ADEUDO DEL AÑO EN CURSO ]]*$T$2</f>
        <v>0</v>
      </c>
      <c r="AB81" s="69">
        <f>SUM(Tabla1[[#This Row],[DEUDA DE LOS MESES PASADOS EN $$]:[DEUDA DEL AÑO 2013 $$ ]])</f>
        <v>0</v>
      </c>
      <c r="AD81">
        <f>Tabla1[[#This Row],[PAGO DE DEUDA ANTERIOR EN MESES]]*$T$2</f>
        <v>0</v>
      </c>
      <c r="AG81" s="100">
        <f>IF(Tabla1[[#This Row],[TIPO DE CONSUMIDOR]]="MEDIO",IF(Tabla1[[#This Row],[ENERO ]]&gt;22.5,Tabla1[[#This Row],[ENERO ]]/22.5-1,0),IF(Tabla1[[#This Row],[ENERO ]]&gt;45,Tabla1[[#This Row],[ENERO ]]/45-1,0))</f>
        <v>0</v>
      </c>
      <c r="AH8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1" s="100">
        <f>IF(Tabla1[[#This Row],[TIPO DE CONSUMIDOR]]="MEDIO",IF(Tabla1[[#This Row],[MARZO]]&gt;22.5,Tabla1[[#This Row],[MARZO]]/22.5-1,0),IF(Tabla1[[#This Row],[MARZO]]&gt;45,Tabla1[[#This Row],[MARZO]]/45-1,0))</f>
        <v>0</v>
      </c>
      <c r="AJ81" s="100">
        <f>IF(Tabla1[[#This Row],[TIPO DE CONSUMIDOR]]="MEDIO",IF(Tabla1[[#This Row],[ABRIL]]&gt;22.5,Tabla1[[#This Row],[ABRIL]]/22.5-1,0),IF(Tabla1[[#This Row],[ABRIL]]&gt;45,Tabla1[[#This Row],[ABRIL]]/45-1,0))</f>
        <v>0</v>
      </c>
      <c r="AK81" s="100">
        <f>IF(Tabla1[[#This Row],[TIPO DE CONSUMIDOR]]="MEDIO",IF(Tabla1[[#This Row],[MAYO ]]&gt;22.5,Tabla1[[#This Row],[MAYO ]]/22.5-1,0),IF(Tabla1[[#This Row],[MAYO ]]&gt;45,Tabla1[[#This Row],[MAYO ]]/45-1,0))</f>
        <v>0</v>
      </c>
      <c r="AL81" s="100">
        <f>IF(Tabla1[[#This Row],[TIPO DE CONSUMIDOR]]="MEDIO",IF(Tabla1[[#This Row],[JUNIO ]]&gt;22.5,Tabla1[[#This Row],[JUNIO ]]/22.5-1,0),IF(Tabla1[[#This Row],[JUNIO ]]&gt;45,Tabla1[[#This Row],[JUNIO ]]/45-1,0))</f>
        <v>0</v>
      </c>
      <c r="AM81" s="100">
        <f>IF(Tabla1[[#This Row],[TIPO DE CONSUMIDOR]]="MEDIO",IF(Tabla1[[#This Row],[JULIO ]]&gt;22.5,Tabla1[[#This Row],[JULIO ]]/22.5-1,0),IF(Tabla1[[#This Row],[JULIO ]]&gt;45,Tabla1[[#This Row],[JULIO ]]/45-1,0))</f>
        <v>0</v>
      </c>
      <c r="AN81" s="100">
        <f>IF(Tabla1[[#This Row],[TIPO DE CONSUMIDOR]]="MEDIO",IF(Tabla1[[#This Row],[AGOSTO]]&gt;22.5,Tabla1[[#This Row],[AGOSTO]]/22.5-1,0),IF(Tabla1[[#This Row],[AGOSTO]]&gt;45,Tabla1[[#This Row],[AGOSTO]]/45-1,0))</f>
        <v>0</v>
      </c>
      <c r="AO8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1" s="101">
        <f t="shared" si="3"/>
        <v>0</v>
      </c>
      <c r="AT81">
        <f>IF(Tabla1[[#This Row],[MES ADEUDO DE AÑOS PASADOS ]]&gt;0,1,0)</f>
        <v>0</v>
      </c>
      <c r="AU81" s="9">
        <f t="shared" si="4"/>
        <v>0</v>
      </c>
      <c r="AV81" s="60">
        <f>IF(Tabla1[[#This Row],[MESES DE ADEUDO DEL AÑO EN CURSO ]]&gt;0,1,0)</f>
        <v>0</v>
      </c>
      <c r="AW81" s="42"/>
      <c r="AX81" s="42"/>
      <c r="AY81" s="42"/>
      <c r="AZ81" s="43"/>
    </row>
    <row r="82" spans="1:52" ht="21.75" thickBot="1" x14ac:dyDescent="0.35">
      <c r="A82" s="106">
        <v>76</v>
      </c>
      <c r="B82" s="5" t="s">
        <v>65</v>
      </c>
      <c r="C82" s="2" t="s">
        <v>480</v>
      </c>
      <c r="D82" s="32"/>
      <c r="E82" s="35" t="s">
        <v>455</v>
      </c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24">
        <f>SUM(Tabla1[[#This Row],[ENERO ]:[DICIEMBRE]])</f>
        <v>0</v>
      </c>
      <c r="W82">
        <v>0</v>
      </c>
      <c r="X82" s="21">
        <f>COUNTIF(Tabla1[[#This Row],[ENERO ]:[DICIEMBRE]],0)-(AS82)-IF(Tabla1[[#This Row],[BAJAS]]="BAJA",IF(Tabla1[[#This Row],[ALTAS]]="ALTA",VLOOKUP(Tabla1[[#This Row],[MES DE ALTA ]],$AW$6:$AX$17,2,FALSE),12)-VLOOKUP(Tabla1[[#This Row],[MES DE BAJA ]],$AW$6:$AX$17,2,FALSE),0)</f>
        <v>0</v>
      </c>
      <c r="Y82" s="68">
        <f>SUM(Tabla1[[#This Row],[MES ADEUDO DE AÑOS PASADOS ]:[MESES DE ADEUDO DEL AÑO EN CURSO ]])-Tabla1[[#This Row],[PAGO DE DEUDA ANTERIOR EN MESES]]</f>
        <v>0</v>
      </c>
      <c r="Z82" s="15">
        <f>Tabla1[[#This Row],[MES ADEUDO DE AÑOS PASADOS ]]*$T$2</f>
        <v>0</v>
      </c>
      <c r="AA82" s="15">
        <f>Tabla1[[#This Row],[MESES DE ADEUDO DEL AÑO EN CURSO ]]*$T$2</f>
        <v>0</v>
      </c>
      <c r="AB82" s="69">
        <f>SUM(Tabla1[[#This Row],[DEUDA DE LOS MESES PASADOS EN $$]:[DEUDA DEL AÑO 2013 $$ ]])</f>
        <v>0</v>
      </c>
      <c r="AD82">
        <f>Tabla1[[#This Row],[PAGO DE DEUDA ANTERIOR EN MESES]]*$T$2</f>
        <v>0</v>
      </c>
      <c r="AG82" s="100">
        <f>IF(Tabla1[[#This Row],[TIPO DE CONSUMIDOR]]="MEDIO",IF(Tabla1[[#This Row],[ENERO ]]&gt;22.5,Tabla1[[#This Row],[ENERO ]]/22.5-1,0),IF(Tabla1[[#This Row],[ENERO ]]&gt;45,Tabla1[[#This Row],[ENERO ]]/45-1,0))</f>
        <v>0</v>
      </c>
      <c r="AH8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2" s="100">
        <f>IF(Tabla1[[#This Row],[TIPO DE CONSUMIDOR]]="MEDIO",IF(Tabla1[[#This Row],[MARZO]]&gt;22.5,Tabla1[[#This Row],[MARZO]]/22.5-1,0),IF(Tabla1[[#This Row],[MARZO]]&gt;45,Tabla1[[#This Row],[MARZO]]/45-1,0))</f>
        <v>0</v>
      </c>
      <c r="AJ82" s="100">
        <f>IF(Tabla1[[#This Row],[TIPO DE CONSUMIDOR]]="MEDIO",IF(Tabla1[[#This Row],[ABRIL]]&gt;22.5,Tabla1[[#This Row],[ABRIL]]/22.5-1,0),IF(Tabla1[[#This Row],[ABRIL]]&gt;45,Tabla1[[#This Row],[ABRIL]]/45-1,0))</f>
        <v>0</v>
      </c>
      <c r="AK82" s="100">
        <f>IF(Tabla1[[#This Row],[TIPO DE CONSUMIDOR]]="MEDIO",IF(Tabla1[[#This Row],[MAYO ]]&gt;22.5,Tabla1[[#This Row],[MAYO ]]/22.5-1,0),IF(Tabla1[[#This Row],[MAYO ]]&gt;45,Tabla1[[#This Row],[MAYO ]]/45-1,0))</f>
        <v>0</v>
      </c>
      <c r="AL82" s="100">
        <f>IF(Tabla1[[#This Row],[TIPO DE CONSUMIDOR]]="MEDIO",IF(Tabla1[[#This Row],[JUNIO ]]&gt;22.5,Tabla1[[#This Row],[JUNIO ]]/22.5-1,0),IF(Tabla1[[#This Row],[JUNIO ]]&gt;45,Tabla1[[#This Row],[JUNIO ]]/45-1,0))</f>
        <v>0</v>
      </c>
      <c r="AM82" s="100">
        <f>IF(Tabla1[[#This Row],[TIPO DE CONSUMIDOR]]="MEDIO",IF(Tabla1[[#This Row],[JULIO ]]&gt;22.5,Tabla1[[#This Row],[JULIO ]]/22.5-1,0),IF(Tabla1[[#This Row],[JULIO ]]&gt;45,Tabla1[[#This Row],[JULIO ]]/45-1,0))</f>
        <v>0</v>
      </c>
      <c r="AN82" s="100">
        <f>IF(Tabla1[[#This Row],[TIPO DE CONSUMIDOR]]="MEDIO",IF(Tabla1[[#This Row],[AGOSTO]]&gt;22.5,Tabla1[[#This Row],[AGOSTO]]/22.5-1,0),IF(Tabla1[[#This Row],[AGOSTO]]&gt;45,Tabla1[[#This Row],[AGOSTO]]/45-1,0))</f>
        <v>0</v>
      </c>
      <c r="AO8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2" s="101">
        <f t="shared" si="3"/>
        <v>0</v>
      </c>
      <c r="AT82">
        <f>IF(Tabla1[[#This Row],[MES ADEUDO DE AÑOS PASADOS ]]&gt;0,1,0)</f>
        <v>0</v>
      </c>
      <c r="AU82" s="9">
        <f t="shared" si="4"/>
        <v>0</v>
      </c>
      <c r="AV82" s="60">
        <f>IF(Tabla1[[#This Row],[MESES DE ADEUDO DEL AÑO EN CURSO ]]&gt;0,1,0)</f>
        <v>0</v>
      </c>
      <c r="AW82" s="42"/>
      <c r="AX82" s="42"/>
      <c r="AY82" s="42"/>
      <c r="AZ82" s="43"/>
    </row>
    <row r="83" spans="1:52" ht="21.75" thickBot="1" x14ac:dyDescent="0.35">
      <c r="A83" s="106">
        <v>77</v>
      </c>
      <c r="B83" s="5" t="s">
        <v>84</v>
      </c>
      <c r="C83" s="2" t="s">
        <v>480</v>
      </c>
      <c r="D83" s="32"/>
      <c r="E83" s="35" t="s">
        <v>455</v>
      </c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24">
        <f>SUM(Tabla1[[#This Row],[ENERO ]:[DICIEMBRE]])</f>
        <v>0</v>
      </c>
      <c r="W83">
        <v>0</v>
      </c>
      <c r="X83" s="21">
        <f>COUNTIF(Tabla1[[#This Row],[ENERO ]:[DICIEMBRE]],0)-(AS83)-IF(Tabla1[[#This Row],[BAJAS]]="BAJA",IF(Tabla1[[#This Row],[ALTAS]]="ALTA",VLOOKUP(Tabla1[[#This Row],[MES DE ALTA ]],$AW$6:$AX$17,2,FALSE),12)-VLOOKUP(Tabla1[[#This Row],[MES DE BAJA ]],$AW$6:$AX$17,2,FALSE),0)</f>
        <v>0</v>
      </c>
      <c r="Y83" s="68">
        <f>SUM(Tabla1[[#This Row],[MES ADEUDO DE AÑOS PASADOS ]:[MESES DE ADEUDO DEL AÑO EN CURSO ]])-Tabla1[[#This Row],[PAGO DE DEUDA ANTERIOR EN MESES]]</f>
        <v>0</v>
      </c>
      <c r="Z83" s="15">
        <f>Tabla1[[#This Row],[MES ADEUDO DE AÑOS PASADOS ]]*$T$2</f>
        <v>0</v>
      </c>
      <c r="AA83" s="15">
        <f>Tabla1[[#This Row],[MESES DE ADEUDO DEL AÑO EN CURSO ]]*$T$2</f>
        <v>0</v>
      </c>
      <c r="AB83" s="69">
        <f>SUM(Tabla1[[#This Row],[DEUDA DE LOS MESES PASADOS EN $$]:[DEUDA DEL AÑO 2013 $$ ]])</f>
        <v>0</v>
      </c>
      <c r="AD83">
        <f>Tabla1[[#This Row],[PAGO DE DEUDA ANTERIOR EN MESES]]*$T$2</f>
        <v>0</v>
      </c>
      <c r="AG83" s="100">
        <f>IF(Tabla1[[#This Row],[TIPO DE CONSUMIDOR]]="MEDIO",IF(Tabla1[[#This Row],[ENERO ]]&gt;22.5,Tabla1[[#This Row],[ENERO ]]/22.5-1,0),IF(Tabla1[[#This Row],[ENERO ]]&gt;45,Tabla1[[#This Row],[ENERO ]]/45-1,0))</f>
        <v>0</v>
      </c>
      <c r="AH8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3" s="100">
        <f>IF(Tabla1[[#This Row],[TIPO DE CONSUMIDOR]]="MEDIO",IF(Tabla1[[#This Row],[MARZO]]&gt;22.5,Tabla1[[#This Row],[MARZO]]/22.5-1,0),IF(Tabla1[[#This Row],[MARZO]]&gt;45,Tabla1[[#This Row],[MARZO]]/45-1,0))</f>
        <v>0</v>
      </c>
      <c r="AJ83" s="100">
        <f>IF(Tabla1[[#This Row],[TIPO DE CONSUMIDOR]]="MEDIO",IF(Tabla1[[#This Row],[ABRIL]]&gt;22.5,Tabla1[[#This Row],[ABRIL]]/22.5-1,0),IF(Tabla1[[#This Row],[ABRIL]]&gt;45,Tabla1[[#This Row],[ABRIL]]/45-1,0))</f>
        <v>0</v>
      </c>
      <c r="AK83" s="100">
        <f>IF(Tabla1[[#This Row],[TIPO DE CONSUMIDOR]]="MEDIO",IF(Tabla1[[#This Row],[MAYO ]]&gt;22.5,Tabla1[[#This Row],[MAYO ]]/22.5-1,0),IF(Tabla1[[#This Row],[MAYO ]]&gt;45,Tabla1[[#This Row],[MAYO ]]/45-1,0))</f>
        <v>0</v>
      </c>
      <c r="AL83" s="100">
        <f>IF(Tabla1[[#This Row],[TIPO DE CONSUMIDOR]]="MEDIO",IF(Tabla1[[#This Row],[JUNIO ]]&gt;22.5,Tabla1[[#This Row],[JUNIO ]]/22.5-1,0),IF(Tabla1[[#This Row],[JUNIO ]]&gt;45,Tabla1[[#This Row],[JUNIO ]]/45-1,0))</f>
        <v>0</v>
      </c>
      <c r="AM83" s="100">
        <f>IF(Tabla1[[#This Row],[TIPO DE CONSUMIDOR]]="MEDIO",IF(Tabla1[[#This Row],[JULIO ]]&gt;22.5,Tabla1[[#This Row],[JULIO ]]/22.5-1,0),IF(Tabla1[[#This Row],[JULIO ]]&gt;45,Tabla1[[#This Row],[JULIO ]]/45-1,0))</f>
        <v>0</v>
      </c>
      <c r="AN83" s="100">
        <f>IF(Tabla1[[#This Row],[TIPO DE CONSUMIDOR]]="MEDIO",IF(Tabla1[[#This Row],[AGOSTO]]&gt;22.5,Tabla1[[#This Row],[AGOSTO]]/22.5-1,0),IF(Tabla1[[#This Row],[AGOSTO]]&gt;45,Tabla1[[#This Row],[AGOSTO]]/45-1,0))</f>
        <v>0</v>
      </c>
      <c r="AO8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3" s="101">
        <f t="shared" si="3"/>
        <v>0</v>
      </c>
      <c r="AT83">
        <f>IF(Tabla1[[#This Row],[MES ADEUDO DE AÑOS PASADOS ]]&gt;0,1,0)</f>
        <v>0</v>
      </c>
      <c r="AU83" s="9">
        <f t="shared" si="4"/>
        <v>0</v>
      </c>
      <c r="AV83" s="60">
        <f>IF(Tabla1[[#This Row],[MESES DE ADEUDO DEL AÑO EN CURSO ]]&gt;0,1,0)</f>
        <v>0</v>
      </c>
      <c r="AW83" s="42"/>
      <c r="AX83" s="42"/>
      <c r="AY83" s="42"/>
      <c r="AZ83" s="43"/>
    </row>
    <row r="84" spans="1:52" ht="21.75" thickBot="1" x14ac:dyDescent="0.35">
      <c r="A84" s="106">
        <v>78</v>
      </c>
      <c r="B84" s="5" t="s">
        <v>77</v>
      </c>
      <c r="C84" s="2" t="s">
        <v>480</v>
      </c>
      <c r="D84" s="32"/>
      <c r="E84" s="35" t="s">
        <v>455</v>
      </c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24">
        <f>SUM(Tabla1[[#This Row],[ENERO ]:[DICIEMBRE]])</f>
        <v>0</v>
      </c>
      <c r="W84">
        <v>0</v>
      </c>
      <c r="X84" s="21">
        <f>COUNTIF(Tabla1[[#This Row],[ENERO ]:[DICIEMBRE]],0)-(AS84)-IF(Tabla1[[#This Row],[BAJAS]]="BAJA",IF(Tabla1[[#This Row],[ALTAS]]="ALTA",VLOOKUP(Tabla1[[#This Row],[MES DE ALTA ]],$AW$6:$AX$17,2,FALSE),12)-VLOOKUP(Tabla1[[#This Row],[MES DE BAJA ]],$AW$6:$AX$17,2,FALSE),0)</f>
        <v>0</v>
      </c>
      <c r="Y84" s="68">
        <f>SUM(Tabla1[[#This Row],[MES ADEUDO DE AÑOS PASADOS ]:[MESES DE ADEUDO DEL AÑO EN CURSO ]])-Tabla1[[#This Row],[PAGO DE DEUDA ANTERIOR EN MESES]]</f>
        <v>0</v>
      </c>
      <c r="Z84" s="15">
        <f>Tabla1[[#This Row],[MES ADEUDO DE AÑOS PASADOS ]]*$T$2</f>
        <v>0</v>
      </c>
      <c r="AA84" s="15">
        <f>Tabla1[[#This Row],[MESES DE ADEUDO DEL AÑO EN CURSO ]]*$T$2</f>
        <v>0</v>
      </c>
      <c r="AB84" s="69">
        <f>SUM(Tabla1[[#This Row],[DEUDA DE LOS MESES PASADOS EN $$]:[DEUDA DEL AÑO 2013 $$ ]])</f>
        <v>0</v>
      </c>
      <c r="AD84">
        <f>Tabla1[[#This Row],[PAGO DE DEUDA ANTERIOR EN MESES]]*$T$2</f>
        <v>0</v>
      </c>
      <c r="AG84" s="100">
        <f>IF(Tabla1[[#This Row],[TIPO DE CONSUMIDOR]]="MEDIO",IF(Tabla1[[#This Row],[ENERO ]]&gt;22.5,Tabla1[[#This Row],[ENERO ]]/22.5-1,0),IF(Tabla1[[#This Row],[ENERO ]]&gt;45,Tabla1[[#This Row],[ENERO ]]/45-1,0))</f>
        <v>0</v>
      </c>
      <c r="AH8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4" s="100">
        <f>IF(Tabla1[[#This Row],[TIPO DE CONSUMIDOR]]="MEDIO",IF(Tabla1[[#This Row],[MARZO]]&gt;22.5,Tabla1[[#This Row],[MARZO]]/22.5-1,0),IF(Tabla1[[#This Row],[MARZO]]&gt;45,Tabla1[[#This Row],[MARZO]]/45-1,0))</f>
        <v>0</v>
      </c>
      <c r="AJ84" s="100">
        <f>IF(Tabla1[[#This Row],[TIPO DE CONSUMIDOR]]="MEDIO",IF(Tabla1[[#This Row],[ABRIL]]&gt;22.5,Tabla1[[#This Row],[ABRIL]]/22.5-1,0),IF(Tabla1[[#This Row],[ABRIL]]&gt;45,Tabla1[[#This Row],[ABRIL]]/45-1,0))</f>
        <v>0</v>
      </c>
      <c r="AK84" s="100">
        <f>IF(Tabla1[[#This Row],[TIPO DE CONSUMIDOR]]="MEDIO",IF(Tabla1[[#This Row],[MAYO ]]&gt;22.5,Tabla1[[#This Row],[MAYO ]]/22.5-1,0),IF(Tabla1[[#This Row],[MAYO ]]&gt;45,Tabla1[[#This Row],[MAYO ]]/45-1,0))</f>
        <v>0</v>
      </c>
      <c r="AL84" s="100">
        <f>IF(Tabla1[[#This Row],[TIPO DE CONSUMIDOR]]="MEDIO",IF(Tabla1[[#This Row],[JUNIO ]]&gt;22.5,Tabla1[[#This Row],[JUNIO ]]/22.5-1,0),IF(Tabla1[[#This Row],[JUNIO ]]&gt;45,Tabla1[[#This Row],[JUNIO ]]/45-1,0))</f>
        <v>0</v>
      </c>
      <c r="AM84" s="100">
        <f>IF(Tabla1[[#This Row],[TIPO DE CONSUMIDOR]]="MEDIO",IF(Tabla1[[#This Row],[JULIO ]]&gt;22.5,Tabla1[[#This Row],[JULIO ]]/22.5-1,0),IF(Tabla1[[#This Row],[JULIO ]]&gt;45,Tabla1[[#This Row],[JULIO ]]/45-1,0))</f>
        <v>0</v>
      </c>
      <c r="AN84" s="100">
        <f>IF(Tabla1[[#This Row],[TIPO DE CONSUMIDOR]]="MEDIO",IF(Tabla1[[#This Row],[AGOSTO]]&gt;22.5,Tabla1[[#This Row],[AGOSTO]]/22.5-1,0),IF(Tabla1[[#This Row],[AGOSTO]]&gt;45,Tabla1[[#This Row],[AGOSTO]]/45-1,0))</f>
        <v>0</v>
      </c>
      <c r="AO8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4" s="101">
        <f t="shared" si="3"/>
        <v>0</v>
      </c>
      <c r="AT84">
        <f>IF(Tabla1[[#This Row],[MES ADEUDO DE AÑOS PASADOS ]]&gt;0,1,0)</f>
        <v>0</v>
      </c>
      <c r="AU84" s="9">
        <f t="shared" si="4"/>
        <v>0</v>
      </c>
      <c r="AV84" s="60">
        <f>IF(Tabla1[[#This Row],[MESES DE ADEUDO DEL AÑO EN CURSO ]]&gt;0,1,0)</f>
        <v>0</v>
      </c>
      <c r="AW84" s="42"/>
      <c r="AX84" s="42"/>
      <c r="AY84" s="42"/>
      <c r="AZ84" s="43"/>
    </row>
    <row r="85" spans="1:52" ht="21.75" thickBot="1" x14ac:dyDescent="0.35">
      <c r="A85" s="106">
        <v>79</v>
      </c>
      <c r="B85" s="5" t="s">
        <v>483</v>
      </c>
      <c r="C85" s="2" t="s">
        <v>480</v>
      </c>
      <c r="D85" s="32"/>
      <c r="E85" s="35" t="s">
        <v>455</v>
      </c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24">
        <f>SUM(Tabla1[[#This Row],[ENERO ]:[DICIEMBRE]])</f>
        <v>0</v>
      </c>
      <c r="W85">
        <v>0</v>
      </c>
      <c r="X85" s="21">
        <f>COUNTIF(Tabla1[[#This Row],[ENERO ]:[DICIEMBRE]],0)-(AS85)-IF(Tabla1[[#This Row],[BAJAS]]="BAJA",IF(Tabla1[[#This Row],[ALTAS]]="ALTA",VLOOKUP(Tabla1[[#This Row],[MES DE ALTA ]],$AW$6:$AX$17,2,FALSE),12)-VLOOKUP(Tabla1[[#This Row],[MES DE BAJA ]],$AW$6:$AX$17,2,FALSE),0)</f>
        <v>0</v>
      </c>
      <c r="Y85" s="68">
        <f>SUM(Tabla1[[#This Row],[MES ADEUDO DE AÑOS PASADOS ]:[MESES DE ADEUDO DEL AÑO EN CURSO ]])-Tabla1[[#This Row],[PAGO DE DEUDA ANTERIOR EN MESES]]</f>
        <v>0</v>
      </c>
      <c r="Z85" s="15">
        <f>Tabla1[[#This Row],[MES ADEUDO DE AÑOS PASADOS ]]*$T$2</f>
        <v>0</v>
      </c>
      <c r="AA85" s="15">
        <f>Tabla1[[#This Row],[MESES DE ADEUDO DEL AÑO EN CURSO ]]*$T$2</f>
        <v>0</v>
      </c>
      <c r="AB85" s="69">
        <f>SUM(Tabla1[[#This Row],[DEUDA DE LOS MESES PASADOS EN $$]:[DEUDA DEL AÑO 2013 $$ ]])</f>
        <v>0</v>
      </c>
      <c r="AD85">
        <f>Tabla1[[#This Row],[PAGO DE DEUDA ANTERIOR EN MESES]]*$T$2</f>
        <v>0</v>
      </c>
      <c r="AG85" s="100">
        <f>IF(Tabla1[[#This Row],[TIPO DE CONSUMIDOR]]="MEDIO",IF(Tabla1[[#This Row],[ENERO ]]&gt;22.5,Tabla1[[#This Row],[ENERO ]]/22.5-1,0),IF(Tabla1[[#This Row],[ENERO ]]&gt;45,Tabla1[[#This Row],[ENERO ]]/45-1,0))</f>
        <v>0</v>
      </c>
      <c r="AH8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5" s="100">
        <f>IF(Tabla1[[#This Row],[TIPO DE CONSUMIDOR]]="MEDIO",IF(Tabla1[[#This Row],[MARZO]]&gt;22.5,Tabla1[[#This Row],[MARZO]]/22.5-1,0),IF(Tabla1[[#This Row],[MARZO]]&gt;45,Tabla1[[#This Row],[MARZO]]/45-1,0))</f>
        <v>0</v>
      </c>
      <c r="AJ85" s="100">
        <f>IF(Tabla1[[#This Row],[TIPO DE CONSUMIDOR]]="MEDIO",IF(Tabla1[[#This Row],[ABRIL]]&gt;22.5,Tabla1[[#This Row],[ABRIL]]/22.5-1,0),IF(Tabla1[[#This Row],[ABRIL]]&gt;45,Tabla1[[#This Row],[ABRIL]]/45-1,0))</f>
        <v>0</v>
      </c>
      <c r="AK85" s="100">
        <f>IF(Tabla1[[#This Row],[TIPO DE CONSUMIDOR]]="MEDIO",IF(Tabla1[[#This Row],[MAYO ]]&gt;22.5,Tabla1[[#This Row],[MAYO ]]/22.5-1,0),IF(Tabla1[[#This Row],[MAYO ]]&gt;45,Tabla1[[#This Row],[MAYO ]]/45-1,0))</f>
        <v>0</v>
      </c>
      <c r="AL85" s="100">
        <f>IF(Tabla1[[#This Row],[TIPO DE CONSUMIDOR]]="MEDIO",IF(Tabla1[[#This Row],[JUNIO ]]&gt;22.5,Tabla1[[#This Row],[JUNIO ]]/22.5-1,0),IF(Tabla1[[#This Row],[JUNIO ]]&gt;45,Tabla1[[#This Row],[JUNIO ]]/45-1,0))</f>
        <v>0</v>
      </c>
      <c r="AM85" s="100">
        <f>IF(Tabla1[[#This Row],[TIPO DE CONSUMIDOR]]="MEDIO",IF(Tabla1[[#This Row],[JULIO ]]&gt;22.5,Tabla1[[#This Row],[JULIO ]]/22.5-1,0),IF(Tabla1[[#This Row],[JULIO ]]&gt;45,Tabla1[[#This Row],[JULIO ]]/45-1,0))</f>
        <v>0</v>
      </c>
      <c r="AN85" s="100">
        <f>IF(Tabla1[[#This Row],[TIPO DE CONSUMIDOR]]="MEDIO",IF(Tabla1[[#This Row],[AGOSTO]]&gt;22.5,Tabla1[[#This Row],[AGOSTO]]/22.5-1,0),IF(Tabla1[[#This Row],[AGOSTO]]&gt;45,Tabla1[[#This Row],[AGOSTO]]/45-1,0))</f>
        <v>0</v>
      </c>
      <c r="AO8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5" s="101">
        <f t="shared" si="3"/>
        <v>0</v>
      </c>
      <c r="AT85">
        <f>IF(Tabla1[[#This Row],[MES ADEUDO DE AÑOS PASADOS ]]&gt;0,1,0)</f>
        <v>0</v>
      </c>
      <c r="AU85" s="9">
        <f t="shared" si="4"/>
        <v>0</v>
      </c>
      <c r="AV85" s="60">
        <f>IF(Tabla1[[#This Row],[MESES DE ADEUDO DEL AÑO EN CURSO ]]&gt;0,1,0)</f>
        <v>0</v>
      </c>
      <c r="AW85" s="42"/>
      <c r="AX85" s="42"/>
      <c r="AY85" s="42"/>
      <c r="AZ85" s="43"/>
    </row>
    <row r="86" spans="1:52" ht="21.75" thickBot="1" x14ac:dyDescent="0.35">
      <c r="A86" s="106">
        <v>80</v>
      </c>
      <c r="B86" s="5" t="s">
        <v>141</v>
      </c>
      <c r="C86" s="2" t="s">
        <v>480</v>
      </c>
      <c r="D86" s="32"/>
      <c r="E86" s="35" t="s">
        <v>455</v>
      </c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24">
        <f>SUM(Tabla1[[#This Row],[ENERO ]:[DICIEMBRE]])</f>
        <v>0</v>
      </c>
      <c r="W86">
        <v>0</v>
      </c>
      <c r="X86" s="21">
        <f>COUNTIF(Tabla1[[#This Row],[ENERO ]:[DICIEMBRE]],0)-(AS86)-IF(Tabla1[[#This Row],[BAJAS]]="BAJA",IF(Tabla1[[#This Row],[ALTAS]]="ALTA",VLOOKUP(Tabla1[[#This Row],[MES DE ALTA ]],$AW$6:$AX$17,2,FALSE),12)-VLOOKUP(Tabla1[[#This Row],[MES DE BAJA ]],$AW$6:$AX$17,2,FALSE),0)</f>
        <v>0</v>
      </c>
      <c r="Y86" s="68">
        <f>SUM(Tabla1[[#This Row],[MES ADEUDO DE AÑOS PASADOS ]:[MESES DE ADEUDO DEL AÑO EN CURSO ]])-Tabla1[[#This Row],[PAGO DE DEUDA ANTERIOR EN MESES]]</f>
        <v>0</v>
      </c>
      <c r="Z86" s="15">
        <f>Tabla1[[#This Row],[MES ADEUDO DE AÑOS PASADOS ]]*$T$2</f>
        <v>0</v>
      </c>
      <c r="AA86" s="15">
        <f>Tabla1[[#This Row],[MESES DE ADEUDO DEL AÑO EN CURSO ]]*$T$2</f>
        <v>0</v>
      </c>
      <c r="AB86" s="69">
        <f>SUM(Tabla1[[#This Row],[DEUDA DE LOS MESES PASADOS EN $$]:[DEUDA DEL AÑO 2013 $$ ]])</f>
        <v>0</v>
      </c>
      <c r="AD86">
        <f>Tabla1[[#This Row],[PAGO DE DEUDA ANTERIOR EN MESES]]*$T$2</f>
        <v>0</v>
      </c>
      <c r="AG86" s="100">
        <f>IF(Tabla1[[#This Row],[TIPO DE CONSUMIDOR]]="MEDIO",IF(Tabla1[[#This Row],[ENERO ]]&gt;22.5,Tabla1[[#This Row],[ENERO ]]/22.5-1,0),IF(Tabla1[[#This Row],[ENERO ]]&gt;45,Tabla1[[#This Row],[ENERO ]]/45-1,0))</f>
        <v>0</v>
      </c>
      <c r="AH8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6" s="100">
        <f>IF(Tabla1[[#This Row],[TIPO DE CONSUMIDOR]]="MEDIO",IF(Tabla1[[#This Row],[MARZO]]&gt;22.5,Tabla1[[#This Row],[MARZO]]/22.5-1,0),IF(Tabla1[[#This Row],[MARZO]]&gt;45,Tabla1[[#This Row],[MARZO]]/45-1,0))</f>
        <v>0</v>
      </c>
      <c r="AJ86" s="100">
        <f>IF(Tabla1[[#This Row],[TIPO DE CONSUMIDOR]]="MEDIO",IF(Tabla1[[#This Row],[ABRIL]]&gt;22.5,Tabla1[[#This Row],[ABRIL]]/22.5-1,0),IF(Tabla1[[#This Row],[ABRIL]]&gt;45,Tabla1[[#This Row],[ABRIL]]/45-1,0))</f>
        <v>0</v>
      </c>
      <c r="AK86" s="100">
        <f>IF(Tabla1[[#This Row],[TIPO DE CONSUMIDOR]]="MEDIO",IF(Tabla1[[#This Row],[MAYO ]]&gt;22.5,Tabla1[[#This Row],[MAYO ]]/22.5-1,0),IF(Tabla1[[#This Row],[MAYO ]]&gt;45,Tabla1[[#This Row],[MAYO ]]/45-1,0))</f>
        <v>0</v>
      </c>
      <c r="AL86" s="100">
        <f>IF(Tabla1[[#This Row],[TIPO DE CONSUMIDOR]]="MEDIO",IF(Tabla1[[#This Row],[JUNIO ]]&gt;22.5,Tabla1[[#This Row],[JUNIO ]]/22.5-1,0),IF(Tabla1[[#This Row],[JUNIO ]]&gt;45,Tabla1[[#This Row],[JUNIO ]]/45-1,0))</f>
        <v>0</v>
      </c>
      <c r="AM86" s="100">
        <f>IF(Tabla1[[#This Row],[TIPO DE CONSUMIDOR]]="MEDIO",IF(Tabla1[[#This Row],[JULIO ]]&gt;22.5,Tabla1[[#This Row],[JULIO ]]/22.5-1,0),IF(Tabla1[[#This Row],[JULIO ]]&gt;45,Tabla1[[#This Row],[JULIO ]]/45-1,0))</f>
        <v>0</v>
      </c>
      <c r="AN86" s="100">
        <f>IF(Tabla1[[#This Row],[TIPO DE CONSUMIDOR]]="MEDIO",IF(Tabla1[[#This Row],[AGOSTO]]&gt;22.5,Tabla1[[#This Row],[AGOSTO]]/22.5-1,0),IF(Tabla1[[#This Row],[AGOSTO]]&gt;45,Tabla1[[#This Row],[AGOSTO]]/45-1,0))</f>
        <v>0</v>
      </c>
      <c r="AO8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6" s="101">
        <f t="shared" si="3"/>
        <v>0</v>
      </c>
      <c r="AT86">
        <f>IF(Tabla1[[#This Row],[MES ADEUDO DE AÑOS PASADOS ]]&gt;0,1,0)</f>
        <v>0</v>
      </c>
      <c r="AU86" s="9">
        <f t="shared" si="4"/>
        <v>0</v>
      </c>
      <c r="AV86" s="60">
        <f>IF(Tabla1[[#This Row],[MESES DE ADEUDO DEL AÑO EN CURSO ]]&gt;0,1,0)</f>
        <v>0</v>
      </c>
      <c r="AW86" s="42"/>
      <c r="AX86" s="42"/>
      <c r="AY86" s="42"/>
      <c r="AZ86" s="43"/>
    </row>
    <row r="87" spans="1:52" ht="21.75" thickBot="1" x14ac:dyDescent="0.35">
      <c r="A87" s="106">
        <v>81</v>
      </c>
      <c r="B87" s="5" t="s">
        <v>142</v>
      </c>
      <c r="C87" s="2" t="s">
        <v>480</v>
      </c>
      <c r="D87" s="32"/>
      <c r="E87" s="35" t="s">
        <v>455</v>
      </c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24">
        <f>SUM(Tabla1[[#This Row],[ENERO ]:[DICIEMBRE]])</f>
        <v>0</v>
      </c>
      <c r="W87">
        <v>0</v>
      </c>
      <c r="X87" s="21">
        <f>COUNTIF(Tabla1[[#This Row],[ENERO ]:[DICIEMBRE]],0)-(AS87)-IF(Tabla1[[#This Row],[BAJAS]]="BAJA",IF(Tabla1[[#This Row],[ALTAS]]="ALTA",VLOOKUP(Tabla1[[#This Row],[MES DE ALTA ]],$AW$6:$AX$17,2,FALSE),12)-VLOOKUP(Tabla1[[#This Row],[MES DE BAJA ]],$AW$6:$AX$17,2,FALSE),0)</f>
        <v>0</v>
      </c>
      <c r="Y87" s="68">
        <f>SUM(Tabla1[[#This Row],[MES ADEUDO DE AÑOS PASADOS ]:[MESES DE ADEUDO DEL AÑO EN CURSO ]])-Tabla1[[#This Row],[PAGO DE DEUDA ANTERIOR EN MESES]]</f>
        <v>0</v>
      </c>
      <c r="Z87" s="15">
        <f>Tabla1[[#This Row],[MES ADEUDO DE AÑOS PASADOS ]]*$T$2</f>
        <v>0</v>
      </c>
      <c r="AA87" s="15">
        <f>Tabla1[[#This Row],[MESES DE ADEUDO DEL AÑO EN CURSO ]]*$T$2</f>
        <v>0</v>
      </c>
      <c r="AB87" s="69">
        <f>SUM(Tabla1[[#This Row],[DEUDA DE LOS MESES PASADOS EN $$]:[DEUDA DEL AÑO 2013 $$ ]])</f>
        <v>0</v>
      </c>
      <c r="AD87">
        <f>Tabla1[[#This Row],[PAGO DE DEUDA ANTERIOR EN MESES]]*$T$2</f>
        <v>0</v>
      </c>
      <c r="AG87" s="100">
        <f>IF(Tabla1[[#This Row],[TIPO DE CONSUMIDOR]]="MEDIO",IF(Tabla1[[#This Row],[ENERO ]]&gt;22.5,Tabla1[[#This Row],[ENERO ]]/22.5-1,0),IF(Tabla1[[#This Row],[ENERO ]]&gt;45,Tabla1[[#This Row],[ENERO ]]/45-1,0))</f>
        <v>0</v>
      </c>
      <c r="AH8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7" s="100">
        <f>IF(Tabla1[[#This Row],[TIPO DE CONSUMIDOR]]="MEDIO",IF(Tabla1[[#This Row],[MARZO]]&gt;22.5,Tabla1[[#This Row],[MARZO]]/22.5-1,0),IF(Tabla1[[#This Row],[MARZO]]&gt;45,Tabla1[[#This Row],[MARZO]]/45-1,0))</f>
        <v>0</v>
      </c>
      <c r="AJ87" s="100">
        <f>IF(Tabla1[[#This Row],[TIPO DE CONSUMIDOR]]="MEDIO",IF(Tabla1[[#This Row],[ABRIL]]&gt;22.5,Tabla1[[#This Row],[ABRIL]]/22.5-1,0),IF(Tabla1[[#This Row],[ABRIL]]&gt;45,Tabla1[[#This Row],[ABRIL]]/45-1,0))</f>
        <v>0</v>
      </c>
      <c r="AK87" s="100">
        <f>IF(Tabla1[[#This Row],[TIPO DE CONSUMIDOR]]="MEDIO",IF(Tabla1[[#This Row],[MAYO ]]&gt;22.5,Tabla1[[#This Row],[MAYO ]]/22.5-1,0),IF(Tabla1[[#This Row],[MAYO ]]&gt;45,Tabla1[[#This Row],[MAYO ]]/45-1,0))</f>
        <v>0</v>
      </c>
      <c r="AL87" s="100">
        <f>IF(Tabla1[[#This Row],[TIPO DE CONSUMIDOR]]="MEDIO",IF(Tabla1[[#This Row],[JUNIO ]]&gt;22.5,Tabla1[[#This Row],[JUNIO ]]/22.5-1,0),IF(Tabla1[[#This Row],[JUNIO ]]&gt;45,Tabla1[[#This Row],[JUNIO ]]/45-1,0))</f>
        <v>0</v>
      </c>
      <c r="AM87" s="100">
        <f>IF(Tabla1[[#This Row],[TIPO DE CONSUMIDOR]]="MEDIO",IF(Tabla1[[#This Row],[JULIO ]]&gt;22.5,Tabla1[[#This Row],[JULIO ]]/22.5-1,0),IF(Tabla1[[#This Row],[JULIO ]]&gt;45,Tabla1[[#This Row],[JULIO ]]/45-1,0))</f>
        <v>0</v>
      </c>
      <c r="AN87" s="100">
        <f>IF(Tabla1[[#This Row],[TIPO DE CONSUMIDOR]]="MEDIO",IF(Tabla1[[#This Row],[AGOSTO]]&gt;22.5,Tabla1[[#This Row],[AGOSTO]]/22.5-1,0),IF(Tabla1[[#This Row],[AGOSTO]]&gt;45,Tabla1[[#This Row],[AGOSTO]]/45-1,0))</f>
        <v>0</v>
      </c>
      <c r="AO8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7" s="101">
        <f t="shared" si="3"/>
        <v>0</v>
      </c>
      <c r="AT87">
        <f>IF(Tabla1[[#This Row],[MES ADEUDO DE AÑOS PASADOS ]]&gt;0,1,0)</f>
        <v>0</v>
      </c>
      <c r="AU87" s="9">
        <f t="shared" si="4"/>
        <v>0</v>
      </c>
      <c r="AV87" s="60">
        <f>IF(Tabla1[[#This Row],[MESES DE ADEUDO DEL AÑO EN CURSO ]]&gt;0,1,0)</f>
        <v>0</v>
      </c>
      <c r="AW87" s="42"/>
      <c r="AX87" s="42"/>
      <c r="AY87" s="42"/>
      <c r="AZ87" s="43"/>
    </row>
    <row r="88" spans="1:52" ht="21.75" thickBot="1" x14ac:dyDescent="0.35">
      <c r="A88" s="106">
        <v>82</v>
      </c>
      <c r="B88" s="5" t="s">
        <v>248</v>
      </c>
      <c r="C88" s="2" t="s">
        <v>480</v>
      </c>
      <c r="D88" s="32"/>
      <c r="E88" s="35" t="s">
        <v>455</v>
      </c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24">
        <f>SUM(Tabla1[[#This Row],[ENERO ]:[DICIEMBRE]])</f>
        <v>0</v>
      </c>
      <c r="W88">
        <v>0</v>
      </c>
      <c r="X88" s="21">
        <f>COUNTIF(Tabla1[[#This Row],[ENERO ]:[DICIEMBRE]],0)-(AS88)-IF(Tabla1[[#This Row],[BAJAS]]="BAJA",IF(Tabla1[[#This Row],[ALTAS]]="ALTA",VLOOKUP(Tabla1[[#This Row],[MES DE ALTA ]],$AW$6:$AX$17,2,FALSE),12)-VLOOKUP(Tabla1[[#This Row],[MES DE BAJA ]],$AW$6:$AX$17,2,FALSE),0)</f>
        <v>0</v>
      </c>
      <c r="Y88" s="68">
        <f>SUM(Tabla1[[#This Row],[MES ADEUDO DE AÑOS PASADOS ]:[MESES DE ADEUDO DEL AÑO EN CURSO ]])-Tabla1[[#This Row],[PAGO DE DEUDA ANTERIOR EN MESES]]</f>
        <v>0</v>
      </c>
      <c r="Z88" s="15">
        <f>Tabla1[[#This Row],[MES ADEUDO DE AÑOS PASADOS ]]*$T$2</f>
        <v>0</v>
      </c>
      <c r="AA88" s="15">
        <f>Tabla1[[#This Row],[MESES DE ADEUDO DEL AÑO EN CURSO ]]*$T$2</f>
        <v>0</v>
      </c>
      <c r="AB88" s="69">
        <f>SUM(Tabla1[[#This Row],[DEUDA DE LOS MESES PASADOS EN $$]:[DEUDA DEL AÑO 2013 $$ ]])</f>
        <v>0</v>
      </c>
      <c r="AD88">
        <f>Tabla1[[#This Row],[PAGO DE DEUDA ANTERIOR EN MESES]]*$T$2</f>
        <v>0</v>
      </c>
      <c r="AG88" s="100">
        <f>IF(Tabla1[[#This Row],[TIPO DE CONSUMIDOR]]="MEDIO",IF(Tabla1[[#This Row],[ENERO ]]&gt;22.5,Tabla1[[#This Row],[ENERO ]]/22.5-1,0),IF(Tabla1[[#This Row],[ENERO ]]&gt;45,Tabla1[[#This Row],[ENERO ]]/45-1,0))</f>
        <v>0</v>
      </c>
      <c r="AH8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8" s="100">
        <f>IF(Tabla1[[#This Row],[TIPO DE CONSUMIDOR]]="MEDIO",IF(Tabla1[[#This Row],[MARZO]]&gt;22.5,Tabla1[[#This Row],[MARZO]]/22.5-1,0),IF(Tabla1[[#This Row],[MARZO]]&gt;45,Tabla1[[#This Row],[MARZO]]/45-1,0))</f>
        <v>0</v>
      </c>
      <c r="AJ88" s="100">
        <f>IF(Tabla1[[#This Row],[TIPO DE CONSUMIDOR]]="MEDIO",IF(Tabla1[[#This Row],[ABRIL]]&gt;22.5,Tabla1[[#This Row],[ABRIL]]/22.5-1,0),IF(Tabla1[[#This Row],[ABRIL]]&gt;45,Tabla1[[#This Row],[ABRIL]]/45-1,0))</f>
        <v>0</v>
      </c>
      <c r="AK88" s="100">
        <f>IF(Tabla1[[#This Row],[TIPO DE CONSUMIDOR]]="MEDIO",IF(Tabla1[[#This Row],[MAYO ]]&gt;22.5,Tabla1[[#This Row],[MAYO ]]/22.5-1,0),IF(Tabla1[[#This Row],[MAYO ]]&gt;45,Tabla1[[#This Row],[MAYO ]]/45-1,0))</f>
        <v>0</v>
      </c>
      <c r="AL88" s="100">
        <f>IF(Tabla1[[#This Row],[TIPO DE CONSUMIDOR]]="MEDIO",IF(Tabla1[[#This Row],[JUNIO ]]&gt;22.5,Tabla1[[#This Row],[JUNIO ]]/22.5-1,0),IF(Tabla1[[#This Row],[JUNIO ]]&gt;45,Tabla1[[#This Row],[JUNIO ]]/45-1,0))</f>
        <v>0</v>
      </c>
      <c r="AM88" s="100">
        <f>IF(Tabla1[[#This Row],[TIPO DE CONSUMIDOR]]="MEDIO",IF(Tabla1[[#This Row],[JULIO ]]&gt;22.5,Tabla1[[#This Row],[JULIO ]]/22.5-1,0),IF(Tabla1[[#This Row],[JULIO ]]&gt;45,Tabla1[[#This Row],[JULIO ]]/45-1,0))</f>
        <v>0</v>
      </c>
      <c r="AN88" s="100">
        <f>IF(Tabla1[[#This Row],[TIPO DE CONSUMIDOR]]="MEDIO",IF(Tabla1[[#This Row],[AGOSTO]]&gt;22.5,Tabla1[[#This Row],[AGOSTO]]/22.5-1,0),IF(Tabla1[[#This Row],[AGOSTO]]&gt;45,Tabla1[[#This Row],[AGOSTO]]/45-1,0))</f>
        <v>0</v>
      </c>
      <c r="AO8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8" s="101">
        <f t="shared" si="3"/>
        <v>0</v>
      </c>
      <c r="AT88">
        <f>IF(Tabla1[[#This Row],[MES ADEUDO DE AÑOS PASADOS ]]&gt;0,1,0)</f>
        <v>0</v>
      </c>
      <c r="AU88" s="9">
        <f t="shared" si="4"/>
        <v>0</v>
      </c>
      <c r="AV88" s="60">
        <f>IF(Tabla1[[#This Row],[MESES DE ADEUDO DEL AÑO EN CURSO ]]&gt;0,1,0)</f>
        <v>0</v>
      </c>
      <c r="AW88" s="42"/>
      <c r="AX88" s="42"/>
      <c r="AY88" s="42"/>
      <c r="AZ88" s="43"/>
    </row>
    <row r="89" spans="1:52" ht="21.75" thickBot="1" x14ac:dyDescent="0.35">
      <c r="A89" s="106">
        <v>83</v>
      </c>
      <c r="B89" s="5" t="s">
        <v>258</v>
      </c>
      <c r="C89" s="2" t="s">
        <v>480</v>
      </c>
      <c r="D89" s="32"/>
      <c r="E89" s="35" t="s">
        <v>489</v>
      </c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24">
        <f>SUM(Tabla1[[#This Row],[ENERO ]:[DICIEMBRE]])</f>
        <v>0</v>
      </c>
      <c r="W89">
        <v>0</v>
      </c>
      <c r="X89" s="21">
        <f>COUNTIF(Tabla1[[#This Row],[ENERO ]:[DICIEMBRE]],0)-(AS89)-IF(Tabla1[[#This Row],[BAJAS]]="BAJA",IF(Tabla1[[#This Row],[ALTAS]]="ALTA",VLOOKUP(Tabla1[[#This Row],[MES DE ALTA ]],$AW$6:$AX$17,2,FALSE),12)-VLOOKUP(Tabla1[[#This Row],[MES DE BAJA ]],$AW$6:$AX$17,2,FALSE),0)</f>
        <v>0</v>
      </c>
      <c r="Y89" s="68">
        <f>SUM(Tabla1[[#This Row],[MES ADEUDO DE AÑOS PASADOS ]:[MESES DE ADEUDO DEL AÑO EN CURSO ]])-Tabla1[[#This Row],[PAGO DE DEUDA ANTERIOR EN MESES]]</f>
        <v>0</v>
      </c>
      <c r="Z89" s="15">
        <f>Tabla1[[#This Row],[MES ADEUDO DE AÑOS PASADOS ]]*$T$2</f>
        <v>0</v>
      </c>
      <c r="AA89" s="15">
        <f>Tabla1[[#This Row],[MESES DE ADEUDO DEL AÑO EN CURSO ]]*$T$2</f>
        <v>0</v>
      </c>
      <c r="AB89" s="69">
        <f>SUM(Tabla1[[#This Row],[DEUDA DE LOS MESES PASADOS EN $$]:[DEUDA DEL AÑO 2013 $$ ]])</f>
        <v>0</v>
      </c>
      <c r="AD89">
        <f>Tabla1[[#This Row],[PAGO DE DEUDA ANTERIOR EN MESES]]*$T$2</f>
        <v>0</v>
      </c>
      <c r="AG89" s="100">
        <f>IF(Tabla1[[#This Row],[TIPO DE CONSUMIDOR]]="MEDIO",IF(Tabla1[[#This Row],[ENERO ]]&gt;22.5,Tabla1[[#This Row],[ENERO ]]/22.5-1,0),IF(Tabla1[[#This Row],[ENERO ]]&gt;45,Tabla1[[#This Row],[ENERO ]]/45-1,0))</f>
        <v>0</v>
      </c>
      <c r="AH8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89" s="100">
        <f>IF(Tabla1[[#This Row],[TIPO DE CONSUMIDOR]]="MEDIO",IF(Tabla1[[#This Row],[MARZO]]&gt;22.5,Tabla1[[#This Row],[MARZO]]/22.5-1,0),IF(Tabla1[[#This Row],[MARZO]]&gt;45,Tabla1[[#This Row],[MARZO]]/45-1,0))</f>
        <v>0</v>
      </c>
      <c r="AJ89" s="100">
        <f>IF(Tabla1[[#This Row],[TIPO DE CONSUMIDOR]]="MEDIO",IF(Tabla1[[#This Row],[ABRIL]]&gt;22.5,Tabla1[[#This Row],[ABRIL]]/22.5-1,0),IF(Tabla1[[#This Row],[ABRIL]]&gt;45,Tabla1[[#This Row],[ABRIL]]/45-1,0))</f>
        <v>0</v>
      </c>
      <c r="AK89" s="100">
        <f>IF(Tabla1[[#This Row],[TIPO DE CONSUMIDOR]]="MEDIO",IF(Tabla1[[#This Row],[MAYO ]]&gt;22.5,Tabla1[[#This Row],[MAYO ]]/22.5-1,0),IF(Tabla1[[#This Row],[MAYO ]]&gt;45,Tabla1[[#This Row],[MAYO ]]/45-1,0))</f>
        <v>0</v>
      </c>
      <c r="AL89" s="100">
        <f>IF(Tabla1[[#This Row],[TIPO DE CONSUMIDOR]]="MEDIO",IF(Tabla1[[#This Row],[JUNIO ]]&gt;22.5,Tabla1[[#This Row],[JUNIO ]]/22.5-1,0),IF(Tabla1[[#This Row],[JUNIO ]]&gt;45,Tabla1[[#This Row],[JUNIO ]]/45-1,0))</f>
        <v>0</v>
      </c>
      <c r="AM89" s="100">
        <f>IF(Tabla1[[#This Row],[TIPO DE CONSUMIDOR]]="MEDIO",IF(Tabla1[[#This Row],[JULIO ]]&gt;22.5,Tabla1[[#This Row],[JULIO ]]/22.5-1,0),IF(Tabla1[[#This Row],[JULIO ]]&gt;45,Tabla1[[#This Row],[JULIO ]]/45-1,0))</f>
        <v>0</v>
      </c>
      <c r="AN89" s="100">
        <f>IF(Tabla1[[#This Row],[TIPO DE CONSUMIDOR]]="MEDIO",IF(Tabla1[[#This Row],[AGOSTO]]&gt;22.5,Tabla1[[#This Row],[AGOSTO]]/22.5-1,0),IF(Tabla1[[#This Row],[AGOSTO]]&gt;45,Tabla1[[#This Row],[AGOSTO]]/45-1,0))</f>
        <v>0</v>
      </c>
      <c r="AO8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8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8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8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89" s="101">
        <f t="shared" si="3"/>
        <v>0</v>
      </c>
      <c r="AT89">
        <f>IF(Tabla1[[#This Row],[MES ADEUDO DE AÑOS PASADOS ]]&gt;0,1,0)</f>
        <v>0</v>
      </c>
      <c r="AU89" s="9">
        <f t="shared" si="4"/>
        <v>0</v>
      </c>
      <c r="AV89" s="60">
        <f>IF(Tabla1[[#This Row],[MESES DE ADEUDO DEL AÑO EN CURSO ]]&gt;0,1,0)</f>
        <v>0</v>
      </c>
      <c r="AW89" s="42"/>
      <c r="AX89" s="42"/>
      <c r="AY89" s="42"/>
      <c r="AZ89" s="43"/>
    </row>
    <row r="90" spans="1:52" ht="21.75" thickBot="1" x14ac:dyDescent="0.35">
      <c r="A90" s="106">
        <v>84</v>
      </c>
      <c r="B90" s="5" t="s">
        <v>219</v>
      </c>
      <c r="C90" s="2" t="s">
        <v>480</v>
      </c>
      <c r="D90" s="32"/>
      <c r="E90" s="35" t="s">
        <v>455</v>
      </c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24">
        <f>SUM(Tabla1[[#This Row],[ENERO ]:[DICIEMBRE]])</f>
        <v>0</v>
      </c>
      <c r="W90">
        <v>0</v>
      </c>
      <c r="X90" s="21">
        <f>COUNTIF(Tabla1[[#This Row],[ENERO ]:[DICIEMBRE]],0)-(AS90)-IF(Tabla1[[#This Row],[BAJAS]]="BAJA",IF(Tabla1[[#This Row],[ALTAS]]="ALTA",VLOOKUP(Tabla1[[#This Row],[MES DE ALTA ]],$AW$6:$AX$17,2,FALSE),12)-VLOOKUP(Tabla1[[#This Row],[MES DE BAJA ]],$AW$6:$AX$17,2,FALSE),0)</f>
        <v>0</v>
      </c>
      <c r="Y90" s="68">
        <f>SUM(Tabla1[[#This Row],[MES ADEUDO DE AÑOS PASADOS ]:[MESES DE ADEUDO DEL AÑO EN CURSO ]])-Tabla1[[#This Row],[PAGO DE DEUDA ANTERIOR EN MESES]]</f>
        <v>0</v>
      </c>
      <c r="Z90" s="15">
        <f>Tabla1[[#This Row],[MES ADEUDO DE AÑOS PASADOS ]]*$T$2</f>
        <v>0</v>
      </c>
      <c r="AA90" s="15">
        <f>Tabla1[[#This Row],[MESES DE ADEUDO DEL AÑO EN CURSO ]]*$T$2</f>
        <v>0</v>
      </c>
      <c r="AB90" s="69">
        <f>SUM(Tabla1[[#This Row],[DEUDA DE LOS MESES PASADOS EN $$]:[DEUDA DEL AÑO 2013 $$ ]])</f>
        <v>0</v>
      </c>
      <c r="AD90">
        <f>Tabla1[[#This Row],[PAGO DE DEUDA ANTERIOR EN MESES]]*$T$2</f>
        <v>0</v>
      </c>
      <c r="AG90" s="100">
        <f>IF(Tabla1[[#This Row],[TIPO DE CONSUMIDOR]]="MEDIO",IF(Tabla1[[#This Row],[ENERO ]]&gt;22.5,Tabla1[[#This Row],[ENERO ]]/22.5-1,0),IF(Tabla1[[#This Row],[ENERO ]]&gt;45,Tabla1[[#This Row],[ENERO ]]/45-1,0))</f>
        <v>0</v>
      </c>
      <c r="AH9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0" s="100">
        <f>IF(Tabla1[[#This Row],[TIPO DE CONSUMIDOR]]="MEDIO",IF(Tabla1[[#This Row],[MARZO]]&gt;22.5,Tabla1[[#This Row],[MARZO]]/22.5-1,0),IF(Tabla1[[#This Row],[MARZO]]&gt;45,Tabla1[[#This Row],[MARZO]]/45-1,0))</f>
        <v>0</v>
      </c>
      <c r="AJ90" s="100">
        <f>IF(Tabla1[[#This Row],[TIPO DE CONSUMIDOR]]="MEDIO",IF(Tabla1[[#This Row],[ABRIL]]&gt;22.5,Tabla1[[#This Row],[ABRIL]]/22.5-1,0),IF(Tabla1[[#This Row],[ABRIL]]&gt;45,Tabla1[[#This Row],[ABRIL]]/45-1,0))</f>
        <v>0</v>
      </c>
      <c r="AK90" s="100">
        <f>IF(Tabla1[[#This Row],[TIPO DE CONSUMIDOR]]="MEDIO",IF(Tabla1[[#This Row],[MAYO ]]&gt;22.5,Tabla1[[#This Row],[MAYO ]]/22.5-1,0),IF(Tabla1[[#This Row],[MAYO ]]&gt;45,Tabla1[[#This Row],[MAYO ]]/45-1,0))</f>
        <v>0</v>
      </c>
      <c r="AL90" s="100">
        <f>IF(Tabla1[[#This Row],[TIPO DE CONSUMIDOR]]="MEDIO",IF(Tabla1[[#This Row],[JUNIO ]]&gt;22.5,Tabla1[[#This Row],[JUNIO ]]/22.5-1,0),IF(Tabla1[[#This Row],[JUNIO ]]&gt;45,Tabla1[[#This Row],[JUNIO ]]/45-1,0))</f>
        <v>0</v>
      </c>
      <c r="AM90" s="100">
        <f>IF(Tabla1[[#This Row],[TIPO DE CONSUMIDOR]]="MEDIO",IF(Tabla1[[#This Row],[JULIO ]]&gt;22.5,Tabla1[[#This Row],[JULIO ]]/22.5-1,0),IF(Tabla1[[#This Row],[JULIO ]]&gt;45,Tabla1[[#This Row],[JULIO ]]/45-1,0))</f>
        <v>0</v>
      </c>
      <c r="AN90" s="100">
        <f>IF(Tabla1[[#This Row],[TIPO DE CONSUMIDOR]]="MEDIO",IF(Tabla1[[#This Row],[AGOSTO]]&gt;22.5,Tabla1[[#This Row],[AGOSTO]]/22.5-1,0),IF(Tabla1[[#This Row],[AGOSTO]]&gt;45,Tabla1[[#This Row],[AGOSTO]]/45-1,0))</f>
        <v>0</v>
      </c>
      <c r="AO9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0" s="101">
        <f t="shared" si="3"/>
        <v>0</v>
      </c>
      <c r="AT90">
        <f>IF(Tabla1[[#This Row],[MES ADEUDO DE AÑOS PASADOS ]]&gt;0,1,0)</f>
        <v>0</v>
      </c>
      <c r="AU90" s="9">
        <f t="shared" si="4"/>
        <v>0</v>
      </c>
      <c r="AV90" s="60">
        <f>IF(Tabla1[[#This Row],[MESES DE ADEUDO DEL AÑO EN CURSO ]]&gt;0,1,0)</f>
        <v>0</v>
      </c>
      <c r="AW90" s="42"/>
      <c r="AX90" s="42"/>
      <c r="AY90" s="42"/>
      <c r="AZ90" s="43"/>
    </row>
    <row r="91" spans="1:52" ht="21.75" thickBot="1" x14ac:dyDescent="0.35">
      <c r="A91" s="106">
        <v>85</v>
      </c>
      <c r="B91" s="5" t="s">
        <v>271</v>
      </c>
      <c r="C91" s="2" t="s">
        <v>480</v>
      </c>
      <c r="D91" s="46"/>
      <c r="E91" s="36" t="s">
        <v>455</v>
      </c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24">
        <f>SUM(Tabla1[[#This Row],[ENERO ]:[DICIEMBRE]])</f>
        <v>0</v>
      </c>
      <c r="W91">
        <v>0</v>
      </c>
      <c r="X91" s="21">
        <f>COUNTIF(Tabla1[[#This Row],[ENERO ]:[DICIEMBRE]],0)-(AS91)-IF(Tabla1[[#This Row],[BAJAS]]="BAJA",IF(Tabla1[[#This Row],[ALTAS]]="ALTA",VLOOKUP(Tabla1[[#This Row],[MES DE ALTA ]],$AW$6:$AX$17,2,FALSE),12)-VLOOKUP(Tabla1[[#This Row],[MES DE BAJA ]],$AW$6:$AX$17,2,FALSE),0)</f>
        <v>0</v>
      </c>
      <c r="Y91" s="68">
        <f>SUM(Tabla1[[#This Row],[MES ADEUDO DE AÑOS PASADOS ]:[MESES DE ADEUDO DEL AÑO EN CURSO ]])-Tabla1[[#This Row],[PAGO DE DEUDA ANTERIOR EN MESES]]</f>
        <v>0</v>
      </c>
      <c r="Z91" s="15">
        <f>Tabla1[[#This Row],[MES ADEUDO DE AÑOS PASADOS ]]*$T$2</f>
        <v>0</v>
      </c>
      <c r="AA91" s="15">
        <f>Tabla1[[#This Row],[MESES DE ADEUDO DEL AÑO EN CURSO ]]*$T$2</f>
        <v>0</v>
      </c>
      <c r="AB91" s="69">
        <f>SUM(Tabla1[[#This Row],[DEUDA DE LOS MESES PASADOS EN $$]:[DEUDA DEL AÑO 2013 $$ ]])</f>
        <v>0</v>
      </c>
      <c r="AD91">
        <f>Tabla1[[#This Row],[PAGO DE DEUDA ANTERIOR EN MESES]]*$T$2</f>
        <v>0</v>
      </c>
      <c r="AG91" s="100">
        <f>IF(Tabla1[[#This Row],[TIPO DE CONSUMIDOR]]="MEDIO",IF(Tabla1[[#This Row],[ENERO ]]&gt;22.5,Tabla1[[#This Row],[ENERO ]]/22.5-1,0),IF(Tabla1[[#This Row],[ENERO ]]&gt;45,Tabla1[[#This Row],[ENERO ]]/45-1,0))</f>
        <v>0</v>
      </c>
      <c r="AH9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1" s="100">
        <f>IF(Tabla1[[#This Row],[TIPO DE CONSUMIDOR]]="MEDIO",IF(Tabla1[[#This Row],[MARZO]]&gt;22.5,Tabla1[[#This Row],[MARZO]]/22.5-1,0),IF(Tabla1[[#This Row],[MARZO]]&gt;45,Tabla1[[#This Row],[MARZO]]/45-1,0))</f>
        <v>0</v>
      </c>
      <c r="AJ91" s="100">
        <f>IF(Tabla1[[#This Row],[TIPO DE CONSUMIDOR]]="MEDIO",IF(Tabla1[[#This Row],[ABRIL]]&gt;22.5,Tabla1[[#This Row],[ABRIL]]/22.5-1,0),IF(Tabla1[[#This Row],[ABRIL]]&gt;45,Tabla1[[#This Row],[ABRIL]]/45-1,0))</f>
        <v>0</v>
      </c>
      <c r="AK91" s="100">
        <f>IF(Tabla1[[#This Row],[TIPO DE CONSUMIDOR]]="MEDIO",IF(Tabla1[[#This Row],[MAYO ]]&gt;22.5,Tabla1[[#This Row],[MAYO ]]/22.5-1,0),IF(Tabla1[[#This Row],[MAYO ]]&gt;45,Tabla1[[#This Row],[MAYO ]]/45-1,0))</f>
        <v>0</v>
      </c>
      <c r="AL91" s="100">
        <f>IF(Tabla1[[#This Row],[TIPO DE CONSUMIDOR]]="MEDIO",IF(Tabla1[[#This Row],[JUNIO ]]&gt;22.5,Tabla1[[#This Row],[JUNIO ]]/22.5-1,0),IF(Tabla1[[#This Row],[JUNIO ]]&gt;45,Tabla1[[#This Row],[JUNIO ]]/45-1,0))</f>
        <v>0</v>
      </c>
      <c r="AM91" s="100">
        <f>IF(Tabla1[[#This Row],[TIPO DE CONSUMIDOR]]="MEDIO",IF(Tabla1[[#This Row],[JULIO ]]&gt;22.5,Tabla1[[#This Row],[JULIO ]]/22.5-1,0),IF(Tabla1[[#This Row],[JULIO ]]&gt;45,Tabla1[[#This Row],[JULIO ]]/45-1,0))</f>
        <v>0</v>
      </c>
      <c r="AN91" s="100">
        <f>IF(Tabla1[[#This Row],[TIPO DE CONSUMIDOR]]="MEDIO",IF(Tabla1[[#This Row],[AGOSTO]]&gt;22.5,Tabla1[[#This Row],[AGOSTO]]/22.5-1,0),IF(Tabla1[[#This Row],[AGOSTO]]&gt;45,Tabla1[[#This Row],[AGOSTO]]/45-1,0))</f>
        <v>0</v>
      </c>
      <c r="AO9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1" s="101">
        <f t="shared" si="3"/>
        <v>0</v>
      </c>
      <c r="AT91">
        <f>IF(Tabla1[[#This Row],[MES ADEUDO DE AÑOS PASADOS ]]&gt;0,1,0)</f>
        <v>0</v>
      </c>
      <c r="AU91" s="9">
        <f t="shared" si="4"/>
        <v>0</v>
      </c>
      <c r="AV91" s="60">
        <f>IF(Tabla1[[#This Row],[MESES DE ADEUDO DEL AÑO EN CURSO ]]&gt;0,1,0)</f>
        <v>0</v>
      </c>
      <c r="AW91" s="42"/>
      <c r="AX91" s="42"/>
      <c r="AY91" s="42"/>
      <c r="AZ91" s="43"/>
    </row>
    <row r="92" spans="1:52" ht="21.75" thickBot="1" x14ac:dyDescent="0.35">
      <c r="A92" s="106">
        <v>86</v>
      </c>
      <c r="B92" s="5" t="s">
        <v>484</v>
      </c>
      <c r="C92" s="2" t="s">
        <v>480</v>
      </c>
      <c r="D92" s="46"/>
      <c r="E92" s="36" t="s">
        <v>455</v>
      </c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24">
        <f>SUM(Tabla1[[#This Row],[ENERO ]:[DICIEMBRE]])</f>
        <v>0</v>
      </c>
      <c r="W92">
        <v>0</v>
      </c>
      <c r="X92" s="21">
        <f>COUNTIF(Tabla1[[#This Row],[ENERO ]:[DICIEMBRE]],0)-(AS92)-IF(Tabla1[[#This Row],[BAJAS]]="BAJA",IF(Tabla1[[#This Row],[ALTAS]]="ALTA",VLOOKUP(Tabla1[[#This Row],[MES DE ALTA ]],$AW$6:$AX$17,2,FALSE),12)-VLOOKUP(Tabla1[[#This Row],[MES DE BAJA ]],$AW$6:$AX$17,2,FALSE),0)</f>
        <v>0</v>
      </c>
      <c r="Y92" s="68">
        <f>SUM(Tabla1[[#This Row],[MES ADEUDO DE AÑOS PASADOS ]:[MESES DE ADEUDO DEL AÑO EN CURSO ]])-Tabla1[[#This Row],[PAGO DE DEUDA ANTERIOR EN MESES]]</f>
        <v>0</v>
      </c>
      <c r="Z92" s="15">
        <f>Tabla1[[#This Row],[MES ADEUDO DE AÑOS PASADOS ]]*$T$2</f>
        <v>0</v>
      </c>
      <c r="AA92" s="15">
        <f>Tabla1[[#This Row],[MESES DE ADEUDO DEL AÑO EN CURSO ]]*$T$2</f>
        <v>0</v>
      </c>
      <c r="AB92" s="69">
        <f>SUM(Tabla1[[#This Row],[DEUDA DE LOS MESES PASADOS EN $$]:[DEUDA DEL AÑO 2013 $$ ]])</f>
        <v>0</v>
      </c>
      <c r="AD92">
        <f>Tabla1[[#This Row],[PAGO DE DEUDA ANTERIOR EN MESES]]*$T$2</f>
        <v>0</v>
      </c>
      <c r="AG92" s="100">
        <f>IF(Tabla1[[#This Row],[TIPO DE CONSUMIDOR]]="MEDIO",IF(Tabla1[[#This Row],[ENERO ]]&gt;22.5,Tabla1[[#This Row],[ENERO ]]/22.5-1,0),IF(Tabla1[[#This Row],[ENERO ]]&gt;45,Tabla1[[#This Row],[ENERO ]]/45-1,0))</f>
        <v>0</v>
      </c>
      <c r="AH9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2" s="100">
        <f>IF(Tabla1[[#This Row],[TIPO DE CONSUMIDOR]]="MEDIO",IF(Tabla1[[#This Row],[MARZO]]&gt;22.5,Tabla1[[#This Row],[MARZO]]/22.5-1,0),IF(Tabla1[[#This Row],[MARZO]]&gt;45,Tabla1[[#This Row],[MARZO]]/45-1,0))</f>
        <v>0</v>
      </c>
      <c r="AJ92" s="100">
        <f>IF(Tabla1[[#This Row],[TIPO DE CONSUMIDOR]]="MEDIO",IF(Tabla1[[#This Row],[ABRIL]]&gt;22.5,Tabla1[[#This Row],[ABRIL]]/22.5-1,0),IF(Tabla1[[#This Row],[ABRIL]]&gt;45,Tabla1[[#This Row],[ABRIL]]/45-1,0))</f>
        <v>0</v>
      </c>
      <c r="AK92" s="100">
        <f>IF(Tabla1[[#This Row],[TIPO DE CONSUMIDOR]]="MEDIO",IF(Tabla1[[#This Row],[MAYO ]]&gt;22.5,Tabla1[[#This Row],[MAYO ]]/22.5-1,0),IF(Tabla1[[#This Row],[MAYO ]]&gt;45,Tabla1[[#This Row],[MAYO ]]/45-1,0))</f>
        <v>0</v>
      </c>
      <c r="AL92" s="100">
        <f>IF(Tabla1[[#This Row],[TIPO DE CONSUMIDOR]]="MEDIO",IF(Tabla1[[#This Row],[JUNIO ]]&gt;22.5,Tabla1[[#This Row],[JUNIO ]]/22.5-1,0),IF(Tabla1[[#This Row],[JUNIO ]]&gt;45,Tabla1[[#This Row],[JUNIO ]]/45-1,0))</f>
        <v>0</v>
      </c>
      <c r="AM92" s="100">
        <f>IF(Tabla1[[#This Row],[TIPO DE CONSUMIDOR]]="MEDIO",IF(Tabla1[[#This Row],[JULIO ]]&gt;22.5,Tabla1[[#This Row],[JULIO ]]/22.5-1,0),IF(Tabla1[[#This Row],[JULIO ]]&gt;45,Tabla1[[#This Row],[JULIO ]]/45-1,0))</f>
        <v>0</v>
      </c>
      <c r="AN92" s="100">
        <f>IF(Tabla1[[#This Row],[TIPO DE CONSUMIDOR]]="MEDIO",IF(Tabla1[[#This Row],[AGOSTO]]&gt;22.5,Tabla1[[#This Row],[AGOSTO]]/22.5-1,0),IF(Tabla1[[#This Row],[AGOSTO]]&gt;45,Tabla1[[#This Row],[AGOSTO]]/45-1,0))</f>
        <v>0</v>
      </c>
      <c r="AO9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2" s="101">
        <f t="shared" si="3"/>
        <v>0</v>
      </c>
      <c r="AT92">
        <f>IF(Tabla1[[#This Row],[MES ADEUDO DE AÑOS PASADOS ]]&gt;0,1,0)</f>
        <v>0</v>
      </c>
      <c r="AU92" s="9">
        <f t="shared" si="4"/>
        <v>0</v>
      </c>
      <c r="AV92" s="60">
        <f>IF(Tabla1[[#This Row],[MESES DE ADEUDO DEL AÑO EN CURSO ]]&gt;0,1,0)</f>
        <v>0</v>
      </c>
      <c r="AW92" s="42"/>
      <c r="AX92" s="42"/>
      <c r="AY92" s="42"/>
      <c r="AZ92" s="43"/>
    </row>
    <row r="93" spans="1:52" ht="21.75" thickBot="1" x14ac:dyDescent="0.35">
      <c r="A93" s="106">
        <v>87</v>
      </c>
      <c r="B93" s="5" t="s">
        <v>399</v>
      </c>
      <c r="C93" s="2" t="s">
        <v>480</v>
      </c>
      <c r="D93" s="32"/>
      <c r="E93" s="35" t="s">
        <v>455</v>
      </c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24">
        <f>SUM(Tabla1[[#This Row],[ENERO ]:[DICIEMBRE]])</f>
        <v>0</v>
      </c>
      <c r="W93">
        <v>0</v>
      </c>
      <c r="X93" s="21">
        <f>COUNTIF(Tabla1[[#This Row],[ENERO ]:[DICIEMBRE]],0)-(AS93)-IF(Tabla1[[#This Row],[BAJAS]]="BAJA",IF(Tabla1[[#This Row],[ALTAS]]="ALTA",VLOOKUP(Tabla1[[#This Row],[MES DE ALTA ]],$AW$6:$AX$17,2,FALSE),12)-VLOOKUP(Tabla1[[#This Row],[MES DE BAJA ]],$AW$6:$AX$17,2,FALSE),0)</f>
        <v>0</v>
      </c>
      <c r="Y93" s="68">
        <f>SUM(Tabla1[[#This Row],[MES ADEUDO DE AÑOS PASADOS ]:[MESES DE ADEUDO DEL AÑO EN CURSO ]])-Tabla1[[#This Row],[PAGO DE DEUDA ANTERIOR EN MESES]]</f>
        <v>0</v>
      </c>
      <c r="Z93" s="15">
        <f>Tabla1[[#This Row],[MES ADEUDO DE AÑOS PASADOS ]]*$T$2</f>
        <v>0</v>
      </c>
      <c r="AA93" s="15">
        <f>Tabla1[[#This Row],[MESES DE ADEUDO DEL AÑO EN CURSO ]]*$T$2</f>
        <v>0</v>
      </c>
      <c r="AB93" s="69">
        <f>SUM(Tabla1[[#This Row],[DEUDA DE LOS MESES PASADOS EN $$]:[DEUDA DEL AÑO 2013 $$ ]])</f>
        <v>0</v>
      </c>
      <c r="AD93">
        <f>Tabla1[[#This Row],[PAGO DE DEUDA ANTERIOR EN MESES]]*$T$2</f>
        <v>0</v>
      </c>
      <c r="AG93" s="100">
        <f>IF(Tabla1[[#This Row],[TIPO DE CONSUMIDOR]]="MEDIO",IF(Tabla1[[#This Row],[ENERO ]]&gt;22.5,Tabla1[[#This Row],[ENERO ]]/22.5-1,0),IF(Tabla1[[#This Row],[ENERO ]]&gt;45,Tabla1[[#This Row],[ENERO ]]/45-1,0))</f>
        <v>0</v>
      </c>
      <c r="AH9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3" s="100">
        <f>IF(Tabla1[[#This Row],[TIPO DE CONSUMIDOR]]="MEDIO",IF(Tabla1[[#This Row],[MARZO]]&gt;22.5,Tabla1[[#This Row],[MARZO]]/22.5-1,0),IF(Tabla1[[#This Row],[MARZO]]&gt;45,Tabla1[[#This Row],[MARZO]]/45-1,0))</f>
        <v>0</v>
      </c>
      <c r="AJ93" s="100">
        <f>IF(Tabla1[[#This Row],[TIPO DE CONSUMIDOR]]="MEDIO",IF(Tabla1[[#This Row],[ABRIL]]&gt;22.5,Tabla1[[#This Row],[ABRIL]]/22.5-1,0),IF(Tabla1[[#This Row],[ABRIL]]&gt;45,Tabla1[[#This Row],[ABRIL]]/45-1,0))</f>
        <v>0</v>
      </c>
      <c r="AK93" s="100">
        <f>IF(Tabla1[[#This Row],[TIPO DE CONSUMIDOR]]="MEDIO",IF(Tabla1[[#This Row],[MAYO ]]&gt;22.5,Tabla1[[#This Row],[MAYO ]]/22.5-1,0),IF(Tabla1[[#This Row],[MAYO ]]&gt;45,Tabla1[[#This Row],[MAYO ]]/45-1,0))</f>
        <v>0</v>
      </c>
      <c r="AL93" s="100">
        <f>IF(Tabla1[[#This Row],[TIPO DE CONSUMIDOR]]="MEDIO",IF(Tabla1[[#This Row],[JUNIO ]]&gt;22.5,Tabla1[[#This Row],[JUNIO ]]/22.5-1,0),IF(Tabla1[[#This Row],[JUNIO ]]&gt;45,Tabla1[[#This Row],[JUNIO ]]/45-1,0))</f>
        <v>0</v>
      </c>
      <c r="AM93" s="100">
        <f>IF(Tabla1[[#This Row],[TIPO DE CONSUMIDOR]]="MEDIO",IF(Tabla1[[#This Row],[JULIO ]]&gt;22.5,Tabla1[[#This Row],[JULIO ]]/22.5-1,0),IF(Tabla1[[#This Row],[JULIO ]]&gt;45,Tabla1[[#This Row],[JULIO ]]/45-1,0))</f>
        <v>0</v>
      </c>
      <c r="AN93" s="100">
        <f>IF(Tabla1[[#This Row],[TIPO DE CONSUMIDOR]]="MEDIO",IF(Tabla1[[#This Row],[AGOSTO]]&gt;22.5,Tabla1[[#This Row],[AGOSTO]]/22.5-1,0),IF(Tabla1[[#This Row],[AGOSTO]]&gt;45,Tabla1[[#This Row],[AGOSTO]]/45-1,0))</f>
        <v>0</v>
      </c>
      <c r="AO9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3" s="101">
        <f t="shared" si="3"/>
        <v>0</v>
      </c>
      <c r="AT93">
        <f>IF(Tabla1[[#This Row],[MES ADEUDO DE AÑOS PASADOS ]]&gt;0,1,0)</f>
        <v>0</v>
      </c>
      <c r="AU93" s="9">
        <f t="shared" si="4"/>
        <v>0</v>
      </c>
      <c r="AV93" s="60">
        <f>IF(Tabla1[[#This Row],[MESES DE ADEUDO DEL AÑO EN CURSO ]]&gt;0,1,0)</f>
        <v>0</v>
      </c>
      <c r="AW93" s="42"/>
      <c r="AX93" s="42"/>
      <c r="AY93" s="42"/>
      <c r="AZ93" s="43"/>
    </row>
    <row r="94" spans="1:52" ht="21.75" thickBot="1" x14ac:dyDescent="0.35">
      <c r="A94" s="106">
        <v>88</v>
      </c>
      <c r="B94" s="5" t="s">
        <v>150</v>
      </c>
      <c r="C94" s="2" t="s">
        <v>480</v>
      </c>
      <c r="D94" s="32"/>
      <c r="E94" s="35" t="s">
        <v>455</v>
      </c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24">
        <f>SUM(Tabla1[[#This Row],[ENERO ]:[DICIEMBRE]])</f>
        <v>0</v>
      </c>
      <c r="W94">
        <v>5</v>
      </c>
      <c r="X94" s="21">
        <f>COUNTIF(Tabla1[[#This Row],[ENERO ]:[DICIEMBRE]],0)-(AS94)-IF(Tabla1[[#This Row],[BAJAS]]="BAJA",IF(Tabla1[[#This Row],[ALTAS]]="ALTA",VLOOKUP(Tabla1[[#This Row],[MES DE ALTA ]],$AW$6:$AX$17,2,FALSE),12)-VLOOKUP(Tabla1[[#This Row],[MES DE BAJA ]],$AW$6:$AX$17,2,FALSE),0)</f>
        <v>0</v>
      </c>
      <c r="Y94" s="68">
        <f>SUM(Tabla1[[#This Row],[MES ADEUDO DE AÑOS PASADOS ]:[MESES DE ADEUDO DEL AÑO EN CURSO ]])-Tabla1[[#This Row],[PAGO DE DEUDA ANTERIOR EN MESES]]</f>
        <v>5</v>
      </c>
      <c r="Z94" s="15">
        <f>Tabla1[[#This Row],[MES ADEUDO DE AÑOS PASADOS ]]*$T$2</f>
        <v>225</v>
      </c>
      <c r="AA94" s="15">
        <f>Tabla1[[#This Row],[MESES DE ADEUDO DEL AÑO EN CURSO ]]*$T$2</f>
        <v>0</v>
      </c>
      <c r="AB94" s="69">
        <f>SUM(Tabla1[[#This Row],[DEUDA DE LOS MESES PASADOS EN $$]:[DEUDA DEL AÑO 2013 $$ ]])</f>
        <v>225</v>
      </c>
      <c r="AD94">
        <f>Tabla1[[#This Row],[PAGO DE DEUDA ANTERIOR EN MESES]]*$T$2</f>
        <v>0</v>
      </c>
      <c r="AG94" s="100">
        <f>IF(Tabla1[[#This Row],[TIPO DE CONSUMIDOR]]="MEDIO",IF(Tabla1[[#This Row],[ENERO ]]&gt;22.5,Tabla1[[#This Row],[ENERO ]]/22.5-1,0),IF(Tabla1[[#This Row],[ENERO ]]&gt;45,Tabla1[[#This Row],[ENERO ]]/45-1,0))</f>
        <v>0</v>
      </c>
      <c r="AH9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4" s="100">
        <f>IF(Tabla1[[#This Row],[TIPO DE CONSUMIDOR]]="MEDIO",IF(Tabla1[[#This Row],[MARZO]]&gt;22.5,Tabla1[[#This Row],[MARZO]]/22.5-1,0),IF(Tabla1[[#This Row],[MARZO]]&gt;45,Tabla1[[#This Row],[MARZO]]/45-1,0))</f>
        <v>0</v>
      </c>
      <c r="AJ94" s="100">
        <f>IF(Tabla1[[#This Row],[TIPO DE CONSUMIDOR]]="MEDIO",IF(Tabla1[[#This Row],[ABRIL]]&gt;22.5,Tabla1[[#This Row],[ABRIL]]/22.5-1,0),IF(Tabla1[[#This Row],[ABRIL]]&gt;45,Tabla1[[#This Row],[ABRIL]]/45-1,0))</f>
        <v>0</v>
      </c>
      <c r="AK94" s="100">
        <f>IF(Tabla1[[#This Row],[TIPO DE CONSUMIDOR]]="MEDIO",IF(Tabla1[[#This Row],[MAYO ]]&gt;22.5,Tabla1[[#This Row],[MAYO ]]/22.5-1,0),IF(Tabla1[[#This Row],[MAYO ]]&gt;45,Tabla1[[#This Row],[MAYO ]]/45-1,0))</f>
        <v>0</v>
      </c>
      <c r="AL94" s="100">
        <f>IF(Tabla1[[#This Row],[TIPO DE CONSUMIDOR]]="MEDIO",IF(Tabla1[[#This Row],[JUNIO ]]&gt;22.5,Tabla1[[#This Row],[JUNIO ]]/22.5-1,0),IF(Tabla1[[#This Row],[JUNIO ]]&gt;45,Tabla1[[#This Row],[JUNIO ]]/45-1,0))</f>
        <v>0</v>
      </c>
      <c r="AM94" s="100">
        <f>IF(Tabla1[[#This Row],[TIPO DE CONSUMIDOR]]="MEDIO",IF(Tabla1[[#This Row],[JULIO ]]&gt;22.5,Tabla1[[#This Row],[JULIO ]]/22.5-1,0),IF(Tabla1[[#This Row],[JULIO ]]&gt;45,Tabla1[[#This Row],[JULIO ]]/45-1,0))</f>
        <v>0</v>
      </c>
      <c r="AN94" s="100">
        <f>IF(Tabla1[[#This Row],[TIPO DE CONSUMIDOR]]="MEDIO",IF(Tabla1[[#This Row],[AGOSTO]]&gt;22.5,Tabla1[[#This Row],[AGOSTO]]/22.5-1,0),IF(Tabla1[[#This Row],[AGOSTO]]&gt;45,Tabla1[[#This Row],[AGOSTO]]/45-1,0))</f>
        <v>0</v>
      </c>
      <c r="AO9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4" s="101">
        <f t="shared" si="3"/>
        <v>0</v>
      </c>
      <c r="AT94">
        <f>IF(Tabla1[[#This Row],[MES ADEUDO DE AÑOS PASADOS ]]&gt;0,1,0)</f>
        <v>1</v>
      </c>
      <c r="AU94" s="9">
        <f t="shared" si="4"/>
        <v>1</v>
      </c>
      <c r="AV94" s="60">
        <f>IF(Tabla1[[#This Row],[MESES DE ADEUDO DEL AÑO EN CURSO ]]&gt;0,1,0)</f>
        <v>0</v>
      </c>
      <c r="AW94" s="42"/>
      <c r="AX94" s="42"/>
      <c r="AY94" s="42"/>
      <c r="AZ94" s="43"/>
    </row>
    <row r="95" spans="1:52" ht="21.75" thickBot="1" x14ac:dyDescent="0.35">
      <c r="A95" s="106">
        <v>89</v>
      </c>
      <c r="B95" s="5" t="s">
        <v>252</v>
      </c>
      <c r="C95" s="2" t="s">
        <v>480</v>
      </c>
      <c r="D95" s="32"/>
      <c r="E95" s="35" t="s">
        <v>455</v>
      </c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24">
        <f>SUM(Tabla1[[#This Row],[ENERO ]:[DICIEMBRE]])</f>
        <v>0</v>
      </c>
      <c r="W95">
        <v>5</v>
      </c>
      <c r="X95" s="21">
        <f>COUNTIF(Tabla1[[#This Row],[ENERO ]:[DICIEMBRE]],0)-(AS95)-IF(Tabla1[[#This Row],[BAJAS]]="BAJA",IF(Tabla1[[#This Row],[ALTAS]]="ALTA",VLOOKUP(Tabla1[[#This Row],[MES DE ALTA ]],$AW$6:$AX$17,2,FALSE),12)-VLOOKUP(Tabla1[[#This Row],[MES DE BAJA ]],$AW$6:$AX$17,2,FALSE),0)</f>
        <v>0</v>
      </c>
      <c r="Y95" s="68">
        <f>SUM(Tabla1[[#This Row],[MES ADEUDO DE AÑOS PASADOS ]:[MESES DE ADEUDO DEL AÑO EN CURSO ]])-Tabla1[[#This Row],[PAGO DE DEUDA ANTERIOR EN MESES]]</f>
        <v>5</v>
      </c>
      <c r="Z95" s="15">
        <f>Tabla1[[#This Row],[MES ADEUDO DE AÑOS PASADOS ]]*$T$2</f>
        <v>225</v>
      </c>
      <c r="AA95" s="15">
        <f>Tabla1[[#This Row],[MESES DE ADEUDO DEL AÑO EN CURSO ]]*$T$2</f>
        <v>0</v>
      </c>
      <c r="AB95" s="69">
        <f>SUM(Tabla1[[#This Row],[DEUDA DE LOS MESES PASADOS EN $$]:[DEUDA DEL AÑO 2013 $$ ]])</f>
        <v>225</v>
      </c>
      <c r="AD95">
        <f>Tabla1[[#This Row],[PAGO DE DEUDA ANTERIOR EN MESES]]*$T$2</f>
        <v>0</v>
      </c>
      <c r="AG95" s="100">
        <f>IF(Tabla1[[#This Row],[TIPO DE CONSUMIDOR]]="MEDIO",IF(Tabla1[[#This Row],[ENERO ]]&gt;22.5,Tabla1[[#This Row],[ENERO ]]/22.5-1,0),IF(Tabla1[[#This Row],[ENERO ]]&gt;45,Tabla1[[#This Row],[ENERO ]]/45-1,0))</f>
        <v>0</v>
      </c>
      <c r="AH9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5" s="100">
        <f>IF(Tabla1[[#This Row],[TIPO DE CONSUMIDOR]]="MEDIO",IF(Tabla1[[#This Row],[MARZO]]&gt;22.5,Tabla1[[#This Row],[MARZO]]/22.5-1,0),IF(Tabla1[[#This Row],[MARZO]]&gt;45,Tabla1[[#This Row],[MARZO]]/45-1,0))</f>
        <v>0</v>
      </c>
      <c r="AJ95" s="100">
        <f>IF(Tabla1[[#This Row],[TIPO DE CONSUMIDOR]]="MEDIO",IF(Tabla1[[#This Row],[ABRIL]]&gt;22.5,Tabla1[[#This Row],[ABRIL]]/22.5-1,0),IF(Tabla1[[#This Row],[ABRIL]]&gt;45,Tabla1[[#This Row],[ABRIL]]/45-1,0))</f>
        <v>0</v>
      </c>
      <c r="AK95" s="100">
        <f>IF(Tabla1[[#This Row],[TIPO DE CONSUMIDOR]]="MEDIO",IF(Tabla1[[#This Row],[MAYO ]]&gt;22.5,Tabla1[[#This Row],[MAYO ]]/22.5-1,0),IF(Tabla1[[#This Row],[MAYO ]]&gt;45,Tabla1[[#This Row],[MAYO ]]/45-1,0))</f>
        <v>0</v>
      </c>
      <c r="AL95" s="100">
        <f>IF(Tabla1[[#This Row],[TIPO DE CONSUMIDOR]]="MEDIO",IF(Tabla1[[#This Row],[JUNIO ]]&gt;22.5,Tabla1[[#This Row],[JUNIO ]]/22.5-1,0),IF(Tabla1[[#This Row],[JUNIO ]]&gt;45,Tabla1[[#This Row],[JUNIO ]]/45-1,0))</f>
        <v>0</v>
      </c>
      <c r="AM95" s="100">
        <f>IF(Tabla1[[#This Row],[TIPO DE CONSUMIDOR]]="MEDIO",IF(Tabla1[[#This Row],[JULIO ]]&gt;22.5,Tabla1[[#This Row],[JULIO ]]/22.5-1,0),IF(Tabla1[[#This Row],[JULIO ]]&gt;45,Tabla1[[#This Row],[JULIO ]]/45-1,0))</f>
        <v>0</v>
      </c>
      <c r="AN95" s="100">
        <f>IF(Tabla1[[#This Row],[TIPO DE CONSUMIDOR]]="MEDIO",IF(Tabla1[[#This Row],[AGOSTO]]&gt;22.5,Tabla1[[#This Row],[AGOSTO]]/22.5-1,0),IF(Tabla1[[#This Row],[AGOSTO]]&gt;45,Tabla1[[#This Row],[AGOSTO]]/45-1,0))</f>
        <v>0</v>
      </c>
      <c r="AO9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5" s="101">
        <f t="shared" si="3"/>
        <v>0</v>
      </c>
      <c r="AT95">
        <f>IF(Tabla1[[#This Row],[MES ADEUDO DE AÑOS PASADOS ]]&gt;0,1,0)</f>
        <v>1</v>
      </c>
      <c r="AU95" s="9">
        <f t="shared" si="4"/>
        <v>1</v>
      </c>
      <c r="AV95" s="60">
        <f>IF(Tabla1[[#This Row],[MESES DE ADEUDO DEL AÑO EN CURSO ]]&gt;0,1,0)</f>
        <v>0</v>
      </c>
      <c r="AW95" s="42"/>
      <c r="AX95" s="42"/>
      <c r="AY95" s="42"/>
      <c r="AZ95" s="43"/>
    </row>
    <row r="96" spans="1:52" ht="21.75" thickBot="1" x14ac:dyDescent="0.35">
      <c r="A96" s="106">
        <v>90</v>
      </c>
      <c r="B96" s="5" t="s">
        <v>281</v>
      </c>
      <c r="C96" s="2" t="s">
        <v>480</v>
      </c>
      <c r="D96" s="32"/>
      <c r="E96" s="35" t="s">
        <v>455</v>
      </c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24">
        <f>SUM(Tabla1[[#This Row],[ENERO ]:[DICIEMBRE]])</f>
        <v>0</v>
      </c>
      <c r="W96">
        <v>5</v>
      </c>
      <c r="X96" s="21">
        <f>COUNTIF(Tabla1[[#This Row],[ENERO ]:[DICIEMBRE]],0)-(AS96)-IF(Tabla1[[#This Row],[BAJAS]]="BAJA",IF(Tabla1[[#This Row],[ALTAS]]="ALTA",VLOOKUP(Tabla1[[#This Row],[MES DE ALTA ]],$AW$6:$AX$17,2,FALSE),12)-VLOOKUP(Tabla1[[#This Row],[MES DE BAJA ]],$AW$6:$AX$17,2,FALSE),0)</f>
        <v>0</v>
      </c>
      <c r="Y96" s="68">
        <f>SUM(Tabla1[[#This Row],[MES ADEUDO DE AÑOS PASADOS ]:[MESES DE ADEUDO DEL AÑO EN CURSO ]])-Tabla1[[#This Row],[PAGO DE DEUDA ANTERIOR EN MESES]]</f>
        <v>5</v>
      </c>
      <c r="Z96" s="15">
        <f>Tabla1[[#This Row],[MES ADEUDO DE AÑOS PASADOS ]]*$T$2</f>
        <v>225</v>
      </c>
      <c r="AA96" s="15">
        <f>Tabla1[[#This Row],[MESES DE ADEUDO DEL AÑO EN CURSO ]]*$T$2</f>
        <v>0</v>
      </c>
      <c r="AB96" s="69">
        <f>SUM(Tabla1[[#This Row],[DEUDA DE LOS MESES PASADOS EN $$]:[DEUDA DEL AÑO 2013 $$ ]])</f>
        <v>225</v>
      </c>
      <c r="AD96">
        <f>Tabla1[[#This Row],[PAGO DE DEUDA ANTERIOR EN MESES]]*$T$2</f>
        <v>0</v>
      </c>
      <c r="AG96" s="100">
        <f>IF(Tabla1[[#This Row],[TIPO DE CONSUMIDOR]]="MEDIO",IF(Tabla1[[#This Row],[ENERO ]]&gt;22.5,Tabla1[[#This Row],[ENERO ]]/22.5-1,0),IF(Tabla1[[#This Row],[ENERO ]]&gt;45,Tabla1[[#This Row],[ENERO ]]/45-1,0))</f>
        <v>0</v>
      </c>
      <c r="AH9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6" s="100">
        <f>IF(Tabla1[[#This Row],[TIPO DE CONSUMIDOR]]="MEDIO",IF(Tabla1[[#This Row],[MARZO]]&gt;22.5,Tabla1[[#This Row],[MARZO]]/22.5-1,0),IF(Tabla1[[#This Row],[MARZO]]&gt;45,Tabla1[[#This Row],[MARZO]]/45-1,0))</f>
        <v>0</v>
      </c>
      <c r="AJ96" s="100">
        <f>IF(Tabla1[[#This Row],[TIPO DE CONSUMIDOR]]="MEDIO",IF(Tabla1[[#This Row],[ABRIL]]&gt;22.5,Tabla1[[#This Row],[ABRIL]]/22.5-1,0),IF(Tabla1[[#This Row],[ABRIL]]&gt;45,Tabla1[[#This Row],[ABRIL]]/45-1,0))</f>
        <v>0</v>
      </c>
      <c r="AK96" s="100">
        <f>IF(Tabla1[[#This Row],[TIPO DE CONSUMIDOR]]="MEDIO",IF(Tabla1[[#This Row],[MAYO ]]&gt;22.5,Tabla1[[#This Row],[MAYO ]]/22.5-1,0),IF(Tabla1[[#This Row],[MAYO ]]&gt;45,Tabla1[[#This Row],[MAYO ]]/45-1,0))</f>
        <v>0</v>
      </c>
      <c r="AL96" s="100">
        <f>IF(Tabla1[[#This Row],[TIPO DE CONSUMIDOR]]="MEDIO",IF(Tabla1[[#This Row],[JUNIO ]]&gt;22.5,Tabla1[[#This Row],[JUNIO ]]/22.5-1,0),IF(Tabla1[[#This Row],[JUNIO ]]&gt;45,Tabla1[[#This Row],[JUNIO ]]/45-1,0))</f>
        <v>0</v>
      </c>
      <c r="AM96" s="100">
        <f>IF(Tabla1[[#This Row],[TIPO DE CONSUMIDOR]]="MEDIO",IF(Tabla1[[#This Row],[JULIO ]]&gt;22.5,Tabla1[[#This Row],[JULIO ]]/22.5-1,0),IF(Tabla1[[#This Row],[JULIO ]]&gt;45,Tabla1[[#This Row],[JULIO ]]/45-1,0))</f>
        <v>0</v>
      </c>
      <c r="AN96" s="100">
        <f>IF(Tabla1[[#This Row],[TIPO DE CONSUMIDOR]]="MEDIO",IF(Tabla1[[#This Row],[AGOSTO]]&gt;22.5,Tabla1[[#This Row],[AGOSTO]]/22.5-1,0),IF(Tabla1[[#This Row],[AGOSTO]]&gt;45,Tabla1[[#This Row],[AGOSTO]]/45-1,0))</f>
        <v>0</v>
      </c>
      <c r="AO9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6" s="101">
        <f t="shared" si="3"/>
        <v>0</v>
      </c>
      <c r="AT96">
        <f>IF(Tabla1[[#This Row],[MES ADEUDO DE AÑOS PASADOS ]]&gt;0,1,0)</f>
        <v>1</v>
      </c>
      <c r="AU96" s="9">
        <f t="shared" si="4"/>
        <v>1</v>
      </c>
      <c r="AV96" s="60">
        <f>IF(Tabla1[[#This Row],[MESES DE ADEUDO DEL AÑO EN CURSO ]]&gt;0,1,0)</f>
        <v>0</v>
      </c>
      <c r="AW96" s="42"/>
      <c r="AX96" s="42"/>
      <c r="AY96" s="42"/>
      <c r="AZ96" s="43"/>
    </row>
    <row r="97" spans="1:52" ht="21.75" thickBot="1" x14ac:dyDescent="0.35">
      <c r="A97" s="106">
        <v>91</v>
      </c>
      <c r="B97" s="5" t="s">
        <v>74</v>
      </c>
      <c r="C97" s="2" t="s">
        <v>480</v>
      </c>
      <c r="D97" s="46"/>
      <c r="E97" s="36" t="s">
        <v>455</v>
      </c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24">
        <f>SUM(Tabla1[[#This Row],[ENERO ]:[DICIEMBRE]])</f>
        <v>0</v>
      </c>
      <c r="W97">
        <v>7</v>
      </c>
      <c r="X97" s="21">
        <f>COUNTIF(Tabla1[[#This Row],[ENERO ]:[DICIEMBRE]],0)-(AS97)-IF(Tabla1[[#This Row],[BAJAS]]="BAJA",IF(Tabla1[[#This Row],[ALTAS]]="ALTA",VLOOKUP(Tabla1[[#This Row],[MES DE ALTA ]],$AW$6:$AX$17,2,FALSE),12)-VLOOKUP(Tabla1[[#This Row],[MES DE BAJA ]],$AW$6:$AX$17,2,FALSE),0)</f>
        <v>0</v>
      </c>
      <c r="Y97" s="68">
        <f>SUM(Tabla1[[#This Row],[MES ADEUDO DE AÑOS PASADOS ]:[MESES DE ADEUDO DEL AÑO EN CURSO ]])-Tabla1[[#This Row],[PAGO DE DEUDA ANTERIOR EN MESES]]</f>
        <v>7</v>
      </c>
      <c r="Z97" s="15">
        <f>Tabla1[[#This Row],[MES ADEUDO DE AÑOS PASADOS ]]*$T$2</f>
        <v>315</v>
      </c>
      <c r="AA97" s="15">
        <f>Tabla1[[#This Row],[MESES DE ADEUDO DEL AÑO EN CURSO ]]*$T$2</f>
        <v>0</v>
      </c>
      <c r="AB97" s="69">
        <f>SUM(Tabla1[[#This Row],[DEUDA DE LOS MESES PASADOS EN $$]:[DEUDA DEL AÑO 2013 $$ ]])</f>
        <v>315</v>
      </c>
      <c r="AD97">
        <f>Tabla1[[#This Row],[PAGO DE DEUDA ANTERIOR EN MESES]]*$T$2</f>
        <v>0</v>
      </c>
      <c r="AG97" s="100">
        <f>IF(Tabla1[[#This Row],[TIPO DE CONSUMIDOR]]="MEDIO",IF(Tabla1[[#This Row],[ENERO ]]&gt;22.5,Tabla1[[#This Row],[ENERO ]]/22.5-1,0),IF(Tabla1[[#This Row],[ENERO ]]&gt;45,Tabla1[[#This Row],[ENERO ]]/45-1,0))</f>
        <v>0</v>
      </c>
      <c r="AH9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7" s="100">
        <f>IF(Tabla1[[#This Row],[TIPO DE CONSUMIDOR]]="MEDIO",IF(Tabla1[[#This Row],[MARZO]]&gt;22.5,Tabla1[[#This Row],[MARZO]]/22.5-1,0),IF(Tabla1[[#This Row],[MARZO]]&gt;45,Tabla1[[#This Row],[MARZO]]/45-1,0))</f>
        <v>0</v>
      </c>
      <c r="AJ97" s="100">
        <f>IF(Tabla1[[#This Row],[TIPO DE CONSUMIDOR]]="MEDIO",IF(Tabla1[[#This Row],[ABRIL]]&gt;22.5,Tabla1[[#This Row],[ABRIL]]/22.5-1,0),IF(Tabla1[[#This Row],[ABRIL]]&gt;45,Tabla1[[#This Row],[ABRIL]]/45-1,0))</f>
        <v>0</v>
      </c>
      <c r="AK97" s="100">
        <f>IF(Tabla1[[#This Row],[TIPO DE CONSUMIDOR]]="MEDIO",IF(Tabla1[[#This Row],[MAYO ]]&gt;22.5,Tabla1[[#This Row],[MAYO ]]/22.5-1,0),IF(Tabla1[[#This Row],[MAYO ]]&gt;45,Tabla1[[#This Row],[MAYO ]]/45-1,0))</f>
        <v>0</v>
      </c>
      <c r="AL97" s="100">
        <f>IF(Tabla1[[#This Row],[TIPO DE CONSUMIDOR]]="MEDIO",IF(Tabla1[[#This Row],[JUNIO ]]&gt;22.5,Tabla1[[#This Row],[JUNIO ]]/22.5-1,0),IF(Tabla1[[#This Row],[JUNIO ]]&gt;45,Tabla1[[#This Row],[JUNIO ]]/45-1,0))</f>
        <v>0</v>
      </c>
      <c r="AM97" s="100">
        <f>IF(Tabla1[[#This Row],[TIPO DE CONSUMIDOR]]="MEDIO",IF(Tabla1[[#This Row],[JULIO ]]&gt;22.5,Tabla1[[#This Row],[JULIO ]]/22.5-1,0),IF(Tabla1[[#This Row],[JULIO ]]&gt;45,Tabla1[[#This Row],[JULIO ]]/45-1,0))</f>
        <v>0</v>
      </c>
      <c r="AN97" s="100">
        <f>IF(Tabla1[[#This Row],[TIPO DE CONSUMIDOR]]="MEDIO",IF(Tabla1[[#This Row],[AGOSTO]]&gt;22.5,Tabla1[[#This Row],[AGOSTO]]/22.5-1,0),IF(Tabla1[[#This Row],[AGOSTO]]&gt;45,Tabla1[[#This Row],[AGOSTO]]/45-1,0))</f>
        <v>0</v>
      </c>
      <c r="AO9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7" s="101">
        <f t="shared" si="3"/>
        <v>0</v>
      </c>
      <c r="AT97">
        <f>IF(Tabla1[[#This Row],[MES ADEUDO DE AÑOS PASADOS ]]&gt;0,1,0)</f>
        <v>1</v>
      </c>
      <c r="AU97" s="9">
        <f t="shared" si="4"/>
        <v>1</v>
      </c>
      <c r="AV97" s="60">
        <f>IF(Tabla1[[#This Row],[MESES DE ADEUDO DEL AÑO EN CURSO ]]&gt;0,1,0)</f>
        <v>0</v>
      </c>
      <c r="AW97" s="42"/>
      <c r="AX97" s="42"/>
      <c r="AY97" s="42"/>
      <c r="AZ97" s="43"/>
    </row>
    <row r="98" spans="1:52" ht="21.75" thickBot="1" x14ac:dyDescent="0.35">
      <c r="A98" s="106">
        <v>92</v>
      </c>
      <c r="B98" s="5" t="s">
        <v>359</v>
      </c>
      <c r="C98" s="2" t="s">
        <v>480</v>
      </c>
      <c r="D98" s="46"/>
      <c r="E98" s="36" t="s">
        <v>455</v>
      </c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24">
        <f>SUM(Tabla1[[#This Row],[ENERO ]:[DICIEMBRE]])</f>
        <v>0</v>
      </c>
      <c r="W98">
        <v>11</v>
      </c>
      <c r="X98" s="21">
        <f>COUNTIF(Tabla1[[#This Row],[ENERO ]:[DICIEMBRE]],0)-(AS98)-IF(Tabla1[[#This Row],[BAJAS]]="BAJA",IF(Tabla1[[#This Row],[ALTAS]]="ALTA",VLOOKUP(Tabla1[[#This Row],[MES DE ALTA ]],$AW$6:$AX$17,2,FALSE),12)-VLOOKUP(Tabla1[[#This Row],[MES DE BAJA ]],$AW$6:$AX$17,2,FALSE),0)</f>
        <v>0</v>
      </c>
      <c r="Y98" s="68">
        <f>SUM(Tabla1[[#This Row],[MES ADEUDO DE AÑOS PASADOS ]:[MESES DE ADEUDO DEL AÑO EN CURSO ]])-Tabla1[[#This Row],[PAGO DE DEUDA ANTERIOR EN MESES]]</f>
        <v>11</v>
      </c>
      <c r="Z98" s="15">
        <f>Tabla1[[#This Row],[MES ADEUDO DE AÑOS PASADOS ]]*$T$2</f>
        <v>495</v>
      </c>
      <c r="AA98" s="15">
        <f>Tabla1[[#This Row],[MESES DE ADEUDO DEL AÑO EN CURSO ]]*$T$2</f>
        <v>0</v>
      </c>
      <c r="AB98" s="69">
        <f>SUM(Tabla1[[#This Row],[DEUDA DE LOS MESES PASADOS EN $$]:[DEUDA DEL AÑO 2013 $$ ]])</f>
        <v>495</v>
      </c>
      <c r="AD98">
        <f>Tabla1[[#This Row],[PAGO DE DEUDA ANTERIOR EN MESES]]*$T$2</f>
        <v>0</v>
      </c>
      <c r="AG98" s="100">
        <f>IF(Tabla1[[#This Row],[TIPO DE CONSUMIDOR]]="MEDIO",IF(Tabla1[[#This Row],[ENERO ]]&gt;22.5,Tabla1[[#This Row],[ENERO ]]/22.5-1,0),IF(Tabla1[[#This Row],[ENERO ]]&gt;45,Tabla1[[#This Row],[ENERO ]]/45-1,0))</f>
        <v>0</v>
      </c>
      <c r="AH9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8" s="100">
        <f>IF(Tabla1[[#This Row],[TIPO DE CONSUMIDOR]]="MEDIO",IF(Tabla1[[#This Row],[MARZO]]&gt;22.5,Tabla1[[#This Row],[MARZO]]/22.5-1,0),IF(Tabla1[[#This Row],[MARZO]]&gt;45,Tabla1[[#This Row],[MARZO]]/45-1,0))</f>
        <v>0</v>
      </c>
      <c r="AJ98" s="100">
        <f>IF(Tabla1[[#This Row],[TIPO DE CONSUMIDOR]]="MEDIO",IF(Tabla1[[#This Row],[ABRIL]]&gt;22.5,Tabla1[[#This Row],[ABRIL]]/22.5-1,0),IF(Tabla1[[#This Row],[ABRIL]]&gt;45,Tabla1[[#This Row],[ABRIL]]/45-1,0))</f>
        <v>0</v>
      </c>
      <c r="AK98" s="100">
        <f>IF(Tabla1[[#This Row],[TIPO DE CONSUMIDOR]]="MEDIO",IF(Tabla1[[#This Row],[MAYO ]]&gt;22.5,Tabla1[[#This Row],[MAYO ]]/22.5-1,0),IF(Tabla1[[#This Row],[MAYO ]]&gt;45,Tabla1[[#This Row],[MAYO ]]/45-1,0))</f>
        <v>0</v>
      </c>
      <c r="AL98" s="100">
        <f>IF(Tabla1[[#This Row],[TIPO DE CONSUMIDOR]]="MEDIO",IF(Tabla1[[#This Row],[JUNIO ]]&gt;22.5,Tabla1[[#This Row],[JUNIO ]]/22.5-1,0),IF(Tabla1[[#This Row],[JUNIO ]]&gt;45,Tabla1[[#This Row],[JUNIO ]]/45-1,0))</f>
        <v>0</v>
      </c>
      <c r="AM98" s="100">
        <f>IF(Tabla1[[#This Row],[TIPO DE CONSUMIDOR]]="MEDIO",IF(Tabla1[[#This Row],[JULIO ]]&gt;22.5,Tabla1[[#This Row],[JULIO ]]/22.5-1,0),IF(Tabla1[[#This Row],[JULIO ]]&gt;45,Tabla1[[#This Row],[JULIO ]]/45-1,0))</f>
        <v>0</v>
      </c>
      <c r="AN98" s="100">
        <f>IF(Tabla1[[#This Row],[TIPO DE CONSUMIDOR]]="MEDIO",IF(Tabla1[[#This Row],[AGOSTO]]&gt;22.5,Tabla1[[#This Row],[AGOSTO]]/22.5-1,0),IF(Tabla1[[#This Row],[AGOSTO]]&gt;45,Tabla1[[#This Row],[AGOSTO]]/45-1,0))</f>
        <v>0</v>
      </c>
      <c r="AO9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8" s="101">
        <f t="shared" si="3"/>
        <v>0</v>
      </c>
      <c r="AT98">
        <f>IF(Tabla1[[#This Row],[MES ADEUDO DE AÑOS PASADOS ]]&gt;0,1,0)</f>
        <v>1</v>
      </c>
      <c r="AU98" s="9">
        <f t="shared" si="4"/>
        <v>1</v>
      </c>
      <c r="AV98" s="60">
        <f>IF(Tabla1[[#This Row],[MESES DE ADEUDO DEL AÑO EN CURSO ]]&gt;0,1,0)</f>
        <v>0</v>
      </c>
      <c r="AW98" s="42"/>
      <c r="AX98" s="42"/>
      <c r="AY98" s="42"/>
      <c r="AZ98" s="43"/>
    </row>
    <row r="99" spans="1:52" ht="21.75" thickBot="1" x14ac:dyDescent="0.35">
      <c r="A99" s="106">
        <v>93</v>
      </c>
      <c r="B99" s="5" t="s">
        <v>262</v>
      </c>
      <c r="C99" s="2" t="s">
        <v>480</v>
      </c>
      <c r="D99" s="32"/>
      <c r="E99" s="35" t="s">
        <v>455</v>
      </c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24">
        <f>SUM(Tabla1[[#This Row],[ENERO ]:[DICIEMBRE]])</f>
        <v>0</v>
      </c>
      <c r="W99">
        <v>12</v>
      </c>
      <c r="X99" s="21">
        <f>COUNTIF(Tabla1[[#This Row],[ENERO ]:[DICIEMBRE]],0)-(AS99)-IF(Tabla1[[#This Row],[BAJAS]]="BAJA",IF(Tabla1[[#This Row],[ALTAS]]="ALTA",VLOOKUP(Tabla1[[#This Row],[MES DE ALTA ]],$AW$6:$AX$17,2,FALSE),12)-VLOOKUP(Tabla1[[#This Row],[MES DE BAJA ]],$AW$6:$AX$17,2,FALSE),0)</f>
        <v>0</v>
      </c>
      <c r="Y99" s="68">
        <f>SUM(Tabla1[[#This Row],[MES ADEUDO DE AÑOS PASADOS ]:[MESES DE ADEUDO DEL AÑO EN CURSO ]])-Tabla1[[#This Row],[PAGO DE DEUDA ANTERIOR EN MESES]]</f>
        <v>12</v>
      </c>
      <c r="Z99" s="15">
        <f>Tabla1[[#This Row],[MES ADEUDO DE AÑOS PASADOS ]]*$T$2</f>
        <v>540</v>
      </c>
      <c r="AA99" s="15">
        <f>Tabla1[[#This Row],[MESES DE ADEUDO DEL AÑO EN CURSO ]]*$T$2</f>
        <v>0</v>
      </c>
      <c r="AB99" s="69">
        <f>SUM(Tabla1[[#This Row],[DEUDA DE LOS MESES PASADOS EN $$]:[DEUDA DEL AÑO 2013 $$ ]])</f>
        <v>540</v>
      </c>
      <c r="AD99">
        <f>Tabla1[[#This Row],[PAGO DE DEUDA ANTERIOR EN MESES]]*$T$2</f>
        <v>0</v>
      </c>
      <c r="AG99" s="100">
        <f>IF(Tabla1[[#This Row],[TIPO DE CONSUMIDOR]]="MEDIO",IF(Tabla1[[#This Row],[ENERO ]]&gt;22.5,Tabla1[[#This Row],[ENERO ]]/22.5-1,0),IF(Tabla1[[#This Row],[ENERO ]]&gt;45,Tabla1[[#This Row],[ENERO ]]/45-1,0))</f>
        <v>0</v>
      </c>
      <c r="AH9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99" s="100">
        <f>IF(Tabla1[[#This Row],[TIPO DE CONSUMIDOR]]="MEDIO",IF(Tabla1[[#This Row],[MARZO]]&gt;22.5,Tabla1[[#This Row],[MARZO]]/22.5-1,0),IF(Tabla1[[#This Row],[MARZO]]&gt;45,Tabla1[[#This Row],[MARZO]]/45-1,0))</f>
        <v>0</v>
      </c>
      <c r="AJ99" s="100">
        <f>IF(Tabla1[[#This Row],[TIPO DE CONSUMIDOR]]="MEDIO",IF(Tabla1[[#This Row],[ABRIL]]&gt;22.5,Tabla1[[#This Row],[ABRIL]]/22.5-1,0),IF(Tabla1[[#This Row],[ABRIL]]&gt;45,Tabla1[[#This Row],[ABRIL]]/45-1,0))</f>
        <v>0</v>
      </c>
      <c r="AK99" s="100">
        <f>IF(Tabla1[[#This Row],[TIPO DE CONSUMIDOR]]="MEDIO",IF(Tabla1[[#This Row],[MAYO ]]&gt;22.5,Tabla1[[#This Row],[MAYO ]]/22.5-1,0),IF(Tabla1[[#This Row],[MAYO ]]&gt;45,Tabla1[[#This Row],[MAYO ]]/45-1,0))</f>
        <v>0</v>
      </c>
      <c r="AL99" s="100">
        <f>IF(Tabla1[[#This Row],[TIPO DE CONSUMIDOR]]="MEDIO",IF(Tabla1[[#This Row],[JUNIO ]]&gt;22.5,Tabla1[[#This Row],[JUNIO ]]/22.5-1,0),IF(Tabla1[[#This Row],[JUNIO ]]&gt;45,Tabla1[[#This Row],[JUNIO ]]/45-1,0))</f>
        <v>0</v>
      </c>
      <c r="AM99" s="100">
        <f>IF(Tabla1[[#This Row],[TIPO DE CONSUMIDOR]]="MEDIO",IF(Tabla1[[#This Row],[JULIO ]]&gt;22.5,Tabla1[[#This Row],[JULIO ]]/22.5-1,0),IF(Tabla1[[#This Row],[JULIO ]]&gt;45,Tabla1[[#This Row],[JULIO ]]/45-1,0))</f>
        <v>0</v>
      </c>
      <c r="AN99" s="100">
        <f>IF(Tabla1[[#This Row],[TIPO DE CONSUMIDOR]]="MEDIO",IF(Tabla1[[#This Row],[AGOSTO]]&gt;22.5,Tabla1[[#This Row],[AGOSTO]]/22.5-1,0),IF(Tabla1[[#This Row],[AGOSTO]]&gt;45,Tabla1[[#This Row],[AGOSTO]]/45-1,0))</f>
        <v>0</v>
      </c>
      <c r="AO9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9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9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9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99" s="101">
        <f t="shared" si="3"/>
        <v>0</v>
      </c>
      <c r="AT99">
        <f>IF(Tabla1[[#This Row],[MES ADEUDO DE AÑOS PASADOS ]]&gt;0,1,0)</f>
        <v>1</v>
      </c>
      <c r="AU99" s="9">
        <f t="shared" si="4"/>
        <v>1</v>
      </c>
      <c r="AV99" s="60">
        <f>IF(Tabla1[[#This Row],[MESES DE ADEUDO DEL AÑO EN CURSO ]]&gt;0,1,0)</f>
        <v>0</v>
      </c>
      <c r="AW99" s="42"/>
      <c r="AX99" s="42"/>
      <c r="AY99" s="42"/>
      <c r="AZ99" s="43"/>
    </row>
    <row r="100" spans="1:52" ht="21.75" thickBot="1" x14ac:dyDescent="0.35">
      <c r="A100" s="106">
        <v>94</v>
      </c>
      <c r="B100" s="5" t="s">
        <v>75</v>
      </c>
      <c r="C100" s="2" t="s">
        <v>480</v>
      </c>
      <c r="D100" s="32"/>
      <c r="E100" s="35" t="s">
        <v>455</v>
      </c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24">
        <f>SUM(Tabla1[[#This Row],[ENERO ]:[DICIEMBRE]])</f>
        <v>0</v>
      </c>
      <c r="W100">
        <v>15</v>
      </c>
      <c r="X100" s="21">
        <f>COUNTIF(Tabla1[[#This Row],[ENERO ]:[DICIEMBRE]],0)-(AS100)-IF(Tabla1[[#This Row],[BAJAS]]="BAJA",IF(Tabla1[[#This Row],[ALTAS]]="ALTA",VLOOKUP(Tabla1[[#This Row],[MES DE ALTA ]],$AW$6:$AX$17,2,FALSE),12)-VLOOKUP(Tabla1[[#This Row],[MES DE BAJA ]],$AW$6:$AX$17,2,FALSE),0)</f>
        <v>0</v>
      </c>
      <c r="Y100" s="68">
        <f>SUM(Tabla1[[#This Row],[MES ADEUDO DE AÑOS PASADOS ]:[MESES DE ADEUDO DEL AÑO EN CURSO ]])-Tabla1[[#This Row],[PAGO DE DEUDA ANTERIOR EN MESES]]</f>
        <v>15</v>
      </c>
      <c r="Z100" s="15">
        <f>Tabla1[[#This Row],[MES ADEUDO DE AÑOS PASADOS ]]*$T$2</f>
        <v>675</v>
      </c>
      <c r="AA100" s="15">
        <f>Tabla1[[#This Row],[MESES DE ADEUDO DEL AÑO EN CURSO ]]*$T$2</f>
        <v>0</v>
      </c>
      <c r="AB100" s="69">
        <f>SUM(Tabla1[[#This Row],[DEUDA DE LOS MESES PASADOS EN $$]:[DEUDA DEL AÑO 2013 $$ ]])</f>
        <v>675</v>
      </c>
      <c r="AD100">
        <f>Tabla1[[#This Row],[PAGO DE DEUDA ANTERIOR EN MESES]]*$T$2</f>
        <v>0</v>
      </c>
      <c r="AG100" s="100">
        <f>IF(Tabla1[[#This Row],[TIPO DE CONSUMIDOR]]="MEDIO",IF(Tabla1[[#This Row],[ENERO ]]&gt;22.5,Tabla1[[#This Row],[ENERO ]]/22.5-1,0),IF(Tabla1[[#This Row],[ENERO ]]&gt;45,Tabla1[[#This Row],[ENERO ]]/45-1,0))</f>
        <v>0</v>
      </c>
      <c r="AH10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0" s="100">
        <f>IF(Tabla1[[#This Row],[TIPO DE CONSUMIDOR]]="MEDIO",IF(Tabla1[[#This Row],[MARZO]]&gt;22.5,Tabla1[[#This Row],[MARZO]]/22.5-1,0),IF(Tabla1[[#This Row],[MARZO]]&gt;45,Tabla1[[#This Row],[MARZO]]/45-1,0))</f>
        <v>0</v>
      </c>
      <c r="AJ100" s="100">
        <f>IF(Tabla1[[#This Row],[TIPO DE CONSUMIDOR]]="MEDIO",IF(Tabla1[[#This Row],[ABRIL]]&gt;22.5,Tabla1[[#This Row],[ABRIL]]/22.5-1,0),IF(Tabla1[[#This Row],[ABRIL]]&gt;45,Tabla1[[#This Row],[ABRIL]]/45-1,0))</f>
        <v>0</v>
      </c>
      <c r="AK100" s="100">
        <f>IF(Tabla1[[#This Row],[TIPO DE CONSUMIDOR]]="MEDIO",IF(Tabla1[[#This Row],[MAYO ]]&gt;22.5,Tabla1[[#This Row],[MAYO ]]/22.5-1,0),IF(Tabla1[[#This Row],[MAYO ]]&gt;45,Tabla1[[#This Row],[MAYO ]]/45-1,0))</f>
        <v>0</v>
      </c>
      <c r="AL100" s="100">
        <f>IF(Tabla1[[#This Row],[TIPO DE CONSUMIDOR]]="MEDIO",IF(Tabla1[[#This Row],[JUNIO ]]&gt;22.5,Tabla1[[#This Row],[JUNIO ]]/22.5-1,0),IF(Tabla1[[#This Row],[JUNIO ]]&gt;45,Tabla1[[#This Row],[JUNIO ]]/45-1,0))</f>
        <v>0</v>
      </c>
      <c r="AM100" s="100">
        <f>IF(Tabla1[[#This Row],[TIPO DE CONSUMIDOR]]="MEDIO",IF(Tabla1[[#This Row],[JULIO ]]&gt;22.5,Tabla1[[#This Row],[JULIO ]]/22.5-1,0),IF(Tabla1[[#This Row],[JULIO ]]&gt;45,Tabla1[[#This Row],[JULIO ]]/45-1,0))</f>
        <v>0</v>
      </c>
      <c r="AN100" s="100">
        <f>IF(Tabla1[[#This Row],[TIPO DE CONSUMIDOR]]="MEDIO",IF(Tabla1[[#This Row],[AGOSTO]]&gt;22.5,Tabla1[[#This Row],[AGOSTO]]/22.5-1,0),IF(Tabla1[[#This Row],[AGOSTO]]&gt;45,Tabla1[[#This Row],[AGOSTO]]/45-1,0))</f>
        <v>0</v>
      </c>
      <c r="AO10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0" s="101">
        <f t="shared" si="3"/>
        <v>0</v>
      </c>
      <c r="AT100">
        <f>IF(Tabla1[[#This Row],[MES ADEUDO DE AÑOS PASADOS ]]&gt;0,1,0)</f>
        <v>1</v>
      </c>
      <c r="AU100" s="9">
        <f t="shared" si="4"/>
        <v>1</v>
      </c>
      <c r="AV100" s="60">
        <f>IF(Tabla1[[#This Row],[MESES DE ADEUDO DEL AÑO EN CURSO ]]&gt;0,1,0)</f>
        <v>0</v>
      </c>
      <c r="AW100" s="42"/>
      <c r="AX100" s="42"/>
      <c r="AY100" s="42"/>
      <c r="AZ100" s="43"/>
    </row>
    <row r="101" spans="1:52" ht="21.75" thickBot="1" x14ac:dyDescent="0.35">
      <c r="A101" s="106">
        <v>95</v>
      </c>
      <c r="B101" s="5" t="s">
        <v>485</v>
      </c>
      <c r="C101" s="2" t="s">
        <v>480</v>
      </c>
      <c r="D101" s="32"/>
      <c r="E101" s="35" t="s">
        <v>455</v>
      </c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24">
        <f>SUM(Tabla1[[#This Row],[ENERO ]:[DICIEMBRE]])</f>
        <v>0</v>
      </c>
      <c r="W101">
        <v>16</v>
      </c>
      <c r="X101" s="21">
        <f>COUNTIF(Tabla1[[#This Row],[ENERO ]:[DICIEMBRE]],0)-(AS101)-IF(Tabla1[[#This Row],[BAJAS]]="BAJA",IF(Tabla1[[#This Row],[ALTAS]]="ALTA",VLOOKUP(Tabla1[[#This Row],[MES DE ALTA ]],$AW$6:$AX$17,2,FALSE),12)-VLOOKUP(Tabla1[[#This Row],[MES DE BAJA ]],$AW$6:$AX$17,2,FALSE),0)</f>
        <v>0</v>
      </c>
      <c r="Y101" s="68">
        <f>SUM(Tabla1[[#This Row],[MES ADEUDO DE AÑOS PASADOS ]:[MESES DE ADEUDO DEL AÑO EN CURSO ]])-Tabla1[[#This Row],[PAGO DE DEUDA ANTERIOR EN MESES]]</f>
        <v>16</v>
      </c>
      <c r="Z101" s="15">
        <f>Tabla1[[#This Row],[MES ADEUDO DE AÑOS PASADOS ]]*$T$2</f>
        <v>720</v>
      </c>
      <c r="AA101" s="15">
        <f>Tabla1[[#This Row],[MESES DE ADEUDO DEL AÑO EN CURSO ]]*$T$2</f>
        <v>0</v>
      </c>
      <c r="AB101" s="69">
        <f>SUM(Tabla1[[#This Row],[DEUDA DE LOS MESES PASADOS EN $$]:[DEUDA DEL AÑO 2013 $$ ]])</f>
        <v>720</v>
      </c>
      <c r="AD101">
        <f>Tabla1[[#This Row],[PAGO DE DEUDA ANTERIOR EN MESES]]*$T$2</f>
        <v>0</v>
      </c>
      <c r="AG101" s="100">
        <f>IF(Tabla1[[#This Row],[TIPO DE CONSUMIDOR]]="MEDIO",IF(Tabla1[[#This Row],[ENERO ]]&gt;22.5,Tabla1[[#This Row],[ENERO ]]/22.5-1,0),IF(Tabla1[[#This Row],[ENERO ]]&gt;45,Tabla1[[#This Row],[ENERO ]]/45-1,0))</f>
        <v>0</v>
      </c>
      <c r="AH10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1" s="100">
        <f>IF(Tabla1[[#This Row],[TIPO DE CONSUMIDOR]]="MEDIO",IF(Tabla1[[#This Row],[MARZO]]&gt;22.5,Tabla1[[#This Row],[MARZO]]/22.5-1,0),IF(Tabla1[[#This Row],[MARZO]]&gt;45,Tabla1[[#This Row],[MARZO]]/45-1,0))</f>
        <v>0</v>
      </c>
      <c r="AJ101" s="100">
        <f>IF(Tabla1[[#This Row],[TIPO DE CONSUMIDOR]]="MEDIO",IF(Tabla1[[#This Row],[ABRIL]]&gt;22.5,Tabla1[[#This Row],[ABRIL]]/22.5-1,0),IF(Tabla1[[#This Row],[ABRIL]]&gt;45,Tabla1[[#This Row],[ABRIL]]/45-1,0))</f>
        <v>0</v>
      </c>
      <c r="AK101" s="100">
        <f>IF(Tabla1[[#This Row],[TIPO DE CONSUMIDOR]]="MEDIO",IF(Tabla1[[#This Row],[MAYO ]]&gt;22.5,Tabla1[[#This Row],[MAYO ]]/22.5-1,0),IF(Tabla1[[#This Row],[MAYO ]]&gt;45,Tabla1[[#This Row],[MAYO ]]/45-1,0))</f>
        <v>0</v>
      </c>
      <c r="AL101" s="100">
        <f>IF(Tabla1[[#This Row],[TIPO DE CONSUMIDOR]]="MEDIO",IF(Tabla1[[#This Row],[JUNIO ]]&gt;22.5,Tabla1[[#This Row],[JUNIO ]]/22.5-1,0),IF(Tabla1[[#This Row],[JUNIO ]]&gt;45,Tabla1[[#This Row],[JUNIO ]]/45-1,0))</f>
        <v>0</v>
      </c>
      <c r="AM101" s="100">
        <f>IF(Tabla1[[#This Row],[TIPO DE CONSUMIDOR]]="MEDIO",IF(Tabla1[[#This Row],[JULIO ]]&gt;22.5,Tabla1[[#This Row],[JULIO ]]/22.5-1,0),IF(Tabla1[[#This Row],[JULIO ]]&gt;45,Tabla1[[#This Row],[JULIO ]]/45-1,0))</f>
        <v>0</v>
      </c>
      <c r="AN101" s="100">
        <f>IF(Tabla1[[#This Row],[TIPO DE CONSUMIDOR]]="MEDIO",IF(Tabla1[[#This Row],[AGOSTO]]&gt;22.5,Tabla1[[#This Row],[AGOSTO]]/22.5-1,0),IF(Tabla1[[#This Row],[AGOSTO]]&gt;45,Tabla1[[#This Row],[AGOSTO]]/45-1,0))</f>
        <v>0</v>
      </c>
      <c r="AO10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1" s="101">
        <f t="shared" si="3"/>
        <v>0</v>
      </c>
      <c r="AT101">
        <f>IF(Tabla1[[#This Row],[MES ADEUDO DE AÑOS PASADOS ]]&gt;0,1,0)</f>
        <v>1</v>
      </c>
      <c r="AU101" s="9">
        <f t="shared" si="4"/>
        <v>1</v>
      </c>
      <c r="AV101" s="60">
        <f>IF(Tabla1[[#This Row],[MESES DE ADEUDO DEL AÑO EN CURSO ]]&gt;0,1,0)</f>
        <v>0</v>
      </c>
      <c r="AW101" s="42"/>
      <c r="AX101" s="42"/>
      <c r="AY101" s="42"/>
      <c r="AZ101" s="43"/>
    </row>
    <row r="102" spans="1:52" ht="21.75" thickBot="1" x14ac:dyDescent="0.35">
      <c r="A102" s="106">
        <v>96</v>
      </c>
      <c r="B102" s="5" t="s">
        <v>599</v>
      </c>
      <c r="C102" s="2" t="s">
        <v>480</v>
      </c>
      <c r="D102" s="46"/>
      <c r="E102" s="36" t="s">
        <v>455</v>
      </c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24">
        <f>SUM(Tabla1[[#This Row],[ENERO ]:[DICIEMBRE]])</f>
        <v>0</v>
      </c>
      <c r="W102">
        <v>18</v>
      </c>
      <c r="X102" s="21">
        <f>COUNTIF(Tabla1[[#This Row],[ENERO ]:[DICIEMBRE]],0)-(AS102)-IF(Tabla1[[#This Row],[BAJAS]]="BAJA",IF(Tabla1[[#This Row],[ALTAS]]="ALTA",VLOOKUP(Tabla1[[#This Row],[MES DE ALTA ]],$AW$6:$AX$17,2,FALSE),12)-VLOOKUP(Tabla1[[#This Row],[MES DE BAJA ]],$AW$6:$AX$17,2,FALSE),0)</f>
        <v>0</v>
      </c>
      <c r="Y102" s="68">
        <f>SUM(Tabla1[[#This Row],[MES ADEUDO DE AÑOS PASADOS ]:[MESES DE ADEUDO DEL AÑO EN CURSO ]])-Tabla1[[#This Row],[PAGO DE DEUDA ANTERIOR EN MESES]]</f>
        <v>18</v>
      </c>
      <c r="Z102" s="15">
        <f>Tabla1[[#This Row],[MES ADEUDO DE AÑOS PASADOS ]]*$T$2</f>
        <v>810</v>
      </c>
      <c r="AA102" s="15">
        <f>Tabla1[[#This Row],[MESES DE ADEUDO DEL AÑO EN CURSO ]]*$T$2</f>
        <v>0</v>
      </c>
      <c r="AB102" s="69">
        <f>SUM(Tabla1[[#This Row],[DEUDA DE LOS MESES PASADOS EN $$]:[DEUDA DEL AÑO 2013 $$ ]])</f>
        <v>810</v>
      </c>
      <c r="AD102">
        <f>Tabla1[[#This Row],[PAGO DE DEUDA ANTERIOR EN MESES]]*$T$2</f>
        <v>0</v>
      </c>
      <c r="AG102" s="100">
        <f>IF(Tabla1[[#This Row],[TIPO DE CONSUMIDOR]]="MEDIO",IF(Tabla1[[#This Row],[ENERO ]]&gt;22.5,Tabla1[[#This Row],[ENERO ]]/22.5-1,0),IF(Tabla1[[#This Row],[ENERO ]]&gt;45,Tabla1[[#This Row],[ENERO ]]/45-1,0))</f>
        <v>0</v>
      </c>
      <c r="AH10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2" s="100">
        <f>IF(Tabla1[[#This Row],[TIPO DE CONSUMIDOR]]="MEDIO",IF(Tabla1[[#This Row],[MARZO]]&gt;22.5,Tabla1[[#This Row],[MARZO]]/22.5-1,0),IF(Tabla1[[#This Row],[MARZO]]&gt;45,Tabla1[[#This Row],[MARZO]]/45-1,0))</f>
        <v>0</v>
      </c>
      <c r="AJ102" s="100">
        <f>IF(Tabla1[[#This Row],[TIPO DE CONSUMIDOR]]="MEDIO",IF(Tabla1[[#This Row],[ABRIL]]&gt;22.5,Tabla1[[#This Row],[ABRIL]]/22.5-1,0),IF(Tabla1[[#This Row],[ABRIL]]&gt;45,Tabla1[[#This Row],[ABRIL]]/45-1,0))</f>
        <v>0</v>
      </c>
      <c r="AK102" s="100">
        <f>IF(Tabla1[[#This Row],[TIPO DE CONSUMIDOR]]="MEDIO",IF(Tabla1[[#This Row],[MAYO ]]&gt;22.5,Tabla1[[#This Row],[MAYO ]]/22.5-1,0),IF(Tabla1[[#This Row],[MAYO ]]&gt;45,Tabla1[[#This Row],[MAYO ]]/45-1,0))</f>
        <v>0</v>
      </c>
      <c r="AL102" s="100">
        <f>IF(Tabla1[[#This Row],[TIPO DE CONSUMIDOR]]="MEDIO",IF(Tabla1[[#This Row],[JUNIO ]]&gt;22.5,Tabla1[[#This Row],[JUNIO ]]/22.5-1,0),IF(Tabla1[[#This Row],[JUNIO ]]&gt;45,Tabla1[[#This Row],[JUNIO ]]/45-1,0))</f>
        <v>0</v>
      </c>
      <c r="AM102" s="100">
        <f>IF(Tabla1[[#This Row],[TIPO DE CONSUMIDOR]]="MEDIO",IF(Tabla1[[#This Row],[JULIO ]]&gt;22.5,Tabla1[[#This Row],[JULIO ]]/22.5-1,0),IF(Tabla1[[#This Row],[JULIO ]]&gt;45,Tabla1[[#This Row],[JULIO ]]/45-1,0))</f>
        <v>0</v>
      </c>
      <c r="AN102" s="100">
        <f>IF(Tabla1[[#This Row],[TIPO DE CONSUMIDOR]]="MEDIO",IF(Tabla1[[#This Row],[AGOSTO]]&gt;22.5,Tabla1[[#This Row],[AGOSTO]]/22.5-1,0),IF(Tabla1[[#This Row],[AGOSTO]]&gt;45,Tabla1[[#This Row],[AGOSTO]]/45-1,0))</f>
        <v>0</v>
      </c>
      <c r="AO10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2" s="101">
        <f t="shared" si="3"/>
        <v>0</v>
      </c>
      <c r="AT102">
        <f>IF(Tabla1[[#This Row],[MES ADEUDO DE AÑOS PASADOS ]]&gt;0,1,0)</f>
        <v>1</v>
      </c>
      <c r="AU102" s="9">
        <f t="shared" si="4"/>
        <v>1</v>
      </c>
      <c r="AV102" s="60">
        <f>IF(Tabla1[[#This Row],[MESES DE ADEUDO DEL AÑO EN CURSO ]]&gt;0,1,0)</f>
        <v>0</v>
      </c>
      <c r="AW102" s="42"/>
      <c r="AX102" s="42"/>
      <c r="AY102" s="42"/>
      <c r="AZ102" s="43"/>
    </row>
    <row r="103" spans="1:52" ht="21.75" thickBot="1" x14ac:dyDescent="0.35">
      <c r="A103" s="106">
        <v>97</v>
      </c>
      <c r="B103" s="5" t="s">
        <v>190</v>
      </c>
      <c r="C103" s="2" t="s">
        <v>480</v>
      </c>
      <c r="D103" s="32"/>
      <c r="E103" s="35" t="s">
        <v>455</v>
      </c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24">
        <f>SUM(Tabla1[[#This Row],[ENERO ]:[DICIEMBRE]])</f>
        <v>0</v>
      </c>
      <c r="W103">
        <v>21</v>
      </c>
      <c r="X103" s="21">
        <f>COUNTIF(Tabla1[[#This Row],[ENERO ]:[DICIEMBRE]],0)-(AS103)-IF(Tabla1[[#This Row],[BAJAS]]="BAJA",IF(Tabla1[[#This Row],[ALTAS]]="ALTA",VLOOKUP(Tabla1[[#This Row],[MES DE ALTA ]],$AW$6:$AX$17,2,FALSE),12)-VLOOKUP(Tabla1[[#This Row],[MES DE BAJA ]],$AW$6:$AX$17,2,FALSE),0)</f>
        <v>0</v>
      </c>
      <c r="Y103" s="68">
        <f>SUM(Tabla1[[#This Row],[MES ADEUDO DE AÑOS PASADOS ]:[MESES DE ADEUDO DEL AÑO EN CURSO ]])-Tabla1[[#This Row],[PAGO DE DEUDA ANTERIOR EN MESES]]</f>
        <v>21</v>
      </c>
      <c r="Z103" s="15">
        <f>Tabla1[[#This Row],[MES ADEUDO DE AÑOS PASADOS ]]*$T$2</f>
        <v>945</v>
      </c>
      <c r="AA103" s="15">
        <f>Tabla1[[#This Row],[MESES DE ADEUDO DEL AÑO EN CURSO ]]*$T$2</f>
        <v>0</v>
      </c>
      <c r="AB103" s="69">
        <f>SUM(Tabla1[[#This Row],[DEUDA DE LOS MESES PASADOS EN $$]:[DEUDA DEL AÑO 2013 $$ ]])</f>
        <v>945</v>
      </c>
      <c r="AD103">
        <f>Tabla1[[#This Row],[PAGO DE DEUDA ANTERIOR EN MESES]]*$T$2</f>
        <v>0</v>
      </c>
      <c r="AG103" s="100">
        <f>IF(Tabla1[[#This Row],[TIPO DE CONSUMIDOR]]="MEDIO",IF(Tabla1[[#This Row],[ENERO ]]&gt;22.5,Tabla1[[#This Row],[ENERO ]]/22.5-1,0),IF(Tabla1[[#This Row],[ENERO ]]&gt;45,Tabla1[[#This Row],[ENERO ]]/45-1,0))</f>
        <v>0</v>
      </c>
      <c r="AH10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3" s="100">
        <f>IF(Tabla1[[#This Row],[TIPO DE CONSUMIDOR]]="MEDIO",IF(Tabla1[[#This Row],[MARZO]]&gt;22.5,Tabla1[[#This Row],[MARZO]]/22.5-1,0),IF(Tabla1[[#This Row],[MARZO]]&gt;45,Tabla1[[#This Row],[MARZO]]/45-1,0))</f>
        <v>0</v>
      </c>
      <c r="AJ103" s="100">
        <f>IF(Tabla1[[#This Row],[TIPO DE CONSUMIDOR]]="MEDIO",IF(Tabla1[[#This Row],[ABRIL]]&gt;22.5,Tabla1[[#This Row],[ABRIL]]/22.5-1,0),IF(Tabla1[[#This Row],[ABRIL]]&gt;45,Tabla1[[#This Row],[ABRIL]]/45-1,0))</f>
        <v>0</v>
      </c>
      <c r="AK103" s="100">
        <f>IF(Tabla1[[#This Row],[TIPO DE CONSUMIDOR]]="MEDIO",IF(Tabla1[[#This Row],[MAYO ]]&gt;22.5,Tabla1[[#This Row],[MAYO ]]/22.5-1,0),IF(Tabla1[[#This Row],[MAYO ]]&gt;45,Tabla1[[#This Row],[MAYO ]]/45-1,0))</f>
        <v>0</v>
      </c>
      <c r="AL103" s="100">
        <f>IF(Tabla1[[#This Row],[TIPO DE CONSUMIDOR]]="MEDIO",IF(Tabla1[[#This Row],[JUNIO ]]&gt;22.5,Tabla1[[#This Row],[JUNIO ]]/22.5-1,0),IF(Tabla1[[#This Row],[JUNIO ]]&gt;45,Tabla1[[#This Row],[JUNIO ]]/45-1,0))</f>
        <v>0</v>
      </c>
      <c r="AM103" s="100">
        <f>IF(Tabla1[[#This Row],[TIPO DE CONSUMIDOR]]="MEDIO",IF(Tabla1[[#This Row],[JULIO ]]&gt;22.5,Tabla1[[#This Row],[JULIO ]]/22.5-1,0),IF(Tabla1[[#This Row],[JULIO ]]&gt;45,Tabla1[[#This Row],[JULIO ]]/45-1,0))</f>
        <v>0</v>
      </c>
      <c r="AN103" s="100">
        <f>IF(Tabla1[[#This Row],[TIPO DE CONSUMIDOR]]="MEDIO",IF(Tabla1[[#This Row],[AGOSTO]]&gt;22.5,Tabla1[[#This Row],[AGOSTO]]/22.5-1,0),IF(Tabla1[[#This Row],[AGOSTO]]&gt;45,Tabla1[[#This Row],[AGOSTO]]/45-1,0))</f>
        <v>0</v>
      </c>
      <c r="AO10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3" s="101">
        <f t="shared" si="3"/>
        <v>0</v>
      </c>
      <c r="AT103">
        <f>IF(Tabla1[[#This Row],[MES ADEUDO DE AÑOS PASADOS ]]&gt;0,1,0)</f>
        <v>1</v>
      </c>
      <c r="AU103" s="9">
        <f t="shared" si="4"/>
        <v>1</v>
      </c>
      <c r="AV103" s="60">
        <f>IF(Tabla1[[#This Row],[MESES DE ADEUDO DEL AÑO EN CURSO ]]&gt;0,1,0)</f>
        <v>0</v>
      </c>
      <c r="AW103" s="42"/>
      <c r="AX103" s="42"/>
      <c r="AY103" s="42"/>
      <c r="AZ103" s="43"/>
    </row>
    <row r="104" spans="1:52" ht="21.75" thickBot="1" x14ac:dyDescent="0.35">
      <c r="A104" s="106">
        <v>98</v>
      </c>
      <c r="B104" s="93" t="s">
        <v>30</v>
      </c>
      <c r="C104" s="119" t="s">
        <v>487</v>
      </c>
      <c r="D104" s="128"/>
      <c r="E104" s="129" t="s">
        <v>455</v>
      </c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24">
        <f>SUM(Tabla1[[#This Row],[ENERO ]:[DICIEMBRE]])</f>
        <v>0</v>
      </c>
      <c r="S104" s="115"/>
      <c r="T104" s="115"/>
      <c r="U104" s="115"/>
      <c r="V104" s="115"/>
      <c r="W104">
        <v>0</v>
      </c>
      <c r="X104" s="116">
        <f>COUNTIF(Tabla1[[#This Row],[ENERO ]:[DICIEMBRE]],0)-(AS104)-IF(Tabla1[[#This Row],[BAJAS]]="BAJA",IF(Tabla1[[#This Row],[ALTAS]]="ALTA",VLOOKUP(Tabla1[[#This Row],[MES DE ALTA ]],$AW$6:$AX$17,2,FALSE),12)-VLOOKUP(Tabla1[[#This Row],[MES DE BAJA ]],$AW$6:$AX$17,2,FALSE),0)</f>
        <v>0</v>
      </c>
      <c r="Y104" s="68">
        <f>SUM(Tabla1[[#This Row],[MES ADEUDO DE AÑOS PASADOS ]:[MESES DE ADEUDO DEL AÑO EN CURSO ]])-Tabla1[[#This Row],[PAGO DE DEUDA ANTERIOR EN MESES]]</f>
        <v>0</v>
      </c>
      <c r="Z104" s="117">
        <f>Tabla1[[#This Row],[MES ADEUDO DE AÑOS PASADOS ]]*$T$2</f>
        <v>0</v>
      </c>
      <c r="AA104" s="117">
        <f>Tabla1[[#This Row],[MESES DE ADEUDO DEL AÑO EN CURSO ]]*$T$2</f>
        <v>0</v>
      </c>
      <c r="AB104" s="69">
        <f>SUM(Tabla1[[#This Row],[DEUDA DE LOS MESES PASADOS EN $$]:[DEUDA DEL AÑO 2013 $$ ]])</f>
        <v>0</v>
      </c>
      <c r="AD104">
        <f>Tabla1[[#This Row],[PAGO DE DEUDA ANTERIOR EN MESES]]*$T$2</f>
        <v>0</v>
      </c>
      <c r="AG104" s="100">
        <f>IF(Tabla1[[#This Row],[TIPO DE CONSUMIDOR]]="MEDIO",IF(Tabla1[[#This Row],[ENERO ]]&gt;22.5,Tabla1[[#This Row],[ENERO ]]/22.5-1,0),IF(Tabla1[[#This Row],[ENERO ]]&gt;45,Tabla1[[#This Row],[ENERO ]]/45-1,0))</f>
        <v>0</v>
      </c>
      <c r="AH10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4" s="100">
        <f>IF(Tabla1[[#This Row],[TIPO DE CONSUMIDOR]]="MEDIO",IF(Tabla1[[#This Row],[MARZO]]&gt;22.5,Tabla1[[#This Row],[MARZO]]/22.5-1,0),IF(Tabla1[[#This Row],[MARZO]]&gt;45,Tabla1[[#This Row],[MARZO]]/45-1,0))</f>
        <v>0</v>
      </c>
      <c r="AJ104" s="100">
        <f>IF(Tabla1[[#This Row],[TIPO DE CONSUMIDOR]]="MEDIO",IF(Tabla1[[#This Row],[ABRIL]]&gt;22.5,Tabla1[[#This Row],[ABRIL]]/22.5-1,0),IF(Tabla1[[#This Row],[ABRIL]]&gt;45,Tabla1[[#This Row],[ABRIL]]/45-1,0))</f>
        <v>0</v>
      </c>
      <c r="AK104" s="100">
        <f>IF(Tabla1[[#This Row],[TIPO DE CONSUMIDOR]]="MEDIO",IF(Tabla1[[#This Row],[MAYO ]]&gt;22.5,Tabla1[[#This Row],[MAYO ]]/22.5-1,0),IF(Tabla1[[#This Row],[MAYO ]]&gt;45,Tabla1[[#This Row],[MAYO ]]/45-1,0))</f>
        <v>0</v>
      </c>
      <c r="AL104" s="100">
        <f>IF(Tabla1[[#This Row],[TIPO DE CONSUMIDOR]]="MEDIO",IF(Tabla1[[#This Row],[JUNIO ]]&gt;22.5,Tabla1[[#This Row],[JUNIO ]]/22.5-1,0),IF(Tabla1[[#This Row],[JUNIO ]]&gt;45,Tabla1[[#This Row],[JUNIO ]]/45-1,0))</f>
        <v>0</v>
      </c>
      <c r="AM104" s="100">
        <f>IF(Tabla1[[#This Row],[TIPO DE CONSUMIDOR]]="MEDIO",IF(Tabla1[[#This Row],[JULIO ]]&gt;22.5,Tabla1[[#This Row],[JULIO ]]/22.5-1,0),IF(Tabla1[[#This Row],[JULIO ]]&gt;45,Tabla1[[#This Row],[JULIO ]]/45-1,0))</f>
        <v>0</v>
      </c>
      <c r="AN104" s="100">
        <f>IF(Tabla1[[#This Row],[TIPO DE CONSUMIDOR]]="MEDIO",IF(Tabla1[[#This Row],[AGOSTO]]&gt;22.5,Tabla1[[#This Row],[AGOSTO]]/22.5-1,0),IF(Tabla1[[#This Row],[AGOSTO]]&gt;45,Tabla1[[#This Row],[AGOSTO]]/45-1,0))</f>
        <v>0</v>
      </c>
      <c r="AO10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4" s="101">
        <f t="shared" si="3"/>
        <v>0</v>
      </c>
      <c r="AT104">
        <f>IF(Tabla1[[#This Row],[MES ADEUDO DE AÑOS PASADOS ]]&gt;0,1,0)</f>
        <v>0</v>
      </c>
      <c r="AU104" s="9">
        <f t="shared" si="4"/>
        <v>0</v>
      </c>
      <c r="AV104" s="60">
        <f>IF(Tabla1[[#This Row],[MESES DE ADEUDO DEL AÑO EN CURSO ]]&gt;0,1,0)</f>
        <v>0</v>
      </c>
      <c r="AW104" s="42"/>
      <c r="AX104" s="42"/>
      <c r="AY104" s="42"/>
      <c r="AZ104" s="43"/>
    </row>
    <row r="105" spans="1:52" ht="21.75" thickBot="1" x14ac:dyDescent="0.35">
      <c r="A105" s="106">
        <v>99</v>
      </c>
      <c r="B105" s="5" t="s">
        <v>486</v>
      </c>
      <c r="C105" s="2" t="s">
        <v>487</v>
      </c>
      <c r="D105" s="46"/>
      <c r="E105" s="36" t="s">
        <v>455</v>
      </c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24">
        <f>SUM(Tabla1[[#This Row],[ENERO ]:[DICIEMBRE]])</f>
        <v>0</v>
      </c>
      <c r="W105">
        <v>0</v>
      </c>
      <c r="X105" s="21">
        <f>COUNTIF(Tabla1[[#This Row],[ENERO ]:[DICIEMBRE]],0)-(AS105)-IF(Tabla1[[#This Row],[BAJAS]]="BAJA",IF(Tabla1[[#This Row],[ALTAS]]="ALTA",VLOOKUP(Tabla1[[#This Row],[MES DE ALTA ]],$AW$6:$AX$17,2,FALSE),12)-VLOOKUP(Tabla1[[#This Row],[MES DE BAJA ]],$AW$6:$AX$17,2,FALSE),0)</f>
        <v>0</v>
      </c>
      <c r="Y105" s="68">
        <f>SUM(Tabla1[[#This Row],[MES ADEUDO DE AÑOS PASADOS ]:[MESES DE ADEUDO DEL AÑO EN CURSO ]])-Tabla1[[#This Row],[PAGO DE DEUDA ANTERIOR EN MESES]]</f>
        <v>0</v>
      </c>
      <c r="Z105" s="15">
        <f>Tabla1[[#This Row],[MES ADEUDO DE AÑOS PASADOS ]]*$T$2</f>
        <v>0</v>
      </c>
      <c r="AA105" s="15">
        <f>Tabla1[[#This Row],[MESES DE ADEUDO DEL AÑO EN CURSO ]]*$T$2</f>
        <v>0</v>
      </c>
      <c r="AB105" s="69">
        <f>SUM(Tabla1[[#This Row],[DEUDA DE LOS MESES PASADOS EN $$]:[DEUDA DEL AÑO 2013 $$ ]])</f>
        <v>0</v>
      </c>
      <c r="AD105">
        <f>Tabla1[[#This Row],[PAGO DE DEUDA ANTERIOR EN MESES]]*$T$2</f>
        <v>0</v>
      </c>
      <c r="AG105" s="100">
        <f>IF(Tabla1[[#This Row],[TIPO DE CONSUMIDOR]]="MEDIO",IF(Tabla1[[#This Row],[ENERO ]]&gt;22.5,Tabla1[[#This Row],[ENERO ]]/22.5-1,0),IF(Tabla1[[#This Row],[ENERO ]]&gt;45,Tabla1[[#This Row],[ENERO ]]/45-1,0))</f>
        <v>0</v>
      </c>
      <c r="AH10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5" s="100">
        <f>IF(Tabla1[[#This Row],[TIPO DE CONSUMIDOR]]="MEDIO",IF(Tabla1[[#This Row],[MARZO]]&gt;22.5,Tabla1[[#This Row],[MARZO]]/22.5-1,0),IF(Tabla1[[#This Row],[MARZO]]&gt;45,Tabla1[[#This Row],[MARZO]]/45-1,0))</f>
        <v>0</v>
      </c>
      <c r="AJ105" s="100">
        <f>IF(Tabla1[[#This Row],[TIPO DE CONSUMIDOR]]="MEDIO",IF(Tabla1[[#This Row],[ABRIL]]&gt;22.5,Tabla1[[#This Row],[ABRIL]]/22.5-1,0),IF(Tabla1[[#This Row],[ABRIL]]&gt;45,Tabla1[[#This Row],[ABRIL]]/45-1,0))</f>
        <v>0</v>
      </c>
      <c r="AK105" s="100">
        <f>IF(Tabla1[[#This Row],[TIPO DE CONSUMIDOR]]="MEDIO",IF(Tabla1[[#This Row],[MAYO ]]&gt;22.5,Tabla1[[#This Row],[MAYO ]]/22.5-1,0),IF(Tabla1[[#This Row],[MAYO ]]&gt;45,Tabla1[[#This Row],[MAYO ]]/45-1,0))</f>
        <v>0</v>
      </c>
      <c r="AL105" s="100">
        <f>IF(Tabla1[[#This Row],[TIPO DE CONSUMIDOR]]="MEDIO",IF(Tabla1[[#This Row],[JUNIO ]]&gt;22.5,Tabla1[[#This Row],[JUNIO ]]/22.5-1,0),IF(Tabla1[[#This Row],[JUNIO ]]&gt;45,Tabla1[[#This Row],[JUNIO ]]/45-1,0))</f>
        <v>0</v>
      </c>
      <c r="AM105" s="100">
        <f>IF(Tabla1[[#This Row],[TIPO DE CONSUMIDOR]]="MEDIO",IF(Tabla1[[#This Row],[JULIO ]]&gt;22.5,Tabla1[[#This Row],[JULIO ]]/22.5-1,0),IF(Tabla1[[#This Row],[JULIO ]]&gt;45,Tabla1[[#This Row],[JULIO ]]/45-1,0))</f>
        <v>0</v>
      </c>
      <c r="AN105" s="100">
        <f>IF(Tabla1[[#This Row],[TIPO DE CONSUMIDOR]]="MEDIO",IF(Tabla1[[#This Row],[AGOSTO]]&gt;22.5,Tabla1[[#This Row],[AGOSTO]]/22.5-1,0),IF(Tabla1[[#This Row],[AGOSTO]]&gt;45,Tabla1[[#This Row],[AGOSTO]]/45-1,0))</f>
        <v>0</v>
      </c>
      <c r="AO10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5" s="101">
        <f t="shared" si="3"/>
        <v>0</v>
      </c>
      <c r="AT105">
        <f>IF(Tabla1[[#This Row],[MES ADEUDO DE AÑOS PASADOS ]]&gt;0,1,0)</f>
        <v>0</v>
      </c>
      <c r="AU105" s="9">
        <f t="shared" si="4"/>
        <v>0</v>
      </c>
      <c r="AV105" s="60">
        <f>IF(Tabla1[[#This Row],[MESES DE ADEUDO DEL AÑO EN CURSO ]]&gt;0,1,0)</f>
        <v>0</v>
      </c>
      <c r="AW105" s="42"/>
      <c r="AX105" s="42"/>
      <c r="AY105" s="42"/>
      <c r="AZ105" s="43"/>
    </row>
    <row r="106" spans="1:52" ht="21.75" thickBot="1" x14ac:dyDescent="0.35">
      <c r="A106" s="106">
        <v>100</v>
      </c>
      <c r="B106" s="5" t="s">
        <v>218</v>
      </c>
      <c r="C106" s="2" t="s">
        <v>488</v>
      </c>
      <c r="D106" s="46"/>
      <c r="E106" s="36" t="s">
        <v>455</v>
      </c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24">
        <f>SUM(Tabla1[[#This Row],[ENERO ]:[DICIEMBRE]])</f>
        <v>0</v>
      </c>
      <c r="W106">
        <v>0</v>
      </c>
      <c r="X106" s="21">
        <f>COUNTIF(Tabla1[[#This Row],[ENERO ]:[DICIEMBRE]],0)-(AS106)-IF(Tabla1[[#This Row],[BAJAS]]="BAJA",IF(Tabla1[[#This Row],[ALTAS]]="ALTA",VLOOKUP(Tabla1[[#This Row],[MES DE ALTA ]],$AW$6:$AX$17,2,FALSE),12)-VLOOKUP(Tabla1[[#This Row],[MES DE BAJA ]],$AW$6:$AX$17,2,FALSE),0)</f>
        <v>0</v>
      </c>
      <c r="Y106" s="68">
        <f>SUM(Tabla1[[#This Row],[MES ADEUDO DE AÑOS PASADOS ]:[MESES DE ADEUDO DEL AÑO EN CURSO ]])-Tabla1[[#This Row],[PAGO DE DEUDA ANTERIOR EN MESES]]</f>
        <v>0</v>
      </c>
      <c r="Z106" s="15">
        <f>Tabla1[[#This Row],[MES ADEUDO DE AÑOS PASADOS ]]*$T$2</f>
        <v>0</v>
      </c>
      <c r="AA106" s="15">
        <f>Tabla1[[#This Row],[MESES DE ADEUDO DEL AÑO EN CURSO ]]*$T$2</f>
        <v>0</v>
      </c>
      <c r="AB106" s="69">
        <f>SUM(Tabla1[[#This Row],[DEUDA DE LOS MESES PASADOS EN $$]:[DEUDA DEL AÑO 2013 $$ ]])</f>
        <v>0</v>
      </c>
      <c r="AD106">
        <f>Tabla1[[#This Row],[PAGO DE DEUDA ANTERIOR EN MESES]]*$T$2</f>
        <v>0</v>
      </c>
      <c r="AG106" s="100">
        <f>IF(Tabla1[[#This Row],[TIPO DE CONSUMIDOR]]="MEDIO",IF(Tabla1[[#This Row],[ENERO ]]&gt;22.5,Tabla1[[#This Row],[ENERO ]]/22.5-1,0),IF(Tabla1[[#This Row],[ENERO ]]&gt;45,Tabla1[[#This Row],[ENERO ]]/45-1,0))</f>
        <v>0</v>
      </c>
      <c r="AH10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6" s="100">
        <f>IF(Tabla1[[#This Row],[TIPO DE CONSUMIDOR]]="MEDIO",IF(Tabla1[[#This Row],[MARZO]]&gt;22.5,Tabla1[[#This Row],[MARZO]]/22.5-1,0),IF(Tabla1[[#This Row],[MARZO]]&gt;45,Tabla1[[#This Row],[MARZO]]/45-1,0))</f>
        <v>0</v>
      </c>
      <c r="AJ106" s="100">
        <f>IF(Tabla1[[#This Row],[TIPO DE CONSUMIDOR]]="MEDIO",IF(Tabla1[[#This Row],[ABRIL]]&gt;22.5,Tabla1[[#This Row],[ABRIL]]/22.5-1,0),IF(Tabla1[[#This Row],[ABRIL]]&gt;45,Tabla1[[#This Row],[ABRIL]]/45-1,0))</f>
        <v>0</v>
      </c>
      <c r="AK106" s="100">
        <f>IF(Tabla1[[#This Row],[TIPO DE CONSUMIDOR]]="MEDIO",IF(Tabla1[[#This Row],[MAYO ]]&gt;22.5,Tabla1[[#This Row],[MAYO ]]/22.5-1,0),IF(Tabla1[[#This Row],[MAYO ]]&gt;45,Tabla1[[#This Row],[MAYO ]]/45-1,0))</f>
        <v>0</v>
      </c>
      <c r="AL106" s="100">
        <f>IF(Tabla1[[#This Row],[TIPO DE CONSUMIDOR]]="MEDIO",IF(Tabla1[[#This Row],[JUNIO ]]&gt;22.5,Tabla1[[#This Row],[JUNIO ]]/22.5-1,0),IF(Tabla1[[#This Row],[JUNIO ]]&gt;45,Tabla1[[#This Row],[JUNIO ]]/45-1,0))</f>
        <v>0</v>
      </c>
      <c r="AM106" s="100">
        <f>IF(Tabla1[[#This Row],[TIPO DE CONSUMIDOR]]="MEDIO",IF(Tabla1[[#This Row],[JULIO ]]&gt;22.5,Tabla1[[#This Row],[JULIO ]]/22.5-1,0),IF(Tabla1[[#This Row],[JULIO ]]&gt;45,Tabla1[[#This Row],[JULIO ]]/45-1,0))</f>
        <v>0</v>
      </c>
      <c r="AN106" s="100">
        <f>IF(Tabla1[[#This Row],[TIPO DE CONSUMIDOR]]="MEDIO",IF(Tabla1[[#This Row],[AGOSTO]]&gt;22.5,Tabla1[[#This Row],[AGOSTO]]/22.5-1,0),IF(Tabla1[[#This Row],[AGOSTO]]&gt;45,Tabla1[[#This Row],[AGOSTO]]/45-1,0))</f>
        <v>0</v>
      </c>
      <c r="AO10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6" s="101">
        <f t="shared" si="3"/>
        <v>0</v>
      </c>
      <c r="AT106">
        <f>IF(Tabla1[[#This Row],[MES ADEUDO DE AÑOS PASADOS ]]&gt;0,1,0)</f>
        <v>0</v>
      </c>
      <c r="AU106" s="9">
        <f t="shared" si="4"/>
        <v>0</v>
      </c>
      <c r="AV106" s="60">
        <f>IF(Tabla1[[#This Row],[MESES DE ADEUDO DEL AÑO EN CURSO ]]&gt;0,1,0)</f>
        <v>0</v>
      </c>
      <c r="AW106" s="42"/>
      <c r="AX106" s="42"/>
      <c r="AY106" s="42"/>
      <c r="AZ106" s="43"/>
    </row>
    <row r="107" spans="1:52" ht="21.75" thickBot="1" x14ac:dyDescent="0.35">
      <c r="A107" s="106">
        <v>101</v>
      </c>
      <c r="B107" s="5" t="s">
        <v>229</v>
      </c>
      <c r="C107" s="2" t="s">
        <v>488</v>
      </c>
      <c r="D107" s="32"/>
      <c r="E107" s="35" t="s">
        <v>455</v>
      </c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24">
        <f>SUM(Tabla1[[#This Row],[ENERO ]:[DICIEMBRE]])</f>
        <v>0</v>
      </c>
      <c r="W107">
        <v>0</v>
      </c>
      <c r="X107" s="21">
        <f>COUNTIF(Tabla1[[#This Row],[ENERO ]:[DICIEMBRE]],0)-(AS107)-IF(Tabla1[[#This Row],[BAJAS]]="BAJA",IF(Tabla1[[#This Row],[ALTAS]]="ALTA",VLOOKUP(Tabla1[[#This Row],[MES DE ALTA ]],$AW$6:$AX$17,2,FALSE),12)-VLOOKUP(Tabla1[[#This Row],[MES DE BAJA ]],$AW$6:$AX$17,2,FALSE),0)</f>
        <v>0</v>
      </c>
      <c r="Y107" s="68">
        <f>SUM(Tabla1[[#This Row],[MES ADEUDO DE AÑOS PASADOS ]:[MESES DE ADEUDO DEL AÑO EN CURSO ]])-Tabla1[[#This Row],[PAGO DE DEUDA ANTERIOR EN MESES]]</f>
        <v>0</v>
      </c>
      <c r="Z107" s="15">
        <f>Tabla1[[#This Row],[MES ADEUDO DE AÑOS PASADOS ]]*$T$2</f>
        <v>0</v>
      </c>
      <c r="AA107" s="15">
        <f>Tabla1[[#This Row],[MESES DE ADEUDO DEL AÑO EN CURSO ]]*$T$2</f>
        <v>0</v>
      </c>
      <c r="AB107" s="69">
        <f>SUM(Tabla1[[#This Row],[DEUDA DE LOS MESES PASADOS EN $$]:[DEUDA DEL AÑO 2013 $$ ]])</f>
        <v>0</v>
      </c>
      <c r="AD107">
        <f>Tabla1[[#This Row],[PAGO DE DEUDA ANTERIOR EN MESES]]*$T$2</f>
        <v>0</v>
      </c>
      <c r="AG107" s="100">
        <f>IF(Tabla1[[#This Row],[TIPO DE CONSUMIDOR]]="MEDIO",IF(Tabla1[[#This Row],[ENERO ]]&gt;22.5,Tabla1[[#This Row],[ENERO ]]/22.5-1,0),IF(Tabla1[[#This Row],[ENERO ]]&gt;45,Tabla1[[#This Row],[ENERO ]]/45-1,0))</f>
        <v>0</v>
      </c>
      <c r="AH10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7" s="100">
        <f>IF(Tabla1[[#This Row],[TIPO DE CONSUMIDOR]]="MEDIO",IF(Tabla1[[#This Row],[MARZO]]&gt;22.5,Tabla1[[#This Row],[MARZO]]/22.5-1,0),IF(Tabla1[[#This Row],[MARZO]]&gt;45,Tabla1[[#This Row],[MARZO]]/45-1,0))</f>
        <v>0</v>
      </c>
      <c r="AJ107" s="100">
        <f>IF(Tabla1[[#This Row],[TIPO DE CONSUMIDOR]]="MEDIO",IF(Tabla1[[#This Row],[ABRIL]]&gt;22.5,Tabla1[[#This Row],[ABRIL]]/22.5-1,0),IF(Tabla1[[#This Row],[ABRIL]]&gt;45,Tabla1[[#This Row],[ABRIL]]/45-1,0))</f>
        <v>0</v>
      </c>
      <c r="AK107" s="100">
        <f>IF(Tabla1[[#This Row],[TIPO DE CONSUMIDOR]]="MEDIO",IF(Tabla1[[#This Row],[MAYO ]]&gt;22.5,Tabla1[[#This Row],[MAYO ]]/22.5-1,0),IF(Tabla1[[#This Row],[MAYO ]]&gt;45,Tabla1[[#This Row],[MAYO ]]/45-1,0))</f>
        <v>0</v>
      </c>
      <c r="AL107" s="100">
        <f>IF(Tabla1[[#This Row],[TIPO DE CONSUMIDOR]]="MEDIO",IF(Tabla1[[#This Row],[JUNIO ]]&gt;22.5,Tabla1[[#This Row],[JUNIO ]]/22.5-1,0),IF(Tabla1[[#This Row],[JUNIO ]]&gt;45,Tabla1[[#This Row],[JUNIO ]]/45-1,0))</f>
        <v>0</v>
      </c>
      <c r="AM107" s="100">
        <f>IF(Tabla1[[#This Row],[TIPO DE CONSUMIDOR]]="MEDIO",IF(Tabla1[[#This Row],[JULIO ]]&gt;22.5,Tabla1[[#This Row],[JULIO ]]/22.5-1,0),IF(Tabla1[[#This Row],[JULIO ]]&gt;45,Tabla1[[#This Row],[JULIO ]]/45-1,0))</f>
        <v>0</v>
      </c>
      <c r="AN107" s="100">
        <f>IF(Tabla1[[#This Row],[TIPO DE CONSUMIDOR]]="MEDIO",IF(Tabla1[[#This Row],[AGOSTO]]&gt;22.5,Tabla1[[#This Row],[AGOSTO]]/22.5-1,0),IF(Tabla1[[#This Row],[AGOSTO]]&gt;45,Tabla1[[#This Row],[AGOSTO]]/45-1,0))</f>
        <v>0</v>
      </c>
      <c r="AO10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7" s="101">
        <f t="shared" si="3"/>
        <v>0</v>
      </c>
      <c r="AT107">
        <f>IF(Tabla1[[#This Row],[MES ADEUDO DE AÑOS PASADOS ]]&gt;0,1,0)</f>
        <v>0</v>
      </c>
      <c r="AU107" s="9">
        <f t="shared" si="4"/>
        <v>0</v>
      </c>
      <c r="AV107" s="60">
        <f>IF(Tabla1[[#This Row],[MESES DE ADEUDO DEL AÑO EN CURSO ]]&gt;0,1,0)</f>
        <v>0</v>
      </c>
      <c r="AW107" s="42"/>
      <c r="AX107" s="42"/>
      <c r="AY107" s="42"/>
      <c r="AZ107" s="43"/>
    </row>
    <row r="108" spans="1:52" ht="21.75" thickBot="1" x14ac:dyDescent="0.35">
      <c r="A108" s="106">
        <v>102</v>
      </c>
      <c r="B108" s="5" t="s">
        <v>597</v>
      </c>
      <c r="C108" s="2" t="s">
        <v>488</v>
      </c>
      <c r="D108" s="32"/>
      <c r="E108" s="35" t="s">
        <v>455</v>
      </c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24">
        <f>SUM(Tabla1[[#This Row],[ENERO ]:[DICIEMBRE]])</f>
        <v>0</v>
      </c>
      <c r="W108">
        <v>0</v>
      </c>
      <c r="X108" s="21">
        <f>COUNTIF(Tabla1[[#This Row],[ENERO ]:[DICIEMBRE]],0)-(AS108)-IF(Tabla1[[#This Row],[BAJAS]]="BAJA",IF(Tabla1[[#This Row],[ALTAS]]="ALTA",VLOOKUP(Tabla1[[#This Row],[MES DE ALTA ]],$AW$6:$AX$17,2,FALSE),12)-VLOOKUP(Tabla1[[#This Row],[MES DE BAJA ]],$AW$6:$AX$17,2,FALSE),0)</f>
        <v>0</v>
      </c>
      <c r="Y108" s="68">
        <f>SUM(Tabla1[[#This Row],[MES ADEUDO DE AÑOS PASADOS ]:[MESES DE ADEUDO DEL AÑO EN CURSO ]])-Tabla1[[#This Row],[PAGO DE DEUDA ANTERIOR EN MESES]]</f>
        <v>0</v>
      </c>
      <c r="Z108" s="15">
        <f>Tabla1[[#This Row],[MES ADEUDO DE AÑOS PASADOS ]]*$T$2</f>
        <v>0</v>
      </c>
      <c r="AA108" s="15">
        <f>Tabla1[[#This Row],[MESES DE ADEUDO DEL AÑO EN CURSO ]]*$T$2</f>
        <v>0</v>
      </c>
      <c r="AB108" s="69">
        <f>SUM(Tabla1[[#This Row],[DEUDA DE LOS MESES PASADOS EN $$]:[DEUDA DEL AÑO 2013 $$ ]])</f>
        <v>0</v>
      </c>
      <c r="AD108">
        <f>Tabla1[[#This Row],[PAGO DE DEUDA ANTERIOR EN MESES]]*$T$2</f>
        <v>0</v>
      </c>
      <c r="AG108" s="100">
        <f>IF(Tabla1[[#This Row],[TIPO DE CONSUMIDOR]]="MEDIO",IF(Tabla1[[#This Row],[ENERO ]]&gt;22.5,Tabla1[[#This Row],[ENERO ]]/22.5-1,0),IF(Tabla1[[#This Row],[ENERO ]]&gt;45,Tabla1[[#This Row],[ENERO ]]/45-1,0))</f>
        <v>0</v>
      </c>
      <c r="AH10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8" s="100">
        <f>IF(Tabla1[[#This Row],[TIPO DE CONSUMIDOR]]="MEDIO",IF(Tabla1[[#This Row],[MARZO]]&gt;22.5,Tabla1[[#This Row],[MARZO]]/22.5-1,0),IF(Tabla1[[#This Row],[MARZO]]&gt;45,Tabla1[[#This Row],[MARZO]]/45-1,0))</f>
        <v>0</v>
      </c>
      <c r="AJ108" s="100">
        <f>IF(Tabla1[[#This Row],[TIPO DE CONSUMIDOR]]="MEDIO",IF(Tabla1[[#This Row],[ABRIL]]&gt;22.5,Tabla1[[#This Row],[ABRIL]]/22.5-1,0),IF(Tabla1[[#This Row],[ABRIL]]&gt;45,Tabla1[[#This Row],[ABRIL]]/45-1,0))</f>
        <v>0</v>
      </c>
      <c r="AK108" s="100">
        <f>IF(Tabla1[[#This Row],[TIPO DE CONSUMIDOR]]="MEDIO",IF(Tabla1[[#This Row],[MAYO ]]&gt;22.5,Tabla1[[#This Row],[MAYO ]]/22.5-1,0),IF(Tabla1[[#This Row],[MAYO ]]&gt;45,Tabla1[[#This Row],[MAYO ]]/45-1,0))</f>
        <v>0</v>
      </c>
      <c r="AL108" s="100">
        <f>IF(Tabla1[[#This Row],[TIPO DE CONSUMIDOR]]="MEDIO",IF(Tabla1[[#This Row],[JUNIO ]]&gt;22.5,Tabla1[[#This Row],[JUNIO ]]/22.5-1,0),IF(Tabla1[[#This Row],[JUNIO ]]&gt;45,Tabla1[[#This Row],[JUNIO ]]/45-1,0))</f>
        <v>0</v>
      </c>
      <c r="AM108" s="100">
        <f>IF(Tabla1[[#This Row],[TIPO DE CONSUMIDOR]]="MEDIO",IF(Tabla1[[#This Row],[JULIO ]]&gt;22.5,Tabla1[[#This Row],[JULIO ]]/22.5-1,0),IF(Tabla1[[#This Row],[JULIO ]]&gt;45,Tabla1[[#This Row],[JULIO ]]/45-1,0))</f>
        <v>0</v>
      </c>
      <c r="AN108" s="100">
        <f>IF(Tabla1[[#This Row],[TIPO DE CONSUMIDOR]]="MEDIO",IF(Tabla1[[#This Row],[AGOSTO]]&gt;22.5,Tabla1[[#This Row],[AGOSTO]]/22.5-1,0),IF(Tabla1[[#This Row],[AGOSTO]]&gt;45,Tabla1[[#This Row],[AGOSTO]]/45-1,0))</f>
        <v>0</v>
      </c>
      <c r="AO10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8" s="101">
        <f t="shared" si="3"/>
        <v>0</v>
      </c>
      <c r="AT108">
        <f>IF(Tabla1[[#This Row],[MES ADEUDO DE AÑOS PASADOS ]]&gt;0,1,0)</f>
        <v>0</v>
      </c>
      <c r="AU108" s="9">
        <f t="shared" si="4"/>
        <v>0</v>
      </c>
      <c r="AV108" s="60">
        <f>IF(Tabla1[[#This Row],[MESES DE ADEUDO DEL AÑO EN CURSO ]]&gt;0,1,0)</f>
        <v>0</v>
      </c>
      <c r="AW108" s="42"/>
      <c r="AX108" s="42"/>
      <c r="AY108" s="42"/>
      <c r="AZ108" s="43"/>
    </row>
    <row r="109" spans="1:52" ht="21.75" thickBot="1" x14ac:dyDescent="0.35">
      <c r="A109" s="106">
        <v>103</v>
      </c>
      <c r="B109" s="5" t="s">
        <v>51</v>
      </c>
      <c r="C109" s="2" t="s">
        <v>488</v>
      </c>
      <c r="D109" s="32"/>
      <c r="E109" s="35" t="s">
        <v>455</v>
      </c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24">
        <f>SUM(Tabla1[[#This Row],[ENERO ]:[DICIEMBRE]])</f>
        <v>0</v>
      </c>
      <c r="W109">
        <v>0</v>
      </c>
      <c r="X109" s="21">
        <f>COUNTIF(Tabla1[[#This Row],[ENERO ]:[DICIEMBRE]],0)-(AS109)-IF(Tabla1[[#This Row],[BAJAS]]="BAJA",IF(Tabla1[[#This Row],[ALTAS]]="ALTA",VLOOKUP(Tabla1[[#This Row],[MES DE ALTA ]],$AW$6:$AX$17,2,FALSE),12)-VLOOKUP(Tabla1[[#This Row],[MES DE BAJA ]],$AW$6:$AX$17,2,FALSE),0)</f>
        <v>0</v>
      </c>
      <c r="Y109" s="68">
        <f>SUM(Tabla1[[#This Row],[MES ADEUDO DE AÑOS PASADOS ]:[MESES DE ADEUDO DEL AÑO EN CURSO ]])-Tabla1[[#This Row],[PAGO DE DEUDA ANTERIOR EN MESES]]</f>
        <v>0</v>
      </c>
      <c r="Z109" s="15">
        <f>Tabla1[[#This Row],[MES ADEUDO DE AÑOS PASADOS ]]*$T$2</f>
        <v>0</v>
      </c>
      <c r="AA109" s="15">
        <f>Tabla1[[#This Row],[MESES DE ADEUDO DEL AÑO EN CURSO ]]*$T$2</f>
        <v>0</v>
      </c>
      <c r="AB109" s="69">
        <f>SUM(Tabla1[[#This Row],[DEUDA DE LOS MESES PASADOS EN $$]:[DEUDA DEL AÑO 2013 $$ ]])</f>
        <v>0</v>
      </c>
      <c r="AD109">
        <f>Tabla1[[#This Row],[PAGO DE DEUDA ANTERIOR EN MESES]]*$T$2</f>
        <v>0</v>
      </c>
      <c r="AG109" s="100">
        <f>IF(Tabla1[[#This Row],[TIPO DE CONSUMIDOR]]="MEDIO",IF(Tabla1[[#This Row],[ENERO ]]&gt;22.5,Tabla1[[#This Row],[ENERO ]]/22.5-1,0),IF(Tabla1[[#This Row],[ENERO ]]&gt;45,Tabla1[[#This Row],[ENERO ]]/45-1,0))</f>
        <v>0</v>
      </c>
      <c r="AH10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09" s="100">
        <f>IF(Tabla1[[#This Row],[TIPO DE CONSUMIDOR]]="MEDIO",IF(Tabla1[[#This Row],[MARZO]]&gt;22.5,Tabla1[[#This Row],[MARZO]]/22.5-1,0),IF(Tabla1[[#This Row],[MARZO]]&gt;45,Tabla1[[#This Row],[MARZO]]/45-1,0))</f>
        <v>0</v>
      </c>
      <c r="AJ109" s="100">
        <f>IF(Tabla1[[#This Row],[TIPO DE CONSUMIDOR]]="MEDIO",IF(Tabla1[[#This Row],[ABRIL]]&gt;22.5,Tabla1[[#This Row],[ABRIL]]/22.5-1,0),IF(Tabla1[[#This Row],[ABRIL]]&gt;45,Tabla1[[#This Row],[ABRIL]]/45-1,0))</f>
        <v>0</v>
      </c>
      <c r="AK109" s="100">
        <f>IF(Tabla1[[#This Row],[TIPO DE CONSUMIDOR]]="MEDIO",IF(Tabla1[[#This Row],[MAYO ]]&gt;22.5,Tabla1[[#This Row],[MAYO ]]/22.5-1,0),IF(Tabla1[[#This Row],[MAYO ]]&gt;45,Tabla1[[#This Row],[MAYO ]]/45-1,0))</f>
        <v>0</v>
      </c>
      <c r="AL109" s="100">
        <f>IF(Tabla1[[#This Row],[TIPO DE CONSUMIDOR]]="MEDIO",IF(Tabla1[[#This Row],[JUNIO ]]&gt;22.5,Tabla1[[#This Row],[JUNIO ]]/22.5-1,0),IF(Tabla1[[#This Row],[JUNIO ]]&gt;45,Tabla1[[#This Row],[JUNIO ]]/45-1,0))</f>
        <v>0</v>
      </c>
      <c r="AM109" s="100">
        <f>IF(Tabla1[[#This Row],[TIPO DE CONSUMIDOR]]="MEDIO",IF(Tabla1[[#This Row],[JULIO ]]&gt;22.5,Tabla1[[#This Row],[JULIO ]]/22.5-1,0),IF(Tabla1[[#This Row],[JULIO ]]&gt;45,Tabla1[[#This Row],[JULIO ]]/45-1,0))</f>
        <v>0</v>
      </c>
      <c r="AN109" s="100">
        <f>IF(Tabla1[[#This Row],[TIPO DE CONSUMIDOR]]="MEDIO",IF(Tabla1[[#This Row],[AGOSTO]]&gt;22.5,Tabla1[[#This Row],[AGOSTO]]/22.5-1,0),IF(Tabla1[[#This Row],[AGOSTO]]&gt;45,Tabla1[[#This Row],[AGOSTO]]/45-1,0))</f>
        <v>0</v>
      </c>
      <c r="AO10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0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0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0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09" s="101">
        <f t="shared" si="3"/>
        <v>0</v>
      </c>
      <c r="AT109">
        <f>IF(Tabla1[[#This Row],[MES ADEUDO DE AÑOS PASADOS ]]&gt;0,1,0)</f>
        <v>0</v>
      </c>
      <c r="AU109" s="9">
        <f t="shared" si="4"/>
        <v>0</v>
      </c>
      <c r="AV109" s="60">
        <f>IF(Tabla1[[#This Row],[MESES DE ADEUDO DEL AÑO EN CURSO ]]&gt;0,1,0)</f>
        <v>0</v>
      </c>
      <c r="AW109" s="42"/>
      <c r="AX109" s="42"/>
      <c r="AY109" s="42"/>
      <c r="AZ109" s="43"/>
    </row>
    <row r="110" spans="1:52" ht="21.75" thickBot="1" x14ac:dyDescent="0.35">
      <c r="A110" s="106">
        <v>104</v>
      </c>
      <c r="B110" s="5" t="s">
        <v>138</v>
      </c>
      <c r="C110" s="2" t="s">
        <v>488</v>
      </c>
      <c r="D110" s="32"/>
      <c r="E110" s="35" t="s">
        <v>455</v>
      </c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24">
        <f>SUM(Tabla1[[#This Row],[ENERO ]:[DICIEMBRE]])</f>
        <v>0</v>
      </c>
      <c r="W110">
        <v>0</v>
      </c>
      <c r="X110" s="21">
        <f>COUNTIF(Tabla1[[#This Row],[ENERO ]:[DICIEMBRE]],0)-(AS110)-IF(Tabla1[[#This Row],[BAJAS]]="BAJA",IF(Tabla1[[#This Row],[ALTAS]]="ALTA",VLOOKUP(Tabla1[[#This Row],[MES DE ALTA ]],$AW$6:$AX$17,2,FALSE),12)-VLOOKUP(Tabla1[[#This Row],[MES DE BAJA ]],$AW$6:$AX$17,2,FALSE),0)</f>
        <v>0</v>
      </c>
      <c r="Y110" s="68">
        <f>SUM(Tabla1[[#This Row],[MES ADEUDO DE AÑOS PASADOS ]:[MESES DE ADEUDO DEL AÑO EN CURSO ]])-Tabla1[[#This Row],[PAGO DE DEUDA ANTERIOR EN MESES]]</f>
        <v>0</v>
      </c>
      <c r="Z110" s="15">
        <f>Tabla1[[#This Row],[MES ADEUDO DE AÑOS PASADOS ]]*$T$2</f>
        <v>0</v>
      </c>
      <c r="AA110" s="15">
        <f>Tabla1[[#This Row],[MESES DE ADEUDO DEL AÑO EN CURSO ]]*$T$2</f>
        <v>0</v>
      </c>
      <c r="AB110" s="69">
        <f>SUM(Tabla1[[#This Row],[DEUDA DE LOS MESES PASADOS EN $$]:[DEUDA DEL AÑO 2013 $$ ]])</f>
        <v>0</v>
      </c>
      <c r="AD110">
        <f>Tabla1[[#This Row],[PAGO DE DEUDA ANTERIOR EN MESES]]*$T$2</f>
        <v>0</v>
      </c>
      <c r="AG110" s="100">
        <f>IF(Tabla1[[#This Row],[TIPO DE CONSUMIDOR]]="MEDIO",IF(Tabla1[[#This Row],[ENERO ]]&gt;22.5,Tabla1[[#This Row],[ENERO ]]/22.5-1,0),IF(Tabla1[[#This Row],[ENERO ]]&gt;45,Tabla1[[#This Row],[ENERO ]]/45-1,0))</f>
        <v>0</v>
      </c>
      <c r="AH11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0" s="100">
        <f>IF(Tabla1[[#This Row],[TIPO DE CONSUMIDOR]]="MEDIO",IF(Tabla1[[#This Row],[MARZO]]&gt;22.5,Tabla1[[#This Row],[MARZO]]/22.5-1,0),IF(Tabla1[[#This Row],[MARZO]]&gt;45,Tabla1[[#This Row],[MARZO]]/45-1,0))</f>
        <v>0</v>
      </c>
      <c r="AJ110" s="100">
        <f>IF(Tabla1[[#This Row],[TIPO DE CONSUMIDOR]]="MEDIO",IF(Tabla1[[#This Row],[ABRIL]]&gt;22.5,Tabla1[[#This Row],[ABRIL]]/22.5-1,0),IF(Tabla1[[#This Row],[ABRIL]]&gt;45,Tabla1[[#This Row],[ABRIL]]/45-1,0))</f>
        <v>0</v>
      </c>
      <c r="AK110" s="100">
        <f>IF(Tabla1[[#This Row],[TIPO DE CONSUMIDOR]]="MEDIO",IF(Tabla1[[#This Row],[MAYO ]]&gt;22.5,Tabla1[[#This Row],[MAYO ]]/22.5-1,0),IF(Tabla1[[#This Row],[MAYO ]]&gt;45,Tabla1[[#This Row],[MAYO ]]/45-1,0))</f>
        <v>0</v>
      </c>
      <c r="AL110" s="100">
        <f>IF(Tabla1[[#This Row],[TIPO DE CONSUMIDOR]]="MEDIO",IF(Tabla1[[#This Row],[JUNIO ]]&gt;22.5,Tabla1[[#This Row],[JUNIO ]]/22.5-1,0),IF(Tabla1[[#This Row],[JUNIO ]]&gt;45,Tabla1[[#This Row],[JUNIO ]]/45-1,0))</f>
        <v>0</v>
      </c>
      <c r="AM110" s="100">
        <f>IF(Tabla1[[#This Row],[TIPO DE CONSUMIDOR]]="MEDIO",IF(Tabla1[[#This Row],[JULIO ]]&gt;22.5,Tabla1[[#This Row],[JULIO ]]/22.5-1,0),IF(Tabla1[[#This Row],[JULIO ]]&gt;45,Tabla1[[#This Row],[JULIO ]]/45-1,0))</f>
        <v>0</v>
      </c>
      <c r="AN110" s="100">
        <f>IF(Tabla1[[#This Row],[TIPO DE CONSUMIDOR]]="MEDIO",IF(Tabla1[[#This Row],[AGOSTO]]&gt;22.5,Tabla1[[#This Row],[AGOSTO]]/22.5-1,0),IF(Tabla1[[#This Row],[AGOSTO]]&gt;45,Tabla1[[#This Row],[AGOSTO]]/45-1,0))</f>
        <v>0</v>
      </c>
      <c r="AO11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0" s="101">
        <f t="shared" si="3"/>
        <v>0</v>
      </c>
      <c r="AT110">
        <f>IF(Tabla1[[#This Row],[MES ADEUDO DE AÑOS PASADOS ]]&gt;0,1,0)</f>
        <v>0</v>
      </c>
      <c r="AU110" s="9">
        <f t="shared" si="4"/>
        <v>0</v>
      </c>
      <c r="AV110" s="60">
        <f>IF(Tabla1[[#This Row],[MESES DE ADEUDO DEL AÑO EN CURSO ]]&gt;0,1,0)</f>
        <v>0</v>
      </c>
      <c r="AW110" s="42"/>
      <c r="AX110" s="42"/>
      <c r="AY110" s="42"/>
      <c r="AZ110" s="43"/>
    </row>
    <row r="111" spans="1:52" ht="21.75" thickBot="1" x14ac:dyDescent="0.35">
      <c r="A111" s="106">
        <v>105</v>
      </c>
      <c r="B111" s="5" t="s">
        <v>168</v>
      </c>
      <c r="C111" s="2" t="s">
        <v>488</v>
      </c>
      <c r="D111" s="32"/>
      <c r="E111" s="35" t="s">
        <v>455</v>
      </c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24">
        <f>SUM(Tabla1[[#This Row],[ENERO ]:[DICIEMBRE]])</f>
        <v>0</v>
      </c>
      <c r="W111">
        <v>0</v>
      </c>
      <c r="X111" s="21">
        <f>COUNTIF(Tabla1[[#This Row],[ENERO ]:[DICIEMBRE]],0)-(AS111)-IF(Tabla1[[#This Row],[BAJAS]]="BAJA",IF(Tabla1[[#This Row],[ALTAS]]="ALTA",VLOOKUP(Tabla1[[#This Row],[MES DE ALTA ]],$AW$6:$AX$17,2,FALSE),12)-VLOOKUP(Tabla1[[#This Row],[MES DE BAJA ]],$AW$6:$AX$17,2,FALSE),0)</f>
        <v>0</v>
      </c>
      <c r="Y111" s="68">
        <f>SUM(Tabla1[[#This Row],[MES ADEUDO DE AÑOS PASADOS ]:[MESES DE ADEUDO DEL AÑO EN CURSO ]])-Tabla1[[#This Row],[PAGO DE DEUDA ANTERIOR EN MESES]]</f>
        <v>0</v>
      </c>
      <c r="Z111" s="15">
        <f>Tabla1[[#This Row],[MES ADEUDO DE AÑOS PASADOS ]]*$T$2</f>
        <v>0</v>
      </c>
      <c r="AA111" s="15">
        <f>Tabla1[[#This Row],[MESES DE ADEUDO DEL AÑO EN CURSO ]]*$T$2</f>
        <v>0</v>
      </c>
      <c r="AB111" s="69">
        <f>SUM(Tabla1[[#This Row],[DEUDA DE LOS MESES PASADOS EN $$]:[DEUDA DEL AÑO 2013 $$ ]])</f>
        <v>0</v>
      </c>
      <c r="AD111">
        <f>Tabla1[[#This Row],[PAGO DE DEUDA ANTERIOR EN MESES]]*$T$2</f>
        <v>0</v>
      </c>
      <c r="AG111" s="100">
        <f>IF(Tabla1[[#This Row],[TIPO DE CONSUMIDOR]]="MEDIO",IF(Tabla1[[#This Row],[ENERO ]]&gt;22.5,Tabla1[[#This Row],[ENERO ]]/22.5-1,0),IF(Tabla1[[#This Row],[ENERO ]]&gt;45,Tabla1[[#This Row],[ENERO ]]/45-1,0))</f>
        <v>0</v>
      </c>
      <c r="AH11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1" s="100">
        <f>IF(Tabla1[[#This Row],[TIPO DE CONSUMIDOR]]="MEDIO",IF(Tabla1[[#This Row],[MARZO]]&gt;22.5,Tabla1[[#This Row],[MARZO]]/22.5-1,0),IF(Tabla1[[#This Row],[MARZO]]&gt;45,Tabla1[[#This Row],[MARZO]]/45-1,0))</f>
        <v>0</v>
      </c>
      <c r="AJ111" s="100">
        <f>IF(Tabla1[[#This Row],[TIPO DE CONSUMIDOR]]="MEDIO",IF(Tabla1[[#This Row],[ABRIL]]&gt;22.5,Tabla1[[#This Row],[ABRIL]]/22.5-1,0),IF(Tabla1[[#This Row],[ABRIL]]&gt;45,Tabla1[[#This Row],[ABRIL]]/45-1,0))</f>
        <v>0</v>
      </c>
      <c r="AK111" s="100">
        <f>IF(Tabla1[[#This Row],[TIPO DE CONSUMIDOR]]="MEDIO",IF(Tabla1[[#This Row],[MAYO ]]&gt;22.5,Tabla1[[#This Row],[MAYO ]]/22.5-1,0),IF(Tabla1[[#This Row],[MAYO ]]&gt;45,Tabla1[[#This Row],[MAYO ]]/45-1,0))</f>
        <v>0</v>
      </c>
      <c r="AL111" s="100">
        <f>IF(Tabla1[[#This Row],[TIPO DE CONSUMIDOR]]="MEDIO",IF(Tabla1[[#This Row],[JUNIO ]]&gt;22.5,Tabla1[[#This Row],[JUNIO ]]/22.5-1,0),IF(Tabla1[[#This Row],[JUNIO ]]&gt;45,Tabla1[[#This Row],[JUNIO ]]/45-1,0))</f>
        <v>0</v>
      </c>
      <c r="AM111" s="100">
        <f>IF(Tabla1[[#This Row],[TIPO DE CONSUMIDOR]]="MEDIO",IF(Tabla1[[#This Row],[JULIO ]]&gt;22.5,Tabla1[[#This Row],[JULIO ]]/22.5-1,0),IF(Tabla1[[#This Row],[JULIO ]]&gt;45,Tabla1[[#This Row],[JULIO ]]/45-1,0))</f>
        <v>0</v>
      </c>
      <c r="AN111" s="100">
        <f>IF(Tabla1[[#This Row],[TIPO DE CONSUMIDOR]]="MEDIO",IF(Tabla1[[#This Row],[AGOSTO]]&gt;22.5,Tabla1[[#This Row],[AGOSTO]]/22.5-1,0),IF(Tabla1[[#This Row],[AGOSTO]]&gt;45,Tabla1[[#This Row],[AGOSTO]]/45-1,0))</f>
        <v>0</v>
      </c>
      <c r="AO11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1" s="101">
        <f t="shared" si="3"/>
        <v>0</v>
      </c>
      <c r="AT111">
        <f>IF(Tabla1[[#This Row],[MES ADEUDO DE AÑOS PASADOS ]]&gt;0,1,0)</f>
        <v>0</v>
      </c>
      <c r="AU111" s="9">
        <f t="shared" si="4"/>
        <v>0</v>
      </c>
      <c r="AV111" s="60">
        <f>IF(Tabla1[[#This Row],[MESES DE ADEUDO DEL AÑO EN CURSO ]]&gt;0,1,0)</f>
        <v>0</v>
      </c>
      <c r="AW111" s="42"/>
      <c r="AX111" s="42"/>
      <c r="AY111" s="42"/>
      <c r="AZ111" s="43"/>
    </row>
    <row r="112" spans="1:52" ht="21.75" thickBot="1" x14ac:dyDescent="0.35">
      <c r="A112" s="106">
        <v>106</v>
      </c>
      <c r="B112" s="5" t="s">
        <v>162</v>
      </c>
      <c r="C112" s="2" t="s">
        <v>488</v>
      </c>
      <c r="D112" s="32"/>
      <c r="E112" s="35" t="s">
        <v>455</v>
      </c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24">
        <f>SUM(Tabla1[[#This Row],[ENERO ]:[DICIEMBRE]])</f>
        <v>0</v>
      </c>
      <c r="W112">
        <v>0</v>
      </c>
      <c r="X112" s="21">
        <f>COUNTIF(Tabla1[[#This Row],[ENERO ]:[DICIEMBRE]],0)-(AS112)-IF(Tabla1[[#This Row],[BAJAS]]="BAJA",IF(Tabla1[[#This Row],[ALTAS]]="ALTA",VLOOKUP(Tabla1[[#This Row],[MES DE ALTA ]],$AW$6:$AX$17,2,FALSE),12)-VLOOKUP(Tabla1[[#This Row],[MES DE BAJA ]],$AW$6:$AX$17,2,FALSE),0)</f>
        <v>0</v>
      </c>
      <c r="Y112" s="68">
        <f>SUM(Tabla1[[#This Row],[MES ADEUDO DE AÑOS PASADOS ]:[MESES DE ADEUDO DEL AÑO EN CURSO ]])-Tabla1[[#This Row],[PAGO DE DEUDA ANTERIOR EN MESES]]</f>
        <v>0</v>
      </c>
      <c r="Z112" s="15">
        <f>Tabla1[[#This Row],[MES ADEUDO DE AÑOS PASADOS ]]*$T$2</f>
        <v>0</v>
      </c>
      <c r="AA112" s="15">
        <f>Tabla1[[#This Row],[MESES DE ADEUDO DEL AÑO EN CURSO ]]*$T$2</f>
        <v>0</v>
      </c>
      <c r="AB112" s="69">
        <f>SUM(Tabla1[[#This Row],[DEUDA DE LOS MESES PASADOS EN $$]:[DEUDA DEL AÑO 2013 $$ ]])</f>
        <v>0</v>
      </c>
      <c r="AD112">
        <f>Tabla1[[#This Row],[PAGO DE DEUDA ANTERIOR EN MESES]]*$T$2</f>
        <v>0</v>
      </c>
      <c r="AG112" s="100">
        <f>IF(Tabla1[[#This Row],[TIPO DE CONSUMIDOR]]="MEDIO",IF(Tabla1[[#This Row],[ENERO ]]&gt;22.5,Tabla1[[#This Row],[ENERO ]]/22.5-1,0),IF(Tabla1[[#This Row],[ENERO ]]&gt;45,Tabla1[[#This Row],[ENERO ]]/45-1,0))</f>
        <v>0</v>
      </c>
      <c r="AH11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2" s="100">
        <f>IF(Tabla1[[#This Row],[TIPO DE CONSUMIDOR]]="MEDIO",IF(Tabla1[[#This Row],[MARZO]]&gt;22.5,Tabla1[[#This Row],[MARZO]]/22.5-1,0),IF(Tabla1[[#This Row],[MARZO]]&gt;45,Tabla1[[#This Row],[MARZO]]/45-1,0))</f>
        <v>0</v>
      </c>
      <c r="AJ112" s="100">
        <f>IF(Tabla1[[#This Row],[TIPO DE CONSUMIDOR]]="MEDIO",IF(Tabla1[[#This Row],[ABRIL]]&gt;22.5,Tabla1[[#This Row],[ABRIL]]/22.5-1,0),IF(Tabla1[[#This Row],[ABRIL]]&gt;45,Tabla1[[#This Row],[ABRIL]]/45-1,0))</f>
        <v>0</v>
      </c>
      <c r="AK112" s="100">
        <f>IF(Tabla1[[#This Row],[TIPO DE CONSUMIDOR]]="MEDIO",IF(Tabla1[[#This Row],[MAYO ]]&gt;22.5,Tabla1[[#This Row],[MAYO ]]/22.5-1,0),IF(Tabla1[[#This Row],[MAYO ]]&gt;45,Tabla1[[#This Row],[MAYO ]]/45-1,0))</f>
        <v>0</v>
      </c>
      <c r="AL112" s="100">
        <f>IF(Tabla1[[#This Row],[TIPO DE CONSUMIDOR]]="MEDIO",IF(Tabla1[[#This Row],[JUNIO ]]&gt;22.5,Tabla1[[#This Row],[JUNIO ]]/22.5-1,0),IF(Tabla1[[#This Row],[JUNIO ]]&gt;45,Tabla1[[#This Row],[JUNIO ]]/45-1,0))</f>
        <v>0</v>
      </c>
      <c r="AM112" s="100">
        <f>IF(Tabla1[[#This Row],[TIPO DE CONSUMIDOR]]="MEDIO",IF(Tabla1[[#This Row],[JULIO ]]&gt;22.5,Tabla1[[#This Row],[JULIO ]]/22.5-1,0),IF(Tabla1[[#This Row],[JULIO ]]&gt;45,Tabla1[[#This Row],[JULIO ]]/45-1,0))</f>
        <v>0</v>
      </c>
      <c r="AN112" s="100">
        <f>IF(Tabla1[[#This Row],[TIPO DE CONSUMIDOR]]="MEDIO",IF(Tabla1[[#This Row],[AGOSTO]]&gt;22.5,Tabla1[[#This Row],[AGOSTO]]/22.5-1,0),IF(Tabla1[[#This Row],[AGOSTO]]&gt;45,Tabla1[[#This Row],[AGOSTO]]/45-1,0))</f>
        <v>0</v>
      </c>
      <c r="AO11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2" s="101">
        <f t="shared" si="3"/>
        <v>0</v>
      </c>
      <c r="AT112">
        <f>IF(Tabla1[[#This Row],[MES ADEUDO DE AÑOS PASADOS ]]&gt;0,1,0)</f>
        <v>0</v>
      </c>
      <c r="AU112" s="9">
        <f t="shared" si="4"/>
        <v>0</v>
      </c>
      <c r="AV112" s="60">
        <f>IF(Tabla1[[#This Row],[MESES DE ADEUDO DEL AÑO EN CURSO ]]&gt;0,1,0)</f>
        <v>0</v>
      </c>
      <c r="AW112" s="42"/>
      <c r="AX112" s="42"/>
      <c r="AY112" s="42"/>
      <c r="AZ112" s="43"/>
    </row>
    <row r="113" spans="1:52" ht="21.75" thickBot="1" x14ac:dyDescent="0.35">
      <c r="A113" s="106">
        <v>107</v>
      </c>
      <c r="B113" s="5" t="s">
        <v>254</v>
      </c>
      <c r="C113" s="2" t="s">
        <v>488</v>
      </c>
      <c r="D113" s="32"/>
      <c r="E113" s="35" t="s">
        <v>455</v>
      </c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24">
        <f>SUM(Tabla1[[#This Row],[ENERO ]:[DICIEMBRE]])</f>
        <v>0</v>
      </c>
      <c r="W113">
        <v>0</v>
      </c>
      <c r="X113" s="21">
        <f>COUNTIF(Tabla1[[#This Row],[ENERO ]:[DICIEMBRE]],0)-(AS113)-IF(Tabla1[[#This Row],[BAJAS]]="BAJA",IF(Tabla1[[#This Row],[ALTAS]]="ALTA",VLOOKUP(Tabla1[[#This Row],[MES DE ALTA ]],$AW$6:$AX$17,2,FALSE),12)-VLOOKUP(Tabla1[[#This Row],[MES DE BAJA ]],$AW$6:$AX$17,2,FALSE),0)</f>
        <v>0</v>
      </c>
      <c r="Y113" s="68">
        <f>SUM(Tabla1[[#This Row],[MES ADEUDO DE AÑOS PASADOS ]:[MESES DE ADEUDO DEL AÑO EN CURSO ]])-Tabla1[[#This Row],[PAGO DE DEUDA ANTERIOR EN MESES]]</f>
        <v>0</v>
      </c>
      <c r="Z113" s="15">
        <f>Tabla1[[#This Row],[MES ADEUDO DE AÑOS PASADOS ]]*$T$2</f>
        <v>0</v>
      </c>
      <c r="AA113" s="15">
        <f>Tabla1[[#This Row],[MESES DE ADEUDO DEL AÑO EN CURSO ]]*$T$2</f>
        <v>0</v>
      </c>
      <c r="AB113" s="69">
        <f>SUM(Tabla1[[#This Row],[DEUDA DE LOS MESES PASADOS EN $$]:[DEUDA DEL AÑO 2013 $$ ]])</f>
        <v>0</v>
      </c>
      <c r="AD113">
        <f>Tabla1[[#This Row],[PAGO DE DEUDA ANTERIOR EN MESES]]*$T$2</f>
        <v>0</v>
      </c>
      <c r="AG113" s="100">
        <f>IF(Tabla1[[#This Row],[TIPO DE CONSUMIDOR]]="MEDIO",IF(Tabla1[[#This Row],[ENERO ]]&gt;22.5,Tabla1[[#This Row],[ENERO ]]/22.5-1,0),IF(Tabla1[[#This Row],[ENERO ]]&gt;45,Tabla1[[#This Row],[ENERO ]]/45-1,0))</f>
        <v>0</v>
      </c>
      <c r="AH11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3" s="100">
        <f>IF(Tabla1[[#This Row],[TIPO DE CONSUMIDOR]]="MEDIO",IF(Tabla1[[#This Row],[MARZO]]&gt;22.5,Tabla1[[#This Row],[MARZO]]/22.5-1,0),IF(Tabla1[[#This Row],[MARZO]]&gt;45,Tabla1[[#This Row],[MARZO]]/45-1,0))</f>
        <v>0</v>
      </c>
      <c r="AJ113" s="100">
        <f>IF(Tabla1[[#This Row],[TIPO DE CONSUMIDOR]]="MEDIO",IF(Tabla1[[#This Row],[ABRIL]]&gt;22.5,Tabla1[[#This Row],[ABRIL]]/22.5-1,0),IF(Tabla1[[#This Row],[ABRIL]]&gt;45,Tabla1[[#This Row],[ABRIL]]/45-1,0))</f>
        <v>0</v>
      </c>
      <c r="AK113" s="100">
        <f>IF(Tabla1[[#This Row],[TIPO DE CONSUMIDOR]]="MEDIO",IF(Tabla1[[#This Row],[MAYO ]]&gt;22.5,Tabla1[[#This Row],[MAYO ]]/22.5-1,0),IF(Tabla1[[#This Row],[MAYO ]]&gt;45,Tabla1[[#This Row],[MAYO ]]/45-1,0))</f>
        <v>0</v>
      </c>
      <c r="AL113" s="100">
        <f>IF(Tabla1[[#This Row],[TIPO DE CONSUMIDOR]]="MEDIO",IF(Tabla1[[#This Row],[JUNIO ]]&gt;22.5,Tabla1[[#This Row],[JUNIO ]]/22.5-1,0),IF(Tabla1[[#This Row],[JUNIO ]]&gt;45,Tabla1[[#This Row],[JUNIO ]]/45-1,0))</f>
        <v>0</v>
      </c>
      <c r="AM113" s="100">
        <f>IF(Tabla1[[#This Row],[TIPO DE CONSUMIDOR]]="MEDIO",IF(Tabla1[[#This Row],[JULIO ]]&gt;22.5,Tabla1[[#This Row],[JULIO ]]/22.5-1,0),IF(Tabla1[[#This Row],[JULIO ]]&gt;45,Tabla1[[#This Row],[JULIO ]]/45-1,0))</f>
        <v>0</v>
      </c>
      <c r="AN113" s="100">
        <f>IF(Tabla1[[#This Row],[TIPO DE CONSUMIDOR]]="MEDIO",IF(Tabla1[[#This Row],[AGOSTO]]&gt;22.5,Tabla1[[#This Row],[AGOSTO]]/22.5-1,0),IF(Tabla1[[#This Row],[AGOSTO]]&gt;45,Tabla1[[#This Row],[AGOSTO]]/45-1,0))</f>
        <v>0</v>
      </c>
      <c r="AO11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3" s="101">
        <f t="shared" si="3"/>
        <v>0</v>
      </c>
      <c r="AT113">
        <f>IF(Tabla1[[#This Row],[MES ADEUDO DE AÑOS PASADOS ]]&gt;0,1,0)</f>
        <v>0</v>
      </c>
      <c r="AU113" s="9">
        <f t="shared" si="4"/>
        <v>0</v>
      </c>
      <c r="AV113" s="60">
        <f>IF(Tabla1[[#This Row],[MESES DE ADEUDO DEL AÑO EN CURSO ]]&gt;0,1,0)</f>
        <v>0</v>
      </c>
      <c r="AW113" s="42"/>
      <c r="AX113" s="42"/>
      <c r="AY113" s="42"/>
      <c r="AZ113" s="43"/>
    </row>
    <row r="114" spans="1:52" ht="21.75" thickBot="1" x14ac:dyDescent="0.35">
      <c r="A114" s="106">
        <v>108</v>
      </c>
      <c r="B114" s="5" t="s">
        <v>270</v>
      </c>
      <c r="C114" s="2" t="s">
        <v>488</v>
      </c>
      <c r="D114" s="32"/>
      <c r="E114" s="35" t="s">
        <v>455</v>
      </c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24">
        <f>SUM(Tabla1[[#This Row],[ENERO ]:[DICIEMBRE]])</f>
        <v>0</v>
      </c>
      <c r="W114">
        <v>0</v>
      </c>
      <c r="X114" s="21">
        <f>COUNTIF(Tabla1[[#This Row],[ENERO ]:[DICIEMBRE]],0)-(AS114)-IF(Tabla1[[#This Row],[BAJAS]]="BAJA",IF(Tabla1[[#This Row],[ALTAS]]="ALTA",VLOOKUP(Tabla1[[#This Row],[MES DE ALTA ]],$AW$6:$AX$17,2,FALSE),12)-VLOOKUP(Tabla1[[#This Row],[MES DE BAJA ]],$AW$6:$AX$17,2,FALSE),0)</f>
        <v>0</v>
      </c>
      <c r="Y114" s="68">
        <f>SUM(Tabla1[[#This Row],[MES ADEUDO DE AÑOS PASADOS ]:[MESES DE ADEUDO DEL AÑO EN CURSO ]])-Tabla1[[#This Row],[PAGO DE DEUDA ANTERIOR EN MESES]]</f>
        <v>0</v>
      </c>
      <c r="Z114" s="15">
        <f>Tabla1[[#This Row],[MES ADEUDO DE AÑOS PASADOS ]]*$T$2</f>
        <v>0</v>
      </c>
      <c r="AA114" s="15">
        <f>Tabla1[[#This Row],[MESES DE ADEUDO DEL AÑO EN CURSO ]]*$T$2</f>
        <v>0</v>
      </c>
      <c r="AB114" s="69">
        <f>SUM(Tabla1[[#This Row],[DEUDA DE LOS MESES PASADOS EN $$]:[DEUDA DEL AÑO 2013 $$ ]])</f>
        <v>0</v>
      </c>
      <c r="AD114">
        <f>Tabla1[[#This Row],[PAGO DE DEUDA ANTERIOR EN MESES]]*$T$2</f>
        <v>0</v>
      </c>
      <c r="AG114" s="100">
        <f>IF(Tabla1[[#This Row],[TIPO DE CONSUMIDOR]]="MEDIO",IF(Tabla1[[#This Row],[ENERO ]]&gt;22.5,Tabla1[[#This Row],[ENERO ]]/22.5-1,0),IF(Tabla1[[#This Row],[ENERO ]]&gt;45,Tabla1[[#This Row],[ENERO ]]/45-1,0))</f>
        <v>0</v>
      </c>
      <c r="AH11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4" s="100">
        <f>IF(Tabla1[[#This Row],[TIPO DE CONSUMIDOR]]="MEDIO",IF(Tabla1[[#This Row],[MARZO]]&gt;22.5,Tabla1[[#This Row],[MARZO]]/22.5-1,0),IF(Tabla1[[#This Row],[MARZO]]&gt;45,Tabla1[[#This Row],[MARZO]]/45-1,0))</f>
        <v>0</v>
      </c>
      <c r="AJ114" s="100">
        <f>IF(Tabla1[[#This Row],[TIPO DE CONSUMIDOR]]="MEDIO",IF(Tabla1[[#This Row],[ABRIL]]&gt;22.5,Tabla1[[#This Row],[ABRIL]]/22.5-1,0),IF(Tabla1[[#This Row],[ABRIL]]&gt;45,Tabla1[[#This Row],[ABRIL]]/45-1,0))</f>
        <v>0</v>
      </c>
      <c r="AK114" s="100">
        <f>IF(Tabla1[[#This Row],[TIPO DE CONSUMIDOR]]="MEDIO",IF(Tabla1[[#This Row],[MAYO ]]&gt;22.5,Tabla1[[#This Row],[MAYO ]]/22.5-1,0),IF(Tabla1[[#This Row],[MAYO ]]&gt;45,Tabla1[[#This Row],[MAYO ]]/45-1,0))</f>
        <v>0</v>
      </c>
      <c r="AL114" s="100">
        <f>IF(Tabla1[[#This Row],[TIPO DE CONSUMIDOR]]="MEDIO",IF(Tabla1[[#This Row],[JUNIO ]]&gt;22.5,Tabla1[[#This Row],[JUNIO ]]/22.5-1,0),IF(Tabla1[[#This Row],[JUNIO ]]&gt;45,Tabla1[[#This Row],[JUNIO ]]/45-1,0))</f>
        <v>0</v>
      </c>
      <c r="AM114" s="100">
        <f>IF(Tabla1[[#This Row],[TIPO DE CONSUMIDOR]]="MEDIO",IF(Tabla1[[#This Row],[JULIO ]]&gt;22.5,Tabla1[[#This Row],[JULIO ]]/22.5-1,0),IF(Tabla1[[#This Row],[JULIO ]]&gt;45,Tabla1[[#This Row],[JULIO ]]/45-1,0))</f>
        <v>0</v>
      </c>
      <c r="AN114" s="100">
        <f>IF(Tabla1[[#This Row],[TIPO DE CONSUMIDOR]]="MEDIO",IF(Tabla1[[#This Row],[AGOSTO]]&gt;22.5,Tabla1[[#This Row],[AGOSTO]]/22.5-1,0),IF(Tabla1[[#This Row],[AGOSTO]]&gt;45,Tabla1[[#This Row],[AGOSTO]]/45-1,0))</f>
        <v>0</v>
      </c>
      <c r="AO11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4" s="101">
        <f t="shared" si="3"/>
        <v>0</v>
      </c>
      <c r="AT114">
        <f>IF(Tabla1[[#This Row],[MES ADEUDO DE AÑOS PASADOS ]]&gt;0,1,0)</f>
        <v>0</v>
      </c>
      <c r="AU114" s="9">
        <f t="shared" si="4"/>
        <v>0</v>
      </c>
      <c r="AV114" s="60">
        <f>IF(Tabla1[[#This Row],[MESES DE ADEUDO DEL AÑO EN CURSO ]]&gt;0,1,0)</f>
        <v>0</v>
      </c>
      <c r="AW114" s="42"/>
      <c r="AX114" s="42"/>
      <c r="AY114" s="42"/>
      <c r="AZ114" s="43"/>
    </row>
    <row r="115" spans="1:52" ht="21.75" thickBot="1" x14ac:dyDescent="0.35">
      <c r="A115" s="106">
        <v>109</v>
      </c>
      <c r="B115" s="5" t="s">
        <v>273</v>
      </c>
      <c r="C115" s="2" t="s">
        <v>488</v>
      </c>
      <c r="D115" s="32"/>
      <c r="E115" s="35" t="s">
        <v>455</v>
      </c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24">
        <f>SUM(Tabla1[[#This Row],[ENERO ]:[DICIEMBRE]])</f>
        <v>0</v>
      </c>
      <c r="W115">
        <v>0</v>
      </c>
      <c r="X115" s="21">
        <f>COUNTIF(Tabla1[[#This Row],[ENERO ]:[DICIEMBRE]],0)-(AS115)-IF(Tabla1[[#This Row],[BAJAS]]="BAJA",IF(Tabla1[[#This Row],[ALTAS]]="ALTA",VLOOKUP(Tabla1[[#This Row],[MES DE ALTA ]],$AW$6:$AX$17,2,FALSE),12)-VLOOKUP(Tabla1[[#This Row],[MES DE BAJA ]],$AW$6:$AX$17,2,FALSE),0)</f>
        <v>0</v>
      </c>
      <c r="Y115" s="68">
        <f>SUM(Tabla1[[#This Row],[MES ADEUDO DE AÑOS PASADOS ]:[MESES DE ADEUDO DEL AÑO EN CURSO ]])-Tabla1[[#This Row],[PAGO DE DEUDA ANTERIOR EN MESES]]</f>
        <v>0</v>
      </c>
      <c r="Z115" s="15">
        <f>Tabla1[[#This Row],[MES ADEUDO DE AÑOS PASADOS ]]*$T$2</f>
        <v>0</v>
      </c>
      <c r="AA115" s="15">
        <f>Tabla1[[#This Row],[MESES DE ADEUDO DEL AÑO EN CURSO ]]*$T$2</f>
        <v>0</v>
      </c>
      <c r="AB115" s="69">
        <f>SUM(Tabla1[[#This Row],[DEUDA DE LOS MESES PASADOS EN $$]:[DEUDA DEL AÑO 2013 $$ ]])</f>
        <v>0</v>
      </c>
      <c r="AD115">
        <f>Tabla1[[#This Row],[PAGO DE DEUDA ANTERIOR EN MESES]]*$T$2</f>
        <v>0</v>
      </c>
      <c r="AG115" s="100">
        <f>IF(Tabla1[[#This Row],[TIPO DE CONSUMIDOR]]="MEDIO",IF(Tabla1[[#This Row],[ENERO ]]&gt;22.5,Tabla1[[#This Row],[ENERO ]]/22.5-1,0),IF(Tabla1[[#This Row],[ENERO ]]&gt;45,Tabla1[[#This Row],[ENERO ]]/45-1,0))</f>
        <v>0</v>
      </c>
      <c r="AH11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5" s="100">
        <f>IF(Tabla1[[#This Row],[TIPO DE CONSUMIDOR]]="MEDIO",IF(Tabla1[[#This Row],[MARZO]]&gt;22.5,Tabla1[[#This Row],[MARZO]]/22.5-1,0),IF(Tabla1[[#This Row],[MARZO]]&gt;45,Tabla1[[#This Row],[MARZO]]/45-1,0))</f>
        <v>0</v>
      </c>
      <c r="AJ115" s="100">
        <f>IF(Tabla1[[#This Row],[TIPO DE CONSUMIDOR]]="MEDIO",IF(Tabla1[[#This Row],[ABRIL]]&gt;22.5,Tabla1[[#This Row],[ABRIL]]/22.5-1,0),IF(Tabla1[[#This Row],[ABRIL]]&gt;45,Tabla1[[#This Row],[ABRIL]]/45-1,0))</f>
        <v>0</v>
      </c>
      <c r="AK115" s="100">
        <f>IF(Tabla1[[#This Row],[TIPO DE CONSUMIDOR]]="MEDIO",IF(Tabla1[[#This Row],[MAYO ]]&gt;22.5,Tabla1[[#This Row],[MAYO ]]/22.5-1,0),IF(Tabla1[[#This Row],[MAYO ]]&gt;45,Tabla1[[#This Row],[MAYO ]]/45-1,0))</f>
        <v>0</v>
      </c>
      <c r="AL115" s="100">
        <f>IF(Tabla1[[#This Row],[TIPO DE CONSUMIDOR]]="MEDIO",IF(Tabla1[[#This Row],[JUNIO ]]&gt;22.5,Tabla1[[#This Row],[JUNIO ]]/22.5-1,0),IF(Tabla1[[#This Row],[JUNIO ]]&gt;45,Tabla1[[#This Row],[JUNIO ]]/45-1,0))</f>
        <v>0</v>
      </c>
      <c r="AM115" s="100">
        <f>IF(Tabla1[[#This Row],[TIPO DE CONSUMIDOR]]="MEDIO",IF(Tabla1[[#This Row],[JULIO ]]&gt;22.5,Tabla1[[#This Row],[JULIO ]]/22.5-1,0),IF(Tabla1[[#This Row],[JULIO ]]&gt;45,Tabla1[[#This Row],[JULIO ]]/45-1,0))</f>
        <v>0</v>
      </c>
      <c r="AN115" s="100">
        <f>IF(Tabla1[[#This Row],[TIPO DE CONSUMIDOR]]="MEDIO",IF(Tabla1[[#This Row],[AGOSTO]]&gt;22.5,Tabla1[[#This Row],[AGOSTO]]/22.5-1,0),IF(Tabla1[[#This Row],[AGOSTO]]&gt;45,Tabla1[[#This Row],[AGOSTO]]/45-1,0))</f>
        <v>0</v>
      </c>
      <c r="AO11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5" s="101">
        <f t="shared" si="3"/>
        <v>0</v>
      </c>
      <c r="AT115">
        <f>IF(Tabla1[[#This Row],[MES ADEUDO DE AÑOS PASADOS ]]&gt;0,1,0)</f>
        <v>0</v>
      </c>
      <c r="AU115" s="9">
        <f t="shared" si="4"/>
        <v>0</v>
      </c>
      <c r="AV115" s="60">
        <f>IF(Tabla1[[#This Row],[MESES DE ADEUDO DEL AÑO EN CURSO ]]&gt;0,1,0)</f>
        <v>0</v>
      </c>
      <c r="AW115" s="42"/>
      <c r="AX115" s="42"/>
      <c r="AY115" s="42"/>
      <c r="AZ115" s="43"/>
    </row>
    <row r="116" spans="1:52" ht="21.75" thickBot="1" x14ac:dyDescent="0.35">
      <c r="A116" s="106">
        <v>110</v>
      </c>
      <c r="B116" s="5" t="s">
        <v>600</v>
      </c>
      <c r="C116" s="2" t="s">
        <v>488</v>
      </c>
      <c r="D116" s="32"/>
      <c r="E116" s="35" t="s">
        <v>489</v>
      </c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24">
        <f>SUM(Tabla1[[#This Row],[ENERO ]:[DICIEMBRE]])</f>
        <v>0</v>
      </c>
      <c r="W116">
        <v>0</v>
      </c>
      <c r="X116" s="21">
        <f>COUNTIF(Tabla1[[#This Row],[ENERO ]:[DICIEMBRE]],0)-(AS116)-IF(Tabla1[[#This Row],[BAJAS]]="BAJA",IF(Tabla1[[#This Row],[ALTAS]]="ALTA",VLOOKUP(Tabla1[[#This Row],[MES DE ALTA ]],$AW$6:$AX$17,2,FALSE),12)-VLOOKUP(Tabla1[[#This Row],[MES DE BAJA ]],$AW$6:$AX$17,2,FALSE),0)</f>
        <v>0</v>
      </c>
      <c r="Y116" s="68">
        <f>SUM(Tabla1[[#This Row],[MES ADEUDO DE AÑOS PASADOS ]:[MESES DE ADEUDO DEL AÑO EN CURSO ]])-Tabla1[[#This Row],[PAGO DE DEUDA ANTERIOR EN MESES]]</f>
        <v>0</v>
      </c>
      <c r="Z116" s="15">
        <f>Tabla1[[#This Row],[MES ADEUDO DE AÑOS PASADOS ]]*$T$2</f>
        <v>0</v>
      </c>
      <c r="AA116" s="15">
        <f>Tabla1[[#This Row],[MESES DE ADEUDO DEL AÑO EN CURSO ]]*$T$2</f>
        <v>0</v>
      </c>
      <c r="AB116" s="69">
        <f>SUM(Tabla1[[#This Row],[DEUDA DE LOS MESES PASADOS EN $$]:[DEUDA DEL AÑO 2013 $$ ]])</f>
        <v>0</v>
      </c>
      <c r="AD116">
        <f>Tabla1[[#This Row],[PAGO DE DEUDA ANTERIOR EN MESES]]*$T$2</f>
        <v>0</v>
      </c>
      <c r="AG116" s="100">
        <f>IF(Tabla1[[#This Row],[TIPO DE CONSUMIDOR]]="MEDIO",IF(Tabla1[[#This Row],[ENERO ]]&gt;22.5,Tabla1[[#This Row],[ENERO ]]/22.5-1,0),IF(Tabla1[[#This Row],[ENERO ]]&gt;45,Tabla1[[#This Row],[ENERO ]]/45-1,0))</f>
        <v>0</v>
      </c>
      <c r="AH11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6" s="100">
        <f>IF(Tabla1[[#This Row],[TIPO DE CONSUMIDOR]]="MEDIO",IF(Tabla1[[#This Row],[MARZO]]&gt;22.5,Tabla1[[#This Row],[MARZO]]/22.5-1,0),IF(Tabla1[[#This Row],[MARZO]]&gt;45,Tabla1[[#This Row],[MARZO]]/45-1,0))</f>
        <v>0</v>
      </c>
      <c r="AJ116" s="100">
        <f>IF(Tabla1[[#This Row],[TIPO DE CONSUMIDOR]]="MEDIO",IF(Tabla1[[#This Row],[ABRIL]]&gt;22.5,Tabla1[[#This Row],[ABRIL]]/22.5-1,0),IF(Tabla1[[#This Row],[ABRIL]]&gt;45,Tabla1[[#This Row],[ABRIL]]/45-1,0))</f>
        <v>0</v>
      </c>
      <c r="AK116" s="100">
        <f>IF(Tabla1[[#This Row],[TIPO DE CONSUMIDOR]]="MEDIO",IF(Tabla1[[#This Row],[MAYO ]]&gt;22.5,Tabla1[[#This Row],[MAYO ]]/22.5-1,0),IF(Tabla1[[#This Row],[MAYO ]]&gt;45,Tabla1[[#This Row],[MAYO ]]/45-1,0))</f>
        <v>0</v>
      </c>
      <c r="AL116" s="100">
        <f>IF(Tabla1[[#This Row],[TIPO DE CONSUMIDOR]]="MEDIO",IF(Tabla1[[#This Row],[JUNIO ]]&gt;22.5,Tabla1[[#This Row],[JUNIO ]]/22.5-1,0),IF(Tabla1[[#This Row],[JUNIO ]]&gt;45,Tabla1[[#This Row],[JUNIO ]]/45-1,0))</f>
        <v>0</v>
      </c>
      <c r="AM116" s="100">
        <f>IF(Tabla1[[#This Row],[TIPO DE CONSUMIDOR]]="MEDIO",IF(Tabla1[[#This Row],[JULIO ]]&gt;22.5,Tabla1[[#This Row],[JULIO ]]/22.5-1,0),IF(Tabla1[[#This Row],[JULIO ]]&gt;45,Tabla1[[#This Row],[JULIO ]]/45-1,0))</f>
        <v>0</v>
      </c>
      <c r="AN116" s="100">
        <f>IF(Tabla1[[#This Row],[TIPO DE CONSUMIDOR]]="MEDIO",IF(Tabla1[[#This Row],[AGOSTO]]&gt;22.5,Tabla1[[#This Row],[AGOSTO]]/22.5-1,0),IF(Tabla1[[#This Row],[AGOSTO]]&gt;45,Tabla1[[#This Row],[AGOSTO]]/45-1,0))</f>
        <v>0</v>
      </c>
      <c r="AO11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6" s="101">
        <f t="shared" si="3"/>
        <v>0</v>
      </c>
      <c r="AT116">
        <f>IF(Tabla1[[#This Row],[MES ADEUDO DE AÑOS PASADOS ]]&gt;0,1,0)</f>
        <v>0</v>
      </c>
      <c r="AU116" s="9">
        <f t="shared" si="4"/>
        <v>0</v>
      </c>
      <c r="AV116" s="60">
        <f>IF(Tabla1[[#This Row],[MESES DE ADEUDO DEL AÑO EN CURSO ]]&gt;0,1,0)</f>
        <v>0</v>
      </c>
      <c r="AW116" s="42"/>
      <c r="AX116" s="42"/>
      <c r="AY116" s="42"/>
      <c r="AZ116" s="43"/>
    </row>
    <row r="117" spans="1:52" ht="21.75" thickBot="1" x14ac:dyDescent="0.35">
      <c r="A117" s="106">
        <v>111</v>
      </c>
      <c r="B117" s="5" t="s">
        <v>313</v>
      </c>
      <c r="C117" s="2" t="s">
        <v>488</v>
      </c>
      <c r="D117" s="46"/>
      <c r="E117" s="36" t="s">
        <v>455</v>
      </c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24">
        <f>SUM(Tabla1[[#This Row],[ENERO ]:[DICIEMBRE]])</f>
        <v>0</v>
      </c>
      <c r="W117">
        <v>0</v>
      </c>
      <c r="X117" s="21">
        <f>COUNTIF(Tabla1[[#This Row],[ENERO ]:[DICIEMBRE]],0)-(AS117)-IF(Tabla1[[#This Row],[BAJAS]]="BAJA",IF(Tabla1[[#This Row],[ALTAS]]="ALTA",VLOOKUP(Tabla1[[#This Row],[MES DE ALTA ]],$AW$6:$AX$17,2,FALSE),12)-VLOOKUP(Tabla1[[#This Row],[MES DE BAJA ]],$AW$6:$AX$17,2,FALSE),0)</f>
        <v>0</v>
      </c>
      <c r="Y117" s="68">
        <f>SUM(Tabla1[[#This Row],[MES ADEUDO DE AÑOS PASADOS ]:[MESES DE ADEUDO DEL AÑO EN CURSO ]])-Tabla1[[#This Row],[PAGO DE DEUDA ANTERIOR EN MESES]]</f>
        <v>0</v>
      </c>
      <c r="Z117" s="15">
        <f>Tabla1[[#This Row],[MES ADEUDO DE AÑOS PASADOS ]]*$T$2</f>
        <v>0</v>
      </c>
      <c r="AA117" s="15">
        <f>Tabla1[[#This Row],[MESES DE ADEUDO DEL AÑO EN CURSO ]]*$T$2</f>
        <v>0</v>
      </c>
      <c r="AB117" s="69">
        <f>SUM(Tabla1[[#This Row],[DEUDA DE LOS MESES PASADOS EN $$]:[DEUDA DEL AÑO 2013 $$ ]])</f>
        <v>0</v>
      </c>
      <c r="AD117">
        <f>Tabla1[[#This Row],[PAGO DE DEUDA ANTERIOR EN MESES]]*$T$2</f>
        <v>0</v>
      </c>
      <c r="AG117" s="100">
        <f>IF(Tabla1[[#This Row],[TIPO DE CONSUMIDOR]]="MEDIO",IF(Tabla1[[#This Row],[ENERO ]]&gt;22.5,Tabla1[[#This Row],[ENERO ]]/22.5-1,0),IF(Tabla1[[#This Row],[ENERO ]]&gt;45,Tabla1[[#This Row],[ENERO ]]/45-1,0))</f>
        <v>0</v>
      </c>
      <c r="AH11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7" s="100">
        <f>IF(Tabla1[[#This Row],[TIPO DE CONSUMIDOR]]="MEDIO",IF(Tabla1[[#This Row],[MARZO]]&gt;22.5,Tabla1[[#This Row],[MARZO]]/22.5-1,0),IF(Tabla1[[#This Row],[MARZO]]&gt;45,Tabla1[[#This Row],[MARZO]]/45-1,0))</f>
        <v>0</v>
      </c>
      <c r="AJ117" s="100">
        <f>IF(Tabla1[[#This Row],[TIPO DE CONSUMIDOR]]="MEDIO",IF(Tabla1[[#This Row],[ABRIL]]&gt;22.5,Tabla1[[#This Row],[ABRIL]]/22.5-1,0),IF(Tabla1[[#This Row],[ABRIL]]&gt;45,Tabla1[[#This Row],[ABRIL]]/45-1,0))</f>
        <v>0</v>
      </c>
      <c r="AK117" s="100">
        <f>IF(Tabla1[[#This Row],[TIPO DE CONSUMIDOR]]="MEDIO",IF(Tabla1[[#This Row],[MAYO ]]&gt;22.5,Tabla1[[#This Row],[MAYO ]]/22.5-1,0),IF(Tabla1[[#This Row],[MAYO ]]&gt;45,Tabla1[[#This Row],[MAYO ]]/45-1,0))</f>
        <v>0</v>
      </c>
      <c r="AL117" s="100">
        <f>IF(Tabla1[[#This Row],[TIPO DE CONSUMIDOR]]="MEDIO",IF(Tabla1[[#This Row],[JUNIO ]]&gt;22.5,Tabla1[[#This Row],[JUNIO ]]/22.5-1,0),IF(Tabla1[[#This Row],[JUNIO ]]&gt;45,Tabla1[[#This Row],[JUNIO ]]/45-1,0))</f>
        <v>0</v>
      </c>
      <c r="AM117" s="100">
        <f>IF(Tabla1[[#This Row],[TIPO DE CONSUMIDOR]]="MEDIO",IF(Tabla1[[#This Row],[JULIO ]]&gt;22.5,Tabla1[[#This Row],[JULIO ]]/22.5-1,0),IF(Tabla1[[#This Row],[JULIO ]]&gt;45,Tabla1[[#This Row],[JULIO ]]/45-1,0))</f>
        <v>0</v>
      </c>
      <c r="AN117" s="100">
        <f>IF(Tabla1[[#This Row],[TIPO DE CONSUMIDOR]]="MEDIO",IF(Tabla1[[#This Row],[AGOSTO]]&gt;22.5,Tabla1[[#This Row],[AGOSTO]]/22.5-1,0),IF(Tabla1[[#This Row],[AGOSTO]]&gt;45,Tabla1[[#This Row],[AGOSTO]]/45-1,0))</f>
        <v>0</v>
      </c>
      <c r="AO11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7" s="101">
        <f t="shared" si="3"/>
        <v>0</v>
      </c>
      <c r="AT117">
        <f>IF(Tabla1[[#This Row],[MES ADEUDO DE AÑOS PASADOS ]]&gt;0,1,0)</f>
        <v>0</v>
      </c>
      <c r="AU117" s="9">
        <f t="shared" si="4"/>
        <v>0</v>
      </c>
      <c r="AV117" s="60">
        <f>IF(Tabla1[[#This Row],[MESES DE ADEUDO DEL AÑO EN CURSO ]]&gt;0,1,0)</f>
        <v>0</v>
      </c>
      <c r="AW117" s="42"/>
      <c r="AX117" s="42"/>
      <c r="AY117" s="42"/>
      <c r="AZ117" s="43"/>
    </row>
    <row r="118" spans="1:52" ht="21.75" thickBot="1" x14ac:dyDescent="0.35">
      <c r="A118" s="106">
        <v>112</v>
      </c>
      <c r="B118" s="5" t="s">
        <v>346</v>
      </c>
      <c r="C118" s="2" t="s">
        <v>488</v>
      </c>
      <c r="D118" s="46"/>
      <c r="E118" s="36" t="s">
        <v>455</v>
      </c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24">
        <f>SUM(Tabla1[[#This Row],[ENERO ]:[DICIEMBRE]])</f>
        <v>0</v>
      </c>
      <c r="W118">
        <v>0</v>
      </c>
      <c r="X118" s="21">
        <f>COUNTIF(Tabla1[[#This Row],[ENERO ]:[DICIEMBRE]],0)-(AS118)-IF(Tabla1[[#This Row],[BAJAS]]="BAJA",IF(Tabla1[[#This Row],[ALTAS]]="ALTA",VLOOKUP(Tabla1[[#This Row],[MES DE ALTA ]],$AW$6:$AX$17,2,FALSE),12)-VLOOKUP(Tabla1[[#This Row],[MES DE BAJA ]],$AW$6:$AX$17,2,FALSE),0)</f>
        <v>0</v>
      </c>
      <c r="Y118" s="68">
        <f>SUM(Tabla1[[#This Row],[MES ADEUDO DE AÑOS PASADOS ]:[MESES DE ADEUDO DEL AÑO EN CURSO ]])-Tabla1[[#This Row],[PAGO DE DEUDA ANTERIOR EN MESES]]</f>
        <v>0</v>
      </c>
      <c r="Z118" s="15">
        <f>Tabla1[[#This Row],[MES ADEUDO DE AÑOS PASADOS ]]*$T$2</f>
        <v>0</v>
      </c>
      <c r="AA118" s="15">
        <f>Tabla1[[#This Row],[MESES DE ADEUDO DEL AÑO EN CURSO ]]*$T$2</f>
        <v>0</v>
      </c>
      <c r="AB118" s="69">
        <f>SUM(Tabla1[[#This Row],[DEUDA DE LOS MESES PASADOS EN $$]:[DEUDA DEL AÑO 2013 $$ ]])</f>
        <v>0</v>
      </c>
      <c r="AD118">
        <f>Tabla1[[#This Row],[PAGO DE DEUDA ANTERIOR EN MESES]]*$T$2</f>
        <v>0</v>
      </c>
      <c r="AG118" s="100">
        <f>IF(Tabla1[[#This Row],[TIPO DE CONSUMIDOR]]="MEDIO",IF(Tabla1[[#This Row],[ENERO ]]&gt;22.5,Tabla1[[#This Row],[ENERO ]]/22.5-1,0),IF(Tabla1[[#This Row],[ENERO ]]&gt;45,Tabla1[[#This Row],[ENERO ]]/45-1,0))</f>
        <v>0</v>
      </c>
      <c r="AH11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8" s="100">
        <f>IF(Tabla1[[#This Row],[TIPO DE CONSUMIDOR]]="MEDIO",IF(Tabla1[[#This Row],[MARZO]]&gt;22.5,Tabla1[[#This Row],[MARZO]]/22.5-1,0),IF(Tabla1[[#This Row],[MARZO]]&gt;45,Tabla1[[#This Row],[MARZO]]/45-1,0))</f>
        <v>0</v>
      </c>
      <c r="AJ118" s="100">
        <f>IF(Tabla1[[#This Row],[TIPO DE CONSUMIDOR]]="MEDIO",IF(Tabla1[[#This Row],[ABRIL]]&gt;22.5,Tabla1[[#This Row],[ABRIL]]/22.5-1,0),IF(Tabla1[[#This Row],[ABRIL]]&gt;45,Tabla1[[#This Row],[ABRIL]]/45-1,0))</f>
        <v>0</v>
      </c>
      <c r="AK118" s="100">
        <f>IF(Tabla1[[#This Row],[TIPO DE CONSUMIDOR]]="MEDIO",IF(Tabla1[[#This Row],[MAYO ]]&gt;22.5,Tabla1[[#This Row],[MAYO ]]/22.5-1,0),IF(Tabla1[[#This Row],[MAYO ]]&gt;45,Tabla1[[#This Row],[MAYO ]]/45-1,0))</f>
        <v>0</v>
      </c>
      <c r="AL118" s="100">
        <f>IF(Tabla1[[#This Row],[TIPO DE CONSUMIDOR]]="MEDIO",IF(Tabla1[[#This Row],[JUNIO ]]&gt;22.5,Tabla1[[#This Row],[JUNIO ]]/22.5-1,0),IF(Tabla1[[#This Row],[JUNIO ]]&gt;45,Tabla1[[#This Row],[JUNIO ]]/45-1,0))</f>
        <v>0</v>
      </c>
      <c r="AM118" s="100">
        <f>IF(Tabla1[[#This Row],[TIPO DE CONSUMIDOR]]="MEDIO",IF(Tabla1[[#This Row],[JULIO ]]&gt;22.5,Tabla1[[#This Row],[JULIO ]]/22.5-1,0),IF(Tabla1[[#This Row],[JULIO ]]&gt;45,Tabla1[[#This Row],[JULIO ]]/45-1,0))</f>
        <v>0</v>
      </c>
      <c r="AN118" s="100">
        <f>IF(Tabla1[[#This Row],[TIPO DE CONSUMIDOR]]="MEDIO",IF(Tabla1[[#This Row],[AGOSTO]]&gt;22.5,Tabla1[[#This Row],[AGOSTO]]/22.5-1,0),IF(Tabla1[[#This Row],[AGOSTO]]&gt;45,Tabla1[[#This Row],[AGOSTO]]/45-1,0))</f>
        <v>0</v>
      </c>
      <c r="AO11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8" s="101">
        <f t="shared" si="3"/>
        <v>0</v>
      </c>
      <c r="AT118">
        <f>IF(Tabla1[[#This Row],[MES ADEUDO DE AÑOS PASADOS ]]&gt;0,1,0)</f>
        <v>0</v>
      </c>
      <c r="AU118" s="9">
        <f t="shared" si="4"/>
        <v>0</v>
      </c>
      <c r="AV118" s="60">
        <f>IF(Tabla1[[#This Row],[MESES DE ADEUDO DEL AÑO EN CURSO ]]&gt;0,1,0)</f>
        <v>0</v>
      </c>
      <c r="AW118" s="42"/>
      <c r="AX118" s="42"/>
      <c r="AY118" s="42"/>
      <c r="AZ118" s="43"/>
    </row>
    <row r="119" spans="1:52" ht="21.75" thickBot="1" x14ac:dyDescent="0.35">
      <c r="A119" s="106">
        <v>113</v>
      </c>
      <c r="B119" s="5" t="s">
        <v>390</v>
      </c>
      <c r="C119" s="2" t="s">
        <v>488</v>
      </c>
      <c r="D119" s="32"/>
      <c r="E119" s="35" t="s">
        <v>455</v>
      </c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24">
        <f>SUM(Tabla1[[#This Row],[ENERO ]:[DICIEMBRE]])</f>
        <v>0</v>
      </c>
      <c r="W119">
        <v>0</v>
      </c>
      <c r="X119" s="21">
        <f>COUNTIF(Tabla1[[#This Row],[ENERO ]:[DICIEMBRE]],0)-(AS119)-IF(Tabla1[[#This Row],[BAJAS]]="BAJA",IF(Tabla1[[#This Row],[ALTAS]]="ALTA",VLOOKUP(Tabla1[[#This Row],[MES DE ALTA ]],$AW$6:$AX$17,2,FALSE),12)-VLOOKUP(Tabla1[[#This Row],[MES DE BAJA ]],$AW$6:$AX$17,2,FALSE),0)</f>
        <v>0</v>
      </c>
      <c r="Y119" s="68">
        <f>SUM(Tabla1[[#This Row],[MES ADEUDO DE AÑOS PASADOS ]:[MESES DE ADEUDO DEL AÑO EN CURSO ]])-Tabla1[[#This Row],[PAGO DE DEUDA ANTERIOR EN MESES]]</f>
        <v>0</v>
      </c>
      <c r="Z119" s="15">
        <f>Tabla1[[#This Row],[MES ADEUDO DE AÑOS PASADOS ]]*$T$2</f>
        <v>0</v>
      </c>
      <c r="AA119" s="15">
        <f>Tabla1[[#This Row],[MESES DE ADEUDO DEL AÑO EN CURSO ]]*$T$2</f>
        <v>0</v>
      </c>
      <c r="AB119" s="69">
        <f>SUM(Tabla1[[#This Row],[DEUDA DE LOS MESES PASADOS EN $$]:[DEUDA DEL AÑO 2013 $$ ]])</f>
        <v>0</v>
      </c>
      <c r="AD119">
        <f>Tabla1[[#This Row],[PAGO DE DEUDA ANTERIOR EN MESES]]*$T$2</f>
        <v>0</v>
      </c>
      <c r="AG119" s="100">
        <f>IF(Tabla1[[#This Row],[TIPO DE CONSUMIDOR]]="MEDIO",IF(Tabla1[[#This Row],[ENERO ]]&gt;22.5,Tabla1[[#This Row],[ENERO ]]/22.5-1,0),IF(Tabla1[[#This Row],[ENERO ]]&gt;45,Tabla1[[#This Row],[ENERO ]]/45-1,0))</f>
        <v>0</v>
      </c>
      <c r="AH11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19" s="100">
        <f>IF(Tabla1[[#This Row],[TIPO DE CONSUMIDOR]]="MEDIO",IF(Tabla1[[#This Row],[MARZO]]&gt;22.5,Tabla1[[#This Row],[MARZO]]/22.5-1,0),IF(Tabla1[[#This Row],[MARZO]]&gt;45,Tabla1[[#This Row],[MARZO]]/45-1,0))</f>
        <v>0</v>
      </c>
      <c r="AJ119" s="100">
        <f>IF(Tabla1[[#This Row],[TIPO DE CONSUMIDOR]]="MEDIO",IF(Tabla1[[#This Row],[ABRIL]]&gt;22.5,Tabla1[[#This Row],[ABRIL]]/22.5-1,0),IF(Tabla1[[#This Row],[ABRIL]]&gt;45,Tabla1[[#This Row],[ABRIL]]/45-1,0))</f>
        <v>0</v>
      </c>
      <c r="AK119" s="100">
        <f>IF(Tabla1[[#This Row],[TIPO DE CONSUMIDOR]]="MEDIO",IF(Tabla1[[#This Row],[MAYO ]]&gt;22.5,Tabla1[[#This Row],[MAYO ]]/22.5-1,0),IF(Tabla1[[#This Row],[MAYO ]]&gt;45,Tabla1[[#This Row],[MAYO ]]/45-1,0))</f>
        <v>0</v>
      </c>
      <c r="AL119" s="100">
        <f>IF(Tabla1[[#This Row],[TIPO DE CONSUMIDOR]]="MEDIO",IF(Tabla1[[#This Row],[JUNIO ]]&gt;22.5,Tabla1[[#This Row],[JUNIO ]]/22.5-1,0),IF(Tabla1[[#This Row],[JUNIO ]]&gt;45,Tabla1[[#This Row],[JUNIO ]]/45-1,0))</f>
        <v>0</v>
      </c>
      <c r="AM119" s="100">
        <f>IF(Tabla1[[#This Row],[TIPO DE CONSUMIDOR]]="MEDIO",IF(Tabla1[[#This Row],[JULIO ]]&gt;22.5,Tabla1[[#This Row],[JULIO ]]/22.5-1,0),IF(Tabla1[[#This Row],[JULIO ]]&gt;45,Tabla1[[#This Row],[JULIO ]]/45-1,0))</f>
        <v>0</v>
      </c>
      <c r="AN119" s="100">
        <f>IF(Tabla1[[#This Row],[TIPO DE CONSUMIDOR]]="MEDIO",IF(Tabla1[[#This Row],[AGOSTO]]&gt;22.5,Tabla1[[#This Row],[AGOSTO]]/22.5-1,0),IF(Tabla1[[#This Row],[AGOSTO]]&gt;45,Tabla1[[#This Row],[AGOSTO]]/45-1,0))</f>
        <v>0</v>
      </c>
      <c r="AO11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1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1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1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19" s="101">
        <f t="shared" si="3"/>
        <v>0</v>
      </c>
      <c r="AT119">
        <f>IF(Tabla1[[#This Row],[MES ADEUDO DE AÑOS PASADOS ]]&gt;0,1,0)</f>
        <v>0</v>
      </c>
      <c r="AU119" s="9">
        <f t="shared" si="4"/>
        <v>0</v>
      </c>
      <c r="AV119" s="60">
        <f>IF(Tabla1[[#This Row],[MESES DE ADEUDO DEL AÑO EN CURSO ]]&gt;0,1,0)</f>
        <v>0</v>
      </c>
      <c r="AW119" s="42"/>
      <c r="AX119" s="42"/>
      <c r="AY119" s="42"/>
      <c r="AZ119" s="43"/>
    </row>
    <row r="120" spans="1:52" ht="21.75" thickBot="1" x14ac:dyDescent="0.35">
      <c r="A120" s="106">
        <v>114</v>
      </c>
      <c r="B120" s="5" t="s">
        <v>410</v>
      </c>
      <c r="C120" s="2" t="s">
        <v>488</v>
      </c>
      <c r="D120" s="46"/>
      <c r="E120" s="36" t="s">
        <v>455</v>
      </c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24">
        <f>SUM(Tabla1[[#This Row],[ENERO ]:[DICIEMBRE]])</f>
        <v>0</v>
      </c>
      <c r="W120">
        <v>0</v>
      </c>
      <c r="X120" s="21">
        <f>COUNTIF(Tabla1[[#This Row],[ENERO ]:[DICIEMBRE]],0)-(AS120)-IF(Tabla1[[#This Row],[BAJAS]]="BAJA",IF(Tabla1[[#This Row],[ALTAS]]="ALTA",VLOOKUP(Tabla1[[#This Row],[MES DE ALTA ]],$AW$6:$AX$17,2,FALSE),12)-VLOOKUP(Tabla1[[#This Row],[MES DE BAJA ]],$AW$6:$AX$17,2,FALSE),0)</f>
        <v>0</v>
      </c>
      <c r="Y120" s="68">
        <f>SUM(Tabla1[[#This Row],[MES ADEUDO DE AÑOS PASADOS ]:[MESES DE ADEUDO DEL AÑO EN CURSO ]])-Tabla1[[#This Row],[PAGO DE DEUDA ANTERIOR EN MESES]]</f>
        <v>0</v>
      </c>
      <c r="Z120" s="15">
        <f>Tabla1[[#This Row],[MES ADEUDO DE AÑOS PASADOS ]]*$T$2</f>
        <v>0</v>
      </c>
      <c r="AA120" s="15">
        <f>Tabla1[[#This Row],[MESES DE ADEUDO DEL AÑO EN CURSO ]]*$T$2</f>
        <v>0</v>
      </c>
      <c r="AB120" s="69">
        <f>SUM(Tabla1[[#This Row],[DEUDA DE LOS MESES PASADOS EN $$]:[DEUDA DEL AÑO 2013 $$ ]])</f>
        <v>0</v>
      </c>
      <c r="AD120">
        <f>Tabla1[[#This Row],[PAGO DE DEUDA ANTERIOR EN MESES]]*$T$2</f>
        <v>0</v>
      </c>
      <c r="AG120" s="100">
        <f>IF(Tabla1[[#This Row],[TIPO DE CONSUMIDOR]]="MEDIO",IF(Tabla1[[#This Row],[ENERO ]]&gt;22.5,Tabla1[[#This Row],[ENERO ]]/22.5-1,0),IF(Tabla1[[#This Row],[ENERO ]]&gt;45,Tabla1[[#This Row],[ENERO ]]/45-1,0))</f>
        <v>0</v>
      </c>
      <c r="AH12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0" s="100">
        <f>IF(Tabla1[[#This Row],[TIPO DE CONSUMIDOR]]="MEDIO",IF(Tabla1[[#This Row],[MARZO]]&gt;22.5,Tabla1[[#This Row],[MARZO]]/22.5-1,0),IF(Tabla1[[#This Row],[MARZO]]&gt;45,Tabla1[[#This Row],[MARZO]]/45-1,0))</f>
        <v>0</v>
      </c>
      <c r="AJ120" s="100">
        <f>IF(Tabla1[[#This Row],[TIPO DE CONSUMIDOR]]="MEDIO",IF(Tabla1[[#This Row],[ABRIL]]&gt;22.5,Tabla1[[#This Row],[ABRIL]]/22.5-1,0),IF(Tabla1[[#This Row],[ABRIL]]&gt;45,Tabla1[[#This Row],[ABRIL]]/45-1,0))</f>
        <v>0</v>
      </c>
      <c r="AK120" s="100">
        <f>IF(Tabla1[[#This Row],[TIPO DE CONSUMIDOR]]="MEDIO",IF(Tabla1[[#This Row],[MAYO ]]&gt;22.5,Tabla1[[#This Row],[MAYO ]]/22.5-1,0),IF(Tabla1[[#This Row],[MAYO ]]&gt;45,Tabla1[[#This Row],[MAYO ]]/45-1,0))</f>
        <v>0</v>
      </c>
      <c r="AL120" s="100">
        <f>IF(Tabla1[[#This Row],[TIPO DE CONSUMIDOR]]="MEDIO",IF(Tabla1[[#This Row],[JUNIO ]]&gt;22.5,Tabla1[[#This Row],[JUNIO ]]/22.5-1,0),IF(Tabla1[[#This Row],[JUNIO ]]&gt;45,Tabla1[[#This Row],[JUNIO ]]/45-1,0))</f>
        <v>0</v>
      </c>
      <c r="AM120" s="100">
        <f>IF(Tabla1[[#This Row],[TIPO DE CONSUMIDOR]]="MEDIO",IF(Tabla1[[#This Row],[JULIO ]]&gt;22.5,Tabla1[[#This Row],[JULIO ]]/22.5-1,0),IF(Tabla1[[#This Row],[JULIO ]]&gt;45,Tabla1[[#This Row],[JULIO ]]/45-1,0))</f>
        <v>0</v>
      </c>
      <c r="AN120" s="100">
        <f>IF(Tabla1[[#This Row],[TIPO DE CONSUMIDOR]]="MEDIO",IF(Tabla1[[#This Row],[AGOSTO]]&gt;22.5,Tabla1[[#This Row],[AGOSTO]]/22.5-1,0),IF(Tabla1[[#This Row],[AGOSTO]]&gt;45,Tabla1[[#This Row],[AGOSTO]]/45-1,0))</f>
        <v>0</v>
      </c>
      <c r="AO12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0" s="101">
        <f t="shared" si="3"/>
        <v>0</v>
      </c>
      <c r="AT120">
        <f>IF(Tabla1[[#This Row],[MES ADEUDO DE AÑOS PASADOS ]]&gt;0,1,0)</f>
        <v>0</v>
      </c>
      <c r="AU120" s="9">
        <f t="shared" si="4"/>
        <v>0</v>
      </c>
      <c r="AV120" s="60">
        <f>IF(Tabla1[[#This Row],[MESES DE ADEUDO DEL AÑO EN CURSO ]]&gt;0,1,0)</f>
        <v>0</v>
      </c>
      <c r="AW120" s="42"/>
      <c r="AX120" s="42"/>
      <c r="AY120" s="42"/>
      <c r="AZ120" s="43"/>
    </row>
    <row r="121" spans="1:52" ht="21.75" thickBot="1" x14ac:dyDescent="0.35">
      <c r="A121" s="106">
        <v>115</v>
      </c>
      <c r="B121" s="5" t="s">
        <v>31</v>
      </c>
      <c r="C121" s="2" t="s">
        <v>488</v>
      </c>
      <c r="D121" s="32"/>
      <c r="E121" s="35" t="s">
        <v>455</v>
      </c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24">
        <f>SUM(Tabla1[[#This Row],[ENERO ]:[DICIEMBRE]])</f>
        <v>0</v>
      </c>
      <c r="W121">
        <v>0</v>
      </c>
      <c r="X121" s="21">
        <f>COUNTIF(Tabla1[[#This Row],[ENERO ]:[DICIEMBRE]],0)-(AS121)-IF(Tabla1[[#This Row],[BAJAS]]="BAJA",IF(Tabla1[[#This Row],[ALTAS]]="ALTA",VLOOKUP(Tabla1[[#This Row],[MES DE ALTA ]],$AW$6:$AX$17,2,FALSE),12)-VLOOKUP(Tabla1[[#This Row],[MES DE BAJA ]],$AW$6:$AX$17,2,FALSE),0)</f>
        <v>0</v>
      </c>
      <c r="Y121" s="68">
        <f>SUM(Tabla1[[#This Row],[MES ADEUDO DE AÑOS PASADOS ]:[MESES DE ADEUDO DEL AÑO EN CURSO ]])-Tabla1[[#This Row],[PAGO DE DEUDA ANTERIOR EN MESES]]</f>
        <v>0</v>
      </c>
      <c r="Z121" s="15">
        <f>Tabla1[[#This Row],[MES ADEUDO DE AÑOS PASADOS ]]*$T$2</f>
        <v>0</v>
      </c>
      <c r="AA121" s="15">
        <f>Tabla1[[#This Row],[MESES DE ADEUDO DEL AÑO EN CURSO ]]*$T$2</f>
        <v>0</v>
      </c>
      <c r="AB121" s="69">
        <f>SUM(Tabla1[[#This Row],[DEUDA DE LOS MESES PASADOS EN $$]:[DEUDA DEL AÑO 2013 $$ ]])</f>
        <v>0</v>
      </c>
      <c r="AD121">
        <f>Tabla1[[#This Row],[PAGO DE DEUDA ANTERIOR EN MESES]]*$T$2</f>
        <v>0</v>
      </c>
      <c r="AG121" s="100">
        <f>IF(Tabla1[[#This Row],[TIPO DE CONSUMIDOR]]="MEDIO",IF(Tabla1[[#This Row],[ENERO ]]&gt;22.5,Tabla1[[#This Row],[ENERO ]]/22.5-1,0),IF(Tabla1[[#This Row],[ENERO ]]&gt;45,Tabla1[[#This Row],[ENERO ]]/45-1,0))</f>
        <v>0</v>
      </c>
      <c r="AH12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1" s="100">
        <f>IF(Tabla1[[#This Row],[TIPO DE CONSUMIDOR]]="MEDIO",IF(Tabla1[[#This Row],[MARZO]]&gt;22.5,Tabla1[[#This Row],[MARZO]]/22.5-1,0),IF(Tabla1[[#This Row],[MARZO]]&gt;45,Tabla1[[#This Row],[MARZO]]/45-1,0))</f>
        <v>0</v>
      </c>
      <c r="AJ121" s="100">
        <f>IF(Tabla1[[#This Row],[TIPO DE CONSUMIDOR]]="MEDIO",IF(Tabla1[[#This Row],[ABRIL]]&gt;22.5,Tabla1[[#This Row],[ABRIL]]/22.5-1,0),IF(Tabla1[[#This Row],[ABRIL]]&gt;45,Tabla1[[#This Row],[ABRIL]]/45-1,0))</f>
        <v>0</v>
      </c>
      <c r="AK121" s="100">
        <f>IF(Tabla1[[#This Row],[TIPO DE CONSUMIDOR]]="MEDIO",IF(Tabla1[[#This Row],[MAYO ]]&gt;22.5,Tabla1[[#This Row],[MAYO ]]/22.5-1,0),IF(Tabla1[[#This Row],[MAYO ]]&gt;45,Tabla1[[#This Row],[MAYO ]]/45-1,0))</f>
        <v>0</v>
      </c>
      <c r="AL121" s="100">
        <f>IF(Tabla1[[#This Row],[TIPO DE CONSUMIDOR]]="MEDIO",IF(Tabla1[[#This Row],[JUNIO ]]&gt;22.5,Tabla1[[#This Row],[JUNIO ]]/22.5-1,0),IF(Tabla1[[#This Row],[JUNIO ]]&gt;45,Tabla1[[#This Row],[JUNIO ]]/45-1,0))</f>
        <v>0</v>
      </c>
      <c r="AM121" s="100">
        <f>IF(Tabla1[[#This Row],[TIPO DE CONSUMIDOR]]="MEDIO",IF(Tabla1[[#This Row],[JULIO ]]&gt;22.5,Tabla1[[#This Row],[JULIO ]]/22.5-1,0),IF(Tabla1[[#This Row],[JULIO ]]&gt;45,Tabla1[[#This Row],[JULIO ]]/45-1,0))</f>
        <v>0</v>
      </c>
      <c r="AN121" s="100">
        <f>IF(Tabla1[[#This Row],[TIPO DE CONSUMIDOR]]="MEDIO",IF(Tabla1[[#This Row],[AGOSTO]]&gt;22.5,Tabla1[[#This Row],[AGOSTO]]/22.5-1,0),IF(Tabla1[[#This Row],[AGOSTO]]&gt;45,Tabla1[[#This Row],[AGOSTO]]/45-1,0))</f>
        <v>0</v>
      </c>
      <c r="AO12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1" s="101">
        <f t="shared" si="3"/>
        <v>0</v>
      </c>
      <c r="AT121">
        <f>IF(Tabla1[[#This Row],[MES ADEUDO DE AÑOS PASADOS ]]&gt;0,1,0)</f>
        <v>0</v>
      </c>
      <c r="AU121" s="9">
        <f t="shared" si="4"/>
        <v>0</v>
      </c>
      <c r="AV121" s="60">
        <f>IF(Tabla1[[#This Row],[MESES DE ADEUDO DEL AÑO EN CURSO ]]&gt;0,1,0)</f>
        <v>0</v>
      </c>
      <c r="AW121" s="42"/>
      <c r="AX121" s="42"/>
      <c r="AY121" s="42"/>
      <c r="AZ121" s="43"/>
    </row>
    <row r="122" spans="1:52" ht="21.75" thickBot="1" x14ac:dyDescent="0.35">
      <c r="A122" s="106">
        <v>116</v>
      </c>
      <c r="B122" s="5" t="s">
        <v>490</v>
      </c>
      <c r="C122" s="2" t="s">
        <v>488</v>
      </c>
      <c r="D122" s="32"/>
      <c r="E122" s="35" t="s">
        <v>455</v>
      </c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24">
        <f>SUM(Tabla1[[#This Row],[ENERO ]:[DICIEMBRE]])</f>
        <v>0</v>
      </c>
      <c r="W122">
        <v>0</v>
      </c>
      <c r="X122" s="21">
        <f>COUNTIF(Tabla1[[#This Row],[ENERO ]:[DICIEMBRE]],0)-(AS122)-IF(Tabla1[[#This Row],[BAJAS]]="BAJA",IF(Tabla1[[#This Row],[ALTAS]]="ALTA",VLOOKUP(Tabla1[[#This Row],[MES DE ALTA ]],$AW$6:$AX$17,2,FALSE),12)-VLOOKUP(Tabla1[[#This Row],[MES DE BAJA ]],$AW$6:$AX$17,2,FALSE),0)</f>
        <v>0</v>
      </c>
      <c r="Y122" s="68">
        <f>SUM(Tabla1[[#This Row],[MES ADEUDO DE AÑOS PASADOS ]:[MESES DE ADEUDO DEL AÑO EN CURSO ]])-Tabla1[[#This Row],[PAGO DE DEUDA ANTERIOR EN MESES]]</f>
        <v>0</v>
      </c>
      <c r="Z122" s="15">
        <f>Tabla1[[#This Row],[MES ADEUDO DE AÑOS PASADOS ]]*$T$2</f>
        <v>0</v>
      </c>
      <c r="AA122" s="15">
        <f>Tabla1[[#This Row],[MESES DE ADEUDO DEL AÑO EN CURSO ]]*$T$2</f>
        <v>0</v>
      </c>
      <c r="AB122" s="69">
        <f>SUM(Tabla1[[#This Row],[DEUDA DE LOS MESES PASADOS EN $$]:[DEUDA DEL AÑO 2013 $$ ]])</f>
        <v>0</v>
      </c>
      <c r="AD122">
        <f>Tabla1[[#This Row],[PAGO DE DEUDA ANTERIOR EN MESES]]*$T$2</f>
        <v>0</v>
      </c>
      <c r="AG122" s="100">
        <f>IF(Tabla1[[#This Row],[TIPO DE CONSUMIDOR]]="MEDIO",IF(Tabla1[[#This Row],[ENERO ]]&gt;22.5,Tabla1[[#This Row],[ENERO ]]/22.5-1,0),IF(Tabla1[[#This Row],[ENERO ]]&gt;45,Tabla1[[#This Row],[ENERO ]]/45-1,0))</f>
        <v>0</v>
      </c>
      <c r="AH12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2" s="100">
        <f>IF(Tabla1[[#This Row],[TIPO DE CONSUMIDOR]]="MEDIO",IF(Tabla1[[#This Row],[MARZO]]&gt;22.5,Tabla1[[#This Row],[MARZO]]/22.5-1,0),IF(Tabla1[[#This Row],[MARZO]]&gt;45,Tabla1[[#This Row],[MARZO]]/45-1,0))</f>
        <v>0</v>
      </c>
      <c r="AJ122" s="100">
        <f>IF(Tabla1[[#This Row],[TIPO DE CONSUMIDOR]]="MEDIO",IF(Tabla1[[#This Row],[ABRIL]]&gt;22.5,Tabla1[[#This Row],[ABRIL]]/22.5-1,0),IF(Tabla1[[#This Row],[ABRIL]]&gt;45,Tabla1[[#This Row],[ABRIL]]/45-1,0))</f>
        <v>0</v>
      </c>
      <c r="AK122" s="100">
        <f>IF(Tabla1[[#This Row],[TIPO DE CONSUMIDOR]]="MEDIO",IF(Tabla1[[#This Row],[MAYO ]]&gt;22.5,Tabla1[[#This Row],[MAYO ]]/22.5-1,0),IF(Tabla1[[#This Row],[MAYO ]]&gt;45,Tabla1[[#This Row],[MAYO ]]/45-1,0))</f>
        <v>0</v>
      </c>
      <c r="AL122" s="100">
        <f>IF(Tabla1[[#This Row],[TIPO DE CONSUMIDOR]]="MEDIO",IF(Tabla1[[#This Row],[JUNIO ]]&gt;22.5,Tabla1[[#This Row],[JUNIO ]]/22.5-1,0),IF(Tabla1[[#This Row],[JUNIO ]]&gt;45,Tabla1[[#This Row],[JUNIO ]]/45-1,0))</f>
        <v>0</v>
      </c>
      <c r="AM122" s="100">
        <f>IF(Tabla1[[#This Row],[TIPO DE CONSUMIDOR]]="MEDIO",IF(Tabla1[[#This Row],[JULIO ]]&gt;22.5,Tabla1[[#This Row],[JULIO ]]/22.5-1,0),IF(Tabla1[[#This Row],[JULIO ]]&gt;45,Tabla1[[#This Row],[JULIO ]]/45-1,0))</f>
        <v>0</v>
      </c>
      <c r="AN122" s="100">
        <f>IF(Tabla1[[#This Row],[TIPO DE CONSUMIDOR]]="MEDIO",IF(Tabla1[[#This Row],[AGOSTO]]&gt;22.5,Tabla1[[#This Row],[AGOSTO]]/22.5-1,0),IF(Tabla1[[#This Row],[AGOSTO]]&gt;45,Tabla1[[#This Row],[AGOSTO]]/45-1,0))</f>
        <v>0</v>
      </c>
      <c r="AO12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2" s="101">
        <f t="shared" si="3"/>
        <v>0</v>
      </c>
      <c r="AT122">
        <f>IF(Tabla1[[#This Row],[MES ADEUDO DE AÑOS PASADOS ]]&gt;0,1,0)</f>
        <v>0</v>
      </c>
      <c r="AU122" s="9">
        <f t="shared" si="4"/>
        <v>0</v>
      </c>
      <c r="AV122" s="60">
        <f>IF(Tabla1[[#This Row],[MESES DE ADEUDO DEL AÑO EN CURSO ]]&gt;0,1,0)</f>
        <v>0</v>
      </c>
      <c r="AW122" s="42"/>
      <c r="AX122" s="42"/>
      <c r="AY122" s="42"/>
      <c r="AZ122" s="43"/>
    </row>
    <row r="123" spans="1:52" ht="21.75" thickBot="1" x14ac:dyDescent="0.35">
      <c r="A123" s="106">
        <v>117</v>
      </c>
      <c r="B123" s="5" t="s">
        <v>601</v>
      </c>
      <c r="C123" s="2" t="s">
        <v>488</v>
      </c>
      <c r="D123" s="32"/>
      <c r="E123" s="35" t="s">
        <v>455</v>
      </c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24">
        <f>SUM(Tabla1[[#This Row],[ENERO ]:[DICIEMBRE]])</f>
        <v>0</v>
      </c>
      <c r="W123">
        <v>1</v>
      </c>
      <c r="X123" s="21">
        <f>COUNTIF(Tabla1[[#This Row],[ENERO ]:[DICIEMBRE]],0)-(AS123)-IF(Tabla1[[#This Row],[BAJAS]]="BAJA",IF(Tabla1[[#This Row],[ALTAS]]="ALTA",VLOOKUP(Tabla1[[#This Row],[MES DE ALTA ]],$AW$6:$AX$17,2,FALSE),12)-VLOOKUP(Tabla1[[#This Row],[MES DE BAJA ]],$AW$6:$AX$17,2,FALSE),0)</f>
        <v>0</v>
      </c>
      <c r="Y123" s="68">
        <f>SUM(Tabla1[[#This Row],[MES ADEUDO DE AÑOS PASADOS ]:[MESES DE ADEUDO DEL AÑO EN CURSO ]])-Tabla1[[#This Row],[PAGO DE DEUDA ANTERIOR EN MESES]]</f>
        <v>1</v>
      </c>
      <c r="Z123" s="15">
        <f>Tabla1[[#This Row],[MES ADEUDO DE AÑOS PASADOS ]]*$T$2</f>
        <v>45</v>
      </c>
      <c r="AA123" s="15">
        <f>Tabla1[[#This Row],[MESES DE ADEUDO DEL AÑO EN CURSO ]]*$T$2</f>
        <v>0</v>
      </c>
      <c r="AB123" s="69">
        <f>SUM(Tabla1[[#This Row],[DEUDA DE LOS MESES PASADOS EN $$]:[DEUDA DEL AÑO 2013 $$ ]])</f>
        <v>45</v>
      </c>
      <c r="AD123">
        <f>Tabla1[[#This Row],[PAGO DE DEUDA ANTERIOR EN MESES]]*$T$2</f>
        <v>0</v>
      </c>
      <c r="AG123" s="100">
        <f>IF(Tabla1[[#This Row],[TIPO DE CONSUMIDOR]]="MEDIO",IF(Tabla1[[#This Row],[ENERO ]]&gt;22.5,Tabla1[[#This Row],[ENERO ]]/22.5-1,0),IF(Tabla1[[#This Row],[ENERO ]]&gt;45,Tabla1[[#This Row],[ENERO ]]/45-1,0))</f>
        <v>0</v>
      </c>
      <c r="AH12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3" s="100">
        <f>IF(Tabla1[[#This Row],[TIPO DE CONSUMIDOR]]="MEDIO",IF(Tabla1[[#This Row],[MARZO]]&gt;22.5,Tabla1[[#This Row],[MARZO]]/22.5-1,0),IF(Tabla1[[#This Row],[MARZO]]&gt;45,Tabla1[[#This Row],[MARZO]]/45-1,0))</f>
        <v>0</v>
      </c>
      <c r="AJ123" s="100">
        <f>IF(Tabla1[[#This Row],[TIPO DE CONSUMIDOR]]="MEDIO",IF(Tabla1[[#This Row],[ABRIL]]&gt;22.5,Tabla1[[#This Row],[ABRIL]]/22.5-1,0),IF(Tabla1[[#This Row],[ABRIL]]&gt;45,Tabla1[[#This Row],[ABRIL]]/45-1,0))</f>
        <v>0</v>
      </c>
      <c r="AK123" s="100">
        <f>IF(Tabla1[[#This Row],[TIPO DE CONSUMIDOR]]="MEDIO",IF(Tabla1[[#This Row],[MAYO ]]&gt;22.5,Tabla1[[#This Row],[MAYO ]]/22.5-1,0),IF(Tabla1[[#This Row],[MAYO ]]&gt;45,Tabla1[[#This Row],[MAYO ]]/45-1,0))</f>
        <v>0</v>
      </c>
      <c r="AL123" s="100">
        <f>IF(Tabla1[[#This Row],[TIPO DE CONSUMIDOR]]="MEDIO",IF(Tabla1[[#This Row],[JUNIO ]]&gt;22.5,Tabla1[[#This Row],[JUNIO ]]/22.5-1,0),IF(Tabla1[[#This Row],[JUNIO ]]&gt;45,Tabla1[[#This Row],[JUNIO ]]/45-1,0))</f>
        <v>0</v>
      </c>
      <c r="AM123" s="100">
        <f>IF(Tabla1[[#This Row],[TIPO DE CONSUMIDOR]]="MEDIO",IF(Tabla1[[#This Row],[JULIO ]]&gt;22.5,Tabla1[[#This Row],[JULIO ]]/22.5-1,0),IF(Tabla1[[#This Row],[JULIO ]]&gt;45,Tabla1[[#This Row],[JULIO ]]/45-1,0))</f>
        <v>0</v>
      </c>
      <c r="AN123" s="100">
        <f>IF(Tabla1[[#This Row],[TIPO DE CONSUMIDOR]]="MEDIO",IF(Tabla1[[#This Row],[AGOSTO]]&gt;22.5,Tabla1[[#This Row],[AGOSTO]]/22.5-1,0),IF(Tabla1[[#This Row],[AGOSTO]]&gt;45,Tabla1[[#This Row],[AGOSTO]]/45-1,0))</f>
        <v>0</v>
      </c>
      <c r="AO12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3" s="101">
        <f t="shared" si="3"/>
        <v>0</v>
      </c>
      <c r="AT123">
        <f>IF(Tabla1[[#This Row],[MES ADEUDO DE AÑOS PASADOS ]]&gt;0,1,0)</f>
        <v>1</v>
      </c>
      <c r="AU123" s="9">
        <f t="shared" si="4"/>
        <v>1</v>
      </c>
      <c r="AV123" s="60">
        <f>IF(Tabla1[[#This Row],[MESES DE ADEUDO DEL AÑO EN CURSO ]]&gt;0,1,0)</f>
        <v>0</v>
      </c>
      <c r="AW123" s="42"/>
      <c r="AX123" s="42"/>
      <c r="AY123" s="42"/>
      <c r="AZ123" s="43"/>
    </row>
    <row r="124" spans="1:52" ht="21.75" thickBot="1" x14ac:dyDescent="0.35">
      <c r="A124" s="106">
        <v>118</v>
      </c>
      <c r="B124" s="5" t="s">
        <v>201</v>
      </c>
      <c r="C124" s="2" t="s">
        <v>488</v>
      </c>
      <c r="D124" s="32"/>
      <c r="E124" s="35" t="s">
        <v>455</v>
      </c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24">
        <f>SUM(Tabla1[[#This Row],[ENERO ]:[DICIEMBRE]])</f>
        <v>0</v>
      </c>
      <c r="W124">
        <v>3</v>
      </c>
      <c r="X124" s="21">
        <f>COUNTIF(Tabla1[[#This Row],[ENERO ]:[DICIEMBRE]],0)-(AS124)-IF(Tabla1[[#This Row],[BAJAS]]="BAJA",IF(Tabla1[[#This Row],[ALTAS]]="ALTA",VLOOKUP(Tabla1[[#This Row],[MES DE ALTA ]],$AW$6:$AX$17,2,FALSE),12)-VLOOKUP(Tabla1[[#This Row],[MES DE BAJA ]],$AW$6:$AX$17,2,FALSE),0)</f>
        <v>0</v>
      </c>
      <c r="Y124" s="68">
        <f>SUM(Tabla1[[#This Row],[MES ADEUDO DE AÑOS PASADOS ]:[MESES DE ADEUDO DEL AÑO EN CURSO ]])-Tabla1[[#This Row],[PAGO DE DEUDA ANTERIOR EN MESES]]</f>
        <v>3</v>
      </c>
      <c r="Z124" s="15">
        <f>Tabla1[[#This Row],[MES ADEUDO DE AÑOS PASADOS ]]*$T$2</f>
        <v>135</v>
      </c>
      <c r="AA124" s="15">
        <f>Tabla1[[#This Row],[MESES DE ADEUDO DEL AÑO EN CURSO ]]*$T$2</f>
        <v>0</v>
      </c>
      <c r="AB124" s="69">
        <f>SUM(Tabla1[[#This Row],[DEUDA DE LOS MESES PASADOS EN $$]:[DEUDA DEL AÑO 2013 $$ ]])</f>
        <v>135</v>
      </c>
      <c r="AD124">
        <f>Tabla1[[#This Row],[PAGO DE DEUDA ANTERIOR EN MESES]]*$T$2</f>
        <v>0</v>
      </c>
      <c r="AG124" s="100">
        <f>IF(Tabla1[[#This Row],[TIPO DE CONSUMIDOR]]="MEDIO",IF(Tabla1[[#This Row],[ENERO ]]&gt;22.5,Tabla1[[#This Row],[ENERO ]]/22.5-1,0),IF(Tabla1[[#This Row],[ENERO ]]&gt;45,Tabla1[[#This Row],[ENERO ]]/45-1,0))</f>
        <v>0</v>
      </c>
      <c r="AH12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4" s="100">
        <f>IF(Tabla1[[#This Row],[TIPO DE CONSUMIDOR]]="MEDIO",IF(Tabla1[[#This Row],[MARZO]]&gt;22.5,Tabla1[[#This Row],[MARZO]]/22.5-1,0),IF(Tabla1[[#This Row],[MARZO]]&gt;45,Tabla1[[#This Row],[MARZO]]/45-1,0))</f>
        <v>0</v>
      </c>
      <c r="AJ124" s="100">
        <f>IF(Tabla1[[#This Row],[TIPO DE CONSUMIDOR]]="MEDIO",IF(Tabla1[[#This Row],[ABRIL]]&gt;22.5,Tabla1[[#This Row],[ABRIL]]/22.5-1,0),IF(Tabla1[[#This Row],[ABRIL]]&gt;45,Tabla1[[#This Row],[ABRIL]]/45-1,0))</f>
        <v>0</v>
      </c>
      <c r="AK124" s="100">
        <f>IF(Tabla1[[#This Row],[TIPO DE CONSUMIDOR]]="MEDIO",IF(Tabla1[[#This Row],[MAYO ]]&gt;22.5,Tabla1[[#This Row],[MAYO ]]/22.5-1,0),IF(Tabla1[[#This Row],[MAYO ]]&gt;45,Tabla1[[#This Row],[MAYO ]]/45-1,0))</f>
        <v>0</v>
      </c>
      <c r="AL124" s="100">
        <f>IF(Tabla1[[#This Row],[TIPO DE CONSUMIDOR]]="MEDIO",IF(Tabla1[[#This Row],[JUNIO ]]&gt;22.5,Tabla1[[#This Row],[JUNIO ]]/22.5-1,0),IF(Tabla1[[#This Row],[JUNIO ]]&gt;45,Tabla1[[#This Row],[JUNIO ]]/45-1,0))</f>
        <v>0</v>
      </c>
      <c r="AM124" s="100">
        <f>IF(Tabla1[[#This Row],[TIPO DE CONSUMIDOR]]="MEDIO",IF(Tabla1[[#This Row],[JULIO ]]&gt;22.5,Tabla1[[#This Row],[JULIO ]]/22.5-1,0),IF(Tabla1[[#This Row],[JULIO ]]&gt;45,Tabla1[[#This Row],[JULIO ]]/45-1,0))</f>
        <v>0</v>
      </c>
      <c r="AN124" s="100">
        <f>IF(Tabla1[[#This Row],[TIPO DE CONSUMIDOR]]="MEDIO",IF(Tabla1[[#This Row],[AGOSTO]]&gt;22.5,Tabla1[[#This Row],[AGOSTO]]/22.5-1,0),IF(Tabla1[[#This Row],[AGOSTO]]&gt;45,Tabla1[[#This Row],[AGOSTO]]/45-1,0))</f>
        <v>0</v>
      </c>
      <c r="AO12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4" s="101">
        <f t="shared" si="3"/>
        <v>0</v>
      </c>
      <c r="AT124">
        <f>IF(Tabla1[[#This Row],[MES ADEUDO DE AÑOS PASADOS ]]&gt;0,1,0)</f>
        <v>1</v>
      </c>
      <c r="AU124" s="9">
        <f t="shared" si="4"/>
        <v>1</v>
      </c>
      <c r="AV124" s="60">
        <f>IF(Tabla1[[#This Row],[MESES DE ADEUDO DEL AÑO EN CURSO ]]&gt;0,1,0)</f>
        <v>0</v>
      </c>
      <c r="AW124" s="42"/>
      <c r="AX124" s="42"/>
      <c r="AY124" s="42"/>
      <c r="AZ124" s="43"/>
    </row>
    <row r="125" spans="1:52" ht="21.75" thickBot="1" x14ac:dyDescent="0.35">
      <c r="A125" s="106">
        <v>119</v>
      </c>
      <c r="B125" s="5" t="s">
        <v>475</v>
      </c>
      <c r="C125" s="2" t="s">
        <v>488</v>
      </c>
      <c r="D125" s="32"/>
      <c r="E125" s="35" t="s">
        <v>455</v>
      </c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24">
        <f>SUM(Tabla1[[#This Row],[ENERO ]:[DICIEMBRE]])</f>
        <v>0</v>
      </c>
      <c r="W125">
        <v>4</v>
      </c>
      <c r="X125" s="21">
        <f>COUNTIF(Tabla1[[#This Row],[ENERO ]:[DICIEMBRE]],0)-(AS125)-IF(Tabla1[[#This Row],[BAJAS]]="BAJA",IF(Tabla1[[#This Row],[ALTAS]]="ALTA",VLOOKUP(Tabla1[[#This Row],[MES DE ALTA ]],$AW$6:$AX$17,2,FALSE),12)-VLOOKUP(Tabla1[[#This Row],[MES DE BAJA ]],$AW$6:$AX$17,2,FALSE),0)</f>
        <v>0</v>
      </c>
      <c r="Y125" s="68">
        <f>SUM(Tabla1[[#This Row],[MES ADEUDO DE AÑOS PASADOS ]:[MESES DE ADEUDO DEL AÑO EN CURSO ]])-Tabla1[[#This Row],[PAGO DE DEUDA ANTERIOR EN MESES]]</f>
        <v>4</v>
      </c>
      <c r="Z125" s="15">
        <f>Tabla1[[#This Row],[MES ADEUDO DE AÑOS PASADOS ]]*$T$2</f>
        <v>180</v>
      </c>
      <c r="AA125" s="15">
        <f>Tabla1[[#This Row],[MESES DE ADEUDO DEL AÑO EN CURSO ]]*$T$2</f>
        <v>0</v>
      </c>
      <c r="AB125" s="69">
        <f>SUM(Tabla1[[#This Row],[DEUDA DE LOS MESES PASADOS EN $$]:[DEUDA DEL AÑO 2013 $$ ]])</f>
        <v>180</v>
      </c>
      <c r="AD125">
        <f>Tabla1[[#This Row],[PAGO DE DEUDA ANTERIOR EN MESES]]*$T$2</f>
        <v>0</v>
      </c>
      <c r="AG125" s="100">
        <f>IF(Tabla1[[#This Row],[TIPO DE CONSUMIDOR]]="MEDIO",IF(Tabla1[[#This Row],[ENERO ]]&gt;22.5,Tabla1[[#This Row],[ENERO ]]/22.5-1,0),IF(Tabla1[[#This Row],[ENERO ]]&gt;45,Tabla1[[#This Row],[ENERO ]]/45-1,0))</f>
        <v>0</v>
      </c>
      <c r="AH12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5" s="100">
        <f>IF(Tabla1[[#This Row],[TIPO DE CONSUMIDOR]]="MEDIO",IF(Tabla1[[#This Row],[MARZO]]&gt;22.5,Tabla1[[#This Row],[MARZO]]/22.5-1,0),IF(Tabla1[[#This Row],[MARZO]]&gt;45,Tabla1[[#This Row],[MARZO]]/45-1,0))</f>
        <v>0</v>
      </c>
      <c r="AJ125" s="100">
        <f>IF(Tabla1[[#This Row],[TIPO DE CONSUMIDOR]]="MEDIO",IF(Tabla1[[#This Row],[ABRIL]]&gt;22.5,Tabla1[[#This Row],[ABRIL]]/22.5-1,0),IF(Tabla1[[#This Row],[ABRIL]]&gt;45,Tabla1[[#This Row],[ABRIL]]/45-1,0))</f>
        <v>0</v>
      </c>
      <c r="AK125" s="100">
        <f>IF(Tabla1[[#This Row],[TIPO DE CONSUMIDOR]]="MEDIO",IF(Tabla1[[#This Row],[MAYO ]]&gt;22.5,Tabla1[[#This Row],[MAYO ]]/22.5-1,0),IF(Tabla1[[#This Row],[MAYO ]]&gt;45,Tabla1[[#This Row],[MAYO ]]/45-1,0))</f>
        <v>0</v>
      </c>
      <c r="AL125" s="100">
        <f>IF(Tabla1[[#This Row],[TIPO DE CONSUMIDOR]]="MEDIO",IF(Tabla1[[#This Row],[JUNIO ]]&gt;22.5,Tabla1[[#This Row],[JUNIO ]]/22.5-1,0),IF(Tabla1[[#This Row],[JUNIO ]]&gt;45,Tabla1[[#This Row],[JUNIO ]]/45-1,0))</f>
        <v>0</v>
      </c>
      <c r="AM125" s="100">
        <f>IF(Tabla1[[#This Row],[TIPO DE CONSUMIDOR]]="MEDIO",IF(Tabla1[[#This Row],[JULIO ]]&gt;22.5,Tabla1[[#This Row],[JULIO ]]/22.5-1,0),IF(Tabla1[[#This Row],[JULIO ]]&gt;45,Tabla1[[#This Row],[JULIO ]]/45-1,0))</f>
        <v>0</v>
      </c>
      <c r="AN125" s="100">
        <f>IF(Tabla1[[#This Row],[TIPO DE CONSUMIDOR]]="MEDIO",IF(Tabla1[[#This Row],[AGOSTO]]&gt;22.5,Tabla1[[#This Row],[AGOSTO]]/22.5-1,0),IF(Tabla1[[#This Row],[AGOSTO]]&gt;45,Tabla1[[#This Row],[AGOSTO]]/45-1,0))</f>
        <v>0</v>
      </c>
      <c r="AO12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5" s="101">
        <f t="shared" si="3"/>
        <v>0</v>
      </c>
      <c r="AT125">
        <f>IF(Tabla1[[#This Row],[MES ADEUDO DE AÑOS PASADOS ]]&gt;0,1,0)</f>
        <v>1</v>
      </c>
      <c r="AU125" s="9">
        <f t="shared" si="4"/>
        <v>1</v>
      </c>
      <c r="AV125" s="60">
        <f>IF(Tabla1[[#This Row],[MESES DE ADEUDO DEL AÑO EN CURSO ]]&gt;0,1,0)</f>
        <v>0</v>
      </c>
      <c r="AW125" s="42"/>
      <c r="AX125" s="42"/>
      <c r="AY125" s="42"/>
      <c r="AZ125" s="43"/>
    </row>
    <row r="126" spans="1:52" ht="21.75" thickBot="1" x14ac:dyDescent="0.35">
      <c r="A126" s="106">
        <v>120</v>
      </c>
      <c r="B126" s="5" t="s">
        <v>476</v>
      </c>
      <c r="C126" s="2" t="s">
        <v>488</v>
      </c>
      <c r="D126" s="32"/>
      <c r="E126" s="35" t="s">
        <v>455</v>
      </c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24">
        <f>SUM(Tabla1[[#This Row],[ENERO ]:[DICIEMBRE]])</f>
        <v>0</v>
      </c>
      <c r="W126">
        <v>6</v>
      </c>
      <c r="X126" s="21">
        <f>COUNTIF(Tabla1[[#This Row],[ENERO ]:[DICIEMBRE]],0)-(AS126)-IF(Tabla1[[#This Row],[BAJAS]]="BAJA",IF(Tabla1[[#This Row],[ALTAS]]="ALTA",VLOOKUP(Tabla1[[#This Row],[MES DE ALTA ]],$AW$6:$AX$17,2,FALSE),12)-VLOOKUP(Tabla1[[#This Row],[MES DE BAJA ]],$AW$6:$AX$17,2,FALSE),0)</f>
        <v>0</v>
      </c>
      <c r="Y126" s="68">
        <f>SUM(Tabla1[[#This Row],[MES ADEUDO DE AÑOS PASADOS ]:[MESES DE ADEUDO DEL AÑO EN CURSO ]])-Tabla1[[#This Row],[PAGO DE DEUDA ANTERIOR EN MESES]]</f>
        <v>6</v>
      </c>
      <c r="Z126" s="15">
        <f>Tabla1[[#This Row],[MES ADEUDO DE AÑOS PASADOS ]]*$T$2</f>
        <v>270</v>
      </c>
      <c r="AA126" s="15">
        <f>Tabla1[[#This Row],[MESES DE ADEUDO DEL AÑO EN CURSO ]]*$T$2</f>
        <v>0</v>
      </c>
      <c r="AB126" s="69">
        <f>SUM(Tabla1[[#This Row],[DEUDA DE LOS MESES PASADOS EN $$]:[DEUDA DEL AÑO 2013 $$ ]])</f>
        <v>270</v>
      </c>
      <c r="AD126">
        <f>Tabla1[[#This Row],[PAGO DE DEUDA ANTERIOR EN MESES]]*$T$2</f>
        <v>0</v>
      </c>
      <c r="AG126" s="100">
        <f>IF(Tabla1[[#This Row],[TIPO DE CONSUMIDOR]]="MEDIO",IF(Tabla1[[#This Row],[ENERO ]]&gt;22.5,Tabla1[[#This Row],[ENERO ]]/22.5-1,0),IF(Tabla1[[#This Row],[ENERO ]]&gt;45,Tabla1[[#This Row],[ENERO ]]/45-1,0))</f>
        <v>0</v>
      </c>
      <c r="AH12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6" s="100">
        <f>IF(Tabla1[[#This Row],[TIPO DE CONSUMIDOR]]="MEDIO",IF(Tabla1[[#This Row],[MARZO]]&gt;22.5,Tabla1[[#This Row],[MARZO]]/22.5-1,0),IF(Tabla1[[#This Row],[MARZO]]&gt;45,Tabla1[[#This Row],[MARZO]]/45-1,0))</f>
        <v>0</v>
      </c>
      <c r="AJ126" s="100">
        <f>IF(Tabla1[[#This Row],[TIPO DE CONSUMIDOR]]="MEDIO",IF(Tabla1[[#This Row],[ABRIL]]&gt;22.5,Tabla1[[#This Row],[ABRIL]]/22.5-1,0),IF(Tabla1[[#This Row],[ABRIL]]&gt;45,Tabla1[[#This Row],[ABRIL]]/45-1,0))</f>
        <v>0</v>
      </c>
      <c r="AK126" s="100">
        <f>IF(Tabla1[[#This Row],[TIPO DE CONSUMIDOR]]="MEDIO",IF(Tabla1[[#This Row],[MAYO ]]&gt;22.5,Tabla1[[#This Row],[MAYO ]]/22.5-1,0),IF(Tabla1[[#This Row],[MAYO ]]&gt;45,Tabla1[[#This Row],[MAYO ]]/45-1,0))</f>
        <v>0</v>
      </c>
      <c r="AL126" s="100">
        <f>IF(Tabla1[[#This Row],[TIPO DE CONSUMIDOR]]="MEDIO",IF(Tabla1[[#This Row],[JUNIO ]]&gt;22.5,Tabla1[[#This Row],[JUNIO ]]/22.5-1,0),IF(Tabla1[[#This Row],[JUNIO ]]&gt;45,Tabla1[[#This Row],[JUNIO ]]/45-1,0))</f>
        <v>0</v>
      </c>
      <c r="AM126" s="100">
        <f>IF(Tabla1[[#This Row],[TIPO DE CONSUMIDOR]]="MEDIO",IF(Tabla1[[#This Row],[JULIO ]]&gt;22.5,Tabla1[[#This Row],[JULIO ]]/22.5-1,0),IF(Tabla1[[#This Row],[JULIO ]]&gt;45,Tabla1[[#This Row],[JULIO ]]/45-1,0))</f>
        <v>0</v>
      </c>
      <c r="AN126" s="100">
        <f>IF(Tabla1[[#This Row],[TIPO DE CONSUMIDOR]]="MEDIO",IF(Tabla1[[#This Row],[AGOSTO]]&gt;22.5,Tabla1[[#This Row],[AGOSTO]]/22.5-1,0),IF(Tabla1[[#This Row],[AGOSTO]]&gt;45,Tabla1[[#This Row],[AGOSTO]]/45-1,0))</f>
        <v>0</v>
      </c>
      <c r="AO12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6" s="101">
        <f t="shared" si="3"/>
        <v>0</v>
      </c>
      <c r="AT126">
        <f>IF(Tabla1[[#This Row],[MES ADEUDO DE AÑOS PASADOS ]]&gt;0,1,0)</f>
        <v>1</v>
      </c>
      <c r="AU126" s="9">
        <f t="shared" si="4"/>
        <v>1</v>
      </c>
      <c r="AV126" s="60">
        <f>IF(Tabla1[[#This Row],[MESES DE ADEUDO DEL AÑO EN CURSO ]]&gt;0,1,0)</f>
        <v>0</v>
      </c>
      <c r="AW126" s="42"/>
      <c r="AX126" s="42"/>
      <c r="AY126" s="42"/>
      <c r="AZ126" s="43"/>
    </row>
    <row r="127" spans="1:52" ht="21.75" thickBot="1" x14ac:dyDescent="0.35">
      <c r="A127" s="106">
        <v>121</v>
      </c>
      <c r="B127" s="5" t="s">
        <v>116</v>
      </c>
      <c r="C127" s="2" t="s">
        <v>488</v>
      </c>
      <c r="D127" s="32"/>
      <c r="E127" s="35" t="s">
        <v>455</v>
      </c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24">
        <f>SUM(Tabla1[[#This Row],[ENERO ]:[DICIEMBRE]])</f>
        <v>0</v>
      </c>
      <c r="W127">
        <v>6</v>
      </c>
      <c r="X127" s="21">
        <f>COUNTIF(Tabla1[[#This Row],[ENERO ]:[DICIEMBRE]],0)-(AS127)-IF(Tabla1[[#This Row],[BAJAS]]="BAJA",IF(Tabla1[[#This Row],[ALTAS]]="ALTA",VLOOKUP(Tabla1[[#This Row],[MES DE ALTA ]],$AW$6:$AX$17,2,FALSE),12)-VLOOKUP(Tabla1[[#This Row],[MES DE BAJA ]],$AW$6:$AX$17,2,FALSE),0)</f>
        <v>0</v>
      </c>
      <c r="Y127" s="68">
        <f>SUM(Tabla1[[#This Row],[MES ADEUDO DE AÑOS PASADOS ]:[MESES DE ADEUDO DEL AÑO EN CURSO ]])-Tabla1[[#This Row],[PAGO DE DEUDA ANTERIOR EN MESES]]</f>
        <v>6</v>
      </c>
      <c r="Z127" s="15">
        <f>Tabla1[[#This Row],[MES ADEUDO DE AÑOS PASADOS ]]*$T$2</f>
        <v>270</v>
      </c>
      <c r="AA127" s="15">
        <f>Tabla1[[#This Row],[MESES DE ADEUDO DEL AÑO EN CURSO ]]*$T$2</f>
        <v>0</v>
      </c>
      <c r="AB127" s="69">
        <f>SUM(Tabla1[[#This Row],[DEUDA DE LOS MESES PASADOS EN $$]:[DEUDA DEL AÑO 2013 $$ ]])</f>
        <v>270</v>
      </c>
      <c r="AD127">
        <f>Tabla1[[#This Row],[PAGO DE DEUDA ANTERIOR EN MESES]]*$T$2</f>
        <v>0</v>
      </c>
      <c r="AG127" s="100">
        <f>IF(Tabla1[[#This Row],[TIPO DE CONSUMIDOR]]="MEDIO",IF(Tabla1[[#This Row],[ENERO ]]&gt;22.5,Tabla1[[#This Row],[ENERO ]]/22.5-1,0),IF(Tabla1[[#This Row],[ENERO ]]&gt;45,Tabla1[[#This Row],[ENERO ]]/45-1,0))</f>
        <v>0</v>
      </c>
      <c r="AH12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7" s="100">
        <f>IF(Tabla1[[#This Row],[TIPO DE CONSUMIDOR]]="MEDIO",IF(Tabla1[[#This Row],[MARZO]]&gt;22.5,Tabla1[[#This Row],[MARZO]]/22.5-1,0),IF(Tabla1[[#This Row],[MARZO]]&gt;45,Tabla1[[#This Row],[MARZO]]/45-1,0))</f>
        <v>0</v>
      </c>
      <c r="AJ127" s="100">
        <f>IF(Tabla1[[#This Row],[TIPO DE CONSUMIDOR]]="MEDIO",IF(Tabla1[[#This Row],[ABRIL]]&gt;22.5,Tabla1[[#This Row],[ABRIL]]/22.5-1,0),IF(Tabla1[[#This Row],[ABRIL]]&gt;45,Tabla1[[#This Row],[ABRIL]]/45-1,0))</f>
        <v>0</v>
      </c>
      <c r="AK127" s="100">
        <f>IF(Tabla1[[#This Row],[TIPO DE CONSUMIDOR]]="MEDIO",IF(Tabla1[[#This Row],[MAYO ]]&gt;22.5,Tabla1[[#This Row],[MAYO ]]/22.5-1,0),IF(Tabla1[[#This Row],[MAYO ]]&gt;45,Tabla1[[#This Row],[MAYO ]]/45-1,0))</f>
        <v>0</v>
      </c>
      <c r="AL127" s="100">
        <f>IF(Tabla1[[#This Row],[TIPO DE CONSUMIDOR]]="MEDIO",IF(Tabla1[[#This Row],[JUNIO ]]&gt;22.5,Tabla1[[#This Row],[JUNIO ]]/22.5-1,0),IF(Tabla1[[#This Row],[JUNIO ]]&gt;45,Tabla1[[#This Row],[JUNIO ]]/45-1,0))</f>
        <v>0</v>
      </c>
      <c r="AM127" s="100">
        <f>IF(Tabla1[[#This Row],[TIPO DE CONSUMIDOR]]="MEDIO",IF(Tabla1[[#This Row],[JULIO ]]&gt;22.5,Tabla1[[#This Row],[JULIO ]]/22.5-1,0),IF(Tabla1[[#This Row],[JULIO ]]&gt;45,Tabla1[[#This Row],[JULIO ]]/45-1,0))</f>
        <v>0</v>
      </c>
      <c r="AN127" s="100">
        <f>IF(Tabla1[[#This Row],[TIPO DE CONSUMIDOR]]="MEDIO",IF(Tabla1[[#This Row],[AGOSTO]]&gt;22.5,Tabla1[[#This Row],[AGOSTO]]/22.5-1,0),IF(Tabla1[[#This Row],[AGOSTO]]&gt;45,Tabla1[[#This Row],[AGOSTO]]/45-1,0))</f>
        <v>0</v>
      </c>
      <c r="AO12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7" s="101">
        <f t="shared" si="3"/>
        <v>0</v>
      </c>
      <c r="AT127">
        <f>IF(Tabla1[[#This Row],[MES ADEUDO DE AÑOS PASADOS ]]&gt;0,1,0)</f>
        <v>1</v>
      </c>
      <c r="AU127" s="9">
        <f t="shared" si="4"/>
        <v>1</v>
      </c>
      <c r="AV127" s="60">
        <f>IF(Tabla1[[#This Row],[MESES DE ADEUDO DEL AÑO EN CURSO ]]&gt;0,1,0)</f>
        <v>0</v>
      </c>
      <c r="AW127" s="42"/>
      <c r="AX127" s="42"/>
      <c r="AY127" s="42"/>
      <c r="AZ127" s="43"/>
    </row>
    <row r="128" spans="1:52" ht="21.75" thickBot="1" x14ac:dyDescent="0.35">
      <c r="A128" s="106">
        <v>122</v>
      </c>
      <c r="B128" s="5" t="s">
        <v>350</v>
      </c>
      <c r="C128" s="2" t="s">
        <v>488</v>
      </c>
      <c r="D128" s="32"/>
      <c r="E128" s="35" t="s">
        <v>455</v>
      </c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24">
        <f>SUM(Tabla1[[#This Row],[ENERO ]:[DICIEMBRE]])</f>
        <v>0</v>
      </c>
      <c r="W128">
        <v>6</v>
      </c>
      <c r="X128" s="21">
        <f>COUNTIF(Tabla1[[#This Row],[ENERO ]:[DICIEMBRE]],0)-(AS128)-IF(Tabla1[[#This Row],[BAJAS]]="BAJA",IF(Tabla1[[#This Row],[ALTAS]]="ALTA",VLOOKUP(Tabla1[[#This Row],[MES DE ALTA ]],$AW$6:$AX$17,2,FALSE),12)-VLOOKUP(Tabla1[[#This Row],[MES DE BAJA ]],$AW$6:$AX$17,2,FALSE),0)</f>
        <v>0</v>
      </c>
      <c r="Y128" s="68">
        <f>SUM(Tabla1[[#This Row],[MES ADEUDO DE AÑOS PASADOS ]:[MESES DE ADEUDO DEL AÑO EN CURSO ]])-Tabla1[[#This Row],[PAGO DE DEUDA ANTERIOR EN MESES]]</f>
        <v>6</v>
      </c>
      <c r="Z128" s="15">
        <f>Tabla1[[#This Row],[MES ADEUDO DE AÑOS PASADOS ]]*$T$2</f>
        <v>270</v>
      </c>
      <c r="AA128" s="15">
        <f>Tabla1[[#This Row],[MESES DE ADEUDO DEL AÑO EN CURSO ]]*$T$2</f>
        <v>0</v>
      </c>
      <c r="AB128" s="69">
        <f>SUM(Tabla1[[#This Row],[DEUDA DE LOS MESES PASADOS EN $$]:[DEUDA DEL AÑO 2013 $$ ]])</f>
        <v>270</v>
      </c>
      <c r="AD128">
        <f>Tabla1[[#This Row],[PAGO DE DEUDA ANTERIOR EN MESES]]*$T$2</f>
        <v>0</v>
      </c>
      <c r="AG128" s="100">
        <f>IF(Tabla1[[#This Row],[TIPO DE CONSUMIDOR]]="MEDIO",IF(Tabla1[[#This Row],[ENERO ]]&gt;22.5,Tabla1[[#This Row],[ENERO ]]/22.5-1,0),IF(Tabla1[[#This Row],[ENERO ]]&gt;45,Tabla1[[#This Row],[ENERO ]]/45-1,0))</f>
        <v>0</v>
      </c>
      <c r="AH12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8" s="100">
        <f>IF(Tabla1[[#This Row],[TIPO DE CONSUMIDOR]]="MEDIO",IF(Tabla1[[#This Row],[MARZO]]&gt;22.5,Tabla1[[#This Row],[MARZO]]/22.5-1,0),IF(Tabla1[[#This Row],[MARZO]]&gt;45,Tabla1[[#This Row],[MARZO]]/45-1,0))</f>
        <v>0</v>
      </c>
      <c r="AJ128" s="100">
        <f>IF(Tabla1[[#This Row],[TIPO DE CONSUMIDOR]]="MEDIO",IF(Tabla1[[#This Row],[ABRIL]]&gt;22.5,Tabla1[[#This Row],[ABRIL]]/22.5-1,0),IF(Tabla1[[#This Row],[ABRIL]]&gt;45,Tabla1[[#This Row],[ABRIL]]/45-1,0))</f>
        <v>0</v>
      </c>
      <c r="AK128" s="100">
        <f>IF(Tabla1[[#This Row],[TIPO DE CONSUMIDOR]]="MEDIO",IF(Tabla1[[#This Row],[MAYO ]]&gt;22.5,Tabla1[[#This Row],[MAYO ]]/22.5-1,0),IF(Tabla1[[#This Row],[MAYO ]]&gt;45,Tabla1[[#This Row],[MAYO ]]/45-1,0))</f>
        <v>0</v>
      </c>
      <c r="AL128" s="100">
        <f>IF(Tabla1[[#This Row],[TIPO DE CONSUMIDOR]]="MEDIO",IF(Tabla1[[#This Row],[JUNIO ]]&gt;22.5,Tabla1[[#This Row],[JUNIO ]]/22.5-1,0),IF(Tabla1[[#This Row],[JUNIO ]]&gt;45,Tabla1[[#This Row],[JUNIO ]]/45-1,0))</f>
        <v>0</v>
      </c>
      <c r="AM128" s="100">
        <f>IF(Tabla1[[#This Row],[TIPO DE CONSUMIDOR]]="MEDIO",IF(Tabla1[[#This Row],[JULIO ]]&gt;22.5,Tabla1[[#This Row],[JULIO ]]/22.5-1,0),IF(Tabla1[[#This Row],[JULIO ]]&gt;45,Tabla1[[#This Row],[JULIO ]]/45-1,0))</f>
        <v>0</v>
      </c>
      <c r="AN128" s="100">
        <f>IF(Tabla1[[#This Row],[TIPO DE CONSUMIDOR]]="MEDIO",IF(Tabla1[[#This Row],[AGOSTO]]&gt;22.5,Tabla1[[#This Row],[AGOSTO]]/22.5-1,0),IF(Tabla1[[#This Row],[AGOSTO]]&gt;45,Tabla1[[#This Row],[AGOSTO]]/45-1,0))</f>
        <v>0</v>
      </c>
      <c r="AO12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8" s="101">
        <f t="shared" si="3"/>
        <v>0</v>
      </c>
      <c r="AT128">
        <f>IF(Tabla1[[#This Row],[MES ADEUDO DE AÑOS PASADOS ]]&gt;0,1,0)</f>
        <v>1</v>
      </c>
      <c r="AU128" s="9">
        <f t="shared" si="4"/>
        <v>1</v>
      </c>
      <c r="AV128" s="60">
        <f>IF(Tabla1[[#This Row],[MESES DE ADEUDO DEL AÑO EN CURSO ]]&gt;0,1,0)</f>
        <v>0</v>
      </c>
      <c r="AW128" s="42"/>
      <c r="AX128" s="42"/>
      <c r="AY128" s="42"/>
      <c r="AZ128" s="43"/>
    </row>
    <row r="129" spans="1:52" ht="21.75" thickBot="1" x14ac:dyDescent="0.35">
      <c r="A129" s="106">
        <v>123</v>
      </c>
      <c r="B129" s="47" t="s">
        <v>474</v>
      </c>
      <c r="C129" s="2" t="s">
        <v>488</v>
      </c>
      <c r="D129" s="32"/>
      <c r="E129" s="35" t="s">
        <v>455</v>
      </c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24">
        <f>SUM(Tabla1[[#This Row],[ENERO ]:[DICIEMBRE]])</f>
        <v>0</v>
      </c>
      <c r="W129">
        <v>7</v>
      </c>
      <c r="X129" s="21">
        <f>COUNTIF(Tabla1[[#This Row],[ENERO ]:[DICIEMBRE]],0)-(AS129)-IF(Tabla1[[#This Row],[BAJAS]]="BAJA",IF(Tabla1[[#This Row],[ALTAS]]="ALTA",VLOOKUP(Tabla1[[#This Row],[MES DE ALTA ]],$AW$6:$AX$17,2,FALSE),12)-VLOOKUP(Tabla1[[#This Row],[MES DE BAJA ]],$AW$6:$AX$17,2,FALSE),0)</f>
        <v>0</v>
      </c>
      <c r="Y129" s="68">
        <f>SUM(Tabla1[[#This Row],[MES ADEUDO DE AÑOS PASADOS ]:[MESES DE ADEUDO DEL AÑO EN CURSO ]])-Tabla1[[#This Row],[PAGO DE DEUDA ANTERIOR EN MESES]]</f>
        <v>7</v>
      </c>
      <c r="Z129" s="15">
        <f>Tabla1[[#This Row],[MES ADEUDO DE AÑOS PASADOS ]]*$T$2</f>
        <v>315</v>
      </c>
      <c r="AA129" s="15">
        <f>Tabla1[[#This Row],[MESES DE ADEUDO DEL AÑO EN CURSO ]]*$T$2</f>
        <v>0</v>
      </c>
      <c r="AB129" s="69">
        <f>SUM(Tabla1[[#This Row],[DEUDA DE LOS MESES PASADOS EN $$]:[DEUDA DEL AÑO 2013 $$ ]])</f>
        <v>315</v>
      </c>
      <c r="AD129">
        <f>Tabla1[[#This Row],[PAGO DE DEUDA ANTERIOR EN MESES]]*$T$2</f>
        <v>0</v>
      </c>
      <c r="AG129" s="100">
        <f>IF(Tabla1[[#This Row],[TIPO DE CONSUMIDOR]]="MEDIO",IF(Tabla1[[#This Row],[ENERO ]]&gt;22.5,Tabla1[[#This Row],[ENERO ]]/22.5-1,0),IF(Tabla1[[#This Row],[ENERO ]]&gt;45,Tabla1[[#This Row],[ENERO ]]/45-1,0))</f>
        <v>0</v>
      </c>
      <c r="AH12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29" s="100">
        <f>IF(Tabla1[[#This Row],[TIPO DE CONSUMIDOR]]="MEDIO",IF(Tabla1[[#This Row],[MARZO]]&gt;22.5,Tabla1[[#This Row],[MARZO]]/22.5-1,0),IF(Tabla1[[#This Row],[MARZO]]&gt;45,Tabla1[[#This Row],[MARZO]]/45-1,0))</f>
        <v>0</v>
      </c>
      <c r="AJ129" s="100">
        <f>IF(Tabla1[[#This Row],[TIPO DE CONSUMIDOR]]="MEDIO",IF(Tabla1[[#This Row],[ABRIL]]&gt;22.5,Tabla1[[#This Row],[ABRIL]]/22.5-1,0),IF(Tabla1[[#This Row],[ABRIL]]&gt;45,Tabla1[[#This Row],[ABRIL]]/45-1,0))</f>
        <v>0</v>
      </c>
      <c r="AK129" s="100">
        <f>IF(Tabla1[[#This Row],[TIPO DE CONSUMIDOR]]="MEDIO",IF(Tabla1[[#This Row],[MAYO ]]&gt;22.5,Tabla1[[#This Row],[MAYO ]]/22.5-1,0),IF(Tabla1[[#This Row],[MAYO ]]&gt;45,Tabla1[[#This Row],[MAYO ]]/45-1,0))</f>
        <v>0</v>
      </c>
      <c r="AL129" s="100">
        <f>IF(Tabla1[[#This Row],[TIPO DE CONSUMIDOR]]="MEDIO",IF(Tabla1[[#This Row],[JUNIO ]]&gt;22.5,Tabla1[[#This Row],[JUNIO ]]/22.5-1,0),IF(Tabla1[[#This Row],[JUNIO ]]&gt;45,Tabla1[[#This Row],[JUNIO ]]/45-1,0))</f>
        <v>0</v>
      </c>
      <c r="AM129" s="100">
        <f>IF(Tabla1[[#This Row],[TIPO DE CONSUMIDOR]]="MEDIO",IF(Tabla1[[#This Row],[JULIO ]]&gt;22.5,Tabla1[[#This Row],[JULIO ]]/22.5-1,0),IF(Tabla1[[#This Row],[JULIO ]]&gt;45,Tabla1[[#This Row],[JULIO ]]/45-1,0))</f>
        <v>0</v>
      </c>
      <c r="AN129" s="100">
        <f>IF(Tabla1[[#This Row],[TIPO DE CONSUMIDOR]]="MEDIO",IF(Tabla1[[#This Row],[AGOSTO]]&gt;22.5,Tabla1[[#This Row],[AGOSTO]]/22.5-1,0),IF(Tabla1[[#This Row],[AGOSTO]]&gt;45,Tabla1[[#This Row],[AGOSTO]]/45-1,0))</f>
        <v>0</v>
      </c>
      <c r="AO12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2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2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2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29" s="101">
        <f t="shared" si="3"/>
        <v>0</v>
      </c>
      <c r="AT129">
        <f>IF(Tabla1[[#This Row],[MES ADEUDO DE AÑOS PASADOS ]]&gt;0,1,0)</f>
        <v>1</v>
      </c>
      <c r="AU129" s="9">
        <f t="shared" si="4"/>
        <v>1</v>
      </c>
      <c r="AV129" s="60">
        <f>IF(Tabla1[[#This Row],[MESES DE ADEUDO DEL AÑO EN CURSO ]]&gt;0,1,0)</f>
        <v>0</v>
      </c>
      <c r="AW129" s="42"/>
      <c r="AX129" s="42"/>
      <c r="AY129" s="42"/>
      <c r="AZ129" s="43"/>
    </row>
    <row r="130" spans="1:52" ht="21.75" thickBot="1" x14ac:dyDescent="0.35">
      <c r="A130" s="106">
        <v>124</v>
      </c>
      <c r="B130" s="5" t="s">
        <v>181</v>
      </c>
      <c r="C130" s="2" t="s">
        <v>488</v>
      </c>
      <c r="D130" s="32"/>
      <c r="E130" s="35" t="s">
        <v>455</v>
      </c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24">
        <f>SUM(Tabla1[[#This Row],[ENERO ]:[DICIEMBRE]])</f>
        <v>0</v>
      </c>
      <c r="W130">
        <v>8</v>
      </c>
      <c r="X130" s="21">
        <f>COUNTIF(Tabla1[[#This Row],[ENERO ]:[DICIEMBRE]],0)-(AS130)-IF(Tabla1[[#This Row],[BAJAS]]="BAJA",IF(Tabla1[[#This Row],[ALTAS]]="ALTA",VLOOKUP(Tabla1[[#This Row],[MES DE ALTA ]],$AW$6:$AX$17,2,FALSE),12)-VLOOKUP(Tabla1[[#This Row],[MES DE BAJA ]],$AW$6:$AX$17,2,FALSE),0)</f>
        <v>0</v>
      </c>
      <c r="Y130" s="68">
        <f>SUM(Tabla1[[#This Row],[MES ADEUDO DE AÑOS PASADOS ]:[MESES DE ADEUDO DEL AÑO EN CURSO ]])-Tabla1[[#This Row],[PAGO DE DEUDA ANTERIOR EN MESES]]</f>
        <v>8</v>
      </c>
      <c r="Z130" s="15">
        <f>Tabla1[[#This Row],[MES ADEUDO DE AÑOS PASADOS ]]*$T$2</f>
        <v>360</v>
      </c>
      <c r="AA130" s="15">
        <f>Tabla1[[#This Row],[MESES DE ADEUDO DEL AÑO EN CURSO ]]*$T$2</f>
        <v>0</v>
      </c>
      <c r="AB130" s="69">
        <f>SUM(Tabla1[[#This Row],[DEUDA DE LOS MESES PASADOS EN $$]:[DEUDA DEL AÑO 2013 $$ ]])</f>
        <v>360</v>
      </c>
      <c r="AD130">
        <f>Tabla1[[#This Row],[PAGO DE DEUDA ANTERIOR EN MESES]]*$T$2</f>
        <v>0</v>
      </c>
      <c r="AG130" s="100">
        <f>IF(Tabla1[[#This Row],[TIPO DE CONSUMIDOR]]="MEDIO",IF(Tabla1[[#This Row],[ENERO ]]&gt;22.5,Tabla1[[#This Row],[ENERO ]]/22.5-1,0),IF(Tabla1[[#This Row],[ENERO ]]&gt;45,Tabla1[[#This Row],[ENERO ]]/45-1,0))</f>
        <v>0</v>
      </c>
      <c r="AH13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0" s="100">
        <f>IF(Tabla1[[#This Row],[TIPO DE CONSUMIDOR]]="MEDIO",IF(Tabla1[[#This Row],[MARZO]]&gt;22.5,Tabla1[[#This Row],[MARZO]]/22.5-1,0),IF(Tabla1[[#This Row],[MARZO]]&gt;45,Tabla1[[#This Row],[MARZO]]/45-1,0))</f>
        <v>0</v>
      </c>
      <c r="AJ130" s="100">
        <f>IF(Tabla1[[#This Row],[TIPO DE CONSUMIDOR]]="MEDIO",IF(Tabla1[[#This Row],[ABRIL]]&gt;22.5,Tabla1[[#This Row],[ABRIL]]/22.5-1,0),IF(Tabla1[[#This Row],[ABRIL]]&gt;45,Tabla1[[#This Row],[ABRIL]]/45-1,0))</f>
        <v>0</v>
      </c>
      <c r="AK130" s="100">
        <f>IF(Tabla1[[#This Row],[TIPO DE CONSUMIDOR]]="MEDIO",IF(Tabla1[[#This Row],[MAYO ]]&gt;22.5,Tabla1[[#This Row],[MAYO ]]/22.5-1,0),IF(Tabla1[[#This Row],[MAYO ]]&gt;45,Tabla1[[#This Row],[MAYO ]]/45-1,0))</f>
        <v>0</v>
      </c>
      <c r="AL130" s="100">
        <f>IF(Tabla1[[#This Row],[TIPO DE CONSUMIDOR]]="MEDIO",IF(Tabla1[[#This Row],[JUNIO ]]&gt;22.5,Tabla1[[#This Row],[JUNIO ]]/22.5-1,0),IF(Tabla1[[#This Row],[JUNIO ]]&gt;45,Tabla1[[#This Row],[JUNIO ]]/45-1,0))</f>
        <v>0</v>
      </c>
      <c r="AM130" s="100">
        <f>IF(Tabla1[[#This Row],[TIPO DE CONSUMIDOR]]="MEDIO",IF(Tabla1[[#This Row],[JULIO ]]&gt;22.5,Tabla1[[#This Row],[JULIO ]]/22.5-1,0),IF(Tabla1[[#This Row],[JULIO ]]&gt;45,Tabla1[[#This Row],[JULIO ]]/45-1,0))</f>
        <v>0</v>
      </c>
      <c r="AN130" s="100">
        <f>IF(Tabla1[[#This Row],[TIPO DE CONSUMIDOR]]="MEDIO",IF(Tabla1[[#This Row],[AGOSTO]]&gt;22.5,Tabla1[[#This Row],[AGOSTO]]/22.5-1,0),IF(Tabla1[[#This Row],[AGOSTO]]&gt;45,Tabla1[[#This Row],[AGOSTO]]/45-1,0))</f>
        <v>0</v>
      </c>
      <c r="AO13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0" s="101">
        <f t="shared" si="3"/>
        <v>0</v>
      </c>
      <c r="AT130">
        <f>IF(Tabla1[[#This Row],[MES ADEUDO DE AÑOS PASADOS ]]&gt;0,1,0)</f>
        <v>1</v>
      </c>
      <c r="AU130" s="9">
        <f t="shared" si="4"/>
        <v>1</v>
      </c>
      <c r="AV130" s="60">
        <f>IF(Tabla1[[#This Row],[MESES DE ADEUDO DEL AÑO EN CURSO ]]&gt;0,1,0)</f>
        <v>0</v>
      </c>
      <c r="AW130" s="42"/>
      <c r="AX130" s="42"/>
      <c r="AY130" s="42"/>
      <c r="AZ130" s="43"/>
    </row>
    <row r="131" spans="1:52" ht="21.75" thickBot="1" x14ac:dyDescent="0.35">
      <c r="A131" s="106">
        <v>125</v>
      </c>
      <c r="B131" s="5" t="s">
        <v>396</v>
      </c>
      <c r="C131" s="2" t="s">
        <v>488</v>
      </c>
      <c r="D131" s="32"/>
      <c r="E131" s="35" t="s">
        <v>455</v>
      </c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24">
        <f>SUM(Tabla1[[#This Row],[ENERO ]:[DICIEMBRE]])</f>
        <v>0</v>
      </c>
      <c r="W131">
        <v>9</v>
      </c>
      <c r="X131" s="21">
        <f>COUNTIF(Tabla1[[#This Row],[ENERO ]:[DICIEMBRE]],0)-(AS131)-IF(Tabla1[[#This Row],[BAJAS]]="BAJA",IF(Tabla1[[#This Row],[ALTAS]]="ALTA",VLOOKUP(Tabla1[[#This Row],[MES DE ALTA ]],$AW$6:$AX$17,2,FALSE),12)-VLOOKUP(Tabla1[[#This Row],[MES DE BAJA ]],$AW$6:$AX$17,2,FALSE),0)</f>
        <v>0</v>
      </c>
      <c r="Y131" s="68">
        <f>SUM(Tabla1[[#This Row],[MES ADEUDO DE AÑOS PASADOS ]:[MESES DE ADEUDO DEL AÑO EN CURSO ]])-Tabla1[[#This Row],[PAGO DE DEUDA ANTERIOR EN MESES]]</f>
        <v>9</v>
      </c>
      <c r="Z131" s="15">
        <f>Tabla1[[#This Row],[MES ADEUDO DE AÑOS PASADOS ]]*$T$2</f>
        <v>405</v>
      </c>
      <c r="AA131" s="15">
        <f>Tabla1[[#This Row],[MESES DE ADEUDO DEL AÑO EN CURSO ]]*$T$2</f>
        <v>0</v>
      </c>
      <c r="AB131" s="69">
        <f>SUM(Tabla1[[#This Row],[DEUDA DE LOS MESES PASADOS EN $$]:[DEUDA DEL AÑO 2013 $$ ]])</f>
        <v>405</v>
      </c>
      <c r="AD131">
        <f>Tabla1[[#This Row],[PAGO DE DEUDA ANTERIOR EN MESES]]*$T$2</f>
        <v>0</v>
      </c>
      <c r="AG131" s="100">
        <f>IF(Tabla1[[#This Row],[TIPO DE CONSUMIDOR]]="MEDIO",IF(Tabla1[[#This Row],[ENERO ]]&gt;22.5,Tabla1[[#This Row],[ENERO ]]/22.5-1,0),IF(Tabla1[[#This Row],[ENERO ]]&gt;45,Tabla1[[#This Row],[ENERO ]]/45-1,0))</f>
        <v>0</v>
      </c>
      <c r="AH13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1" s="100">
        <f>IF(Tabla1[[#This Row],[TIPO DE CONSUMIDOR]]="MEDIO",IF(Tabla1[[#This Row],[MARZO]]&gt;22.5,Tabla1[[#This Row],[MARZO]]/22.5-1,0),IF(Tabla1[[#This Row],[MARZO]]&gt;45,Tabla1[[#This Row],[MARZO]]/45-1,0))</f>
        <v>0</v>
      </c>
      <c r="AJ131" s="100">
        <f>IF(Tabla1[[#This Row],[TIPO DE CONSUMIDOR]]="MEDIO",IF(Tabla1[[#This Row],[ABRIL]]&gt;22.5,Tabla1[[#This Row],[ABRIL]]/22.5-1,0),IF(Tabla1[[#This Row],[ABRIL]]&gt;45,Tabla1[[#This Row],[ABRIL]]/45-1,0))</f>
        <v>0</v>
      </c>
      <c r="AK131" s="100">
        <f>IF(Tabla1[[#This Row],[TIPO DE CONSUMIDOR]]="MEDIO",IF(Tabla1[[#This Row],[MAYO ]]&gt;22.5,Tabla1[[#This Row],[MAYO ]]/22.5-1,0),IF(Tabla1[[#This Row],[MAYO ]]&gt;45,Tabla1[[#This Row],[MAYO ]]/45-1,0))</f>
        <v>0</v>
      </c>
      <c r="AL131" s="100">
        <f>IF(Tabla1[[#This Row],[TIPO DE CONSUMIDOR]]="MEDIO",IF(Tabla1[[#This Row],[JUNIO ]]&gt;22.5,Tabla1[[#This Row],[JUNIO ]]/22.5-1,0),IF(Tabla1[[#This Row],[JUNIO ]]&gt;45,Tabla1[[#This Row],[JUNIO ]]/45-1,0))</f>
        <v>0</v>
      </c>
      <c r="AM131" s="100">
        <f>IF(Tabla1[[#This Row],[TIPO DE CONSUMIDOR]]="MEDIO",IF(Tabla1[[#This Row],[JULIO ]]&gt;22.5,Tabla1[[#This Row],[JULIO ]]/22.5-1,0),IF(Tabla1[[#This Row],[JULIO ]]&gt;45,Tabla1[[#This Row],[JULIO ]]/45-1,0))</f>
        <v>0</v>
      </c>
      <c r="AN131" s="100">
        <f>IF(Tabla1[[#This Row],[TIPO DE CONSUMIDOR]]="MEDIO",IF(Tabla1[[#This Row],[AGOSTO]]&gt;22.5,Tabla1[[#This Row],[AGOSTO]]/22.5-1,0),IF(Tabla1[[#This Row],[AGOSTO]]&gt;45,Tabla1[[#This Row],[AGOSTO]]/45-1,0))</f>
        <v>0</v>
      </c>
      <c r="AO13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1" s="101">
        <f t="shared" si="3"/>
        <v>0</v>
      </c>
      <c r="AT131">
        <f>IF(Tabla1[[#This Row],[MES ADEUDO DE AÑOS PASADOS ]]&gt;0,1,0)</f>
        <v>1</v>
      </c>
      <c r="AU131" s="9">
        <f t="shared" si="4"/>
        <v>1</v>
      </c>
      <c r="AV131" s="60">
        <f>IF(Tabla1[[#This Row],[MESES DE ADEUDO DEL AÑO EN CURSO ]]&gt;0,1,0)</f>
        <v>0</v>
      </c>
      <c r="AW131" s="42"/>
      <c r="AX131" s="42"/>
      <c r="AY131" s="42"/>
      <c r="AZ131" s="43"/>
    </row>
    <row r="132" spans="1:52" ht="21.75" thickBot="1" x14ac:dyDescent="0.35">
      <c r="A132" s="106">
        <v>126</v>
      </c>
      <c r="B132" s="5" t="s">
        <v>127</v>
      </c>
      <c r="C132" s="2" t="s">
        <v>488</v>
      </c>
      <c r="D132" s="32"/>
      <c r="E132" s="35" t="s">
        <v>455</v>
      </c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24">
        <f>SUM(Tabla1[[#This Row],[ENERO ]:[DICIEMBRE]])</f>
        <v>0</v>
      </c>
      <c r="W132">
        <v>12</v>
      </c>
      <c r="X132" s="21">
        <f>COUNTIF(Tabla1[[#This Row],[ENERO ]:[DICIEMBRE]],0)-(AS132)-IF(Tabla1[[#This Row],[BAJAS]]="BAJA",IF(Tabla1[[#This Row],[ALTAS]]="ALTA",VLOOKUP(Tabla1[[#This Row],[MES DE ALTA ]],$AW$6:$AX$17,2,FALSE),12)-VLOOKUP(Tabla1[[#This Row],[MES DE BAJA ]],$AW$6:$AX$17,2,FALSE),0)</f>
        <v>0</v>
      </c>
      <c r="Y132" s="68">
        <f>SUM(Tabla1[[#This Row],[MES ADEUDO DE AÑOS PASADOS ]:[MESES DE ADEUDO DEL AÑO EN CURSO ]])-Tabla1[[#This Row],[PAGO DE DEUDA ANTERIOR EN MESES]]</f>
        <v>12</v>
      </c>
      <c r="Z132" s="15">
        <f>Tabla1[[#This Row],[MES ADEUDO DE AÑOS PASADOS ]]*$T$2</f>
        <v>540</v>
      </c>
      <c r="AA132" s="15">
        <f>Tabla1[[#This Row],[MESES DE ADEUDO DEL AÑO EN CURSO ]]*$T$2</f>
        <v>0</v>
      </c>
      <c r="AB132" s="69">
        <f>SUM(Tabla1[[#This Row],[DEUDA DE LOS MESES PASADOS EN $$]:[DEUDA DEL AÑO 2013 $$ ]])</f>
        <v>540</v>
      </c>
      <c r="AD132">
        <f>Tabla1[[#This Row],[PAGO DE DEUDA ANTERIOR EN MESES]]*$T$2</f>
        <v>0</v>
      </c>
      <c r="AG132" s="100">
        <f>IF(Tabla1[[#This Row],[TIPO DE CONSUMIDOR]]="MEDIO",IF(Tabla1[[#This Row],[ENERO ]]&gt;22.5,Tabla1[[#This Row],[ENERO ]]/22.5-1,0),IF(Tabla1[[#This Row],[ENERO ]]&gt;45,Tabla1[[#This Row],[ENERO ]]/45-1,0))</f>
        <v>0</v>
      </c>
      <c r="AH13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2" s="100">
        <f>IF(Tabla1[[#This Row],[TIPO DE CONSUMIDOR]]="MEDIO",IF(Tabla1[[#This Row],[MARZO]]&gt;22.5,Tabla1[[#This Row],[MARZO]]/22.5-1,0),IF(Tabla1[[#This Row],[MARZO]]&gt;45,Tabla1[[#This Row],[MARZO]]/45-1,0))</f>
        <v>0</v>
      </c>
      <c r="AJ132" s="100">
        <f>IF(Tabla1[[#This Row],[TIPO DE CONSUMIDOR]]="MEDIO",IF(Tabla1[[#This Row],[ABRIL]]&gt;22.5,Tabla1[[#This Row],[ABRIL]]/22.5-1,0),IF(Tabla1[[#This Row],[ABRIL]]&gt;45,Tabla1[[#This Row],[ABRIL]]/45-1,0))</f>
        <v>0</v>
      </c>
      <c r="AK132" s="100">
        <f>IF(Tabla1[[#This Row],[TIPO DE CONSUMIDOR]]="MEDIO",IF(Tabla1[[#This Row],[MAYO ]]&gt;22.5,Tabla1[[#This Row],[MAYO ]]/22.5-1,0),IF(Tabla1[[#This Row],[MAYO ]]&gt;45,Tabla1[[#This Row],[MAYO ]]/45-1,0))</f>
        <v>0</v>
      </c>
      <c r="AL132" s="100">
        <f>IF(Tabla1[[#This Row],[TIPO DE CONSUMIDOR]]="MEDIO",IF(Tabla1[[#This Row],[JUNIO ]]&gt;22.5,Tabla1[[#This Row],[JUNIO ]]/22.5-1,0),IF(Tabla1[[#This Row],[JUNIO ]]&gt;45,Tabla1[[#This Row],[JUNIO ]]/45-1,0))</f>
        <v>0</v>
      </c>
      <c r="AM132" s="100">
        <f>IF(Tabla1[[#This Row],[TIPO DE CONSUMIDOR]]="MEDIO",IF(Tabla1[[#This Row],[JULIO ]]&gt;22.5,Tabla1[[#This Row],[JULIO ]]/22.5-1,0),IF(Tabla1[[#This Row],[JULIO ]]&gt;45,Tabla1[[#This Row],[JULIO ]]/45-1,0))</f>
        <v>0</v>
      </c>
      <c r="AN132" s="100">
        <f>IF(Tabla1[[#This Row],[TIPO DE CONSUMIDOR]]="MEDIO",IF(Tabla1[[#This Row],[AGOSTO]]&gt;22.5,Tabla1[[#This Row],[AGOSTO]]/22.5-1,0),IF(Tabla1[[#This Row],[AGOSTO]]&gt;45,Tabla1[[#This Row],[AGOSTO]]/45-1,0))</f>
        <v>0</v>
      </c>
      <c r="AO13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2" s="101">
        <f t="shared" si="3"/>
        <v>0</v>
      </c>
      <c r="AT132">
        <f>IF(Tabla1[[#This Row],[MES ADEUDO DE AÑOS PASADOS ]]&gt;0,1,0)</f>
        <v>1</v>
      </c>
      <c r="AU132" s="9">
        <f t="shared" si="4"/>
        <v>1</v>
      </c>
      <c r="AV132" s="60">
        <f>IF(Tabla1[[#This Row],[MESES DE ADEUDO DEL AÑO EN CURSO ]]&gt;0,1,0)</f>
        <v>0</v>
      </c>
      <c r="AW132" s="42"/>
      <c r="AX132" s="42"/>
      <c r="AY132" s="42"/>
      <c r="AZ132" s="43"/>
    </row>
    <row r="133" spans="1:52" ht="21.75" thickBot="1" x14ac:dyDescent="0.35">
      <c r="A133" s="106">
        <v>127</v>
      </c>
      <c r="B133" s="5" t="s">
        <v>182</v>
      </c>
      <c r="C133" s="2" t="s">
        <v>488</v>
      </c>
      <c r="D133" s="32"/>
      <c r="E133" s="35" t="s">
        <v>455</v>
      </c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24">
        <f>SUM(Tabla1[[#This Row],[ENERO ]:[DICIEMBRE]])</f>
        <v>0</v>
      </c>
      <c r="W133">
        <v>16</v>
      </c>
      <c r="X133" s="21">
        <f>COUNTIF(Tabla1[[#This Row],[ENERO ]:[DICIEMBRE]],0)-(AS133)-IF(Tabla1[[#This Row],[BAJAS]]="BAJA",IF(Tabla1[[#This Row],[ALTAS]]="ALTA",VLOOKUP(Tabla1[[#This Row],[MES DE ALTA ]],$AW$6:$AX$17,2,FALSE),12)-VLOOKUP(Tabla1[[#This Row],[MES DE BAJA ]],$AW$6:$AX$17,2,FALSE),0)</f>
        <v>0</v>
      </c>
      <c r="Y133" s="68">
        <f>SUM(Tabla1[[#This Row],[MES ADEUDO DE AÑOS PASADOS ]:[MESES DE ADEUDO DEL AÑO EN CURSO ]])-Tabla1[[#This Row],[PAGO DE DEUDA ANTERIOR EN MESES]]</f>
        <v>16</v>
      </c>
      <c r="Z133" s="15">
        <f>Tabla1[[#This Row],[MES ADEUDO DE AÑOS PASADOS ]]*$T$2</f>
        <v>720</v>
      </c>
      <c r="AA133" s="15">
        <f>Tabla1[[#This Row],[MESES DE ADEUDO DEL AÑO EN CURSO ]]*$T$2</f>
        <v>0</v>
      </c>
      <c r="AB133" s="69">
        <f>SUM(Tabla1[[#This Row],[DEUDA DE LOS MESES PASADOS EN $$]:[DEUDA DEL AÑO 2013 $$ ]])</f>
        <v>720</v>
      </c>
      <c r="AD133">
        <f>Tabla1[[#This Row],[PAGO DE DEUDA ANTERIOR EN MESES]]*$T$2</f>
        <v>0</v>
      </c>
      <c r="AG133" s="100">
        <f>IF(Tabla1[[#This Row],[TIPO DE CONSUMIDOR]]="MEDIO",IF(Tabla1[[#This Row],[ENERO ]]&gt;22.5,Tabla1[[#This Row],[ENERO ]]/22.5-1,0),IF(Tabla1[[#This Row],[ENERO ]]&gt;45,Tabla1[[#This Row],[ENERO ]]/45-1,0))</f>
        <v>0</v>
      </c>
      <c r="AH13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3" s="100">
        <f>IF(Tabla1[[#This Row],[TIPO DE CONSUMIDOR]]="MEDIO",IF(Tabla1[[#This Row],[MARZO]]&gt;22.5,Tabla1[[#This Row],[MARZO]]/22.5-1,0),IF(Tabla1[[#This Row],[MARZO]]&gt;45,Tabla1[[#This Row],[MARZO]]/45-1,0))</f>
        <v>0</v>
      </c>
      <c r="AJ133" s="100">
        <f>IF(Tabla1[[#This Row],[TIPO DE CONSUMIDOR]]="MEDIO",IF(Tabla1[[#This Row],[ABRIL]]&gt;22.5,Tabla1[[#This Row],[ABRIL]]/22.5-1,0),IF(Tabla1[[#This Row],[ABRIL]]&gt;45,Tabla1[[#This Row],[ABRIL]]/45-1,0))</f>
        <v>0</v>
      </c>
      <c r="AK133" s="100">
        <f>IF(Tabla1[[#This Row],[TIPO DE CONSUMIDOR]]="MEDIO",IF(Tabla1[[#This Row],[MAYO ]]&gt;22.5,Tabla1[[#This Row],[MAYO ]]/22.5-1,0),IF(Tabla1[[#This Row],[MAYO ]]&gt;45,Tabla1[[#This Row],[MAYO ]]/45-1,0))</f>
        <v>0</v>
      </c>
      <c r="AL133" s="100">
        <f>IF(Tabla1[[#This Row],[TIPO DE CONSUMIDOR]]="MEDIO",IF(Tabla1[[#This Row],[JUNIO ]]&gt;22.5,Tabla1[[#This Row],[JUNIO ]]/22.5-1,0),IF(Tabla1[[#This Row],[JUNIO ]]&gt;45,Tabla1[[#This Row],[JUNIO ]]/45-1,0))</f>
        <v>0</v>
      </c>
      <c r="AM133" s="100">
        <f>IF(Tabla1[[#This Row],[TIPO DE CONSUMIDOR]]="MEDIO",IF(Tabla1[[#This Row],[JULIO ]]&gt;22.5,Tabla1[[#This Row],[JULIO ]]/22.5-1,0),IF(Tabla1[[#This Row],[JULIO ]]&gt;45,Tabla1[[#This Row],[JULIO ]]/45-1,0))</f>
        <v>0</v>
      </c>
      <c r="AN133" s="100">
        <f>IF(Tabla1[[#This Row],[TIPO DE CONSUMIDOR]]="MEDIO",IF(Tabla1[[#This Row],[AGOSTO]]&gt;22.5,Tabla1[[#This Row],[AGOSTO]]/22.5-1,0),IF(Tabla1[[#This Row],[AGOSTO]]&gt;45,Tabla1[[#This Row],[AGOSTO]]/45-1,0))</f>
        <v>0</v>
      </c>
      <c r="AO13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3" s="101">
        <f t="shared" si="3"/>
        <v>0</v>
      </c>
      <c r="AT133">
        <f>IF(Tabla1[[#This Row],[MES ADEUDO DE AÑOS PASADOS ]]&gt;0,1,0)</f>
        <v>1</v>
      </c>
      <c r="AU133" s="9">
        <f t="shared" si="4"/>
        <v>1</v>
      </c>
      <c r="AV133" s="60">
        <f>IF(Tabla1[[#This Row],[MESES DE ADEUDO DEL AÑO EN CURSO ]]&gt;0,1,0)</f>
        <v>0</v>
      </c>
      <c r="AW133" s="42"/>
      <c r="AX133" s="42"/>
      <c r="AY133" s="42"/>
      <c r="AZ133" s="43"/>
    </row>
    <row r="134" spans="1:52" ht="21.75" thickBot="1" x14ac:dyDescent="0.35">
      <c r="A134" s="106">
        <v>128</v>
      </c>
      <c r="B134" s="5" t="s">
        <v>203</v>
      </c>
      <c r="C134" s="2" t="s">
        <v>488</v>
      </c>
      <c r="D134" s="32"/>
      <c r="E134" s="35" t="s">
        <v>455</v>
      </c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24">
        <f>SUM(Tabla1[[#This Row],[ENERO ]:[DICIEMBRE]])</f>
        <v>0</v>
      </c>
      <c r="W134">
        <v>26</v>
      </c>
      <c r="X134" s="21">
        <f>COUNTIF(Tabla1[[#This Row],[ENERO ]:[DICIEMBRE]],0)-(AS134)-IF(Tabla1[[#This Row],[BAJAS]]="BAJA",IF(Tabla1[[#This Row],[ALTAS]]="ALTA",VLOOKUP(Tabla1[[#This Row],[MES DE ALTA ]],$AW$6:$AX$17,2,FALSE),12)-VLOOKUP(Tabla1[[#This Row],[MES DE BAJA ]],$AW$6:$AX$17,2,FALSE),0)</f>
        <v>0</v>
      </c>
      <c r="Y134" s="68">
        <f>SUM(Tabla1[[#This Row],[MES ADEUDO DE AÑOS PASADOS ]:[MESES DE ADEUDO DEL AÑO EN CURSO ]])-Tabla1[[#This Row],[PAGO DE DEUDA ANTERIOR EN MESES]]</f>
        <v>26</v>
      </c>
      <c r="Z134" s="15">
        <f>Tabla1[[#This Row],[MES ADEUDO DE AÑOS PASADOS ]]*$T$2</f>
        <v>1170</v>
      </c>
      <c r="AA134" s="15">
        <f>Tabla1[[#This Row],[MESES DE ADEUDO DEL AÑO EN CURSO ]]*$T$2</f>
        <v>0</v>
      </c>
      <c r="AB134" s="69">
        <f>SUM(Tabla1[[#This Row],[DEUDA DE LOS MESES PASADOS EN $$]:[DEUDA DEL AÑO 2013 $$ ]])</f>
        <v>1170</v>
      </c>
      <c r="AD134">
        <f>Tabla1[[#This Row],[PAGO DE DEUDA ANTERIOR EN MESES]]*$T$2</f>
        <v>0</v>
      </c>
      <c r="AG134" s="100">
        <f>IF(Tabla1[[#This Row],[TIPO DE CONSUMIDOR]]="MEDIO",IF(Tabla1[[#This Row],[ENERO ]]&gt;22.5,Tabla1[[#This Row],[ENERO ]]/22.5-1,0),IF(Tabla1[[#This Row],[ENERO ]]&gt;45,Tabla1[[#This Row],[ENERO ]]/45-1,0))</f>
        <v>0</v>
      </c>
      <c r="AH13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4" s="100">
        <f>IF(Tabla1[[#This Row],[TIPO DE CONSUMIDOR]]="MEDIO",IF(Tabla1[[#This Row],[MARZO]]&gt;22.5,Tabla1[[#This Row],[MARZO]]/22.5-1,0),IF(Tabla1[[#This Row],[MARZO]]&gt;45,Tabla1[[#This Row],[MARZO]]/45-1,0))</f>
        <v>0</v>
      </c>
      <c r="AJ134" s="100">
        <f>IF(Tabla1[[#This Row],[TIPO DE CONSUMIDOR]]="MEDIO",IF(Tabla1[[#This Row],[ABRIL]]&gt;22.5,Tabla1[[#This Row],[ABRIL]]/22.5-1,0),IF(Tabla1[[#This Row],[ABRIL]]&gt;45,Tabla1[[#This Row],[ABRIL]]/45-1,0))</f>
        <v>0</v>
      </c>
      <c r="AK134" s="100">
        <f>IF(Tabla1[[#This Row],[TIPO DE CONSUMIDOR]]="MEDIO",IF(Tabla1[[#This Row],[MAYO ]]&gt;22.5,Tabla1[[#This Row],[MAYO ]]/22.5-1,0),IF(Tabla1[[#This Row],[MAYO ]]&gt;45,Tabla1[[#This Row],[MAYO ]]/45-1,0))</f>
        <v>0</v>
      </c>
      <c r="AL134" s="100">
        <f>IF(Tabla1[[#This Row],[TIPO DE CONSUMIDOR]]="MEDIO",IF(Tabla1[[#This Row],[JUNIO ]]&gt;22.5,Tabla1[[#This Row],[JUNIO ]]/22.5-1,0),IF(Tabla1[[#This Row],[JUNIO ]]&gt;45,Tabla1[[#This Row],[JUNIO ]]/45-1,0))</f>
        <v>0</v>
      </c>
      <c r="AM134" s="100">
        <f>IF(Tabla1[[#This Row],[TIPO DE CONSUMIDOR]]="MEDIO",IF(Tabla1[[#This Row],[JULIO ]]&gt;22.5,Tabla1[[#This Row],[JULIO ]]/22.5-1,0),IF(Tabla1[[#This Row],[JULIO ]]&gt;45,Tabla1[[#This Row],[JULIO ]]/45-1,0))</f>
        <v>0</v>
      </c>
      <c r="AN134" s="100">
        <f>IF(Tabla1[[#This Row],[TIPO DE CONSUMIDOR]]="MEDIO",IF(Tabla1[[#This Row],[AGOSTO]]&gt;22.5,Tabla1[[#This Row],[AGOSTO]]/22.5-1,0),IF(Tabla1[[#This Row],[AGOSTO]]&gt;45,Tabla1[[#This Row],[AGOSTO]]/45-1,0))</f>
        <v>0</v>
      </c>
      <c r="AO13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4" s="101">
        <f t="shared" si="3"/>
        <v>0</v>
      </c>
      <c r="AT134">
        <f>IF(Tabla1[[#This Row],[MES ADEUDO DE AÑOS PASADOS ]]&gt;0,1,0)</f>
        <v>1</v>
      </c>
      <c r="AU134" s="9">
        <f t="shared" si="4"/>
        <v>1</v>
      </c>
      <c r="AV134" s="60">
        <f>IF(Tabla1[[#This Row],[MESES DE ADEUDO DEL AÑO EN CURSO ]]&gt;0,1,0)</f>
        <v>0</v>
      </c>
      <c r="AW134" s="42"/>
      <c r="AX134" s="42"/>
      <c r="AY134" s="42"/>
      <c r="AZ134" s="43"/>
    </row>
    <row r="135" spans="1:52" ht="21.75" thickBot="1" x14ac:dyDescent="0.35">
      <c r="A135" s="106">
        <v>129</v>
      </c>
      <c r="B135" s="5" t="s">
        <v>212</v>
      </c>
      <c r="C135" s="2" t="s">
        <v>492</v>
      </c>
      <c r="D135" s="32"/>
      <c r="E135" s="35" t="s">
        <v>455</v>
      </c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24">
        <f>SUM(Tabla1[[#This Row],[ENERO ]:[DICIEMBRE]])</f>
        <v>0</v>
      </c>
      <c r="W135">
        <v>1</v>
      </c>
      <c r="X135" s="21">
        <f>COUNTIF(Tabla1[[#This Row],[ENERO ]:[DICIEMBRE]],0)-(AS135)-IF(Tabla1[[#This Row],[BAJAS]]="BAJA",IF(Tabla1[[#This Row],[ALTAS]]="ALTA",VLOOKUP(Tabla1[[#This Row],[MES DE ALTA ]],$AW$6:$AX$17,2,FALSE),12)-VLOOKUP(Tabla1[[#This Row],[MES DE BAJA ]],$AW$6:$AX$17,2,FALSE),0)</f>
        <v>0</v>
      </c>
      <c r="Y135" s="68">
        <f>SUM(Tabla1[[#This Row],[MES ADEUDO DE AÑOS PASADOS ]:[MESES DE ADEUDO DEL AÑO EN CURSO ]])-Tabla1[[#This Row],[PAGO DE DEUDA ANTERIOR EN MESES]]</f>
        <v>1</v>
      </c>
      <c r="Z135" s="15">
        <f>Tabla1[[#This Row],[MES ADEUDO DE AÑOS PASADOS ]]*$T$2</f>
        <v>45</v>
      </c>
      <c r="AA135" s="15">
        <f>Tabla1[[#This Row],[MESES DE ADEUDO DEL AÑO EN CURSO ]]*$T$2</f>
        <v>0</v>
      </c>
      <c r="AB135" s="69">
        <f>SUM(Tabla1[[#This Row],[DEUDA DE LOS MESES PASADOS EN $$]:[DEUDA DEL AÑO 2013 $$ ]])</f>
        <v>45</v>
      </c>
      <c r="AD135">
        <f>Tabla1[[#This Row],[PAGO DE DEUDA ANTERIOR EN MESES]]*$T$2</f>
        <v>0</v>
      </c>
      <c r="AG135" s="100">
        <f>IF(Tabla1[[#This Row],[TIPO DE CONSUMIDOR]]="MEDIO",IF(Tabla1[[#This Row],[ENERO ]]&gt;22.5,Tabla1[[#This Row],[ENERO ]]/22.5-1,0),IF(Tabla1[[#This Row],[ENERO ]]&gt;45,Tabla1[[#This Row],[ENERO ]]/45-1,0))</f>
        <v>0</v>
      </c>
      <c r="AH13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5" s="100">
        <f>IF(Tabla1[[#This Row],[TIPO DE CONSUMIDOR]]="MEDIO",IF(Tabla1[[#This Row],[MARZO]]&gt;22.5,Tabla1[[#This Row],[MARZO]]/22.5-1,0),IF(Tabla1[[#This Row],[MARZO]]&gt;45,Tabla1[[#This Row],[MARZO]]/45-1,0))</f>
        <v>0</v>
      </c>
      <c r="AJ135" s="100">
        <f>IF(Tabla1[[#This Row],[TIPO DE CONSUMIDOR]]="MEDIO",IF(Tabla1[[#This Row],[ABRIL]]&gt;22.5,Tabla1[[#This Row],[ABRIL]]/22.5-1,0),IF(Tabla1[[#This Row],[ABRIL]]&gt;45,Tabla1[[#This Row],[ABRIL]]/45-1,0))</f>
        <v>0</v>
      </c>
      <c r="AK135" s="100">
        <f>IF(Tabla1[[#This Row],[TIPO DE CONSUMIDOR]]="MEDIO",IF(Tabla1[[#This Row],[MAYO ]]&gt;22.5,Tabla1[[#This Row],[MAYO ]]/22.5-1,0),IF(Tabla1[[#This Row],[MAYO ]]&gt;45,Tabla1[[#This Row],[MAYO ]]/45-1,0))</f>
        <v>0</v>
      </c>
      <c r="AL135" s="100">
        <f>IF(Tabla1[[#This Row],[TIPO DE CONSUMIDOR]]="MEDIO",IF(Tabla1[[#This Row],[JUNIO ]]&gt;22.5,Tabla1[[#This Row],[JUNIO ]]/22.5-1,0),IF(Tabla1[[#This Row],[JUNIO ]]&gt;45,Tabla1[[#This Row],[JUNIO ]]/45-1,0))</f>
        <v>0</v>
      </c>
      <c r="AM135" s="100">
        <f>IF(Tabla1[[#This Row],[TIPO DE CONSUMIDOR]]="MEDIO",IF(Tabla1[[#This Row],[JULIO ]]&gt;22.5,Tabla1[[#This Row],[JULIO ]]/22.5-1,0),IF(Tabla1[[#This Row],[JULIO ]]&gt;45,Tabla1[[#This Row],[JULIO ]]/45-1,0))</f>
        <v>0</v>
      </c>
      <c r="AN135" s="100">
        <f>IF(Tabla1[[#This Row],[TIPO DE CONSUMIDOR]]="MEDIO",IF(Tabla1[[#This Row],[AGOSTO]]&gt;22.5,Tabla1[[#This Row],[AGOSTO]]/22.5-1,0),IF(Tabla1[[#This Row],[AGOSTO]]&gt;45,Tabla1[[#This Row],[AGOSTO]]/45-1,0))</f>
        <v>0</v>
      </c>
      <c r="AO13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5" s="101">
        <f t="shared" ref="AS135:AS198" si="5">SUM(AG135:AR135)</f>
        <v>0</v>
      </c>
      <c r="AT135">
        <f>IF(Tabla1[[#This Row],[MES ADEUDO DE AÑOS PASADOS ]]&gt;0,1,0)</f>
        <v>1</v>
      </c>
      <c r="AU135" s="9">
        <f t="shared" ref="AU135:AU198" si="6">IF(Y135&gt;0,1,0)</f>
        <v>1</v>
      </c>
      <c r="AV135" s="60">
        <f>IF(Tabla1[[#This Row],[MESES DE ADEUDO DEL AÑO EN CURSO ]]&gt;0,1,0)</f>
        <v>0</v>
      </c>
      <c r="AW135" s="42"/>
      <c r="AX135" s="42"/>
      <c r="AY135" s="42"/>
      <c r="AZ135" s="43"/>
    </row>
    <row r="136" spans="1:52" ht="21.75" thickBot="1" x14ac:dyDescent="0.35">
      <c r="A136" s="106">
        <v>130</v>
      </c>
      <c r="B136" s="5" t="s">
        <v>491</v>
      </c>
      <c r="C136" s="2" t="s">
        <v>492</v>
      </c>
      <c r="D136" s="32"/>
      <c r="E136" s="35" t="s">
        <v>455</v>
      </c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24">
        <f>SUM(Tabla1[[#This Row],[ENERO ]:[DICIEMBRE]])</f>
        <v>0</v>
      </c>
      <c r="W136">
        <v>3</v>
      </c>
      <c r="X136" s="21">
        <f>COUNTIF(Tabla1[[#This Row],[ENERO ]:[DICIEMBRE]],0)-(AS136)-IF(Tabla1[[#This Row],[BAJAS]]="BAJA",IF(Tabla1[[#This Row],[ALTAS]]="ALTA",VLOOKUP(Tabla1[[#This Row],[MES DE ALTA ]],$AW$6:$AX$17,2,FALSE),12)-VLOOKUP(Tabla1[[#This Row],[MES DE BAJA ]],$AW$6:$AX$17,2,FALSE),0)</f>
        <v>0</v>
      </c>
      <c r="Y136" s="68">
        <f>SUM(Tabla1[[#This Row],[MES ADEUDO DE AÑOS PASADOS ]:[MESES DE ADEUDO DEL AÑO EN CURSO ]])-Tabla1[[#This Row],[PAGO DE DEUDA ANTERIOR EN MESES]]</f>
        <v>3</v>
      </c>
      <c r="Z136" s="15">
        <f>Tabla1[[#This Row],[MES ADEUDO DE AÑOS PASADOS ]]*$T$2</f>
        <v>135</v>
      </c>
      <c r="AA136" s="15">
        <f>Tabla1[[#This Row],[MESES DE ADEUDO DEL AÑO EN CURSO ]]*$T$2</f>
        <v>0</v>
      </c>
      <c r="AB136" s="69">
        <f>SUM(Tabla1[[#This Row],[DEUDA DE LOS MESES PASADOS EN $$]:[DEUDA DEL AÑO 2013 $$ ]])</f>
        <v>135</v>
      </c>
      <c r="AD136">
        <f>Tabla1[[#This Row],[PAGO DE DEUDA ANTERIOR EN MESES]]*$T$2</f>
        <v>0</v>
      </c>
      <c r="AG136" s="100">
        <f>IF(Tabla1[[#This Row],[TIPO DE CONSUMIDOR]]="MEDIO",IF(Tabla1[[#This Row],[ENERO ]]&gt;22.5,Tabla1[[#This Row],[ENERO ]]/22.5-1,0),IF(Tabla1[[#This Row],[ENERO ]]&gt;45,Tabla1[[#This Row],[ENERO ]]/45-1,0))</f>
        <v>0</v>
      </c>
      <c r="AH13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6" s="100">
        <f>IF(Tabla1[[#This Row],[TIPO DE CONSUMIDOR]]="MEDIO",IF(Tabla1[[#This Row],[MARZO]]&gt;22.5,Tabla1[[#This Row],[MARZO]]/22.5-1,0),IF(Tabla1[[#This Row],[MARZO]]&gt;45,Tabla1[[#This Row],[MARZO]]/45-1,0))</f>
        <v>0</v>
      </c>
      <c r="AJ136" s="100">
        <f>IF(Tabla1[[#This Row],[TIPO DE CONSUMIDOR]]="MEDIO",IF(Tabla1[[#This Row],[ABRIL]]&gt;22.5,Tabla1[[#This Row],[ABRIL]]/22.5-1,0),IF(Tabla1[[#This Row],[ABRIL]]&gt;45,Tabla1[[#This Row],[ABRIL]]/45-1,0))</f>
        <v>0</v>
      </c>
      <c r="AK136" s="100">
        <f>IF(Tabla1[[#This Row],[TIPO DE CONSUMIDOR]]="MEDIO",IF(Tabla1[[#This Row],[MAYO ]]&gt;22.5,Tabla1[[#This Row],[MAYO ]]/22.5-1,0),IF(Tabla1[[#This Row],[MAYO ]]&gt;45,Tabla1[[#This Row],[MAYO ]]/45-1,0))</f>
        <v>0</v>
      </c>
      <c r="AL136" s="100">
        <f>IF(Tabla1[[#This Row],[TIPO DE CONSUMIDOR]]="MEDIO",IF(Tabla1[[#This Row],[JUNIO ]]&gt;22.5,Tabla1[[#This Row],[JUNIO ]]/22.5-1,0),IF(Tabla1[[#This Row],[JUNIO ]]&gt;45,Tabla1[[#This Row],[JUNIO ]]/45-1,0))</f>
        <v>0</v>
      </c>
      <c r="AM136" s="100">
        <f>IF(Tabla1[[#This Row],[TIPO DE CONSUMIDOR]]="MEDIO",IF(Tabla1[[#This Row],[JULIO ]]&gt;22.5,Tabla1[[#This Row],[JULIO ]]/22.5-1,0),IF(Tabla1[[#This Row],[JULIO ]]&gt;45,Tabla1[[#This Row],[JULIO ]]/45-1,0))</f>
        <v>0</v>
      </c>
      <c r="AN136" s="100">
        <f>IF(Tabla1[[#This Row],[TIPO DE CONSUMIDOR]]="MEDIO",IF(Tabla1[[#This Row],[AGOSTO]]&gt;22.5,Tabla1[[#This Row],[AGOSTO]]/22.5-1,0),IF(Tabla1[[#This Row],[AGOSTO]]&gt;45,Tabla1[[#This Row],[AGOSTO]]/45-1,0))</f>
        <v>0</v>
      </c>
      <c r="AO13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6" s="101">
        <f t="shared" si="5"/>
        <v>0</v>
      </c>
      <c r="AT136">
        <f>IF(Tabla1[[#This Row],[MES ADEUDO DE AÑOS PASADOS ]]&gt;0,1,0)</f>
        <v>1</v>
      </c>
      <c r="AU136" s="9">
        <f t="shared" si="6"/>
        <v>1</v>
      </c>
      <c r="AV136" s="60">
        <f>IF(Tabla1[[#This Row],[MESES DE ADEUDO DEL AÑO EN CURSO ]]&gt;0,1,0)</f>
        <v>0</v>
      </c>
      <c r="AW136" s="42"/>
      <c r="AX136" s="42"/>
      <c r="AY136" s="42"/>
      <c r="AZ136" s="43"/>
    </row>
    <row r="137" spans="1:52" ht="21.75" thickBot="1" x14ac:dyDescent="0.35">
      <c r="A137" s="106">
        <v>131</v>
      </c>
      <c r="B137" s="5" t="s">
        <v>494</v>
      </c>
      <c r="C137" s="2" t="s">
        <v>493</v>
      </c>
      <c r="D137" s="32"/>
      <c r="E137" s="35" t="s">
        <v>455</v>
      </c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24">
        <f>SUM(Tabla1[[#This Row],[ENERO ]:[DICIEMBRE]])</f>
        <v>0</v>
      </c>
      <c r="W137">
        <v>0</v>
      </c>
      <c r="X137" s="21">
        <f>COUNTIF(Tabla1[[#This Row],[ENERO ]:[DICIEMBRE]],0)-(AS137)-IF(Tabla1[[#This Row],[BAJAS]]="BAJA",IF(Tabla1[[#This Row],[ALTAS]]="ALTA",VLOOKUP(Tabla1[[#This Row],[MES DE ALTA ]],$AW$6:$AX$17,2,FALSE),12)-VLOOKUP(Tabla1[[#This Row],[MES DE BAJA ]],$AW$6:$AX$17,2,FALSE),0)</f>
        <v>0</v>
      </c>
      <c r="Y137" s="68">
        <f>SUM(Tabla1[[#This Row],[MES ADEUDO DE AÑOS PASADOS ]:[MESES DE ADEUDO DEL AÑO EN CURSO ]])-Tabla1[[#This Row],[PAGO DE DEUDA ANTERIOR EN MESES]]</f>
        <v>0</v>
      </c>
      <c r="Z137" s="15">
        <f>Tabla1[[#This Row],[MES ADEUDO DE AÑOS PASADOS ]]*$T$2</f>
        <v>0</v>
      </c>
      <c r="AA137" s="15">
        <f>Tabla1[[#This Row],[MESES DE ADEUDO DEL AÑO EN CURSO ]]*$T$2</f>
        <v>0</v>
      </c>
      <c r="AB137" s="69">
        <f>SUM(Tabla1[[#This Row],[DEUDA DE LOS MESES PASADOS EN $$]:[DEUDA DEL AÑO 2013 $$ ]])</f>
        <v>0</v>
      </c>
      <c r="AD137">
        <f>Tabla1[[#This Row],[PAGO DE DEUDA ANTERIOR EN MESES]]*$T$2</f>
        <v>0</v>
      </c>
      <c r="AG137" s="100">
        <f>IF(Tabla1[[#This Row],[TIPO DE CONSUMIDOR]]="MEDIO",IF(Tabla1[[#This Row],[ENERO ]]&gt;22.5,Tabla1[[#This Row],[ENERO ]]/22.5-1,0),IF(Tabla1[[#This Row],[ENERO ]]&gt;45,Tabla1[[#This Row],[ENERO ]]/45-1,0))</f>
        <v>0</v>
      </c>
      <c r="AH13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7" s="100">
        <f>IF(Tabla1[[#This Row],[TIPO DE CONSUMIDOR]]="MEDIO",IF(Tabla1[[#This Row],[MARZO]]&gt;22.5,Tabla1[[#This Row],[MARZO]]/22.5-1,0),IF(Tabla1[[#This Row],[MARZO]]&gt;45,Tabla1[[#This Row],[MARZO]]/45-1,0))</f>
        <v>0</v>
      </c>
      <c r="AJ137" s="100">
        <f>IF(Tabla1[[#This Row],[TIPO DE CONSUMIDOR]]="MEDIO",IF(Tabla1[[#This Row],[ABRIL]]&gt;22.5,Tabla1[[#This Row],[ABRIL]]/22.5-1,0),IF(Tabla1[[#This Row],[ABRIL]]&gt;45,Tabla1[[#This Row],[ABRIL]]/45-1,0))</f>
        <v>0</v>
      </c>
      <c r="AK137" s="100">
        <f>IF(Tabla1[[#This Row],[TIPO DE CONSUMIDOR]]="MEDIO",IF(Tabla1[[#This Row],[MAYO ]]&gt;22.5,Tabla1[[#This Row],[MAYO ]]/22.5-1,0),IF(Tabla1[[#This Row],[MAYO ]]&gt;45,Tabla1[[#This Row],[MAYO ]]/45-1,0))</f>
        <v>0</v>
      </c>
      <c r="AL137" s="100">
        <f>IF(Tabla1[[#This Row],[TIPO DE CONSUMIDOR]]="MEDIO",IF(Tabla1[[#This Row],[JUNIO ]]&gt;22.5,Tabla1[[#This Row],[JUNIO ]]/22.5-1,0),IF(Tabla1[[#This Row],[JUNIO ]]&gt;45,Tabla1[[#This Row],[JUNIO ]]/45-1,0))</f>
        <v>0</v>
      </c>
      <c r="AM137" s="100">
        <f>IF(Tabla1[[#This Row],[TIPO DE CONSUMIDOR]]="MEDIO",IF(Tabla1[[#This Row],[JULIO ]]&gt;22.5,Tabla1[[#This Row],[JULIO ]]/22.5-1,0),IF(Tabla1[[#This Row],[JULIO ]]&gt;45,Tabla1[[#This Row],[JULIO ]]/45-1,0))</f>
        <v>0</v>
      </c>
      <c r="AN137" s="100">
        <f>IF(Tabla1[[#This Row],[TIPO DE CONSUMIDOR]]="MEDIO",IF(Tabla1[[#This Row],[AGOSTO]]&gt;22.5,Tabla1[[#This Row],[AGOSTO]]/22.5-1,0),IF(Tabla1[[#This Row],[AGOSTO]]&gt;45,Tabla1[[#This Row],[AGOSTO]]/45-1,0))</f>
        <v>0</v>
      </c>
      <c r="AO13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7" s="101">
        <f t="shared" si="5"/>
        <v>0</v>
      </c>
      <c r="AT137">
        <f>IF(Tabla1[[#This Row],[MES ADEUDO DE AÑOS PASADOS ]]&gt;0,1,0)</f>
        <v>0</v>
      </c>
      <c r="AU137" s="9">
        <f t="shared" si="6"/>
        <v>0</v>
      </c>
      <c r="AV137" s="60">
        <f>IF(Tabla1[[#This Row],[MESES DE ADEUDO DEL AÑO EN CURSO ]]&gt;0,1,0)</f>
        <v>0</v>
      </c>
      <c r="AW137" s="42"/>
      <c r="AX137" s="42"/>
      <c r="AY137" s="42"/>
      <c r="AZ137" s="43"/>
    </row>
    <row r="138" spans="1:52" ht="21.75" thickBot="1" x14ac:dyDescent="0.35">
      <c r="A138" s="106">
        <v>132</v>
      </c>
      <c r="B138" s="5" t="s">
        <v>187</v>
      </c>
      <c r="C138" s="2" t="s">
        <v>493</v>
      </c>
      <c r="D138" s="32"/>
      <c r="E138" s="35" t="s">
        <v>455</v>
      </c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24">
        <f>SUM(Tabla1[[#This Row],[ENERO ]:[DICIEMBRE]])</f>
        <v>0</v>
      </c>
      <c r="W138">
        <v>0</v>
      </c>
      <c r="X138" s="21">
        <f>COUNTIF(Tabla1[[#This Row],[ENERO ]:[DICIEMBRE]],0)-(AS138)-IF(Tabla1[[#This Row],[BAJAS]]="BAJA",IF(Tabla1[[#This Row],[ALTAS]]="ALTA",VLOOKUP(Tabla1[[#This Row],[MES DE ALTA ]],$AW$6:$AX$17,2,FALSE),12)-VLOOKUP(Tabla1[[#This Row],[MES DE BAJA ]],$AW$6:$AX$17,2,FALSE),0)</f>
        <v>0</v>
      </c>
      <c r="Y138" s="68">
        <f>SUM(Tabla1[[#This Row],[MES ADEUDO DE AÑOS PASADOS ]:[MESES DE ADEUDO DEL AÑO EN CURSO ]])-Tabla1[[#This Row],[PAGO DE DEUDA ANTERIOR EN MESES]]</f>
        <v>0</v>
      </c>
      <c r="Z138" s="15">
        <f>Tabla1[[#This Row],[MES ADEUDO DE AÑOS PASADOS ]]*$T$2</f>
        <v>0</v>
      </c>
      <c r="AA138" s="15">
        <f>Tabla1[[#This Row],[MESES DE ADEUDO DEL AÑO EN CURSO ]]*$T$2</f>
        <v>0</v>
      </c>
      <c r="AB138" s="69">
        <f>SUM(Tabla1[[#This Row],[DEUDA DE LOS MESES PASADOS EN $$]:[DEUDA DEL AÑO 2013 $$ ]])</f>
        <v>0</v>
      </c>
      <c r="AD138">
        <f>Tabla1[[#This Row],[PAGO DE DEUDA ANTERIOR EN MESES]]*$T$2</f>
        <v>0</v>
      </c>
      <c r="AG138" s="100">
        <f>IF(Tabla1[[#This Row],[TIPO DE CONSUMIDOR]]="MEDIO",IF(Tabla1[[#This Row],[ENERO ]]&gt;22.5,Tabla1[[#This Row],[ENERO ]]/22.5-1,0),IF(Tabla1[[#This Row],[ENERO ]]&gt;45,Tabla1[[#This Row],[ENERO ]]/45-1,0))</f>
        <v>0</v>
      </c>
      <c r="AH13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8" s="100">
        <f>IF(Tabla1[[#This Row],[TIPO DE CONSUMIDOR]]="MEDIO",IF(Tabla1[[#This Row],[MARZO]]&gt;22.5,Tabla1[[#This Row],[MARZO]]/22.5-1,0),IF(Tabla1[[#This Row],[MARZO]]&gt;45,Tabla1[[#This Row],[MARZO]]/45-1,0))</f>
        <v>0</v>
      </c>
      <c r="AJ138" s="100">
        <f>IF(Tabla1[[#This Row],[TIPO DE CONSUMIDOR]]="MEDIO",IF(Tabla1[[#This Row],[ABRIL]]&gt;22.5,Tabla1[[#This Row],[ABRIL]]/22.5-1,0),IF(Tabla1[[#This Row],[ABRIL]]&gt;45,Tabla1[[#This Row],[ABRIL]]/45-1,0))</f>
        <v>0</v>
      </c>
      <c r="AK138" s="100">
        <f>IF(Tabla1[[#This Row],[TIPO DE CONSUMIDOR]]="MEDIO",IF(Tabla1[[#This Row],[MAYO ]]&gt;22.5,Tabla1[[#This Row],[MAYO ]]/22.5-1,0),IF(Tabla1[[#This Row],[MAYO ]]&gt;45,Tabla1[[#This Row],[MAYO ]]/45-1,0))</f>
        <v>0</v>
      </c>
      <c r="AL138" s="100">
        <f>IF(Tabla1[[#This Row],[TIPO DE CONSUMIDOR]]="MEDIO",IF(Tabla1[[#This Row],[JUNIO ]]&gt;22.5,Tabla1[[#This Row],[JUNIO ]]/22.5-1,0),IF(Tabla1[[#This Row],[JUNIO ]]&gt;45,Tabla1[[#This Row],[JUNIO ]]/45-1,0))</f>
        <v>0</v>
      </c>
      <c r="AM138" s="100">
        <f>IF(Tabla1[[#This Row],[TIPO DE CONSUMIDOR]]="MEDIO",IF(Tabla1[[#This Row],[JULIO ]]&gt;22.5,Tabla1[[#This Row],[JULIO ]]/22.5-1,0),IF(Tabla1[[#This Row],[JULIO ]]&gt;45,Tabla1[[#This Row],[JULIO ]]/45-1,0))</f>
        <v>0</v>
      </c>
      <c r="AN138" s="100">
        <f>IF(Tabla1[[#This Row],[TIPO DE CONSUMIDOR]]="MEDIO",IF(Tabla1[[#This Row],[AGOSTO]]&gt;22.5,Tabla1[[#This Row],[AGOSTO]]/22.5-1,0),IF(Tabla1[[#This Row],[AGOSTO]]&gt;45,Tabla1[[#This Row],[AGOSTO]]/45-1,0))</f>
        <v>0</v>
      </c>
      <c r="AO13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8" s="101">
        <f t="shared" si="5"/>
        <v>0</v>
      </c>
      <c r="AT138">
        <f>IF(Tabla1[[#This Row],[MES ADEUDO DE AÑOS PASADOS ]]&gt;0,1,0)</f>
        <v>0</v>
      </c>
      <c r="AU138" s="9">
        <f t="shared" si="6"/>
        <v>0</v>
      </c>
      <c r="AV138" s="60">
        <f>IF(Tabla1[[#This Row],[MESES DE ADEUDO DEL AÑO EN CURSO ]]&gt;0,1,0)</f>
        <v>0</v>
      </c>
      <c r="AW138" s="42"/>
      <c r="AX138" s="42"/>
      <c r="AY138" s="42"/>
      <c r="AZ138" s="43"/>
    </row>
    <row r="139" spans="1:52" ht="21.75" thickBot="1" x14ac:dyDescent="0.35">
      <c r="A139" s="106">
        <v>133</v>
      </c>
      <c r="B139" s="5" t="s">
        <v>172</v>
      </c>
      <c r="C139" s="2" t="s">
        <v>493</v>
      </c>
      <c r="D139" s="32"/>
      <c r="E139" s="35" t="s">
        <v>455</v>
      </c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24">
        <f>SUM(Tabla1[[#This Row],[ENERO ]:[DICIEMBRE]])</f>
        <v>0</v>
      </c>
      <c r="W139">
        <v>0</v>
      </c>
      <c r="X139" s="21">
        <f>COUNTIF(Tabla1[[#This Row],[ENERO ]:[DICIEMBRE]],0)-(AS139)-IF(Tabla1[[#This Row],[BAJAS]]="BAJA",IF(Tabla1[[#This Row],[ALTAS]]="ALTA",VLOOKUP(Tabla1[[#This Row],[MES DE ALTA ]],$AW$6:$AX$17,2,FALSE),12)-VLOOKUP(Tabla1[[#This Row],[MES DE BAJA ]],$AW$6:$AX$17,2,FALSE),0)</f>
        <v>0</v>
      </c>
      <c r="Y139" s="68">
        <f>SUM(Tabla1[[#This Row],[MES ADEUDO DE AÑOS PASADOS ]:[MESES DE ADEUDO DEL AÑO EN CURSO ]])-Tabla1[[#This Row],[PAGO DE DEUDA ANTERIOR EN MESES]]</f>
        <v>0</v>
      </c>
      <c r="Z139" s="15">
        <f>Tabla1[[#This Row],[MES ADEUDO DE AÑOS PASADOS ]]*$T$2</f>
        <v>0</v>
      </c>
      <c r="AA139" s="15">
        <f>Tabla1[[#This Row],[MESES DE ADEUDO DEL AÑO EN CURSO ]]*$T$2</f>
        <v>0</v>
      </c>
      <c r="AB139" s="69">
        <f>SUM(Tabla1[[#This Row],[DEUDA DE LOS MESES PASADOS EN $$]:[DEUDA DEL AÑO 2013 $$ ]])</f>
        <v>0</v>
      </c>
      <c r="AD139">
        <f>Tabla1[[#This Row],[PAGO DE DEUDA ANTERIOR EN MESES]]*$T$2</f>
        <v>0</v>
      </c>
      <c r="AG139" s="100">
        <f>IF(Tabla1[[#This Row],[TIPO DE CONSUMIDOR]]="MEDIO",IF(Tabla1[[#This Row],[ENERO ]]&gt;22.5,Tabla1[[#This Row],[ENERO ]]/22.5-1,0),IF(Tabla1[[#This Row],[ENERO ]]&gt;45,Tabla1[[#This Row],[ENERO ]]/45-1,0))</f>
        <v>0</v>
      </c>
      <c r="AH13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39" s="100">
        <f>IF(Tabla1[[#This Row],[TIPO DE CONSUMIDOR]]="MEDIO",IF(Tabla1[[#This Row],[MARZO]]&gt;22.5,Tabla1[[#This Row],[MARZO]]/22.5-1,0),IF(Tabla1[[#This Row],[MARZO]]&gt;45,Tabla1[[#This Row],[MARZO]]/45-1,0))</f>
        <v>0</v>
      </c>
      <c r="AJ139" s="100">
        <f>IF(Tabla1[[#This Row],[TIPO DE CONSUMIDOR]]="MEDIO",IF(Tabla1[[#This Row],[ABRIL]]&gt;22.5,Tabla1[[#This Row],[ABRIL]]/22.5-1,0),IF(Tabla1[[#This Row],[ABRIL]]&gt;45,Tabla1[[#This Row],[ABRIL]]/45-1,0))</f>
        <v>0</v>
      </c>
      <c r="AK139" s="100">
        <f>IF(Tabla1[[#This Row],[TIPO DE CONSUMIDOR]]="MEDIO",IF(Tabla1[[#This Row],[MAYO ]]&gt;22.5,Tabla1[[#This Row],[MAYO ]]/22.5-1,0),IF(Tabla1[[#This Row],[MAYO ]]&gt;45,Tabla1[[#This Row],[MAYO ]]/45-1,0))</f>
        <v>0</v>
      </c>
      <c r="AL139" s="100">
        <f>IF(Tabla1[[#This Row],[TIPO DE CONSUMIDOR]]="MEDIO",IF(Tabla1[[#This Row],[JUNIO ]]&gt;22.5,Tabla1[[#This Row],[JUNIO ]]/22.5-1,0),IF(Tabla1[[#This Row],[JUNIO ]]&gt;45,Tabla1[[#This Row],[JUNIO ]]/45-1,0))</f>
        <v>0</v>
      </c>
      <c r="AM139" s="100">
        <f>IF(Tabla1[[#This Row],[TIPO DE CONSUMIDOR]]="MEDIO",IF(Tabla1[[#This Row],[JULIO ]]&gt;22.5,Tabla1[[#This Row],[JULIO ]]/22.5-1,0),IF(Tabla1[[#This Row],[JULIO ]]&gt;45,Tabla1[[#This Row],[JULIO ]]/45-1,0))</f>
        <v>0</v>
      </c>
      <c r="AN139" s="100">
        <f>IF(Tabla1[[#This Row],[TIPO DE CONSUMIDOR]]="MEDIO",IF(Tabla1[[#This Row],[AGOSTO]]&gt;22.5,Tabla1[[#This Row],[AGOSTO]]/22.5-1,0),IF(Tabla1[[#This Row],[AGOSTO]]&gt;45,Tabla1[[#This Row],[AGOSTO]]/45-1,0))</f>
        <v>0</v>
      </c>
      <c r="AO13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3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3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3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39" s="101">
        <f t="shared" si="5"/>
        <v>0</v>
      </c>
      <c r="AT139">
        <f>IF(Tabla1[[#This Row],[MES ADEUDO DE AÑOS PASADOS ]]&gt;0,1,0)</f>
        <v>0</v>
      </c>
      <c r="AU139" s="9">
        <f t="shared" si="6"/>
        <v>0</v>
      </c>
      <c r="AV139" s="60">
        <f>IF(Tabla1[[#This Row],[MESES DE ADEUDO DEL AÑO EN CURSO ]]&gt;0,1,0)</f>
        <v>0</v>
      </c>
      <c r="AW139" s="42"/>
      <c r="AX139" s="42"/>
      <c r="AY139" s="42"/>
      <c r="AZ139" s="43"/>
    </row>
    <row r="140" spans="1:52" ht="21.75" thickBot="1" x14ac:dyDescent="0.35">
      <c r="A140" s="106">
        <v>134</v>
      </c>
      <c r="B140" s="5" t="s">
        <v>602</v>
      </c>
      <c r="C140" s="2" t="s">
        <v>493</v>
      </c>
      <c r="D140" s="32"/>
      <c r="E140" s="35" t="s">
        <v>455</v>
      </c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24">
        <f>SUM(Tabla1[[#This Row],[ENERO ]:[DICIEMBRE]])</f>
        <v>0</v>
      </c>
      <c r="W140">
        <v>0</v>
      </c>
      <c r="X140" s="21">
        <f>COUNTIF(Tabla1[[#This Row],[ENERO ]:[DICIEMBRE]],0)-(AS140)-IF(Tabla1[[#This Row],[BAJAS]]="BAJA",IF(Tabla1[[#This Row],[ALTAS]]="ALTA",VLOOKUP(Tabla1[[#This Row],[MES DE ALTA ]],$AW$6:$AX$17,2,FALSE),12)-VLOOKUP(Tabla1[[#This Row],[MES DE BAJA ]],$AW$6:$AX$17,2,FALSE),0)</f>
        <v>0</v>
      </c>
      <c r="Y140" s="68">
        <f>SUM(Tabla1[[#This Row],[MES ADEUDO DE AÑOS PASADOS ]:[MESES DE ADEUDO DEL AÑO EN CURSO ]])-Tabla1[[#This Row],[PAGO DE DEUDA ANTERIOR EN MESES]]</f>
        <v>0</v>
      </c>
      <c r="Z140" s="15">
        <f>Tabla1[[#This Row],[MES ADEUDO DE AÑOS PASADOS ]]*$T$2</f>
        <v>0</v>
      </c>
      <c r="AA140" s="15">
        <f>Tabla1[[#This Row],[MESES DE ADEUDO DEL AÑO EN CURSO ]]*$T$2</f>
        <v>0</v>
      </c>
      <c r="AB140" s="69">
        <f>SUM(Tabla1[[#This Row],[DEUDA DE LOS MESES PASADOS EN $$]:[DEUDA DEL AÑO 2013 $$ ]])</f>
        <v>0</v>
      </c>
      <c r="AD140">
        <f>Tabla1[[#This Row],[PAGO DE DEUDA ANTERIOR EN MESES]]*$T$2</f>
        <v>0</v>
      </c>
      <c r="AG140" s="100">
        <f>IF(Tabla1[[#This Row],[TIPO DE CONSUMIDOR]]="MEDIO",IF(Tabla1[[#This Row],[ENERO ]]&gt;22.5,Tabla1[[#This Row],[ENERO ]]/22.5-1,0),IF(Tabla1[[#This Row],[ENERO ]]&gt;45,Tabla1[[#This Row],[ENERO ]]/45-1,0))</f>
        <v>0</v>
      </c>
      <c r="AH14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0" s="100">
        <f>IF(Tabla1[[#This Row],[TIPO DE CONSUMIDOR]]="MEDIO",IF(Tabla1[[#This Row],[MARZO]]&gt;22.5,Tabla1[[#This Row],[MARZO]]/22.5-1,0),IF(Tabla1[[#This Row],[MARZO]]&gt;45,Tabla1[[#This Row],[MARZO]]/45-1,0))</f>
        <v>0</v>
      </c>
      <c r="AJ140" s="100">
        <f>IF(Tabla1[[#This Row],[TIPO DE CONSUMIDOR]]="MEDIO",IF(Tabla1[[#This Row],[ABRIL]]&gt;22.5,Tabla1[[#This Row],[ABRIL]]/22.5-1,0),IF(Tabla1[[#This Row],[ABRIL]]&gt;45,Tabla1[[#This Row],[ABRIL]]/45-1,0))</f>
        <v>0</v>
      </c>
      <c r="AK140" s="100">
        <f>IF(Tabla1[[#This Row],[TIPO DE CONSUMIDOR]]="MEDIO",IF(Tabla1[[#This Row],[MAYO ]]&gt;22.5,Tabla1[[#This Row],[MAYO ]]/22.5-1,0),IF(Tabla1[[#This Row],[MAYO ]]&gt;45,Tabla1[[#This Row],[MAYO ]]/45-1,0))</f>
        <v>0</v>
      </c>
      <c r="AL140" s="100">
        <f>IF(Tabla1[[#This Row],[TIPO DE CONSUMIDOR]]="MEDIO",IF(Tabla1[[#This Row],[JUNIO ]]&gt;22.5,Tabla1[[#This Row],[JUNIO ]]/22.5-1,0),IF(Tabla1[[#This Row],[JUNIO ]]&gt;45,Tabla1[[#This Row],[JUNIO ]]/45-1,0))</f>
        <v>0</v>
      </c>
      <c r="AM140" s="100">
        <f>IF(Tabla1[[#This Row],[TIPO DE CONSUMIDOR]]="MEDIO",IF(Tabla1[[#This Row],[JULIO ]]&gt;22.5,Tabla1[[#This Row],[JULIO ]]/22.5-1,0),IF(Tabla1[[#This Row],[JULIO ]]&gt;45,Tabla1[[#This Row],[JULIO ]]/45-1,0))</f>
        <v>0</v>
      </c>
      <c r="AN140" s="100">
        <f>IF(Tabla1[[#This Row],[TIPO DE CONSUMIDOR]]="MEDIO",IF(Tabla1[[#This Row],[AGOSTO]]&gt;22.5,Tabla1[[#This Row],[AGOSTO]]/22.5-1,0),IF(Tabla1[[#This Row],[AGOSTO]]&gt;45,Tabla1[[#This Row],[AGOSTO]]/45-1,0))</f>
        <v>0</v>
      </c>
      <c r="AO14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0" s="101">
        <f t="shared" si="5"/>
        <v>0</v>
      </c>
      <c r="AT140">
        <f>IF(Tabla1[[#This Row],[MES ADEUDO DE AÑOS PASADOS ]]&gt;0,1,0)</f>
        <v>0</v>
      </c>
      <c r="AU140" s="9">
        <f t="shared" si="6"/>
        <v>0</v>
      </c>
      <c r="AV140" s="60">
        <f>IF(Tabla1[[#This Row],[MESES DE ADEUDO DEL AÑO EN CURSO ]]&gt;0,1,0)</f>
        <v>0</v>
      </c>
      <c r="AW140" s="42"/>
      <c r="AX140" s="42"/>
      <c r="AY140" s="42"/>
      <c r="AZ140" s="43"/>
    </row>
    <row r="141" spans="1:52" ht="21.75" thickBot="1" x14ac:dyDescent="0.35">
      <c r="A141" s="106">
        <v>135</v>
      </c>
      <c r="B141" s="5" t="s">
        <v>230</v>
      </c>
      <c r="C141" s="2" t="s">
        <v>493</v>
      </c>
      <c r="D141" s="32"/>
      <c r="E141" s="35" t="s">
        <v>455</v>
      </c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24">
        <f>SUM(Tabla1[[#This Row],[ENERO ]:[DICIEMBRE]])</f>
        <v>0</v>
      </c>
      <c r="W141">
        <v>0</v>
      </c>
      <c r="X141" s="21">
        <f>COUNTIF(Tabla1[[#This Row],[ENERO ]:[DICIEMBRE]],0)-(AS141)-IF(Tabla1[[#This Row],[BAJAS]]="BAJA",IF(Tabla1[[#This Row],[ALTAS]]="ALTA",VLOOKUP(Tabla1[[#This Row],[MES DE ALTA ]],$AW$6:$AX$17,2,FALSE),12)-VLOOKUP(Tabla1[[#This Row],[MES DE BAJA ]],$AW$6:$AX$17,2,FALSE),0)</f>
        <v>0</v>
      </c>
      <c r="Y141" s="68">
        <f>SUM(Tabla1[[#This Row],[MES ADEUDO DE AÑOS PASADOS ]:[MESES DE ADEUDO DEL AÑO EN CURSO ]])-Tabla1[[#This Row],[PAGO DE DEUDA ANTERIOR EN MESES]]</f>
        <v>0</v>
      </c>
      <c r="Z141" s="15">
        <f>Tabla1[[#This Row],[MES ADEUDO DE AÑOS PASADOS ]]*$T$2</f>
        <v>0</v>
      </c>
      <c r="AA141" s="15">
        <f>Tabla1[[#This Row],[MESES DE ADEUDO DEL AÑO EN CURSO ]]*$T$2</f>
        <v>0</v>
      </c>
      <c r="AB141" s="69">
        <f>SUM(Tabla1[[#This Row],[DEUDA DE LOS MESES PASADOS EN $$]:[DEUDA DEL AÑO 2013 $$ ]])</f>
        <v>0</v>
      </c>
      <c r="AD141">
        <f>Tabla1[[#This Row],[PAGO DE DEUDA ANTERIOR EN MESES]]*$T$2</f>
        <v>0</v>
      </c>
      <c r="AG141" s="100">
        <f>IF(Tabla1[[#This Row],[TIPO DE CONSUMIDOR]]="MEDIO",IF(Tabla1[[#This Row],[ENERO ]]&gt;22.5,Tabla1[[#This Row],[ENERO ]]/22.5-1,0),IF(Tabla1[[#This Row],[ENERO ]]&gt;45,Tabla1[[#This Row],[ENERO ]]/45-1,0))</f>
        <v>0</v>
      </c>
      <c r="AH14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1" s="100">
        <f>IF(Tabla1[[#This Row],[TIPO DE CONSUMIDOR]]="MEDIO",IF(Tabla1[[#This Row],[MARZO]]&gt;22.5,Tabla1[[#This Row],[MARZO]]/22.5-1,0),IF(Tabla1[[#This Row],[MARZO]]&gt;45,Tabla1[[#This Row],[MARZO]]/45-1,0))</f>
        <v>0</v>
      </c>
      <c r="AJ141" s="100">
        <f>IF(Tabla1[[#This Row],[TIPO DE CONSUMIDOR]]="MEDIO",IF(Tabla1[[#This Row],[ABRIL]]&gt;22.5,Tabla1[[#This Row],[ABRIL]]/22.5-1,0),IF(Tabla1[[#This Row],[ABRIL]]&gt;45,Tabla1[[#This Row],[ABRIL]]/45-1,0))</f>
        <v>0</v>
      </c>
      <c r="AK141" s="100">
        <f>IF(Tabla1[[#This Row],[TIPO DE CONSUMIDOR]]="MEDIO",IF(Tabla1[[#This Row],[MAYO ]]&gt;22.5,Tabla1[[#This Row],[MAYO ]]/22.5-1,0),IF(Tabla1[[#This Row],[MAYO ]]&gt;45,Tabla1[[#This Row],[MAYO ]]/45-1,0))</f>
        <v>0</v>
      </c>
      <c r="AL141" s="100">
        <f>IF(Tabla1[[#This Row],[TIPO DE CONSUMIDOR]]="MEDIO",IF(Tabla1[[#This Row],[JUNIO ]]&gt;22.5,Tabla1[[#This Row],[JUNIO ]]/22.5-1,0),IF(Tabla1[[#This Row],[JUNIO ]]&gt;45,Tabla1[[#This Row],[JUNIO ]]/45-1,0))</f>
        <v>0</v>
      </c>
      <c r="AM141" s="100">
        <f>IF(Tabla1[[#This Row],[TIPO DE CONSUMIDOR]]="MEDIO",IF(Tabla1[[#This Row],[JULIO ]]&gt;22.5,Tabla1[[#This Row],[JULIO ]]/22.5-1,0),IF(Tabla1[[#This Row],[JULIO ]]&gt;45,Tabla1[[#This Row],[JULIO ]]/45-1,0))</f>
        <v>0</v>
      </c>
      <c r="AN141" s="100">
        <f>IF(Tabla1[[#This Row],[TIPO DE CONSUMIDOR]]="MEDIO",IF(Tabla1[[#This Row],[AGOSTO]]&gt;22.5,Tabla1[[#This Row],[AGOSTO]]/22.5-1,0),IF(Tabla1[[#This Row],[AGOSTO]]&gt;45,Tabla1[[#This Row],[AGOSTO]]/45-1,0))</f>
        <v>0</v>
      </c>
      <c r="AO14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1" s="101">
        <f t="shared" si="5"/>
        <v>0</v>
      </c>
      <c r="AT141">
        <f>IF(Tabla1[[#This Row],[MES ADEUDO DE AÑOS PASADOS ]]&gt;0,1,0)</f>
        <v>0</v>
      </c>
      <c r="AU141" s="9">
        <f t="shared" si="6"/>
        <v>0</v>
      </c>
      <c r="AV141" s="60">
        <f>IF(Tabla1[[#This Row],[MESES DE ADEUDO DEL AÑO EN CURSO ]]&gt;0,1,0)</f>
        <v>0</v>
      </c>
      <c r="AW141" s="42"/>
      <c r="AX141" s="42"/>
      <c r="AY141" s="42"/>
      <c r="AZ141" s="43"/>
    </row>
    <row r="142" spans="1:52" ht="21.75" thickBot="1" x14ac:dyDescent="0.35">
      <c r="A142" s="106">
        <v>136</v>
      </c>
      <c r="B142" s="5" t="s">
        <v>232</v>
      </c>
      <c r="C142" s="2" t="s">
        <v>493</v>
      </c>
      <c r="D142" s="32"/>
      <c r="E142" s="35" t="s">
        <v>455</v>
      </c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24">
        <f>SUM(Tabla1[[#This Row],[ENERO ]:[DICIEMBRE]])</f>
        <v>0</v>
      </c>
      <c r="W142">
        <v>0</v>
      </c>
      <c r="X142" s="21">
        <f>COUNTIF(Tabla1[[#This Row],[ENERO ]:[DICIEMBRE]],0)-(AS142)-IF(Tabla1[[#This Row],[BAJAS]]="BAJA",IF(Tabla1[[#This Row],[ALTAS]]="ALTA",VLOOKUP(Tabla1[[#This Row],[MES DE ALTA ]],$AW$6:$AX$17,2,FALSE),12)-VLOOKUP(Tabla1[[#This Row],[MES DE BAJA ]],$AW$6:$AX$17,2,FALSE),0)</f>
        <v>0</v>
      </c>
      <c r="Y142" s="68">
        <f>SUM(Tabla1[[#This Row],[MES ADEUDO DE AÑOS PASADOS ]:[MESES DE ADEUDO DEL AÑO EN CURSO ]])-Tabla1[[#This Row],[PAGO DE DEUDA ANTERIOR EN MESES]]</f>
        <v>0</v>
      </c>
      <c r="Z142" s="15">
        <f>Tabla1[[#This Row],[MES ADEUDO DE AÑOS PASADOS ]]*$T$2</f>
        <v>0</v>
      </c>
      <c r="AA142" s="15">
        <f>Tabla1[[#This Row],[MESES DE ADEUDO DEL AÑO EN CURSO ]]*$T$2</f>
        <v>0</v>
      </c>
      <c r="AB142" s="69">
        <f>SUM(Tabla1[[#This Row],[DEUDA DE LOS MESES PASADOS EN $$]:[DEUDA DEL AÑO 2013 $$ ]])</f>
        <v>0</v>
      </c>
      <c r="AD142">
        <f>Tabla1[[#This Row],[PAGO DE DEUDA ANTERIOR EN MESES]]*$T$2</f>
        <v>0</v>
      </c>
      <c r="AG142" s="100">
        <f>IF(Tabla1[[#This Row],[TIPO DE CONSUMIDOR]]="MEDIO",IF(Tabla1[[#This Row],[ENERO ]]&gt;22.5,Tabla1[[#This Row],[ENERO ]]/22.5-1,0),IF(Tabla1[[#This Row],[ENERO ]]&gt;45,Tabla1[[#This Row],[ENERO ]]/45-1,0))</f>
        <v>0</v>
      </c>
      <c r="AH14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2" s="100">
        <f>IF(Tabla1[[#This Row],[TIPO DE CONSUMIDOR]]="MEDIO",IF(Tabla1[[#This Row],[MARZO]]&gt;22.5,Tabla1[[#This Row],[MARZO]]/22.5-1,0),IF(Tabla1[[#This Row],[MARZO]]&gt;45,Tabla1[[#This Row],[MARZO]]/45-1,0))</f>
        <v>0</v>
      </c>
      <c r="AJ142" s="100">
        <f>IF(Tabla1[[#This Row],[TIPO DE CONSUMIDOR]]="MEDIO",IF(Tabla1[[#This Row],[ABRIL]]&gt;22.5,Tabla1[[#This Row],[ABRIL]]/22.5-1,0),IF(Tabla1[[#This Row],[ABRIL]]&gt;45,Tabla1[[#This Row],[ABRIL]]/45-1,0))</f>
        <v>0</v>
      </c>
      <c r="AK142" s="100">
        <f>IF(Tabla1[[#This Row],[TIPO DE CONSUMIDOR]]="MEDIO",IF(Tabla1[[#This Row],[MAYO ]]&gt;22.5,Tabla1[[#This Row],[MAYO ]]/22.5-1,0),IF(Tabla1[[#This Row],[MAYO ]]&gt;45,Tabla1[[#This Row],[MAYO ]]/45-1,0))</f>
        <v>0</v>
      </c>
      <c r="AL142" s="100">
        <f>IF(Tabla1[[#This Row],[TIPO DE CONSUMIDOR]]="MEDIO",IF(Tabla1[[#This Row],[JUNIO ]]&gt;22.5,Tabla1[[#This Row],[JUNIO ]]/22.5-1,0),IF(Tabla1[[#This Row],[JUNIO ]]&gt;45,Tabla1[[#This Row],[JUNIO ]]/45-1,0))</f>
        <v>0</v>
      </c>
      <c r="AM142" s="100">
        <f>IF(Tabla1[[#This Row],[TIPO DE CONSUMIDOR]]="MEDIO",IF(Tabla1[[#This Row],[JULIO ]]&gt;22.5,Tabla1[[#This Row],[JULIO ]]/22.5-1,0),IF(Tabla1[[#This Row],[JULIO ]]&gt;45,Tabla1[[#This Row],[JULIO ]]/45-1,0))</f>
        <v>0</v>
      </c>
      <c r="AN142" s="100">
        <f>IF(Tabla1[[#This Row],[TIPO DE CONSUMIDOR]]="MEDIO",IF(Tabla1[[#This Row],[AGOSTO]]&gt;22.5,Tabla1[[#This Row],[AGOSTO]]/22.5-1,0),IF(Tabla1[[#This Row],[AGOSTO]]&gt;45,Tabla1[[#This Row],[AGOSTO]]/45-1,0))</f>
        <v>0</v>
      </c>
      <c r="AO14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2" s="101">
        <f t="shared" si="5"/>
        <v>0</v>
      </c>
      <c r="AT142">
        <f>IF(Tabla1[[#This Row],[MES ADEUDO DE AÑOS PASADOS ]]&gt;0,1,0)</f>
        <v>0</v>
      </c>
      <c r="AU142" s="9">
        <f t="shared" si="6"/>
        <v>0</v>
      </c>
      <c r="AV142" s="60">
        <f>IF(Tabla1[[#This Row],[MESES DE ADEUDO DEL AÑO EN CURSO ]]&gt;0,1,0)</f>
        <v>0</v>
      </c>
      <c r="AW142" s="42"/>
      <c r="AX142" s="42"/>
      <c r="AY142" s="42"/>
      <c r="AZ142" s="43"/>
    </row>
    <row r="143" spans="1:52" ht="21.75" thickBot="1" x14ac:dyDescent="0.35">
      <c r="A143" s="106">
        <v>137</v>
      </c>
      <c r="B143" s="5" t="s">
        <v>370</v>
      </c>
      <c r="C143" s="2" t="s">
        <v>493</v>
      </c>
      <c r="D143" s="32"/>
      <c r="E143" s="35" t="s">
        <v>455</v>
      </c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24">
        <f>SUM(Tabla1[[#This Row],[ENERO ]:[DICIEMBRE]])</f>
        <v>0</v>
      </c>
      <c r="W143">
        <v>0</v>
      </c>
      <c r="X143" s="21">
        <f>COUNTIF(Tabla1[[#This Row],[ENERO ]:[DICIEMBRE]],0)-(AS143)-IF(Tabla1[[#This Row],[BAJAS]]="BAJA",IF(Tabla1[[#This Row],[ALTAS]]="ALTA",VLOOKUP(Tabla1[[#This Row],[MES DE ALTA ]],$AW$6:$AX$17,2,FALSE),12)-VLOOKUP(Tabla1[[#This Row],[MES DE BAJA ]],$AW$6:$AX$17,2,FALSE),0)</f>
        <v>0</v>
      </c>
      <c r="Y143" s="68">
        <f>SUM(Tabla1[[#This Row],[MES ADEUDO DE AÑOS PASADOS ]:[MESES DE ADEUDO DEL AÑO EN CURSO ]])-Tabla1[[#This Row],[PAGO DE DEUDA ANTERIOR EN MESES]]</f>
        <v>0</v>
      </c>
      <c r="Z143" s="15">
        <f>Tabla1[[#This Row],[MES ADEUDO DE AÑOS PASADOS ]]*$T$2</f>
        <v>0</v>
      </c>
      <c r="AA143" s="15">
        <f>Tabla1[[#This Row],[MESES DE ADEUDO DEL AÑO EN CURSO ]]*$T$2</f>
        <v>0</v>
      </c>
      <c r="AB143" s="69">
        <f>SUM(Tabla1[[#This Row],[DEUDA DE LOS MESES PASADOS EN $$]:[DEUDA DEL AÑO 2013 $$ ]])</f>
        <v>0</v>
      </c>
      <c r="AD143">
        <f>Tabla1[[#This Row],[PAGO DE DEUDA ANTERIOR EN MESES]]*$T$2</f>
        <v>0</v>
      </c>
      <c r="AG143" s="100">
        <f>IF(Tabla1[[#This Row],[TIPO DE CONSUMIDOR]]="MEDIO",IF(Tabla1[[#This Row],[ENERO ]]&gt;22.5,Tabla1[[#This Row],[ENERO ]]/22.5-1,0),IF(Tabla1[[#This Row],[ENERO ]]&gt;45,Tabla1[[#This Row],[ENERO ]]/45-1,0))</f>
        <v>0</v>
      </c>
      <c r="AH14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3" s="100">
        <f>IF(Tabla1[[#This Row],[TIPO DE CONSUMIDOR]]="MEDIO",IF(Tabla1[[#This Row],[MARZO]]&gt;22.5,Tabla1[[#This Row],[MARZO]]/22.5-1,0),IF(Tabla1[[#This Row],[MARZO]]&gt;45,Tabla1[[#This Row],[MARZO]]/45-1,0))</f>
        <v>0</v>
      </c>
      <c r="AJ143" s="100">
        <f>IF(Tabla1[[#This Row],[TIPO DE CONSUMIDOR]]="MEDIO",IF(Tabla1[[#This Row],[ABRIL]]&gt;22.5,Tabla1[[#This Row],[ABRIL]]/22.5-1,0),IF(Tabla1[[#This Row],[ABRIL]]&gt;45,Tabla1[[#This Row],[ABRIL]]/45-1,0))</f>
        <v>0</v>
      </c>
      <c r="AK143" s="100">
        <f>IF(Tabla1[[#This Row],[TIPO DE CONSUMIDOR]]="MEDIO",IF(Tabla1[[#This Row],[MAYO ]]&gt;22.5,Tabla1[[#This Row],[MAYO ]]/22.5-1,0),IF(Tabla1[[#This Row],[MAYO ]]&gt;45,Tabla1[[#This Row],[MAYO ]]/45-1,0))</f>
        <v>0</v>
      </c>
      <c r="AL143" s="100">
        <f>IF(Tabla1[[#This Row],[TIPO DE CONSUMIDOR]]="MEDIO",IF(Tabla1[[#This Row],[JUNIO ]]&gt;22.5,Tabla1[[#This Row],[JUNIO ]]/22.5-1,0),IF(Tabla1[[#This Row],[JUNIO ]]&gt;45,Tabla1[[#This Row],[JUNIO ]]/45-1,0))</f>
        <v>0</v>
      </c>
      <c r="AM143" s="100">
        <f>IF(Tabla1[[#This Row],[TIPO DE CONSUMIDOR]]="MEDIO",IF(Tabla1[[#This Row],[JULIO ]]&gt;22.5,Tabla1[[#This Row],[JULIO ]]/22.5-1,0),IF(Tabla1[[#This Row],[JULIO ]]&gt;45,Tabla1[[#This Row],[JULIO ]]/45-1,0))</f>
        <v>0</v>
      </c>
      <c r="AN143" s="100">
        <f>IF(Tabla1[[#This Row],[TIPO DE CONSUMIDOR]]="MEDIO",IF(Tabla1[[#This Row],[AGOSTO]]&gt;22.5,Tabla1[[#This Row],[AGOSTO]]/22.5-1,0),IF(Tabla1[[#This Row],[AGOSTO]]&gt;45,Tabla1[[#This Row],[AGOSTO]]/45-1,0))</f>
        <v>0</v>
      </c>
      <c r="AO14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3" s="101">
        <f t="shared" si="5"/>
        <v>0</v>
      </c>
      <c r="AT143">
        <f>IF(Tabla1[[#This Row],[MES ADEUDO DE AÑOS PASADOS ]]&gt;0,1,0)</f>
        <v>0</v>
      </c>
      <c r="AU143" s="9">
        <f t="shared" si="6"/>
        <v>0</v>
      </c>
      <c r="AV143" s="60">
        <f>IF(Tabla1[[#This Row],[MESES DE ADEUDO DEL AÑO EN CURSO ]]&gt;0,1,0)</f>
        <v>0</v>
      </c>
      <c r="AW143" s="42"/>
      <c r="AX143" s="42"/>
      <c r="AY143" s="42"/>
      <c r="AZ143" s="43"/>
    </row>
    <row r="144" spans="1:52" ht="21.75" thickBot="1" x14ac:dyDescent="0.35">
      <c r="A144" s="106">
        <v>138</v>
      </c>
      <c r="B144" s="5" t="s">
        <v>603</v>
      </c>
      <c r="C144" s="2" t="s">
        <v>493</v>
      </c>
      <c r="D144" s="32"/>
      <c r="E144" s="35" t="s">
        <v>455</v>
      </c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24">
        <f>SUM(Tabla1[[#This Row],[ENERO ]:[DICIEMBRE]])</f>
        <v>0</v>
      </c>
      <c r="W144">
        <v>0</v>
      </c>
      <c r="X144" s="21">
        <f>COUNTIF(Tabla1[[#This Row],[ENERO ]:[DICIEMBRE]],0)-(AS144)-IF(Tabla1[[#This Row],[BAJAS]]="BAJA",IF(Tabla1[[#This Row],[ALTAS]]="ALTA",VLOOKUP(Tabla1[[#This Row],[MES DE ALTA ]],$AW$6:$AX$17,2,FALSE),12)-VLOOKUP(Tabla1[[#This Row],[MES DE BAJA ]],$AW$6:$AX$17,2,FALSE),0)</f>
        <v>0</v>
      </c>
      <c r="Y144" s="68">
        <f>SUM(Tabla1[[#This Row],[MES ADEUDO DE AÑOS PASADOS ]:[MESES DE ADEUDO DEL AÑO EN CURSO ]])-Tabla1[[#This Row],[PAGO DE DEUDA ANTERIOR EN MESES]]</f>
        <v>0</v>
      </c>
      <c r="Z144" s="15">
        <f>Tabla1[[#This Row],[MES ADEUDO DE AÑOS PASADOS ]]*$T$2</f>
        <v>0</v>
      </c>
      <c r="AA144" s="15">
        <f>Tabla1[[#This Row],[MESES DE ADEUDO DEL AÑO EN CURSO ]]*$T$2</f>
        <v>0</v>
      </c>
      <c r="AB144" s="69">
        <f>SUM(Tabla1[[#This Row],[DEUDA DE LOS MESES PASADOS EN $$]:[DEUDA DEL AÑO 2013 $$ ]])</f>
        <v>0</v>
      </c>
      <c r="AD144">
        <f>Tabla1[[#This Row],[PAGO DE DEUDA ANTERIOR EN MESES]]*$T$2</f>
        <v>0</v>
      </c>
      <c r="AG144" s="100">
        <f>IF(Tabla1[[#This Row],[TIPO DE CONSUMIDOR]]="MEDIO",IF(Tabla1[[#This Row],[ENERO ]]&gt;22.5,Tabla1[[#This Row],[ENERO ]]/22.5-1,0),IF(Tabla1[[#This Row],[ENERO ]]&gt;45,Tabla1[[#This Row],[ENERO ]]/45-1,0))</f>
        <v>0</v>
      </c>
      <c r="AH14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4" s="100">
        <f>IF(Tabla1[[#This Row],[TIPO DE CONSUMIDOR]]="MEDIO",IF(Tabla1[[#This Row],[MARZO]]&gt;22.5,Tabla1[[#This Row],[MARZO]]/22.5-1,0),IF(Tabla1[[#This Row],[MARZO]]&gt;45,Tabla1[[#This Row],[MARZO]]/45-1,0))</f>
        <v>0</v>
      </c>
      <c r="AJ144" s="100">
        <f>IF(Tabla1[[#This Row],[TIPO DE CONSUMIDOR]]="MEDIO",IF(Tabla1[[#This Row],[ABRIL]]&gt;22.5,Tabla1[[#This Row],[ABRIL]]/22.5-1,0),IF(Tabla1[[#This Row],[ABRIL]]&gt;45,Tabla1[[#This Row],[ABRIL]]/45-1,0))</f>
        <v>0</v>
      </c>
      <c r="AK144" s="100">
        <f>IF(Tabla1[[#This Row],[TIPO DE CONSUMIDOR]]="MEDIO",IF(Tabla1[[#This Row],[MAYO ]]&gt;22.5,Tabla1[[#This Row],[MAYO ]]/22.5-1,0),IF(Tabla1[[#This Row],[MAYO ]]&gt;45,Tabla1[[#This Row],[MAYO ]]/45-1,0))</f>
        <v>0</v>
      </c>
      <c r="AL144" s="100">
        <f>IF(Tabla1[[#This Row],[TIPO DE CONSUMIDOR]]="MEDIO",IF(Tabla1[[#This Row],[JUNIO ]]&gt;22.5,Tabla1[[#This Row],[JUNIO ]]/22.5-1,0),IF(Tabla1[[#This Row],[JUNIO ]]&gt;45,Tabla1[[#This Row],[JUNIO ]]/45-1,0))</f>
        <v>0</v>
      </c>
      <c r="AM144" s="100">
        <f>IF(Tabla1[[#This Row],[TIPO DE CONSUMIDOR]]="MEDIO",IF(Tabla1[[#This Row],[JULIO ]]&gt;22.5,Tabla1[[#This Row],[JULIO ]]/22.5-1,0),IF(Tabla1[[#This Row],[JULIO ]]&gt;45,Tabla1[[#This Row],[JULIO ]]/45-1,0))</f>
        <v>0</v>
      </c>
      <c r="AN144" s="100">
        <f>IF(Tabla1[[#This Row],[TIPO DE CONSUMIDOR]]="MEDIO",IF(Tabla1[[#This Row],[AGOSTO]]&gt;22.5,Tabla1[[#This Row],[AGOSTO]]/22.5-1,0),IF(Tabla1[[#This Row],[AGOSTO]]&gt;45,Tabla1[[#This Row],[AGOSTO]]/45-1,0))</f>
        <v>0</v>
      </c>
      <c r="AO14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4" s="101">
        <f t="shared" si="5"/>
        <v>0</v>
      </c>
      <c r="AT144">
        <f>IF(Tabla1[[#This Row],[MES ADEUDO DE AÑOS PASADOS ]]&gt;0,1,0)</f>
        <v>0</v>
      </c>
      <c r="AU144" s="9">
        <f t="shared" si="6"/>
        <v>0</v>
      </c>
      <c r="AV144" s="60">
        <f>IF(Tabla1[[#This Row],[MESES DE ADEUDO DEL AÑO EN CURSO ]]&gt;0,1,0)</f>
        <v>0</v>
      </c>
      <c r="AW144" s="42"/>
      <c r="AX144" s="42"/>
      <c r="AY144" s="42"/>
      <c r="AZ144" s="43"/>
    </row>
    <row r="145" spans="1:52" ht="21.75" thickBot="1" x14ac:dyDescent="0.35">
      <c r="A145" s="106">
        <v>139</v>
      </c>
      <c r="B145" s="5" t="s">
        <v>497</v>
      </c>
      <c r="C145" s="2" t="s">
        <v>493</v>
      </c>
      <c r="D145" s="32"/>
      <c r="E145" s="35" t="s">
        <v>455</v>
      </c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24">
        <f>SUM(Tabla1[[#This Row],[ENERO ]:[DICIEMBRE]])</f>
        <v>0</v>
      </c>
      <c r="W145">
        <v>0</v>
      </c>
      <c r="X145" s="21">
        <f>COUNTIF(Tabla1[[#This Row],[ENERO ]:[DICIEMBRE]],0)-(AS145)-IF(Tabla1[[#This Row],[BAJAS]]="BAJA",IF(Tabla1[[#This Row],[ALTAS]]="ALTA",VLOOKUP(Tabla1[[#This Row],[MES DE ALTA ]],$AW$6:$AX$17,2,FALSE),12)-VLOOKUP(Tabla1[[#This Row],[MES DE BAJA ]],$AW$6:$AX$17,2,FALSE),0)</f>
        <v>0</v>
      </c>
      <c r="Y145" s="68">
        <f>SUM(Tabla1[[#This Row],[MES ADEUDO DE AÑOS PASADOS ]:[MESES DE ADEUDO DEL AÑO EN CURSO ]])-Tabla1[[#This Row],[PAGO DE DEUDA ANTERIOR EN MESES]]</f>
        <v>0</v>
      </c>
      <c r="Z145" s="15">
        <f>Tabla1[[#This Row],[MES ADEUDO DE AÑOS PASADOS ]]*$T$2</f>
        <v>0</v>
      </c>
      <c r="AA145" s="15">
        <f>Tabla1[[#This Row],[MESES DE ADEUDO DEL AÑO EN CURSO ]]*$T$2</f>
        <v>0</v>
      </c>
      <c r="AB145" s="69">
        <f>SUM(Tabla1[[#This Row],[DEUDA DE LOS MESES PASADOS EN $$]:[DEUDA DEL AÑO 2013 $$ ]])</f>
        <v>0</v>
      </c>
      <c r="AD145">
        <f>Tabla1[[#This Row],[PAGO DE DEUDA ANTERIOR EN MESES]]*$T$2</f>
        <v>0</v>
      </c>
      <c r="AG145" s="100">
        <f>IF(Tabla1[[#This Row],[TIPO DE CONSUMIDOR]]="MEDIO",IF(Tabla1[[#This Row],[ENERO ]]&gt;22.5,Tabla1[[#This Row],[ENERO ]]/22.5-1,0),IF(Tabla1[[#This Row],[ENERO ]]&gt;45,Tabla1[[#This Row],[ENERO ]]/45-1,0))</f>
        <v>0</v>
      </c>
      <c r="AH14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5" s="100">
        <f>IF(Tabla1[[#This Row],[TIPO DE CONSUMIDOR]]="MEDIO",IF(Tabla1[[#This Row],[MARZO]]&gt;22.5,Tabla1[[#This Row],[MARZO]]/22.5-1,0),IF(Tabla1[[#This Row],[MARZO]]&gt;45,Tabla1[[#This Row],[MARZO]]/45-1,0))</f>
        <v>0</v>
      </c>
      <c r="AJ145" s="100">
        <f>IF(Tabla1[[#This Row],[TIPO DE CONSUMIDOR]]="MEDIO",IF(Tabla1[[#This Row],[ABRIL]]&gt;22.5,Tabla1[[#This Row],[ABRIL]]/22.5-1,0),IF(Tabla1[[#This Row],[ABRIL]]&gt;45,Tabla1[[#This Row],[ABRIL]]/45-1,0))</f>
        <v>0</v>
      </c>
      <c r="AK145" s="100">
        <f>IF(Tabla1[[#This Row],[TIPO DE CONSUMIDOR]]="MEDIO",IF(Tabla1[[#This Row],[MAYO ]]&gt;22.5,Tabla1[[#This Row],[MAYO ]]/22.5-1,0),IF(Tabla1[[#This Row],[MAYO ]]&gt;45,Tabla1[[#This Row],[MAYO ]]/45-1,0))</f>
        <v>0</v>
      </c>
      <c r="AL145" s="100">
        <f>IF(Tabla1[[#This Row],[TIPO DE CONSUMIDOR]]="MEDIO",IF(Tabla1[[#This Row],[JUNIO ]]&gt;22.5,Tabla1[[#This Row],[JUNIO ]]/22.5-1,0),IF(Tabla1[[#This Row],[JUNIO ]]&gt;45,Tabla1[[#This Row],[JUNIO ]]/45-1,0))</f>
        <v>0</v>
      </c>
      <c r="AM145" s="100">
        <f>IF(Tabla1[[#This Row],[TIPO DE CONSUMIDOR]]="MEDIO",IF(Tabla1[[#This Row],[JULIO ]]&gt;22.5,Tabla1[[#This Row],[JULIO ]]/22.5-1,0),IF(Tabla1[[#This Row],[JULIO ]]&gt;45,Tabla1[[#This Row],[JULIO ]]/45-1,0))</f>
        <v>0</v>
      </c>
      <c r="AN145" s="100">
        <f>IF(Tabla1[[#This Row],[TIPO DE CONSUMIDOR]]="MEDIO",IF(Tabla1[[#This Row],[AGOSTO]]&gt;22.5,Tabla1[[#This Row],[AGOSTO]]/22.5-1,0),IF(Tabla1[[#This Row],[AGOSTO]]&gt;45,Tabla1[[#This Row],[AGOSTO]]/45-1,0))</f>
        <v>0</v>
      </c>
      <c r="AO14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5" s="101">
        <f t="shared" si="5"/>
        <v>0</v>
      </c>
      <c r="AT145">
        <f>IF(Tabla1[[#This Row],[MES ADEUDO DE AÑOS PASADOS ]]&gt;0,1,0)</f>
        <v>0</v>
      </c>
      <c r="AU145" s="9">
        <f t="shared" si="6"/>
        <v>0</v>
      </c>
      <c r="AV145" s="60">
        <f>IF(Tabla1[[#This Row],[MESES DE ADEUDO DEL AÑO EN CURSO ]]&gt;0,1,0)</f>
        <v>0</v>
      </c>
      <c r="AW145" s="42"/>
      <c r="AX145" s="42"/>
      <c r="AY145" s="42"/>
      <c r="AZ145" s="43"/>
    </row>
    <row r="146" spans="1:52" ht="21.75" thickBot="1" x14ac:dyDescent="0.35">
      <c r="A146" s="106">
        <v>140</v>
      </c>
      <c r="B146" s="5" t="s">
        <v>357</v>
      </c>
      <c r="C146" s="2" t="s">
        <v>493</v>
      </c>
      <c r="D146" s="32"/>
      <c r="E146" s="35" t="s">
        <v>455</v>
      </c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24">
        <f>SUM(Tabla1[[#This Row],[ENERO ]:[DICIEMBRE]])</f>
        <v>0</v>
      </c>
      <c r="W146">
        <v>2</v>
      </c>
      <c r="X146" s="21">
        <f>COUNTIF(Tabla1[[#This Row],[ENERO ]:[DICIEMBRE]],0)-(AS146)-IF(Tabla1[[#This Row],[BAJAS]]="BAJA",IF(Tabla1[[#This Row],[ALTAS]]="ALTA",VLOOKUP(Tabla1[[#This Row],[MES DE ALTA ]],$AW$6:$AX$17,2,FALSE),12)-VLOOKUP(Tabla1[[#This Row],[MES DE BAJA ]],$AW$6:$AX$17,2,FALSE),0)</f>
        <v>0</v>
      </c>
      <c r="Y146" s="68">
        <f>SUM(Tabla1[[#This Row],[MES ADEUDO DE AÑOS PASADOS ]:[MESES DE ADEUDO DEL AÑO EN CURSO ]])-Tabla1[[#This Row],[PAGO DE DEUDA ANTERIOR EN MESES]]</f>
        <v>2</v>
      </c>
      <c r="Z146" s="15">
        <f>Tabla1[[#This Row],[MES ADEUDO DE AÑOS PASADOS ]]*$T$2</f>
        <v>90</v>
      </c>
      <c r="AA146" s="15">
        <f>Tabla1[[#This Row],[MESES DE ADEUDO DEL AÑO EN CURSO ]]*$T$2</f>
        <v>0</v>
      </c>
      <c r="AB146" s="69">
        <f>SUM(Tabla1[[#This Row],[DEUDA DE LOS MESES PASADOS EN $$]:[DEUDA DEL AÑO 2013 $$ ]])</f>
        <v>90</v>
      </c>
      <c r="AD146">
        <f>Tabla1[[#This Row],[PAGO DE DEUDA ANTERIOR EN MESES]]*$T$2</f>
        <v>0</v>
      </c>
      <c r="AG146" s="100">
        <f>IF(Tabla1[[#This Row],[TIPO DE CONSUMIDOR]]="MEDIO",IF(Tabla1[[#This Row],[ENERO ]]&gt;22.5,Tabla1[[#This Row],[ENERO ]]/22.5-1,0),IF(Tabla1[[#This Row],[ENERO ]]&gt;45,Tabla1[[#This Row],[ENERO ]]/45-1,0))</f>
        <v>0</v>
      </c>
      <c r="AH14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6" s="100">
        <f>IF(Tabla1[[#This Row],[TIPO DE CONSUMIDOR]]="MEDIO",IF(Tabla1[[#This Row],[MARZO]]&gt;22.5,Tabla1[[#This Row],[MARZO]]/22.5-1,0),IF(Tabla1[[#This Row],[MARZO]]&gt;45,Tabla1[[#This Row],[MARZO]]/45-1,0))</f>
        <v>0</v>
      </c>
      <c r="AJ146" s="100">
        <f>IF(Tabla1[[#This Row],[TIPO DE CONSUMIDOR]]="MEDIO",IF(Tabla1[[#This Row],[ABRIL]]&gt;22.5,Tabla1[[#This Row],[ABRIL]]/22.5-1,0),IF(Tabla1[[#This Row],[ABRIL]]&gt;45,Tabla1[[#This Row],[ABRIL]]/45-1,0))</f>
        <v>0</v>
      </c>
      <c r="AK146" s="100">
        <f>IF(Tabla1[[#This Row],[TIPO DE CONSUMIDOR]]="MEDIO",IF(Tabla1[[#This Row],[MAYO ]]&gt;22.5,Tabla1[[#This Row],[MAYO ]]/22.5-1,0),IF(Tabla1[[#This Row],[MAYO ]]&gt;45,Tabla1[[#This Row],[MAYO ]]/45-1,0))</f>
        <v>0</v>
      </c>
      <c r="AL146" s="100">
        <f>IF(Tabla1[[#This Row],[TIPO DE CONSUMIDOR]]="MEDIO",IF(Tabla1[[#This Row],[JUNIO ]]&gt;22.5,Tabla1[[#This Row],[JUNIO ]]/22.5-1,0),IF(Tabla1[[#This Row],[JUNIO ]]&gt;45,Tabla1[[#This Row],[JUNIO ]]/45-1,0))</f>
        <v>0</v>
      </c>
      <c r="AM146" s="100">
        <f>IF(Tabla1[[#This Row],[TIPO DE CONSUMIDOR]]="MEDIO",IF(Tabla1[[#This Row],[JULIO ]]&gt;22.5,Tabla1[[#This Row],[JULIO ]]/22.5-1,0),IF(Tabla1[[#This Row],[JULIO ]]&gt;45,Tabla1[[#This Row],[JULIO ]]/45-1,0))</f>
        <v>0</v>
      </c>
      <c r="AN146" s="100">
        <f>IF(Tabla1[[#This Row],[TIPO DE CONSUMIDOR]]="MEDIO",IF(Tabla1[[#This Row],[AGOSTO]]&gt;22.5,Tabla1[[#This Row],[AGOSTO]]/22.5-1,0),IF(Tabla1[[#This Row],[AGOSTO]]&gt;45,Tabla1[[#This Row],[AGOSTO]]/45-1,0))</f>
        <v>0</v>
      </c>
      <c r="AO14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6" s="101">
        <f t="shared" si="5"/>
        <v>0</v>
      </c>
      <c r="AT146">
        <f>IF(Tabla1[[#This Row],[MES ADEUDO DE AÑOS PASADOS ]]&gt;0,1,0)</f>
        <v>1</v>
      </c>
      <c r="AU146" s="9">
        <f t="shared" si="6"/>
        <v>1</v>
      </c>
      <c r="AV146" s="60">
        <f>IF(Tabla1[[#This Row],[MESES DE ADEUDO DEL AÑO EN CURSO ]]&gt;0,1,0)</f>
        <v>0</v>
      </c>
      <c r="AW146" s="42"/>
      <c r="AX146" s="42"/>
      <c r="AY146" s="42"/>
      <c r="AZ146" s="43"/>
    </row>
    <row r="147" spans="1:52" ht="21.75" thickBot="1" x14ac:dyDescent="0.35">
      <c r="A147" s="106">
        <v>141</v>
      </c>
      <c r="B147" s="5" t="s">
        <v>170</v>
      </c>
      <c r="C147" s="2" t="s">
        <v>493</v>
      </c>
      <c r="D147" s="32"/>
      <c r="E147" s="35" t="s">
        <v>455</v>
      </c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24">
        <f>SUM(Tabla1[[#This Row],[ENERO ]:[DICIEMBRE]])</f>
        <v>0</v>
      </c>
      <c r="W147">
        <v>4</v>
      </c>
      <c r="X147" s="21">
        <f>COUNTIF(Tabla1[[#This Row],[ENERO ]:[DICIEMBRE]],0)-(AS147)-IF(Tabla1[[#This Row],[BAJAS]]="BAJA",IF(Tabla1[[#This Row],[ALTAS]]="ALTA",VLOOKUP(Tabla1[[#This Row],[MES DE ALTA ]],$AW$6:$AX$17,2,FALSE),12)-VLOOKUP(Tabla1[[#This Row],[MES DE BAJA ]],$AW$6:$AX$17,2,FALSE),0)</f>
        <v>0</v>
      </c>
      <c r="Y147" s="68">
        <f>SUM(Tabla1[[#This Row],[MES ADEUDO DE AÑOS PASADOS ]:[MESES DE ADEUDO DEL AÑO EN CURSO ]])-Tabla1[[#This Row],[PAGO DE DEUDA ANTERIOR EN MESES]]</f>
        <v>4</v>
      </c>
      <c r="Z147" s="15">
        <f>Tabla1[[#This Row],[MES ADEUDO DE AÑOS PASADOS ]]*$T$2</f>
        <v>180</v>
      </c>
      <c r="AA147" s="15">
        <f>Tabla1[[#This Row],[MESES DE ADEUDO DEL AÑO EN CURSO ]]*$T$2</f>
        <v>0</v>
      </c>
      <c r="AB147" s="69">
        <f>SUM(Tabla1[[#This Row],[DEUDA DE LOS MESES PASADOS EN $$]:[DEUDA DEL AÑO 2013 $$ ]])</f>
        <v>180</v>
      </c>
      <c r="AD147">
        <f>Tabla1[[#This Row],[PAGO DE DEUDA ANTERIOR EN MESES]]*$T$2</f>
        <v>0</v>
      </c>
      <c r="AG147" s="100">
        <f>IF(Tabla1[[#This Row],[TIPO DE CONSUMIDOR]]="MEDIO",IF(Tabla1[[#This Row],[ENERO ]]&gt;22.5,Tabla1[[#This Row],[ENERO ]]/22.5-1,0),IF(Tabla1[[#This Row],[ENERO ]]&gt;45,Tabla1[[#This Row],[ENERO ]]/45-1,0))</f>
        <v>0</v>
      </c>
      <c r="AH14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7" s="100">
        <f>IF(Tabla1[[#This Row],[TIPO DE CONSUMIDOR]]="MEDIO",IF(Tabla1[[#This Row],[MARZO]]&gt;22.5,Tabla1[[#This Row],[MARZO]]/22.5-1,0),IF(Tabla1[[#This Row],[MARZO]]&gt;45,Tabla1[[#This Row],[MARZO]]/45-1,0))</f>
        <v>0</v>
      </c>
      <c r="AJ147" s="100">
        <f>IF(Tabla1[[#This Row],[TIPO DE CONSUMIDOR]]="MEDIO",IF(Tabla1[[#This Row],[ABRIL]]&gt;22.5,Tabla1[[#This Row],[ABRIL]]/22.5-1,0),IF(Tabla1[[#This Row],[ABRIL]]&gt;45,Tabla1[[#This Row],[ABRIL]]/45-1,0))</f>
        <v>0</v>
      </c>
      <c r="AK147" s="100">
        <f>IF(Tabla1[[#This Row],[TIPO DE CONSUMIDOR]]="MEDIO",IF(Tabla1[[#This Row],[MAYO ]]&gt;22.5,Tabla1[[#This Row],[MAYO ]]/22.5-1,0),IF(Tabla1[[#This Row],[MAYO ]]&gt;45,Tabla1[[#This Row],[MAYO ]]/45-1,0))</f>
        <v>0</v>
      </c>
      <c r="AL147" s="100">
        <f>IF(Tabla1[[#This Row],[TIPO DE CONSUMIDOR]]="MEDIO",IF(Tabla1[[#This Row],[JUNIO ]]&gt;22.5,Tabla1[[#This Row],[JUNIO ]]/22.5-1,0),IF(Tabla1[[#This Row],[JUNIO ]]&gt;45,Tabla1[[#This Row],[JUNIO ]]/45-1,0))</f>
        <v>0</v>
      </c>
      <c r="AM147" s="100">
        <f>IF(Tabla1[[#This Row],[TIPO DE CONSUMIDOR]]="MEDIO",IF(Tabla1[[#This Row],[JULIO ]]&gt;22.5,Tabla1[[#This Row],[JULIO ]]/22.5-1,0),IF(Tabla1[[#This Row],[JULIO ]]&gt;45,Tabla1[[#This Row],[JULIO ]]/45-1,0))</f>
        <v>0</v>
      </c>
      <c r="AN147" s="100">
        <f>IF(Tabla1[[#This Row],[TIPO DE CONSUMIDOR]]="MEDIO",IF(Tabla1[[#This Row],[AGOSTO]]&gt;22.5,Tabla1[[#This Row],[AGOSTO]]/22.5-1,0),IF(Tabla1[[#This Row],[AGOSTO]]&gt;45,Tabla1[[#This Row],[AGOSTO]]/45-1,0))</f>
        <v>0</v>
      </c>
      <c r="AO14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7" s="101">
        <f t="shared" si="5"/>
        <v>0</v>
      </c>
      <c r="AT147">
        <f>IF(Tabla1[[#This Row],[MES ADEUDO DE AÑOS PASADOS ]]&gt;0,1,0)</f>
        <v>1</v>
      </c>
      <c r="AU147" s="9">
        <f t="shared" si="6"/>
        <v>1</v>
      </c>
      <c r="AV147" s="60">
        <f>IF(Tabla1[[#This Row],[MESES DE ADEUDO DEL AÑO EN CURSO ]]&gt;0,1,0)</f>
        <v>0</v>
      </c>
      <c r="AW147" s="42"/>
      <c r="AX147" s="42"/>
      <c r="AY147" s="42"/>
      <c r="AZ147" s="43"/>
    </row>
    <row r="148" spans="1:52" ht="21.75" thickBot="1" x14ac:dyDescent="0.35">
      <c r="A148" s="106">
        <v>142</v>
      </c>
      <c r="B148" s="5" t="s">
        <v>234</v>
      </c>
      <c r="C148" s="2" t="s">
        <v>493</v>
      </c>
      <c r="D148" s="32"/>
      <c r="E148" s="35" t="s">
        <v>455</v>
      </c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24">
        <f>SUM(Tabla1[[#This Row],[ENERO ]:[DICIEMBRE]])</f>
        <v>0</v>
      </c>
      <c r="W148">
        <v>10</v>
      </c>
      <c r="X148" s="21">
        <f>COUNTIF(Tabla1[[#This Row],[ENERO ]:[DICIEMBRE]],0)-(AS148)-IF(Tabla1[[#This Row],[BAJAS]]="BAJA",IF(Tabla1[[#This Row],[ALTAS]]="ALTA",VLOOKUP(Tabla1[[#This Row],[MES DE ALTA ]],$AW$6:$AX$17,2,FALSE),12)-VLOOKUP(Tabla1[[#This Row],[MES DE BAJA ]],$AW$6:$AX$17,2,FALSE),0)</f>
        <v>0</v>
      </c>
      <c r="Y148" s="68">
        <f>SUM(Tabla1[[#This Row],[MES ADEUDO DE AÑOS PASADOS ]:[MESES DE ADEUDO DEL AÑO EN CURSO ]])-Tabla1[[#This Row],[PAGO DE DEUDA ANTERIOR EN MESES]]</f>
        <v>10</v>
      </c>
      <c r="Z148" s="15">
        <f>Tabla1[[#This Row],[MES ADEUDO DE AÑOS PASADOS ]]*$T$2</f>
        <v>450</v>
      </c>
      <c r="AA148" s="15">
        <f>Tabla1[[#This Row],[MESES DE ADEUDO DEL AÑO EN CURSO ]]*$T$2</f>
        <v>0</v>
      </c>
      <c r="AB148" s="69">
        <f>SUM(Tabla1[[#This Row],[DEUDA DE LOS MESES PASADOS EN $$]:[DEUDA DEL AÑO 2013 $$ ]])</f>
        <v>450</v>
      </c>
      <c r="AD148">
        <f>Tabla1[[#This Row],[PAGO DE DEUDA ANTERIOR EN MESES]]*$T$2</f>
        <v>0</v>
      </c>
      <c r="AG148" s="100">
        <f>IF(Tabla1[[#This Row],[TIPO DE CONSUMIDOR]]="MEDIO",IF(Tabla1[[#This Row],[ENERO ]]&gt;22.5,Tabla1[[#This Row],[ENERO ]]/22.5-1,0),IF(Tabla1[[#This Row],[ENERO ]]&gt;45,Tabla1[[#This Row],[ENERO ]]/45-1,0))</f>
        <v>0</v>
      </c>
      <c r="AH14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8" s="100">
        <f>IF(Tabla1[[#This Row],[TIPO DE CONSUMIDOR]]="MEDIO",IF(Tabla1[[#This Row],[MARZO]]&gt;22.5,Tabla1[[#This Row],[MARZO]]/22.5-1,0),IF(Tabla1[[#This Row],[MARZO]]&gt;45,Tabla1[[#This Row],[MARZO]]/45-1,0))</f>
        <v>0</v>
      </c>
      <c r="AJ148" s="100">
        <f>IF(Tabla1[[#This Row],[TIPO DE CONSUMIDOR]]="MEDIO",IF(Tabla1[[#This Row],[ABRIL]]&gt;22.5,Tabla1[[#This Row],[ABRIL]]/22.5-1,0),IF(Tabla1[[#This Row],[ABRIL]]&gt;45,Tabla1[[#This Row],[ABRIL]]/45-1,0))</f>
        <v>0</v>
      </c>
      <c r="AK148" s="100">
        <f>IF(Tabla1[[#This Row],[TIPO DE CONSUMIDOR]]="MEDIO",IF(Tabla1[[#This Row],[MAYO ]]&gt;22.5,Tabla1[[#This Row],[MAYO ]]/22.5-1,0),IF(Tabla1[[#This Row],[MAYO ]]&gt;45,Tabla1[[#This Row],[MAYO ]]/45-1,0))</f>
        <v>0</v>
      </c>
      <c r="AL148" s="100">
        <f>IF(Tabla1[[#This Row],[TIPO DE CONSUMIDOR]]="MEDIO",IF(Tabla1[[#This Row],[JUNIO ]]&gt;22.5,Tabla1[[#This Row],[JUNIO ]]/22.5-1,0),IF(Tabla1[[#This Row],[JUNIO ]]&gt;45,Tabla1[[#This Row],[JUNIO ]]/45-1,0))</f>
        <v>0</v>
      </c>
      <c r="AM148" s="100">
        <f>IF(Tabla1[[#This Row],[TIPO DE CONSUMIDOR]]="MEDIO",IF(Tabla1[[#This Row],[JULIO ]]&gt;22.5,Tabla1[[#This Row],[JULIO ]]/22.5-1,0),IF(Tabla1[[#This Row],[JULIO ]]&gt;45,Tabla1[[#This Row],[JULIO ]]/45-1,0))</f>
        <v>0</v>
      </c>
      <c r="AN148" s="100">
        <f>IF(Tabla1[[#This Row],[TIPO DE CONSUMIDOR]]="MEDIO",IF(Tabla1[[#This Row],[AGOSTO]]&gt;22.5,Tabla1[[#This Row],[AGOSTO]]/22.5-1,0),IF(Tabla1[[#This Row],[AGOSTO]]&gt;45,Tabla1[[#This Row],[AGOSTO]]/45-1,0))</f>
        <v>0</v>
      </c>
      <c r="AO14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8" s="101">
        <f t="shared" si="5"/>
        <v>0</v>
      </c>
      <c r="AT148">
        <f>IF(Tabla1[[#This Row],[MES ADEUDO DE AÑOS PASADOS ]]&gt;0,1,0)</f>
        <v>1</v>
      </c>
      <c r="AU148" s="9">
        <f t="shared" si="6"/>
        <v>1</v>
      </c>
      <c r="AV148" s="60">
        <f>IF(Tabla1[[#This Row],[MESES DE ADEUDO DEL AÑO EN CURSO ]]&gt;0,1,0)</f>
        <v>0</v>
      </c>
      <c r="AW148" s="42"/>
      <c r="AX148" s="42"/>
      <c r="AY148" s="42"/>
      <c r="AZ148" s="43"/>
    </row>
    <row r="149" spans="1:52" ht="21.75" thickBot="1" x14ac:dyDescent="0.35">
      <c r="A149" s="106">
        <v>143</v>
      </c>
      <c r="B149" s="5" t="s">
        <v>498</v>
      </c>
      <c r="C149" s="2" t="s">
        <v>493</v>
      </c>
      <c r="D149" s="32"/>
      <c r="E149" s="35" t="s">
        <v>455</v>
      </c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24">
        <f>SUM(Tabla1[[#This Row],[ENERO ]:[DICIEMBRE]])</f>
        <v>0</v>
      </c>
      <c r="W149">
        <v>12</v>
      </c>
      <c r="X149" s="21">
        <f>COUNTIF(Tabla1[[#This Row],[ENERO ]:[DICIEMBRE]],0)-(AS149)-IF(Tabla1[[#This Row],[BAJAS]]="BAJA",IF(Tabla1[[#This Row],[ALTAS]]="ALTA",VLOOKUP(Tabla1[[#This Row],[MES DE ALTA ]],$AW$6:$AX$17,2,FALSE),12)-VLOOKUP(Tabla1[[#This Row],[MES DE BAJA ]],$AW$6:$AX$17,2,FALSE),0)</f>
        <v>0</v>
      </c>
      <c r="Y149" s="68">
        <f>SUM(Tabla1[[#This Row],[MES ADEUDO DE AÑOS PASADOS ]:[MESES DE ADEUDO DEL AÑO EN CURSO ]])-Tabla1[[#This Row],[PAGO DE DEUDA ANTERIOR EN MESES]]</f>
        <v>12</v>
      </c>
      <c r="Z149" s="15">
        <f>Tabla1[[#This Row],[MES ADEUDO DE AÑOS PASADOS ]]*$T$2</f>
        <v>540</v>
      </c>
      <c r="AA149" s="15">
        <f>Tabla1[[#This Row],[MESES DE ADEUDO DEL AÑO EN CURSO ]]*$T$2</f>
        <v>0</v>
      </c>
      <c r="AB149" s="69">
        <f>SUM(Tabla1[[#This Row],[DEUDA DE LOS MESES PASADOS EN $$]:[DEUDA DEL AÑO 2013 $$ ]])</f>
        <v>540</v>
      </c>
      <c r="AD149">
        <f>Tabla1[[#This Row],[PAGO DE DEUDA ANTERIOR EN MESES]]*$T$2</f>
        <v>0</v>
      </c>
      <c r="AG149" s="100">
        <f>IF(Tabla1[[#This Row],[TIPO DE CONSUMIDOR]]="MEDIO",IF(Tabla1[[#This Row],[ENERO ]]&gt;22.5,Tabla1[[#This Row],[ENERO ]]/22.5-1,0),IF(Tabla1[[#This Row],[ENERO ]]&gt;45,Tabla1[[#This Row],[ENERO ]]/45-1,0))</f>
        <v>0</v>
      </c>
      <c r="AH14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49" s="100">
        <f>IF(Tabla1[[#This Row],[TIPO DE CONSUMIDOR]]="MEDIO",IF(Tabla1[[#This Row],[MARZO]]&gt;22.5,Tabla1[[#This Row],[MARZO]]/22.5-1,0),IF(Tabla1[[#This Row],[MARZO]]&gt;45,Tabla1[[#This Row],[MARZO]]/45-1,0))</f>
        <v>0</v>
      </c>
      <c r="AJ149" s="100">
        <f>IF(Tabla1[[#This Row],[TIPO DE CONSUMIDOR]]="MEDIO",IF(Tabla1[[#This Row],[ABRIL]]&gt;22.5,Tabla1[[#This Row],[ABRIL]]/22.5-1,0),IF(Tabla1[[#This Row],[ABRIL]]&gt;45,Tabla1[[#This Row],[ABRIL]]/45-1,0))</f>
        <v>0</v>
      </c>
      <c r="AK149" s="100">
        <f>IF(Tabla1[[#This Row],[TIPO DE CONSUMIDOR]]="MEDIO",IF(Tabla1[[#This Row],[MAYO ]]&gt;22.5,Tabla1[[#This Row],[MAYO ]]/22.5-1,0),IF(Tabla1[[#This Row],[MAYO ]]&gt;45,Tabla1[[#This Row],[MAYO ]]/45-1,0))</f>
        <v>0</v>
      </c>
      <c r="AL149" s="100">
        <f>IF(Tabla1[[#This Row],[TIPO DE CONSUMIDOR]]="MEDIO",IF(Tabla1[[#This Row],[JUNIO ]]&gt;22.5,Tabla1[[#This Row],[JUNIO ]]/22.5-1,0),IF(Tabla1[[#This Row],[JUNIO ]]&gt;45,Tabla1[[#This Row],[JUNIO ]]/45-1,0))</f>
        <v>0</v>
      </c>
      <c r="AM149" s="100">
        <f>IF(Tabla1[[#This Row],[TIPO DE CONSUMIDOR]]="MEDIO",IF(Tabla1[[#This Row],[JULIO ]]&gt;22.5,Tabla1[[#This Row],[JULIO ]]/22.5-1,0),IF(Tabla1[[#This Row],[JULIO ]]&gt;45,Tabla1[[#This Row],[JULIO ]]/45-1,0))</f>
        <v>0</v>
      </c>
      <c r="AN149" s="100">
        <f>IF(Tabla1[[#This Row],[TIPO DE CONSUMIDOR]]="MEDIO",IF(Tabla1[[#This Row],[AGOSTO]]&gt;22.5,Tabla1[[#This Row],[AGOSTO]]/22.5-1,0),IF(Tabla1[[#This Row],[AGOSTO]]&gt;45,Tabla1[[#This Row],[AGOSTO]]/45-1,0))</f>
        <v>0</v>
      </c>
      <c r="AO14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4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4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4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49" s="101">
        <f t="shared" si="5"/>
        <v>0</v>
      </c>
      <c r="AT149">
        <f>IF(Tabla1[[#This Row],[MES ADEUDO DE AÑOS PASADOS ]]&gt;0,1,0)</f>
        <v>1</v>
      </c>
      <c r="AU149" s="9">
        <f t="shared" si="6"/>
        <v>1</v>
      </c>
      <c r="AV149" s="60">
        <f>IF(Tabla1[[#This Row],[MESES DE ADEUDO DEL AÑO EN CURSO ]]&gt;0,1,0)</f>
        <v>0</v>
      </c>
      <c r="AW149" s="42"/>
      <c r="AX149" s="42"/>
      <c r="AY149" s="42"/>
      <c r="AZ149" s="43"/>
    </row>
    <row r="150" spans="1:52" ht="21.75" thickBot="1" x14ac:dyDescent="0.35">
      <c r="A150" s="106">
        <v>144</v>
      </c>
      <c r="B150" s="5" t="s">
        <v>394</v>
      </c>
      <c r="C150" s="2" t="s">
        <v>493</v>
      </c>
      <c r="D150" s="32"/>
      <c r="E150" s="35" t="s">
        <v>455</v>
      </c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24">
        <f>SUM(Tabla1[[#This Row],[ENERO ]:[DICIEMBRE]])</f>
        <v>0</v>
      </c>
      <c r="W150">
        <v>12</v>
      </c>
      <c r="X150" s="21">
        <f>COUNTIF(Tabla1[[#This Row],[ENERO ]:[DICIEMBRE]],0)-(AS150)-IF(Tabla1[[#This Row],[BAJAS]]="BAJA",IF(Tabla1[[#This Row],[ALTAS]]="ALTA",VLOOKUP(Tabla1[[#This Row],[MES DE ALTA ]],$AW$6:$AX$17,2,FALSE),12)-VLOOKUP(Tabla1[[#This Row],[MES DE BAJA ]],$AW$6:$AX$17,2,FALSE),0)</f>
        <v>0</v>
      </c>
      <c r="Y150" s="68">
        <f>SUM(Tabla1[[#This Row],[MES ADEUDO DE AÑOS PASADOS ]:[MESES DE ADEUDO DEL AÑO EN CURSO ]])-Tabla1[[#This Row],[PAGO DE DEUDA ANTERIOR EN MESES]]</f>
        <v>12</v>
      </c>
      <c r="Z150" s="15">
        <f>Tabla1[[#This Row],[MES ADEUDO DE AÑOS PASADOS ]]*$T$2</f>
        <v>540</v>
      </c>
      <c r="AA150" s="15">
        <f>Tabla1[[#This Row],[MESES DE ADEUDO DEL AÑO EN CURSO ]]*$T$2</f>
        <v>0</v>
      </c>
      <c r="AB150" s="69">
        <f>SUM(Tabla1[[#This Row],[DEUDA DE LOS MESES PASADOS EN $$]:[DEUDA DEL AÑO 2013 $$ ]])</f>
        <v>540</v>
      </c>
      <c r="AD150">
        <f>Tabla1[[#This Row],[PAGO DE DEUDA ANTERIOR EN MESES]]*$T$2</f>
        <v>0</v>
      </c>
      <c r="AG150" s="100">
        <f>IF(Tabla1[[#This Row],[TIPO DE CONSUMIDOR]]="MEDIO",IF(Tabla1[[#This Row],[ENERO ]]&gt;22.5,Tabla1[[#This Row],[ENERO ]]/22.5-1,0),IF(Tabla1[[#This Row],[ENERO ]]&gt;45,Tabla1[[#This Row],[ENERO ]]/45-1,0))</f>
        <v>0</v>
      </c>
      <c r="AH15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0" s="100">
        <f>IF(Tabla1[[#This Row],[TIPO DE CONSUMIDOR]]="MEDIO",IF(Tabla1[[#This Row],[MARZO]]&gt;22.5,Tabla1[[#This Row],[MARZO]]/22.5-1,0),IF(Tabla1[[#This Row],[MARZO]]&gt;45,Tabla1[[#This Row],[MARZO]]/45-1,0))</f>
        <v>0</v>
      </c>
      <c r="AJ150" s="100">
        <f>IF(Tabla1[[#This Row],[TIPO DE CONSUMIDOR]]="MEDIO",IF(Tabla1[[#This Row],[ABRIL]]&gt;22.5,Tabla1[[#This Row],[ABRIL]]/22.5-1,0),IF(Tabla1[[#This Row],[ABRIL]]&gt;45,Tabla1[[#This Row],[ABRIL]]/45-1,0))</f>
        <v>0</v>
      </c>
      <c r="AK150" s="100">
        <f>IF(Tabla1[[#This Row],[TIPO DE CONSUMIDOR]]="MEDIO",IF(Tabla1[[#This Row],[MAYO ]]&gt;22.5,Tabla1[[#This Row],[MAYO ]]/22.5-1,0),IF(Tabla1[[#This Row],[MAYO ]]&gt;45,Tabla1[[#This Row],[MAYO ]]/45-1,0))</f>
        <v>0</v>
      </c>
      <c r="AL150" s="100">
        <f>IF(Tabla1[[#This Row],[TIPO DE CONSUMIDOR]]="MEDIO",IF(Tabla1[[#This Row],[JUNIO ]]&gt;22.5,Tabla1[[#This Row],[JUNIO ]]/22.5-1,0),IF(Tabla1[[#This Row],[JUNIO ]]&gt;45,Tabla1[[#This Row],[JUNIO ]]/45-1,0))</f>
        <v>0</v>
      </c>
      <c r="AM150" s="100">
        <f>IF(Tabla1[[#This Row],[TIPO DE CONSUMIDOR]]="MEDIO",IF(Tabla1[[#This Row],[JULIO ]]&gt;22.5,Tabla1[[#This Row],[JULIO ]]/22.5-1,0),IF(Tabla1[[#This Row],[JULIO ]]&gt;45,Tabla1[[#This Row],[JULIO ]]/45-1,0))</f>
        <v>0</v>
      </c>
      <c r="AN150" s="100">
        <f>IF(Tabla1[[#This Row],[TIPO DE CONSUMIDOR]]="MEDIO",IF(Tabla1[[#This Row],[AGOSTO]]&gt;22.5,Tabla1[[#This Row],[AGOSTO]]/22.5-1,0),IF(Tabla1[[#This Row],[AGOSTO]]&gt;45,Tabla1[[#This Row],[AGOSTO]]/45-1,0))</f>
        <v>0</v>
      </c>
      <c r="AO15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0" s="101">
        <f t="shared" si="5"/>
        <v>0</v>
      </c>
      <c r="AT150">
        <f>IF(Tabla1[[#This Row],[MES ADEUDO DE AÑOS PASADOS ]]&gt;0,1,0)</f>
        <v>1</v>
      </c>
      <c r="AU150" s="9">
        <f t="shared" si="6"/>
        <v>1</v>
      </c>
      <c r="AV150" s="60">
        <f>IF(Tabla1[[#This Row],[MESES DE ADEUDO DEL AÑO EN CURSO ]]&gt;0,1,0)</f>
        <v>0</v>
      </c>
      <c r="AW150" s="42"/>
      <c r="AX150" s="42"/>
      <c r="AY150" s="42"/>
      <c r="AZ150" s="43"/>
    </row>
    <row r="151" spans="1:52" ht="21.75" thickBot="1" x14ac:dyDescent="0.35">
      <c r="A151" s="106">
        <v>145</v>
      </c>
      <c r="B151" s="5" t="s">
        <v>26</v>
      </c>
      <c r="C151" s="2" t="s">
        <v>493</v>
      </c>
      <c r="D151" s="32"/>
      <c r="E151" s="35" t="s">
        <v>455</v>
      </c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24">
        <f>SUM(Tabla1[[#This Row],[ENERO ]:[DICIEMBRE]])</f>
        <v>0</v>
      </c>
      <c r="W151">
        <v>14</v>
      </c>
      <c r="X151" s="21">
        <f>COUNTIF(Tabla1[[#This Row],[ENERO ]:[DICIEMBRE]],0)-(AS151)-IF(Tabla1[[#This Row],[BAJAS]]="BAJA",IF(Tabla1[[#This Row],[ALTAS]]="ALTA",VLOOKUP(Tabla1[[#This Row],[MES DE ALTA ]],$AW$6:$AX$17,2,FALSE),12)-VLOOKUP(Tabla1[[#This Row],[MES DE BAJA ]],$AW$6:$AX$17,2,FALSE),0)</f>
        <v>0</v>
      </c>
      <c r="Y151" s="68">
        <f>SUM(Tabla1[[#This Row],[MES ADEUDO DE AÑOS PASADOS ]:[MESES DE ADEUDO DEL AÑO EN CURSO ]])-Tabla1[[#This Row],[PAGO DE DEUDA ANTERIOR EN MESES]]</f>
        <v>14</v>
      </c>
      <c r="Z151" s="15">
        <f>Tabla1[[#This Row],[MES ADEUDO DE AÑOS PASADOS ]]*$T$2</f>
        <v>630</v>
      </c>
      <c r="AA151" s="15">
        <f>Tabla1[[#This Row],[MESES DE ADEUDO DEL AÑO EN CURSO ]]*$T$2</f>
        <v>0</v>
      </c>
      <c r="AB151" s="69">
        <f>SUM(Tabla1[[#This Row],[DEUDA DE LOS MESES PASADOS EN $$]:[DEUDA DEL AÑO 2013 $$ ]])</f>
        <v>630</v>
      </c>
      <c r="AD151">
        <f>Tabla1[[#This Row],[PAGO DE DEUDA ANTERIOR EN MESES]]*$T$2</f>
        <v>0</v>
      </c>
      <c r="AG151" s="100">
        <f>IF(Tabla1[[#This Row],[TIPO DE CONSUMIDOR]]="MEDIO",IF(Tabla1[[#This Row],[ENERO ]]&gt;22.5,Tabla1[[#This Row],[ENERO ]]/22.5-1,0),IF(Tabla1[[#This Row],[ENERO ]]&gt;45,Tabla1[[#This Row],[ENERO ]]/45-1,0))</f>
        <v>0</v>
      </c>
      <c r="AH15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1" s="100">
        <f>IF(Tabla1[[#This Row],[TIPO DE CONSUMIDOR]]="MEDIO",IF(Tabla1[[#This Row],[MARZO]]&gt;22.5,Tabla1[[#This Row],[MARZO]]/22.5-1,0),IF(Tabla1[[#This Row],[MARZO]]&gt;45,Tabla1[[#This Row],[MARZO]]/45-1,0))</f>
        <v>0</v>
      </c>
      <c r="AJ151" s="100">
        <f>IF(Tabla1[[#This Row],[TIPO DE CONSUMIDOR]]="MEDIO",IF(Tabla1[[#This Row],[ABRIL]]&gt;22.5,Tabla1[[#This Row],[ABRIL]]/22.5-1,0),IF(Tabla1[[#This Row],[ABRIL]]&gt;45,Tabla1[[#This Row],[ABRIL]]/45-1,0))</f>
        <v>0</v>
      </c>
      <c r="AK151" s="100">
        <f>IF(Tabla1[[#This Row],[TIPO DE CONSUMIDOR]]="MEDIO",IF(Tabla1[[#This Row],[MAYO ]]&gt;22.5,Tabla1[[#This Row],[MAYO ]]/22.5-1,0),IF(Tabla1[[#This Row],[MAYO ]]&gt;45,Tabla1[[#This Row],[MAYO ]]/45-1,0))</f>
        <v>0</v>
      </c>
      <c r="AL151" s="100">
        <f>IF(Tabla1[[#This Row],[TIPO DE CONSUMIDOR]]="MEDIO",IF(Tabla1[[#This Row],[JUNIO ]]&gt;22.5,Tabla1[[#This Row],[JUNIO ]]/22.5-1,0),IF(Tabla1[[#This Row],[JUNIO ]]&gt;45,Tabla1[[#This Row],[JUNIO ]]/45-1,0))</f>
        <v>0</v>
      </c>
      <c r="AM151" s="100">
        <f>IF(Tabla1[[#This Row],[TIPO DE CONSUMIDOR]]="MEDIO",IF(Tabla1[[#This Row],[JULIO ]]&gt;22.5,Tabla1[[#This Row],[JULIO ]]/22.5-1,0),IF(Tabla1[[#This Row],[JULIO ]]&gt;45,Tabla1[[#This Row],[JULIO ]]/45-1,0))</f>
        <v>0</v>
      </c>
      <c r="AN151" s="100">
        <f>IF(Tabla1[[#This Row],[TIPO DE CONSUMIDOR]]="MEDIO",IF(Tabla1[[#This Row],[AGOSTO]]&gt;22.5,Tabla1[[#This Row],[AGOSTO]]/22.5-1,0),IF(Tabla1[[#This Row],[AGOSTO]]&gt;45,Tabla1[[#This Row],[AGOSTO]]/45-1,0))</f>
        <v>0</v>
      </c>
      <c r="AO15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1" s="101">
        <f t="shared" si="5"/>
        <v>0</v>
      </c>
      <c r="AT151">
        <f>IF(Tabla1[[#This Row],[MES ADEUDO DE AÑOS PASADOS ]]&gt;0,1,0)</f>
        <v>1</v>
      </c>
      <c r="AU151" s="9">
        <f t="shared" si="6"/>
        <v>1</v>
      </c>
      <c r="AV151" s="60">
        <f>IF(Tabla1[[#This Row],[MESES DE ADEUDO DEL AÑO EN CURSO ]]&gt;0,1,0)</f>
        <v>0</v>
      </c>
      <c r="AW151" s="42"/>
      <c r="AX151" s="42"/>
      <c r="AY151" s="42"/>
      <c r="AZ151" s="43"/>
    </row>
    <row r="152" spans="1:52" ht="21.75" thickBot="1" x14ac:dyDescent="0.35">
      <c r="A152" s="106">
        <v>146</v>
      </c>
      <c r="B152" s="5" t="s">
        <v>298</v>
      </c>
      <c r="C152" s="2" t="s">
        <v>493</v>
      </c>
      <c r="D152" s="32"/>
      <c r="E152" s="35" t="s">
        <v>455</v>
      </c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24">
        <f>SUM(Tabla1[[#This Row],[ENERO ]:[DICIEMBRE]])</f>
        <v>0</v>
      </c>
      <c r="W152">
        <v>17</v>
      </c>
      <c r="X152" s="21">
        <f>COUNTIF(Tabla1[[#This Row],[ENERO ]:[DICIEMBRE]],0)-(AS152)-IF(Tabla1[[#This Row],[BAJAS]]="BAJA",IF(Tabla1[[#This Row],[ALTAS]]="ALTA",VLOOKUP(Tabla1[[#This Row],[MES DE ALTA ]],$AW$6:$AX$17,2,FALSE),12)-VLOOKUP(Tabla1[[#This Row],[MES DE BAJA ]],$AW$6:$AX$17,2,FALSE),0)</f>
        <v>0</v>
      </c>
      <c r="Y152" s="68">
        <f>SUM(Tabla1[[#This Row],[MES ADEUDO DE AÑOS PASADOS ]:[MESES DE ADEUDO DEL AÑO EN CURSO ]])-Tabla1[[#This Row],[PAGO DE DEUDA ANTERIOR EN MESES]]</f>
        <v>17</v>
      </c>
      <c r="Z152" s="15">
        <f>Tabla1[[#This Row],[MES ADEUDO DE AÑOS PASADOS ]]*$T$2</f>
        <v>765</v>
      </c>
      <c r="AA152" s="15">
        <f>Tabla1[[#This Row],[MESES DE ADEUDO DEL AÑO EN CURSO ]]*$T$2</f>
        <v>0</v>
      </c>
      <c r="AB152" s="69">
        <f>SUM(Tabla1[[#This Row],[DEUDA DE LOS MESES PASADOS EN $$]:[DEUDA DEL AÑO 2013 $$ ]])</f>
        <v>765</v>
      </c>
      <c r="AD152">
        <f>Tabla1[[#This Row],[PAGO DE DEUDA ANTERIOR EN MESES]]*$T$2</f>
        <v>0</v>
      </c>
      <c r="AG152" s="100">
        <f>IF(Tabla1[[#This Row],[TIPO DE CONSUMIDOR]]="MEDIO",IF(Tabla1[[#This Row],[ENERO ]]&gt;22.5,Tabla1[[#This Row],[ENERO ]]/22.5-1,0),IF(Tabla1[[#This Row],[ENERO ]]&gt;45,Tabla1[[#This Row],[ENERO ]]/45-1,0))</f>
        <v>0</v>
      </c>
      <c r="AH15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2" s="100">
        <f>IF(Tabla1[[#This Row],[TIPO DE CONSUMIDOR]]="MEDIO",IF(Tabla1[[#This Row],[MARZO]]&gt;22.5,Tabla1[[#This Row],[MARZO]]/22.5-1,0),IF(Tabla1[[#This Row],[MARZO]]&gt;45,Tabla1[[#This Row],[MARZO]]/45-1,0))</f>
        <v>0</v>
      </c>
      <c r="AJ152" s="100">
        <f>IF(Tabla1[[#This Row],[TIPO DE CONSUMIDOR]]="MEDIO",IF(Tabla1[[#This Row],[ABRIL]]&gt;22.5,Tabla1[[#This Row],[ABRIL]]/22.5-1,0),IF(Tabla1[[#This Row],[ABRIL]]&gt;45,Tabla1[[#This Row],[ABRIL]]/45-1,0))</f>
        <v>0</v>
      </c>
      <c r="AK152" s="100">
        <f>IF(Tabla1[[#This Row],[TIPO DE CONSUMIDOR]]="MEDIO",IF(Tabla1[[#This Row],[MAYO ]]&gt;22.5,Tabla1[[#This Row],[MAYO ]]/22.5-1,0),IF(Tabla1[[#This Row],[MAYO ]]&gt;45,Tabla1[[#This Row],[MAYO ]]/45-1,0))</f>
        <v>0</v>
      </c>
      <c r="AL152" s="100">
        <f>IF(Tabla1[[#This Row],[TIPO DE CONSUMIDOR]]="MEDIO",IF(Tabla1[[#This Row],[JUNIO ]]&gt;22.5,Tabla1[[#This Row],[JUNIO ]]/22.5-1,0),IF(Tabla1[[#This Row],[JUNIO ]]&gt;45,Tabla1[[#This Row],[JUNIO ]]/45-1,0))</f>
        <v>0</v>
      </c>
      <c r="AM152" s="100">
        <f>IF(Tabla1[[#This Row],[TIPO DE CONSUMIDOR]]="MEDIO",IF(Tabla1[[#This Row],[JULIO ]]&gt;22.5,Tabla1[[#This Row],[JULIO ]]/22.5-1,0),IF(Tabla1[[#This Row],[JULIO ]]&gt;45,Tabla1[[#This Row],[JULIO ]]/45-1,0))</f>
        <v>0</v>
      </c>
      <c r="AN152" s="100">
        <f>IF(Tabla1[[#This Row],[TIPO DE CONSUMIDOR]]="MEDIO",IF(Tabla1[[#This Row],[AGOSTO]]&gt;22.5,Tabla1[[#This Row],[AGOSTO]]/22.5-1,0),IF(Tabla1[[#This Row],[AGOSTO]]&gt;45,Tabla1[[#This Row],[AGOSTO]]/45-1,0))</f>
        <v>0</v>
      </c>
      <c r="AO15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2" s="101">
        <f t="shared" si="5"/>
        <v>0</v>
      </c>
      <c r="AT152">
        <f>IF(Tabla1[[#This Row],[MES ADEUDO DE AÑOS PASADOS ]]&gt;0,1,0)</f>
        <v>1</v>
      </c>
      <c r="AU152" s="9">
        <f t="shared" si="6"/>
        <v>1</v>
      </c>
      <c r="AV152" s="60">
        <f>IF(Tabla1[[#This Row],[MESES DE ADEUDO DEL AÑO EN CURSO ]]&gt;0,1,0)</f>
        <v>0</v>
      </c>
      <c r="AW152" s="42"/>
      <c r="AX152" s="42"/>
      <c r="AY152" s="42"/>
      <c r="AZ152" s="43"/>
    </row>
    <row r="153" spans="1:52" ht="21.75" thickBot="1" x14ac:dyDescent="0.35">
      <c r="A153" s="106">
        <v>147</v>
      </c>
      <c r="B153" s="5" t="s">
        <v>495</v>
      </c>
      <c r="C153" s="2" t="s">
        <v>493</v>
      </c>
      <c r="D153" s="32"/>
      <c r="E153" s="35" t="s">
        <v>455</v>
      </c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24">
        <f>SUM(Tabla1[[#This Row],[ENERO ]:[DICIEMBRE]])</f>
        <v>0</v>
      </c>
      <c r="W153">
        <v>23</v>
      </c>
      <c r="X153" s="21">
        <f>COUNTIF(Tabla1[[#This Row],[ENERO ]:[DICIEMBRE]],0)-(AS153)-IF(Tabla1[[#This Row],[BAJAS]]="BAJA",IF(Tabla1[[#This Row],[ALTAS]]="ALTA",VLOOKUP(Tabla1[[#This Row],[MES DE ALTA ]],$AW$6:$AX$17,2,FALSE),12)-VLOOKUP(Tabla1[[#This Row],[MES DE BAJA ]],$AW$6:$AX$17,2,FALSE),0)</f>
        <v>0</v>
      </c>
      <c r="Y153" s="68">
        <f>SUM(Tabla1[[#This Row],[MES ADEUDO DE AÑOS PASADOS ]:[MESES DE ADEUDO DEL AÑO EN CURSO ]])-Tabla1[[#This Row],[PAGO DE DEUDA ANTERIOR EN MESES]]</f>
        <v>23</v>
      </c>
      <c r="Z153" s="15">
        <f>Tabla1[[#This Row],[MES ADEUDO DE AÑOS PASADOS ]]*$T$2</f>
        <v>1035</v>
      </c>
      <c r="AA153" s="15">
        <f>Tabla1[[#This Row],[MESES DE ADEUDO DEL AÑO EN CURSO ]]*$T$2</f>
        <v>0</v>
      </c>
      <c r="AB153" s="69">
        <f>SUM(Tabla1[[#This Row],[DEUDA DE LOS MESES PASADOS EN $$]:[DEUDA DEL AÑO 2013 $$ ]])</f>
        <v>1035</v>
      </c>
      <c r="AD153">
        <f>Tabla1[[#This Row],[PAGO DE DEUDA ANTERIOR EN MESES]]*$T$2</f>
        <v>0</v>
      </c>
      <c r="AG153" s="100">
        <f>IF(Tabla1[[#This Row],[TIPO DE CONSUMIDOR]]="MEDIO",IF(Tabla1[[#This Row],[ENERO ]]&gt;22.5,Tabla1[[#This Row],[ENERO ]]/22.5-1,0),IF(Tabla1[[#This Row],[ENERO ]]&gt;45,Tabla1[[#This Row],[ENERO ]]/45-1,0))</f>
        <v>0</v>
      </c>
      <c r="AH15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3" s="100">
        <f>IF(Tabla1[[#This Row],[TIPO DE CONSUMIDOR]]="MEDIO",IF(Tabla1[[#This Row],[MARZO]]&gt;22.5,Tabla1[[#This Row],[MARZO]]/22.5-1,0),IF(Tabla1[[#This Row],[MARZO]]&gt;45,Tabla1[[#This Row],[MARZO]]/45-1,0))</f>
        <v>0</v>
      </c>
      <c r="AJ153" s="100">
        <f>IF(Tabla1[[#This Row],[TIPO DE CONSUMIDOR]]="MEDIO",IF(Tabla1[[#This Row],[ABRIL]]&gt;22.5,Tabla1[[#This Row],[ABRIL]]/22.5-1,0),IF(Tabla1[[#This Row],[ABRIL]]&gt;45,Tabla1[[#This Row],[ABRIL]]/45-1,0))</f>
        <v>0</v>
      </c>
      <c r="AK153" s="100">
        <f>IF(Tabla1[[#This Row],[TIPO DE CONSUMIDOR]]="MEDIO",IF(Tabla1[[#This Row],[MAYO ]]&gt;22.5,Tabla1[[#This Row],[MAYO ]]/22.5-1,0),IF(Tabla1[[#This Row],[MAYO ]]&gt;45,Tabla1[[#This Row],[MAYO ]]/45-1,0))</f>
        <v>0</v>
      </c>
      <c r="AL153" s="100">
        <f>IF(Tabla1[[#This Row],[TIPO DE CONSUMIDOR]]="MEDIO",IF(Tabla1[[#This Row],[JUNIO ]]&gt;22.5,Tabla1[[#This Row],[JUNIO ]]/22.5-1,0),IF(Tabla1[[#This Row],[JUNIO ]]&gt;45,Tabla1[[#This Row],[JUNIO ]]/45-1,0))</f>
        <v>0</v>
      </c>
      <c r="AM153" s="100">
        <f>IF(Tabla1[[#This Row],[TIPO DE CONSUMIDOR]]="MEDIO",IF(Tabla1[[#This Row],[JULIO ]]&gt;22.5,Tabla1[[#This Row],[JULIO ]]/22.5-1,0),IF(Tabla1[[#This Row],[JULIO ]]&gt;45,Tabla1[[#This Row],[JULIO ]]/45-1,0))</f>
        <v>0</v>
      </c>
      <c r="AN153" s="100">
        <f>IF(Tabla1[[#This Row],[TIPO DE CONSUMIDOR]]="MEDIO",IF(Tabla1[[#This Row],[AGOSTO]]&gt;22.5,Tabla1[[#This Row],[AGOSTO]]/22.5-1,0),IF(Tabla1[[#This Row],[AGOSTO]]&gt;45,Tabla1[[#This Row],[AGOSTO]]/45-1,0))</f>
        <v>0</v>
      </c>
      <c r="AO15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3" s="101">
        <f t="shared" si="5"/>
        <v>0</v>
      </c>
      <c r="AT153">
        <f>IF(Tabla1[[#This Row],[MES ADEUDO DE AÑOS PASADOS ]]&gt;0,1,0)</f>
        <v>1</v>
      </c>
      <c r="AU153" s="9">
        <f t="shared" si="6"/>
        <v>1</v>
      </c>
      <c r="AV153" s="60">
        <f>IF(Tabla1[[#This Row],[MESES DE ADEUDO DEL AÑO EN CURSO ]]&gt;0,1,0)</f>
        <v>0</v>
      </c>
      <c r="AW153" s="42"/>
      <c r="AX153" s="42"/>
      <c r="AY153" s="42"/>
      <c r="AZ153" s="43"/>
    </row>
    <row r="154" spans="1:52" ht="21.75" thickBot="1" x14ac:dyDescent="0.35">
      <c r="A154" s="106">
        <v>148</v>
      </c>
      <c r="B154" s="5" t="s">
        <v>320</v>
      </c>
      <c r="C154" s="2" t="s">
        <v>493</v>
      </c>
      <c r="D154" s="32"/>
      <c r="E154" s="35" t="s">
        <v>455</v>
      </c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24">
        <f>SUM(Tabla1[[#This Row],[ENERO ]:[DICIEMBRE]])</f>
        <v>0</v>
      </c>
      <c r="W154">
        <v>37</v>
      </c>
      <c r="X154" s="21">
        <f>COUNTIF(Tabla1[[#This Row],[ENERO ]:[DICIEMBRE]],0)-(AS154)-IF(Tabla1[[#This Row],[BAJAS]]="BAJA",IF(Tabla1[[#This Row],[ALTAS]]="ALTA",VLOOKUP(Tabla1[[#This Row],[MES DE ALTA ]],$AW$6:$AX$17,2,FALSE),12)-VLOOKUP(Tabla1[[#This Row],[MES DE BAJA ]],$AW$6:$AX$17,2,FALSE),0)</f>
        <v>0</v>
      </c>
      <c r="Y154" s="68">
        <f>SUM(Tabla1[[#This Row],[MES ADEUDO DE AÑOS PASADOS ]:[MESES DE ADEUDO DEL AÑO EN CURSO ]])-Tabla1[[#This Row],[PAGO DE DEUDA ANTERIOR EN MESES]]</f>
        <v>37</v>
      </c>
      <c r="Z154" s="15">
        <f>Tabla1[[#This Row],[MES ADEUDO DE AÑOS PASADOS ]]*$T$2</f>
        <v>1665</v>
      </c>
      <c r="AA154" s="15">
        <f>Tabla1[[#This Row],[MESES DE ADEUDO DEL AÑO EN CURSO ]]*$T$2</f>
        <v>0</v>
      </c>
      <c r="AB154" s="69">
        <f>SUM(Tabla1[[#This Row],[DEUDA DE LOS MESES PASADOS EN $$]:[DEUDA DEL AÑO 2013 $$ ]])</f>
        <v>1665</v>
      </c>
      <c r="AD154">
        <f>Tabla1[[#This Row],[PAGO DE DEUDA ANTERIOR EN MESES]]*$T$2</f>
        <v>0</v>
      </c>
      <c r="AG154" s="100">
        <f>IF(Tabla1[[#This Row],[TIPO DE CONSUMIDOR]]="MEDIO",IF(Tabla1[[#This Row],[ENERO ]]&gt;22.5,Tabla1[[#This Row],[ENERO ]]/22.5-1,0),IF(Tabla1[[#This Row],[ENERO ]]&gt;45,Tabla1[[#This Row],[ENERO ]]/45-1,0))</f>
        <v>0</v>
      </c>
      <c r="AH15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4" s="100">
        <f>IF(Tabla1[[#This Row],[TIPO DE CONSUMIDOR]]="MEDIO",IF(Tabla1[[#This Row],[MARZO]]&gt;22.5,Tabla1[[#This Row],[MARZO]]/22.5-1,0),IF(Tabla1[[#This Row],[MARZO]]&gt;45,Tabla1[[#This Row],[MARZO]]/45-1,0))</f>
        <v>0</v>
      </c>
      <c r="AJ154" s="100">
        <f>IF(Tabla1[[#This Row],[TIPO DE CONSUMIDOR]]="MEDIO",IF(Tabla1[[#This Row],[ABRIL]]&gt;22.5,Tabla1[[#This Row],[ABRIL]]/22.5-1,0),IF(Tabla1[[#This Row],[ABRIL]]&gt;45,Tabla1[[#This Row],[ABRIL]]/45-1,0))</f>
        <v>0</v>
      </c>
      <c r="AK154" s="100">
        <f>IF(Tabla1[[#This Row],[TIPO DE CONSUMIDOR]]="MEDIO",IF(Tabla1[[#This Row],[MAYO ]]&gt;22.5,Tabla1[[#This Row],[MAYO ]]/22.5-1,0),IF(Tabla1[[#This Row],[MAYO ]]&gt;45,Tabla1[[#This Row],[MAYO ]]/45-1,0))</f>
        <v>0</v>
      </c>
      <c r="AL154" s="100">
        <f>IF(Tabla1[[#This Row],[TIPO DE CONSUMIDOR]]="MEDIO",IF(Tabla1[[#This Row],[JUNIO ]]&gt;22.5,Tabla1[[#This Row],[JUNIO ]]/22.5-1,0),IF(Tabla1[[#This Row],[JUNIO ]]&gt;45,Tabla1[[#This Row],[JUNIO ]]/45-1,0))</f>
        <v>0</v>
      </c>
      <c r="AM154" s="100">
        <f>IF(Tabla1[[#This Row],[TIPO DE CONSUMIDOR]]="MEDIO",IF(Tabla1[[#This Row],[JULIO ]]&gt;22.5,Tabla1[[#This Row],[JULIO ]]/22.5-1,0),IF(Tabla1[[#This Row],[JULIO ]]&gt;45,Tabla1[[#This Row],[JULIO ]]/45-1,0))</f>
        <v>0</v>
      </c>
      <c r="AN154" s="100">
        <f>IF(Tabla1[[#This Row],[TIPO DE CONSUMIDOR]]="MEDIO",IF(Tabla1[[#This Row],[AGOSTO]]&gt;22.5,Tabla1[[#This Row],[AGOSTO]]/22.5-1,0),IF(Tabla1[[#This Row],[AGOSTO]]&gt;45,Tabla1[[#This Row],[AGOSTO]]/45-1,0))</f>
        <v>0</v>
      </c>
      <c r="AO15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4" s="101">
        <f t="shared" si="5"/>
        <v>0</v>
      </c>
      <c r="AT154">
        <f>IF(Tabla1[[#This Row],[MES ADEUDO DE AÑOS PASADOS ]]&gt;0,1,0)</f>
        <v>1</v>
      </c>
      <c r="AU154" s="9">
        <f t="shared" si="6"/>
        <v>1</v>
      </c>
      <c r="AV154" s="60">
        <f>IF(Tabla1[[#This Row],[MESES DE ADEUDO DEL AÑO EN CURSO ]]&gt;0,1,0)</f>
        <v>0</v>
      </c>
      <c r="AW154" s="42"/>
      <c r="AX154" s="42"/>
      <c r="AY154" s="42"/>
      <c r="AZ154" s="43"/>
    </row>
    <row r="155" spans="1:52" ht="21.75" thickBot="1" x14ac:dyDescent="0.35">
      <c r="A155" s="106">
        <v>149</v>
      </c>
      <c r="B155" s="5" t="s">
        <v>496</v>
      </c>
      <c r="C155" s="2" t="s">
        <v>493</v>
      </c>
      <c r="D155" s="32"/>
      <c r="E155" s="35" t="s">
        <v>455</v>
      </c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24">
        <f>SUM(Tabla1[[#This Row],[ENERO ]:[DICIEMBRE]])</f>
        <v>0</v>
      </c>
      <c r="W155">
        <v>53</v>
      </c>
      <c r="X155" s="21">
        <f>COUNTIF(Tabla1[[#This Row],[ENERO ]:[DICIEMBRE]],0)-(AS155)-IF(Tabla1[[#This Row],[BAJAS]]="BAJA",IF(Tabla1[[#This Row],[ALTAS]]="ALTA",VLOOKUP(Tabla1[[#This Row],[MES DE ALTA ]],$AW$6:$AX$17,2,FALSE),12)-VLOOKUP(Tabla1[[#This Row],[MES DE BAJA ]],$AW$6:$AX$17,2,FALSE),0)</f>
        <v>0</v>
      </c>
      <c r="Y155" s="68">
        <f>SUM(Tabla1[[#This Row],[MES ADEUDO DE AÑOS PASADOS ]:[MESES DE ADEUDO DEL AÑO EN CURSO ]])-Tabla1[[#This Row],[PAGO DE DEUDA ANTERIOR EN MESES]]</f>
        <v>53</v>
      </c>
      <c r="Z155" s="15">
        <f>Tabla1[[#This Row],[MES ADEUDO DE AÑOS PASADOS ]]*$T$2</f>
        <v>2385</v>
      </c>
      <c r="AA155" s="15">
        <f>Tabla1[[#This Row],[MESES DE ADEUDO DEL AÑO EN CURSO ]]*$T$2</f>
        <v>0</v>
      </c>
      <c r="AB155" s="69">
        <f>SUM(Tabla1[[#This Row],[DEUDA DE LOS MESES PASADOS EN $$]:[DEUDA DEL AÑO 2013 $$ ]])</f>
        <v>2385</v>
      </c>
      <c r="AD155">
        <f>Tabla1[[#This Row],[PAGO DE DEUDA ANTERIOR EN MESES]]*$T$2</f>
        <v>0</v>
      </c>
      <c r="AG155" s="100">
        <f>IF(Tabla1[[#This Row],[TIPO DE CONSUMIDOR]]="MEDIO",IF(Tabla1[[#This Row],[ENERO ]]&gt;22.5,Tabla1[[#This Row],[ENERO ]]/22.5-1,0),IF(Tabla1[[#This Row],[ENERO ]]&gt;45,Tabla1[[#This Row],[ENERO ]]/45-1,0))</f>
        <v>0</v>
      </c>
      <c r="AH15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5" s="100">
        <f>IF(Tabla1[[#This Row],[TIPO DE CONSUMIDOR]]="MEDIO",IF(Tabla1[[#This Row],[MARZO]]&gt;22.5,Tabla1[[#This Row],[MARZO]]/22.5-1,0),IF(Tabla1[[#This Row],[MARZO]]&gt;45,Tabla1[[#This Row],[MARZO]]/45-1,0))</f>
        <v>0</v>
      </c>
      <c r="AJ155" s="100">
        <f>IF(Tabla1[[#This Row],[TIPO DE CONSUMIDOR]]="MEDIO",IF(Tabla1[[#This Row],[ABRIL]]&gt;22.5,Tabla1[[#This Row],[ABRIL]]/22.5-1,0),IF(Tabla1[[#This Row],[ABRIL]]&gt;45,Tabla1[[#This Row],[ABRIL]]/45-1,0))</f>
        <v>0</v>
      </c>
      <c r="AK155" s="100">
        <f>IF(Tabla1[[#This Row],[TIPO DE CONSUMIDOR]]="MEDIO",IF(Tabla1[[#This Row],[MAYO ]]&gt;22.5,Tabla1[[#This Row],[MAYO ]]/22.5-1,0),IF(Tabla1[[#This Row],[MAYO ]]&gt;45,Tabla1[[#This Row],[MAYO ]]/45-1,0))</f>
        <v>0</v>
      </c>
      <c r="AL155" s="100">
        <f>IF(Tabla1[[#This Row],[TIPO DE CONSUMIDOR]]="MEDIO",IF(Tabla1[[#This Row],[JUNIO ]]&gt;22.5,Tabla1[[#This Row],[JUNIO ]]/22.5-1,0),IF(Tabla1[[#This Row],[JUNIO ]]&gt;45,Tabla1[[#This Row],[JUNIO ]]/45-1,0))</f>
        <v>0</v>
      </c>
      <c r="AM155" s="100">
        <f>IF(Tabla1[[#This Row],[TIPO DE CONSUMIDOR]]="MEDIO",IF(Tabla1[[#This Row],[JULIO ]]&gt;22.5,Tabla1[[#This Row],[JULIO ]]/22.5-1,0),IF(Tabla1[[#This Row],[JULIO ]]&gt;45,Tabla1[[#This Row],[JULIO ]]/45-1,0))</f>
        <v>0</v>
      </c>
      <c r="AN155" s="100">
        <f>IF(Tabla1[[#This Row],[TIPO DE CONSUMIDOR]]="MEDIO",IF(Tabla1[[#This Row],[AGOSTO]]&gt;22.5,Tabla1[[#This Row],[AGOSTO]]/22.5-1,0),IF(Tabla1[[#This Row],[AGOSTO]]&gt;45,Tabla1[[#This Row],[AGOSTO]]/45-1,0))</f>
        <v>0</v>
      </c>
      <c r="AO15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5" s="101">
        <f t="shared" si="5"/>
        <v>0</v>
      </c>
      <c r="AT155">
        <f>IF(Tabla1[[#This Row],[MES ADEUDO DE AÑOS PASADOS ]]&gt;0,1,0)</f>
        <v>1</v>
      </c>
      <c r="AU155" s="9">
        <f t="shared" si="6"/>
        <v>1</v>
      </c>
      <c r="AV155" s="60">
        <f>IF(Tabla1[[#This Row],[MESES DE ADEUDO DEL AÑO EN CURSO ]]&gt;0,1,0)</f>
        <v>0</v>
      </c>
      <c r="AW155" s="42"/>
      <c r="AX155" s="42"/>
      <c r="AY155" s="42"/>
      <c r="AZ155" s="43"/>
    </row>
    <row r="156" spans="1:52" ht="21.75" thickBot="1" x14ac:dyDescent="0.35">
      <c r="A156" s="106">
        <v>150</v>
      </c>
      <c r="B156" s="5" t="s">
        <v>280</v>
      </c>
      <c r="C156" s="2" t="s">
        <v>499</v>
      </c>
      <c r="D156" s="32"/>
      <c r="E156" s="35" t="s">
        <v>489</v>
      </c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24">
        <f>SUM(Tabla1[[#This Row],[ENERO ]:[DICIEMBRE]])</f>
        <v>0</v>
      </c>
      <c r="W156">
        <v>0</v>
      </c>
      <c r="X156" s="21">
        <f>COUNTIF(Tabla1[[#This Row],[ENERO ]:[DICIEMBRE]],0)-(AS156)-IF(Tabla1[[#This Row],[BAJAS]]="BAJA",IF(Tabla1[[#This Row],[ALTAS]]="ALTA",VLOOKUP(Tabla1[[#This Row],[MES DE ALTA ]],$AW$6:$AX$17,2,FALSE),12)-VLOOKUP(Tabla1[[#This Row],[MES DE BAJA ]],$AW$6:$AX$17,2,FALSE),0)</f>
        <v>0</v>
      </c>
      <c r="Y156" s="68">
        <f>SUM(Tabla1[[#This Row],[MES ADEUDO DE AÑOS PASADOS ]:[MESES DE ADEUDO DEL AÑO EN CURSO ]])-Tabla1[[#This Row],[PAGO DE DEUDA ANTERIOR EN MESES]]</f>
        <v>0</v>
      </c>
      <c r="Z156" s="15">
        <f>Tabla1[[#This Row],[MES ADEUDO DE AÑOS PASADOS ]]*$T$2</f>
        <v>0</v>
      </c>
      <c r="AA156" s="15">
        <f>Tabla1[[#This Row],[MESES DE ADEUDO DEL AÑO EN CURSO ]]*$T$2</f>
        <v>0</v>
      </c>
      <c r="AB156" s="69">
        <f>SUM(Tabla1[[#This Row],[DEUDA DE LOS MESES PASADOS EN $$]:[DEUDA DEL AÑO 2013 $$ ]])</f>
        <v>0</v>
      </c>
      <c r="AD156">
        <f>Tabla1[[#This Row],[PAGO DE DEUDA ANTERIOR EN MESES]]*$T$2</f>
        <v>0</v>
      </c>
      <c r="AG156" s="100">
        <f>IF(Tabla1[[#This Row],[TIPO DE CONSUMIDOR]]="MEDIO",IF(Tabla1[[#This Row],[ENERO ]]&gt;22.5,Tabla1[[#This Row],[ENERO ]]/22.5-1,0),IF(Tabla1[[#This Row],[ENERO ]]&gt;45,Tabla1[[#This Row],[ENERO ]]/45-1,0))</f>
        <v>0</v>
      </c>
      <c r="AH15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6" s="100">
        <f>IF(Tabla1[[#This Row],[TIPO DE CONSUMIDOR]]="MEDIO",IF(Tabla1[[#This Row],[MARZO]]&gt;22.5,Tabla1[[#This Row],[MARZO]]/22.5-1,0),IF(Tabla1[[#This Row],[MARZO]]&gt;45,Tabla1[[#This Row],[MARZO]]/45-1,0))</f>
        <v>0</v>
      </c>
      <c r="AJ156" s="100">
        <f>IF(Tabla1[[#This Row],[TIPO DE CONSUMIDOR]]="MEDIO",IF(Tabla1[[#This Row],[ABRIL]]&gt;22.5,Tabla1[[#This Row],[ABRIL]]/22.5-1,0),IF(Tabla1[[#This Row],[ABRIL]]&gt;45,Tabla1[[#This Row],[ABRIL]]/45-1,0))</f>
        <v>0</v>
      </c>
      <c r="AK156" s="100">
        <f>IF(Tabla1[[#This Row],[TIPO DE CONSUMIDOR]]="MEDIO",IF(Tabla1[[#This Row],[MAYO ]]&gt;22.5,Tabla1[[#This Row],[MAYO ]]/22.5-1,0),IF(Tabla1[[#This Row],[MAYO ]]&gt;45,Tabla1[[#This Row],[MAYO ]]/45-1,0))</f>
        <v>0</v>
      </c>
      <c r="AL156" s="100">
        <f>IF(Tabla1[[#This Row],[TIPO DE CONSUMIDOR]]="MEDIO",IF(Tabla1[[#This Row],[JUNIO ]]&gt;22.5,Tabla1[[#This Row],[JUNIO ]]/22.5-1,0),IF(Tabla1[[#This Row],[JUNIO ]]&gt;45,Tabla1[[#This Row],[JUNIO ]]/45-1,0))</f>
        <v>0</v>
      </c>
      <c r="AM156" s="100">
        <f>IF(Tabla1[[#This Row],[TIPO DE CONSUMIDOR]]="MEDIO",IF(Tabla1[[#This Row],[JULIO ]]&gt;22.5,Tabla1[[#This Row],[JULIO ]]/22.5-1,0),IF(Tabla1[[#This Row],[JULIO ]]&gt;45,Tabla1[[#This Row],[JULIO ]]/45-1,0))</f>
        <v>0</v>
      </c>
      <c r="AN156" s="100">
        <f>IF(Tabla1[[#This Row],[TIPO DE CONSUMIDOR]]="MEDIO",IF(Tabla1[[#This Row],[AGOSTO]]&gt;22.5,Tabla1[[#This Row],[AGOSTO]]/22.5-1,0),IF(Tabla1[[#This Row],[AGOSTO]]&gt;45,Tabla1[[#This Row],[AGOSTO]]/45-1,0))</f>
        <v>0</v>
      </c>
      <c r="AO15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6" s="101">
        <f t="shared" si="5"/>
        <v>0</v>
      </c>
      <c r="AT156">
        <f>IF(Tabla1[[#This Row],[MES ADEUDO DE AÑOS PASADOS ]]&gt;0,1,0)</f>
        <v>0</v>
      </c>
      <c r="AU156" s="9">
        <f t="shared" si="6"/>
        <v>0</v>
      </c>
      <c r="AV156" s="60">
        <f>IF(Tabla1[[#This Row],[MESES DE ADEUDO DEL AÑO EN CURSO ]]&gt;0,1,0)</f>
        <v>0</v>
      </c>
      <c r="AW156" s="42"/>
      <c r="AX156" s="42"/>
      <c r="AY156" s="42"/>
      <c r="AZ156" s="43"/>
    </row>
    <row r="157" spans="1:52" ht="21.75" thickBot="1" x14ac:dyDescent="0.35">
      <c r="A157" s="106">
        <v>151</v>
      </c>
      <c r="B157" s="5" t="s">
        <v>500</v>
      </c>
      <c r="C157" s="2" t="s">
        <v>501</v>
      </c>
      <c r="D157" s="32"/>
      <c r="E157" s="35" t="s">
        <v>455</v>
      </c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24">
        <f>SUM(Tabla1[[#This Row],[ENERO ]:[DICIEMBRE]])</f>
        <v>0</v>
      </c>
      <c r="W157">
        <v>0</v>
      </c>
      <c r="X157" s="21">
        <f>COUNTIF(Tabla1[[#This Row],[ENERO ]:[DICIEMBRE]],0)-(AS157)-IF(Tabla1[[#This Row],[BAJAS]]="BAJA",IF(Tabla1[[#This Row],[ALTAS]]="ALTA",VLOOKUP(Tabla1[[#This Row],[MES DE ALTA ]],$AW$6:$AX$17,2,FALSE),12)-VLOOKUP(Tabla1[[#This Row],[MES DE BAJA ]],$AW$6:$AX$17,2,FALSE),0)</f>
        <v>0</v>
      </c>
      <c r="Y157" s="68">
        <f>SUM(Tabla1[[#This Row],[MES ADEUDO DE AÑOS PASADOS ]:[MESES DE ADEUDO DEL AÑO EN CURSO ]])-Tabla1[[#This Row],[PAGO DE DEUDA ANTERIOR EN MESES]]</f>
        <v>0</v>
      </c>
      <c r="Z157" s="15">
        <f>Tabla1[[#This Row],[MES ADEUDO DE AÑOS PASADOS ]]*$T$2</f>
        <v>0</v>
      </c>
      <c r="AA157" s="15">
        <f>Tabla1[[#This Row],[MESES DE ADEUDO DEL AÑO EN CURSO ]]*$T$2</f>
        <v>0</v>
      </c>
      <c r="AB157" s="69">
        <f>SUM(Tabla1[[#This Row],[DEUDA DE LOS MESES PASADOS EN $$]:[DEUDA DEL AÑO 2013 $$ ]])</f>
        <v>0</v>
      </c>
      <c r="AD157">
        <f>Tabla1[[#This Row],[PAGO DE DEUDA ANTERIOR EN MESES]]*$T$2</f>
        <v>0</v>
      </c>
      <c r="AG157" s="100">
        <f>IF(Tabla1[[#This Row],[TIPO DE CONSUMIDOR]]="MEDIO",IF(Tabla1[[#This Row],[ENERO ]]&gt;22.5,Tabla1[[#This Row],[ENERO ]]/22.5-1,0),IF(Tabla1[[#This Row],[ENERO ]]&gt;45,Tabla1[[#This Row],[ENERO ]]/45-1,0))</f>
        <v>0</v>
      </c>
      <c r="AH15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7" s="100">
        <f>IF(Tabla1[[#This Row],[TIPO DE CONSUMIDOR]]="MEDIO",IF(Tabla1[[#This Row],[MARZO]]&gt;22.5,Tabla1[[#This Row],[MARZO]]/22.5-1,0),IF(Tabla1[[#This Row],[MARZO]]&gt;45,Tabla1[[#This Row],[MARZO]]/45-1,0))</f>
        <v>0</v>
      </c>
      <c r="AJ157" s="100">
        <f>IF(Tabla1[[#This Row],[TIPO DE CONSUMIDOR]]="MEDIO",IF(Tabla1[[#This Row],[ABRIL]]&gt;22.5,Tabla1[[#This Row],[ABRIL]]/22.5-1,0),IF(Tabla1[[#This Row],[ABRIL]]&gt;45,Tabla1[[#This Row],[ABRIL]]/45-1,0))</f>
        <v>0</v>
      </c>
      <c r="AK157" s="100">
        <f>IF(Tabla1[[#This Row],[TIPO DE CONSUMIDOR]]="MEDIO",IF(Tabla1[[#This Row],[MAYO ]]&gt;22.5,Tabla1[[#This Row],[MAYO ]]/22.5-1,0),IF(Tabla1[[#This Row],[MAYO ]]&gt;45,Tabla1[[#This Row],[MAYO ]]/45-1,0))</f>
        <v>0</v>
      </c>
      <c r="AL157" s="100">
        <f>IF(Tabla1[[#This Row],[TIPO DE CONSUMIDOR]]="MEDIO",IF(Tabla1[[#This Row],[JUNIO ]]&gt;22.5,Tabla1[[#This Row],[JUNIO ]]/22.5-1,0),IF(Tabla1[[#This Row],[JUNIO ]]&gt;45,Tabla1[[#This Row],[JUNIO ]]/45-1,0))</f>
        <v>0</v>
      </c>
      <c r="AM157" s="100">
        <f>IF(Tabla1[[#This Row],[TIPO DE CONSUMIDOR]]="MEDIO",IF(Tabla1[[#This Row],[JULIO ]]&gt;22.5,Tabla1[[#This Row],[JULIO ]]/22.5-1,0),IF(Tabla1[[#This Row],[JULIO ]]&gt;45,Tabla1[[#This Row],[JULIO ]]/45-1,0))</f>
        <v>0</v>
      </c>
      <c r="AN157" s="100">
        <f>IF(Tabla1[[#This Row],[TIPO DE CONSUMIDOR]]="MEDIO",IF(Tabla1[[#This Row],[AGOSTO]]&gt;22.5,Tabla1[[#This Row],[AGOSTO]]/22.5-1,0),IF(Tabla1[[#This Row],[AGOSTO]]&gt;45,Tabla1[[#This Row],[AGOSTO]]/45-1,0))</f>
        <v>0</v>
      </c>
      <c r="AO15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7" s="101">
        <f t="shared" si="5"/>
        <v>0</v>
      </c>
      <c r="AT157">
        <f>IF(Tabla1[[#This Row],[MES ADEUDO DE AÑOS PASADOS ]]&gt;0,1,0)</f>
        <v>0</v>
      </c>
      <c r="AU157" s="9">
        <f t="shared" si="6"/>
        <v>0</v>
      </c>
      <c r="AV157" s="60">
        <f>IF(Tabla1[[#This Row],[MESES DE ADEUDO DEL AÑO EN CURSO ]]&gt;0,1,0)</f>
        <v>0</v>
      </c>
      <c r="AW157" s="42"/>
      <c r="AX157" s="42"/>
      <c r="AY157" s="42"/>
      <c r="AZ157" s="43"/>
    </row>
    <row r="158" spans="1:52" ht="21.75" thickBot="1" x14ac:dyDescent="0.35">
      <c r="A158" s="106">
        <v>152</v>
      </c>
      <c r="B158" s="5" t="s">
        <v>502</v>
      </c>
      <c r="C158" s="2" t="s">
        <v>501</v>
      </c>
      <c r="D158" s="32"/>
      <c r="E158" s="35" t="s">
        <v>455</v>
      </c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24">
        <f>SUM(Tabla1[[#This Row],[ENERO ]:[DICIEMBRE]])</f>
        <v>0</v>
      </c>
      <c r="W158">
        <v>0</v>
      </c>
      <c r="X158" s="21">
        <f>COUNTIF(Tabla1[[#This Row],[ENERO ]:[DICIEMBRE]],0)-(AS158)-IF(Tabla1[[#This Row],[BAJAS]]="BAJA",IF(Tabla1[[#This Row],[ALTAS]]="ALTA",VLOOKUP(Tabla1[[#This Row],[MES DE ALTA ]],$AW$6:$AX$17,2,FALSE),12)-VLOOKUP(Tabla1[[#This Row],[MES DE BAJA ]],$AW$6:$AX$17,2,FALSE),0)</f>
        <v>0</v>
      </c>
      <c r="Y158" s="68">
        <f>SUM(Tabla1[[#This Row],[MES ADEUDO DE AÑOS PASADOS ]:[MESES DE ADEUDO DEL AÑO EN CURSO ]])-Tabla1[[#This Row],[PAGO DE DEUDA ANTERIOR EN MESES]]</f>
        <v>0</v>
      </c>
      <c r="Z158" s="15">
        <f>Tabla1[[#This Row],[MES ADEUDO DE AÑOS PASADOS ]]*$T$2</f>
        <v>0</v>
      </c>
      <c r="AA158" s="15">
        <f>Tabla1[[#This Row],[MESES DE ADEUDO DEL AÑO EN CURSO ]]*$T$2</f>
        <v>0</v>
      </c>
      <c r="AB158" s="69">
        <f>SUM(Tabla1[[#This Row],[DEUDA DE LOS MESES PASADOS EN $$]:[DEUDA DEL AÑO 2013 $$ ]])</f>
        <v>0</v>
      </c>
      <c r="AD158">
        <f>Tabla1[[#This Row],[PAGO DE DEUDA ANTERIOR EN MESES]]*$T$2</f>
        <v>0</v>
      </c>
      <c r="AG158" s="100">
        <f>IF(Tabla1[[#This Row],[TIPO DE CONSUMIDOR]]="MEDIO",IF(Tabla1[[#This Row],[ENERO ]]&gt;22.5,Tabla1[[#This Row],[ENERO ]]/22.5-1,0),IF(Tabla1[[#This Row],[ENERO ]]&gt;45,Tabla1[[#This Row],[ENERO ]]/45-1,0))</f>
        <v>0</v>
      </c>
      <c r="AH15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8" s="100">
        <f>IF(Tabla1[[#This Row],[TIPO DE CONSUMIDOR]]="MEDIO",IF(Tabla1[[#This Row],[MARZO]]&gt;22.5,Tabla1[[#This Row],[MARZO]]/22.5-1,0),IF(Tabla1[[#This Row],[MARZO]]&gt;45,Tabla1[[#This Row],[MARZO]]/45-1,0))</f>
        <v>0</v>
      </c>
      <c r="AJ158" s="100">
        <f>IF(Tabla1[[#This Row],[TIPO DE CONSUMIDOR]]="MEDIO",IF(Tabla1[[#This Row],[ABRIL]]&gt;22.5,Tabla1[[#This Row],[ABRIL]]/22.5-1,0),IF(Tabla1[[#This Row],[ABRIL]]&gt;45,Tabla1[[#This Row],[ABRIL]]/45-1,0))</f>
        <v>0</v>
      </c>
      <c r="AK158" s="100">
        <f>IF(Tabla1[[#This Row],[TIPO DE CONSUMIDOR]]="MEDIO",IF(Tabla1[[#This Row],[MAYO ]]&gt;22.5,Tabla1[[#This Row],[MAYO ]]/22.5-1,0),IF(Tabla1[[#This Row],[MAYO ]]&gt;45,Tabla1[[#This Row],[MAYO ]]/45-1,0))</f>
        <v>0</v>
      </c>
      <c r="AL158" s="100">
        <f>IF(Tabla1[[#This Row],[TIPO DE CONSUMIDOR]]="MEDIO",IF(Tabla1[[#This Row],[JUNIO ]]&gt;22.5,Tabla1[[#This Row],[JUNIO ]]/22.5-1,0),IF(Tabla1[[#This Row],[JUNIO ]]&gt;45,Tabla1[[#This Row],[JUNIO ]]/45-1,0))</f>
        <v>0</v>
      </c>
      <c r="AM158" s="100">
        <f>IF(Tabla1[[#This Row],[TIPO DE CONSUMIDOR]]="MEDIO",IF(Tabla1[[#This Row],[JULIO ]]&gt;22.5,Tabla1[[#This Row],[JULIO ]]/22.5-1,0),IF(Tabla1[[#This Row],[JULIO ]]&gt;45,Tabla1[[#This Row],[JULIO ]]/45-1,0))</f>
        <v>0</v>
      </c>
      <c r="AN158" s="100">
        <f>IF(Tabla1[[#This Row],[TIPO DE CONSUMIDOR]]="MEDIO",IF(Tabla1[[#This Row],[AGOSTO]]&gt;22.5,Tabla1[[#This Row],[AGOSTO]]/22.5-1,0),IF(Tabla1[[#This Row],[AGOSTO]]&gt;45,Tabla1[[#This Row],[AGOSTO]]/45-1,0))</f>
        <v>0</v>
      </c>
      <c r="AO15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8" s="101">
        <f t="shared" si="5"/>
        <v>0</v>
      </c>
      <c r="AT158">
        <f>IF(Tabla1[[#This Row],[MES ADEUDO DE AÑOS PASADOS ]]&gt;0,1,0)</f>
        <v>0</v>
      </c>
      <c r="AU158" s="9">
        <f t="shared" si="6"/>
        <v>0</v>
      </c>
      <c r="AV158" s="60">
        <f>IF(Tabla1[[#This Row],[MESES DE ADEUDO DEL AÑO EN CURSO ]]&gt;0,1,0)</f>
        <v>0</v>
      </c>
      <c r="AW158" s="42"/>
      <c r="AX158" s="42"/>
      <c r="AY158" s="42"/>
      <c r="AZ158" s="43"/>
    </row>
    <row r="159" spans="1:52" ht="21.75" thickBot="1" x14ac:dyDescent="0.35">
      <c r="A159" s="106">
        <v>153</v>
      </c>
      <c r="B159" s="5" t="s">
        <v>90</v>
      </c>
      <c r="C159" s="2" t="s">
        <v>501</v>
      </c>
      <c r="D159" s="32"/>
      <c r="E159" s="35" t="s">
        <v>455</v>
      </c>
      <c r="F159" s="34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7"/>
      <c r="R159" s="24">
        <f>SUM(Tabla1[[#This Row],[ENERO ]:[DICIEMBRE]])</f>
        <v>0</v>
      </c>
      <c r="W159">
        <v>0</v>
      </c>
      <c r="X159" s="21">
        <f>COUNTIF(Tabla1[[#This Row],[ENERO ]:[DICIEMBRE]],0)-(AS159)-IF(Tabla1[[#This Row],[BAJAS]]="BAJA",IF(Tabla1[[#This Row],[ALTAS]]="ALTA",VLOOKUP(Tabla1[[#This Row],[MES DE ALTA ]],$AW$6:$AX$17,2,FALSE),12)-VLOOKUP(Tabla1[[#This Row],[MES DE BAJA ]],$AW$6:$AX$17,2,FALSE),0)</f>
        <v>0</v>
      </c>
      <c r="Y159" s="68">
        <f>SUM(Tabla1[[#This Row],[MES ADEUDO DE AÑOS PASADOS ]:[MESES DE ADEUDO DEL AÑO EN CURSO ]])-Tabla1[[#This Row],[PAGO DE DEUDA ANTERIOR EN MESES]]</f>
        <v>0</v>
      </c>
      <c r="Z159" s="15">
        <f>Tabla1[[#This Row],[MES ADEUDO DE AÑOS PASADOS ]]*$T$2</f>
        <v>0</v>
      </c>
      <c r="AA159" s="15">
        <f>Tabla1[[#This Row],[MESES DE ADEUDO DEL AÑO EN CURSO ]]*$T$2</f>
        <v>0</v>
      </c>
      <c r="AB159" s="69">
        <f>SUM(Tabla1[[#This Row],[DEUDA DE LOS MESES PASADOS EN $$]:[DEUDA DEL AÑO 2013 $$ ]])</f>
        <v>0</v>
      </c>
      <c r="AD159">
        <f>Tabla1[[#This Row],[PAGO DE DEUDA ANTERIOR EN MESES]]*$T$2</f>
        <v>0</v>
      </c>
      <c r="AG159" s="100">
        <f>IF(Tabla1[[#This Row],[TIPO DE CONSUMIDOR]]="MEDIO",IF(Tabla1[[#This Row],[ENERO ]]&gt;22.5,Tabla1[[#This Row],[ENERO ]]/22.5-1,0),IF(Tabla1[[#This Row],[ENERO ]]&gt;45,Tabla1[[#This Row],[ENERO ]]/45-1,0))</f>
        <v>0</v>
      </c>
      <c r="AH15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59" s="100">
        <f>IF(Tabla1[[#This Row],[TIPO DE CONSUMIDOR]]="MEDIO",IF(Tabla1[[#This Row],[MARZO]]&gt;22.5,Tabla1[[#This Row],[MARZO]]/22.5-1,0),IF(Tabla1[[#This Row],[MARZO]]&gt;45,Tabla1[[#This Row],[MARZO]]/45-1,0))</f>
        <v>0</v>
      </c>
      <c r="AJ159" s="100">
        <f>IF(Tabla1[[#This Row],[TIPO DE CONSUMIDOR]]="MEDIO",IF(Tabla1[[#This Row],[ABRIL]]&gt;22.5,Tabla1[[#This Row],[ABRIL]]/22.5-1,0),IF(Tabla1[[#This Row],[ABRIL]]&gt;45,Tabla1[[#This Row],[ABRIL]]/45-1,0))</f>
        <v>0</v>
      </c>
      <c r="AK159" s="100">
        <f>IF(Tabla1[[#This Row],[TIPO DE CONSUMIDOR]]="MEDIO",IF(Tabla1[[#This Row],[MAYO ]]&gt;22.5,Tabla1[[#This Row],[MAYO ]]/22.5-1,0),IF(Tabla1[[#This Row],[MAYO ]]&gt;45,Tabla1[[#This Row],[MAYO ]]/45-1,0))</f>
        <v>0</v>
      </c>
      <c r="AL159" s="100">
        <f>IF(Tabla1[[#This Row],[TIPO DE CONSUMIDOR]]="MEDIO",IF(Tabla1[[#This Row],[JUNIO ]]&gt;22.5,Tabla1[[#This Row],[JUNIO ]]/22.5-1,0),IF(Tabla1[[#This Row],[JUNIO ]]&gt;45,Tabla1[[#This Row],[JUNIO ]]/45-1,0))</f>
        <v>0</v>
      </c>
      <c r="AM159" s="100">
        <f>IF(Tabla1[[#This Row],[TIPO DE CONSUMIDOR]]="MEDIO",IF(Tabla1[[#This Row],[JULIO ]]&gt;22.5,Tabla1[[#This Row],[JULIO ]]/22.5-1,0),IF(Tabla1[[#This Row],[JULIO ]]&gt;45,Tabla1[[#This Row],[JULIO ]]/45-1,0))</f>
        <v>0</v>
      </c>
      <c r="AN159" s="100">
        <f>IF(Tabla1[[#This Row],[TIPO DE CONSUMIDOR]]="MEDIO",IF(Tabla1[[#This Row],[AGOSTO]]&gt;22.5,Tabla1[[#This Row],[AGOSTO]]/22.5-1,0),IF(Tabla1[[#This Row],[AGOSTO]]&gt;45,Tabla1[[#This Row],[AGOSTO]]/45-1,0))</f>
        <v>0</v>
      </c>
      <c r="AO15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5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5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5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59" s="101">
        <f t="shared" si="5"/>
        <v>0</v>
      </c>
      <c r="AT159">
        <f>IF(Tabla1[[#This Row],[MES ADEUDO DE AÑOS PASADOS ]]&gt;0,1,0)</f>
        <v>0</v>
      </c>
      <c r="AU159" s="9">
        <f t="shared" si="6"/>
        <v>0</v>
      </c>
      <c r="AV159" s="60">
        <f>IF(Tabla1[[#This Row],[MESES DE ADEUDO DEL AÑO EN CURSO ]]&gt;0,1,0)</f>
        <v>0</v>
      </c>
      <c r="AW159" s="42"/>
      <c r="AX159" s="42"/>
      <c r="AY159" s="42"/>
      <c r="AZ159" s="43"/>
    </row>
    <row r="160" spans="1:52" ht="21.75" thickBot="1" x14ac:dyDescent="0.35">
      <c r="A160" s="106">
        <v>154</v>
      </c>
      <c r="B160" s="5" t="s">
        <v>244</v>
      </c>
      <c r="C160" s="2" t="s">
        <v>501</v>
      </c>
      <c r="D160" s="32"/>
      <c r="E160" s="35" t="s">
        <v>455</v>
      </c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24">
        <f>SUM(Tabla1[[#This Row],[ENERO ]:[DICIEMBRE]])</f>
        <v>0</v>
      </c>
      <c r="W160">
        <v>0</v>
      </c>
      <c r="X160" s="21">
        <f>COUNTIF(Tabla1[[#This Row],[ENERO ]:[DICIEMBRE]],0)-(AS160)-IF(Tabla1[[#This Row],[BAJAS]]="BAJA",IF(Tabla1[[#This Row],[ALTAS]]="ALTA",VLOOKUP(Tabla1[[#This Row],[MES DE ALTA ]],$AW$6:$AX$17,2,FALSE),12)-VLOOKUP(Tabla1[[#This Row],[MES DE BAJA ]],$AW$6:$AX$17,2,FALSE),0)</f>
        <v>0</v>
      </c>
      <c r="Y160" s="68">
        <f>SUM(Tabla1[[#This Row],[MES ADEUDO DE AÑOS PASADOS ]:[MESES DE ADEUDO DEL AÑO EN CURSO ]])-Tabla1[[#This Row],[PAGO DE DEUDA ANTERIOR EN MESES]]</f>
        <v>0</v>
      </c>
      <c r="Z160" s="15">
        <f>Tabla1[[#This Row],[MES ADEUDO DE AÑOS PASADOS ]]*$T$2</f>
        <v>0</v>
      </c>
      <c r="AA160" s="15">
        <f>Tabla1[[#This Row],[MESES DE ADEUDO DEL AÑO EN CURSO ]]*$T$2</f>
        <v>0</v>
      </c>
      <c r="AB160" s="69">
        <f>SUM(Tabla1[[#This Row],[DEUDA DE LOS MESES PASADOS EN $$]:[DEUDA DEL AÑO 2013 $$ ]])</f>
        <v>0</v>
      </c>
      <c r="AD160">
        <f>Tabla1[[#This Row],[PAGO DE DEUDA ANTERIOR EN MESES]]*$T$2</f>
        <v>0</v>
      </c>
      <c r="AG160" s="100">
        <f>IF(Tabla1[[#This Row],[TIPO DE CONSUMIDOR]]="MEDIO",IF(Tabla1[[#This Row],[ENERO ]]&gt;22.5,Tabla1[[#This Row],[ENERO ]]/22.5-1,0),IF(Tabla1[[#This Row],[ENERO ]]&gt;45,Tabla1[[#This Row],[ENERO ]]/45-1,0))</f>
        <v>0</v>
      </c>
      <c r="AH16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0" s="100">
        <f>IF(Tabla1[[#This Row],[TIPO DE CONSUMIDOR]]="MEDIO",IF(Tabla1[[#This Row],[MARZO]]&gt;22.5,Tabla1[[#This Row],[MARZO]]/22.5-1,0),IF(Tabla1[[#This Row],[MARZO]]&gt;45,Tabla1[[#This Row],[MARZO]]/45-1,0))</f>
        <v>0</v>
      </c>
      <c r="AJ160" s="100">
        <f>IF(Tabla1[[#This Row],[TIPO DE CONSUMIDOR]]="MEDIO",IF(Tabla1[[#This Row],[ABRIL]]&gt;22.5,Tabla1[[#This Row],[ABRIL]]/22.5-1,0),IF(Tabla1[[#This Row],[ABRIL]]&gt;45,Tabla1[[#This Row],[ABRIL]]/45-1,0))</f>
        <v>0</v>
      </c>
      <c r="AK160" s="100">
        <f>IF(Tabla1[[#This Row],[TIPO DE CONSUMIDOR]]="MEDIO",IF(Tabla1[[#This Row],[MAYO ]]&gt;22.5,Tabla1[[#This Row],[MAYO ]]/22.5-1,0),IF(Tabla1[[#This Row],[MAYO ]]&gt;45,Tabla1[[#This Row],[MAYO ]]/45-1,0))</f>
        <v>0</v>
      </c>
      <c r="AL160" s="100">
        <f>IF(Tabla1[[#This Row],[TIPO DE CONSUMIDOR]]="MEDIO",IF(Tabla1[[#This Row],[JUNIO ]]&gt;22.5,Tabla1[[#This Row],[JUNIO ]]/22.5-1,0),IF(Tabla1[[#This Row],[JUNIO ]]&gt;45,Tabla1[[#This Row],[JUNIO ]]/45-1,0))</f>
        <v>0</v>
      </c>
      <c r="AM160" s="100">
        <f>IF(Tabla1[[#This Row],[TIPO DE CONSUMIDOR]]="MEDIO",IF(Tabla1[[#This Row],[JULIO ]]&gt;22.5,Tabla1[[#This Row],[JULIO ]]/22.5-1,0),IF(Tabla1[[#This Row],[JULIO ]]&gt;45,Tabla1[[#This Row],[JULIO ]]/45-1,0))</f>
        <v>0</v>
      </c>
      <c r="AN160" s="100">
        <f>IF(Tabla1[[#This Row],[TIPO DE CONSUMIDOR]]="MEDIO",IF(Tabla1[[#This Row],[AGOSTO]]&gt;22.5,Tabla1[[#This Row],[AGOSTO]]/22.5-1,0),IF(Tabla1[[#This Row],[AGOSTO]]&gt;45,Tabla1[[#This Row],[AGOSTO]]/45-1,0))</f>
        <v>0</v>
      </c>
      <c r="AO16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0" s="101">
        <f t="shared" si="5"/>
        <v>0</v>
      </c>
      <c r="AT160">
        <f>IF(Tabla1[[#This Row],[MES ADEUDO DE AÑOS PASADOS ]]&gt;0,1,0)</f>
        <v>0</v>
      </c>
      <c r="AU160" s="9">
        <f t="shared" si="6"/>
        <v>0</v>
      </c>
      <c r="AV160" s="60">
        <f>IF(Tabla1[[#This Row],[MESES DE ADEUDO DEL AÑO EN CURSO ]]&gt;0,1,0)</f>
        <v>0</v>
      </c>
      <c r="AW160" s="42"/>
      <c r="AX160" s="42"/>
      <c r="AY160" s="42"/>
      <c r="AZ160" s="43"/>
    </row>
    <row r="161" spans="1:52" ht="21.75" thickBot="1" x14ac:dyDescent="0.35">
      <c r="A161" s="106">
        <v>155</v>
      </c>
      <c r="B161" s="5" t="s">
        <v>353</v>
      </c>
      <c r="C161" s="2" t="s">
        <v>501</v>
      </c>
      <c r="D161" s="32"/>
      <c r="E161" s="35" t="s">
        <v>455</v>
      </c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24">
        <f>SUM(Tabla1[[#This Row],[ENERO ]:[DICIEMBRE]])</f>
        <v>0</v>
      </c>
      <c r="W161">
        <v>0</v>
      </c>
      <c r="X161" s="21">
        <f>COUNTIF(Tabla1[[#This Row],[ENERO ]:[DICIEMBRE]],0)-(AS161)-IF(Tabla1[[#This Row],[BAJAS]]="BAJA",IF(Tabla1[[#This Row],[ALTAS]]="ALTA",VLOOKUP(Tabla1[[#This Row],[MES DE ALTA ]],$AW$6:$AX$17,2,FALSE),12)-VLOOKUP(Tabla1[[#This Row],[MES DE BAJA ]],$AW$6:$AX$17,2,FALSE),0)</f>
        <v>0</v>
      </c>
      <c r="Y161" s="68">
        <f>SUM(Tabla1[[#This Row],[MES ADEUDO DE AÑOS PASADOS ]:[MESES DE ADEUDO DEL AÑO EN CURSO ]])-Tabla1[[#This Row],[PAGO DE DEUDA ANTERIOR EN MESES]]</f>
        <v>0</v>
      </c>
      <c r="Z161" s="15">
        <f>Tabla1[[#This Row],[MES ADEUDO DE AÑOS PASADOS ]]*$T$2</f>
        <v>0</v>
      </c>
      <c r="AA161" s="15">
        <f>Tabla1[[#This Row],[MESES DE ADEUDO DEL AÑO EN CURSO ]]*$T$2</f>
        <v>0</v>
      </c>
      <c r="AB161" s="69">
        <f>SUM(Tabla1[[#This Row],[DEUDA DE LOS MESES PASADOS EN $$]:[DEUDA DEL AÑO 2013 $$ ]])</f>
        <v>0</v>
      </c>
      <c r="AD161">
        <f>Tabla1[[#This Row],[PAGO DE DEUDA ANTERIOR EN MESES]]*$T$2</f>
        <v>0</v>
      </c>
      <c r="AG161" s="100">
        <f>IF(Tabla1[[#This Row],[TIPO DE CONSUMIDOR]]="MEDIO",IF(Tabla1[[#This Row],[ENERO ]]&gt;22.5,Tabla1[[#This Row],[ENERO ]]/22.5-1,0),IF(Tabla1[[#This Row],[ENERO ]]&gt;45,Tabla1[[#This Row],[ENERO ]]/45-1,0))</f>
        <v>0</v>
      </c>
      <c r="AH16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1" s="100">
        <f>IF(Tabla1[[#This Row],[TIPO DE CONSUMIDOR]]="MEDIO",IF(Tabla1[[#This Row],[MARZO]]&gt;22.5,Tabla1[[#This Row],[MARZO]]/22.5-1,0),IF(Tabla1[[#This Row],[MARZO]]&gt;45,Tabla1[[#This Row],[MARZO]]/45-1,0))</f>
        <v>0</v>
      </c>
      <c r="AJ161" s="100">
        <f>IF(Tabla1[[#This Row],[TIPO DE CONSUMIDOR]]="MEDIO",IF(Tabla1[[#This Row],[ABRIL]]&gt;22.5,Tabla1[[#This Row],[ABRIL]]/22.5-1,0),IF(Tabla1[[#This Row],[ABRIL]]&gt;45,Tabla1[[#This Row],[ABRIL]]/45-1,0))</f>
        <v>0</v>
      </c>
      <c r="AK161" s="100">
        <f>IF(Tabla1[[#This Row],[TIPO DE CONSUMIDOR]]="MEDIO",IF(Tabla1[[#This Row],[MAYO ]]&gt;22.5,Tabla1[[#This Row],[MAYO ]]/22.5-1,0),IF(Tabla1[[#This Row],[MAYO ]]&gt;45,Tabla1[[#This Row],[MAYO ]]/45-1,0))</f>
        <v>0</v>
      </c>
      <c r="AL161" s="100">
        <f>IF(Tabla1[[#This Row],[TIPO DE CONSUMIDOR]]="MEDIO",IF(Tabla1[[#This Row],[JUNIO ]]&gt;22.5,Tabla1[[#This Row],[JUNIO ]]/22.5-1,0),IF(Tabla1[[#This Row],[JUNIO ]]&gt;45,Tabla1[[#This Row],[JUNIO ]]/45-1,0))</f>
        <v>0</v>
      </c>
      <c r="AM161" s="100">
        <f>IF(Tabla1[[#This Row],[TIPO DE CONSUMIDOR]]="MEDIO",IF(Tabla1[[#This Row],[JULIO ]]&gt;22.5,Tabla1[[#This Row],[JULIO ]]/22.5-1,0),IF(Tabla1[[#This Row],[JULIO ]]&gt;45,Tabla1[[#This Row],[JULIO ]]/45-1,0))</f>
        <v>0</v>
      </c>
      <c r="AN161" s="100">
        <f>IF(Tabla1[[#This Row],[TIPO DE CONSUMIDOR]]="MEDIO",IF(Tabla1[[#This Row],[AGOSTO]]&gt;22.5,Tabla1[[#This Row],[AGOSTO]]/22.5-1,0),IF(Tabla1[[#This Row],[AGOSTO]]&gt;45,Tabla1[[#This Row],[AGOSTO]]/45-1,0))</f>
        <v>0</v>
      </c>
      <c r="AO16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1" s="101">
        <f t="shared" si="5"/>
        <v>0</v>
      </c>
      <c r="AT161">
        <f>IF(Tabla1[[#This Row],[MES ADEUDO DE AÑOS PASADOS ]]&gt;0,1,0)</f>
        <v>0</v>
      </c>
      <c r="AU161" s="9">
        <f t="shared" si="6"/>
        <v>0</v>
      </c>
      <c r="AV161" s="60">
        <f>IF(Tabla1[[#This Row],[MESES DE ADEUDO DEL AÑO EN CURSO ]]&gt;0,1,0)</f>
        <v>0</v>
      </c>
      <c r="AW161" s="42"/>
      <c r="AX161" s="42"/>
      <c r="AY161" s="42"/>
      <c r="AZ161" s="43"/>
    </row>
    <row r="162" spans="1:52" ht="21.75" thickBot="1" x14ac:dyDescent="0.35">
      <c r="A162" s="106">
        <v>156</v>
      </c>
      <c r="B162" s="5" t="s">
        <v>287</v>
      </c>
      <c r="C162" s="2" t="s">
        <v>501</v>
      </c>
      <c r="D162" s="32"/>
      <c r="E162" s="35" t="s">
        <v>455</v>
      </c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24">
        <f>SUM(Tabla1[[#This Row],[ENERO ]:[DICIEMBRE]])</f>
        <v>0</v>
      </c>
      <c r="W162">
        <v>2</v>
      </c>
      <c r="X162" s="21">
        <f>COUNTIF(Tabla1[[#This Row],[ENERO ]:[DICIEMBRE]],0)-(AS162)-IF(Tabla1[[#This Row],[BAJAS]]="BAJA",IF(Tabla1[[#This Row],[ALTAS]]="ALTA",VLOOKUP(Tabla1[[#This Row],[MES DE ALTA ]],$AW$6:$AX$17,2,FALSE),12)-VLOOKUP(Tabla1[[#This Row],[MES DE BAJA ]],$AW$6:$AX$17,2,FALSE),0)</f>
        <v>0</v>
      </c>
      <c r="Y162" s="68">
        <f>SUM(Tabla1[[#This Row],[MES ADEUDO DE AÑOS PASADOS ]:[MESES DE ADEUDO DEL AÑO EN CURSO ]])-Tabla1[[#This Row],[PAGO DE DEUDA ANTERIOR EN MESES]]</f>
        <v>2</v>
      </c>
      <c r="Z162" s="15">
        <f>Tabla1[[#This Row],[MES ADEUDO DE AÑOS PASADOS ]]*$T$2</f>
        <v>90</v>
      </c>
      <c r="AA162" s="15">
        <f>Tabla1[[#This Row],[MESES DE ADEUDO DEL AÑO EN CURSO ]]*$T$2</f>
        <v>0</v>
      </c>
      <c r="AB162" s="69">
        <f>SUM(Tabla1[[#This Row],[DEUDA DE LOS MESES PASADOS EN $$]:[DEUDA DEL AÑO 2013 $$ ]])</f>
        <v>90</v>
      </c>
      <c r="AD162">
        <f>Tabla1[[#This Row],[PAGO DE DEUDA ANTERIOR EN MESES]]*$T$2</f>
        <v>0</v>
      </c>
      <c r="AG162" s="100">
        <f>IF(Tabla1[[#This Row],[TIPO DE CONSUMIDOR]]="MEDIO",IF(Tabla1[[#This Row],[ENERO ]]&gt;22.5,Tabla1[[#This Row],[ENERO ]]/22.5-1,0),IF(Tabla1[[#This Row],[ENERO ]]&gt;45,Tabla1[[#This Row],[ENERO ]]/45-1,0))</f>
        <v>0</v>
      </c>
      <c r="AH16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2" s="100">
        <f>IF(Tabla1[[#This Row],[TIPO DE CONSUMIDOR]]="MEDIO",IF(Tabla1[[#This Row],[MARZO]]&gt;22.5,Tabla1[[#This Row],[MARZO]]/22.5-1,0),IF(Tabla1[[#This Row],[MARZO]]&gt;45,Tabla1[[#This Row],[MARZO]]/45-1,0))</f>
        <v>0</v>
      </c>
      <c r="AJ162" s="100">
        <f>IF(Tabla1[[#This Row],[TIPO DE CONSUMIDOR]]="MEDIO",IF(Tabla1[[#This Row],[ABRIL]]&gt;22.5,Tabla1[[#This Row],[ABRIL]]/22.5-1,0),IF(Tabla1[[#This Row],[ABRIL]]&gt;45,Tabla1[[#This Row],[ABRIL]]/45-1,0))</f>
        <v>0</v>
      </c>
      <c r="AK162" s="100">
        <f>IF(Tabla1[[#This Row],[TIPO DE CONSUMIDOR]]="MEDIO",IF(Tabla1[[#This Row],[MAYO ]]&gt;22.5,Tabla1[[#This Row],[MAYO ]]/22.5-1,0),IF(Tabla1[[#This Row],[MAYO ]]&gt;45,Tabla1[[#This Row],[MAYO ]]/45-1,0))</f>
        <v>0</v>
      </c>
      <c r="AL162" s="100">
        <f>IF(Tabla1[[#This Row],[TIPO DE CONSUMIDOR]]="MEDIO",IF(Tabla1[[#This Row],[JUNIO ]]&gt;22.5,Tabla1[[#This Row],[JUNIO ]]/22.5-1,0),IF(Tabla1[[#This Row],[JUNIO ]]&gt;45,Tabla1[[#This Row],[JUNIO ]]/45-1,0))</f>
        <v>0</v>
      </c>
      <c r="AM162" s="100">
        <f>IF(Tabla1[[#This Row],[TIPO DE CONSUMIDOR]]="MEDIO",IF(Tabla1[[#This Row],[JULIO ]]&gt;22.5,Tabla1[[#This Row],[JULIO ]]/22.5-1,0),IF(Tabla1[[#This Row],[JULIO ]]&gt;45,Tabla1[[#This Row],[JULIO ]]/45-1,0))</f>
        <v>0</v>
      </c>
      <c r="AN162" s="100">
        <f>IF(Tabla1[[#This Row],[TIPO DE CONSUMIDOR]]="MEDIO",IF(Tabla1[[#This Row],[AGOSTO]]&gt;22.5,Tabla1[[#This Row],[AGOSTO]]/22.5-1,0),IF(Tabla1[[#This Row],[AGOSTO]]&gt;45,Tabla1[[#This Row],[AGOSTO]]/45-1,0))</f>
        <v>0</v>
      </c>
      <c r="AO16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2" s="101">
        <f t="shared" si="5"/>
        <v>0</v>
      </c>
      <c r="AT162">
        <f>IF(Tabla1[[#This Row],[MES ADEUDO DE AÑOS PASADOS ]]&gt;0,1,0)</f>
        <v>1</v>
      </c>
      <c r="AU162" s="9">
        <f t="shared" si="6"/>
        <v>1</v>
      </c>
      <c r="AV162" s="60">
        <f>IF(Tabla1[[#This Row],[MESES DE ADEUDO DEL AÑO EN CURSO ]]&gt;0,1,0)</f>
        <v>0</v>
      </c>
      <c r="AW162" s="42"/>
      <c r="AX162" s="42"/>
      <c r="AY162" s="42"/>
      <c r="AZ162" s="43"/>
    </row>
    <row r="163" spans="1:52" ht="21.75" thickBot="1" x14ac:dyDescent="0.35">
      <c r="A163" s="106">
        <v>157</v>
      </c>
      <c r="B163" s="5" t="s">
        <v>119</v>
      </c>
      <c r="C163" s="2" t="s">
        <v>501</v>
      </c>
      <c r="D163" s="32"/>
      <c r="E163" s="35" t="s">
        <v>455</v>
      </c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24">
        <f>SUM(Tabla1[[#This Row],[ENERO ]:[DICIEMBRE]])</f>
        <v>0</v>
      </c>
      <c r="W163">
        <v>3</v>
      </c>
      <c r="X163" s="21">
        <f>COUNTIF(Tabla1[[#This Row],[ENERO ]:[DICIEMBRE]],0)-(AS163)-IF(Tabla1[[#This Row],[BAJAS]]="BAJA",IF(Tabla1[[#This Row],[ALTAS]]="ALTA",VLOOKUP(Tabla1[[#This Row],[MES DE ALTA ]],$AW$6:$AX$17,2,FALSE),12)-VLOOKUP(Tabla1[[#This Row],[MES DE BAJA ]],$AW$6:$AX$17,2,FALSE),0)</f>
        <v>0</v>
      </c>
      <c r="Y163" s="68">
        <f>SUM(Tabla1[[#This Row],[MES ADEUDO DE AÑOS PASADOS ]:[MESES DE ADEUDO DEL AÑO EN CURSO ]])-Tabla1[[#This Row],[PAGO DE DEUDA ANTERIOR EN MESES]]</f>
        <v>3</v>
      </c>
      <c r="Z163" s="15">
        <f>Tabla1[[#This Row],[MES ADEUDO DE AÑOS PASADOS ]]*$T$2</f>
        <v>135</v>
      </c>
      <c r="AA163" s="15">
        <f>Tabla1[[#This Row],[MESES DE ADEUDO DEL AÑO EN CURSO ]]*$T$2</f>
        <v>0</v>
      </c>
      <c r="AB163" s="69">
        <f>SUM(Tabla1[[#This Row],[DEUDA DE LOS MESES PASADOS EN $$]:[DEUDA DEL AÑO 2013 $$ ]])</f>
        <v>135</v>
      </c>
      <c r="AD163">
        <f>Tabla1[[#This Row],[PAGO DE DEUDA ANTERIOR EN MESES]]*$T$2</f>
        <v>0</v>
      </c>
      <c r="AG163" s="100">
        <f>IF(Tabla1[[#This Row],[TIPO DE CONSUMIDOR]]="MEDIO",IF(Tabla1[[#This Row],[ENERO ]]&gt;22.5,Tabla1[[#This Row],[ENERO ]]/22.5-1,0),IF(Tabla1[[#This Row],[ENERO ]]&gt;45,Tabla1[[#This Row],[ENERO ]]/45-1,0))</f>
        <v>0</v>
      </c>
      <c r="AH16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3" s="100">
        <f>IF(Tabla1[[#This Row],[TIPO DE CONSUMIDOR]]="MEDIO",IF(Tabla1[[#This Row],[MARZO]]&gt;22.5,Tabla1[[#This Row],[MARZO]]/22.5-1,0),IF(Tabla1[[#This Row],[MARZO]]&gt;45,Tabla1[[#This Row],[MARZO]]/45-1,0))</f>
        <v>0</v>
      </c>
      <c r="AJ163" s="100">
        <f>IF(Tabla1[[#This Row],[TIPO DE CONSUMIDOR]]="MEDIO",IF(Tabla1[[#This Row],[ABRIL]]&gt;22.5,Tabla1[[#This Row],[ABRIL]]/22.5-1,0),IF(Tabla1[[#This Row],[ABRIL]]&gt;45,Tabla1[[#This Row],[ABRIL]]/45-1,0))</f>
        <v>0</v>
      </c>
      <c r="AK163" s="100">
        <f>IF(Tabla1[[#This Row],[TIPO DE CONSUMIDOR]]="MEDIO",IF(Tabla1[[#This Row],[MAYO ]]&gt;22.5,Tabla1[[#This Row],[MAYO ]]/22.5-1,0),IF(Tabla1[[#This Row],[MAYO ]]&gt;45,Tabla1[[#This Row],[MAYO ]]/45-1,0))</f>
        <v>0</v>
      </c>
      <c r="AL163" s="100">
        <f>IF(Tabla1[[#This Row],[TIPO DE CONSUMIDOR]]="MEDIO",IF(Tabla1[[#This Row],[JUNIO ]]&gt;22.5,Tabla1[[#This Row],[JUNIO ]]/22.5-1,0),IF(Tabla1[[#This Row],[JUNIO ]]&gt;45,Tabla1[[#This Row],[JUNIO ]]/45-1,0))</f>
        <v>0</v>
      </c>
      <c r="AM163" s="100">
        <f>IF(Tabla1[[#This Row],[TIPO DE CONSUMIDOR]]="MEDIO",IF(Tabla1[[#This Row],[JULIO ]]&gt;22.5,Tabla1[[#This Row],[JULIO ]]/22.5-1,0),IF(Tabla1[[#This Row],[JULIO ]]&gt;45,Tabla1[[#This Row],[JULIO ]]/45-1,0))</f>
        <v>0</v>
      </c>
      <c r="AN163" s="100">
        <f>IF(Tabla1[[#This Row],[TIPO DE CONSUMIDOR]]="MEDIO",IF(Tabla1[[#This Row],[AGOSTO]]&gt;22.5,Tabla1[[#This Row],[AGOSTO]]/22.5-1,0),IF(Tabla1[[#This Row],[AGOSTO]]&gt;45,Tabla1[[#This Row],[AGOSTO]]/45-1,0))</f>
        <v>0</v>
      </c>
      <c r="AO16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3" s="101">
        <f t="shared" si="5"/>
        <v>0</v>
      </c>
      <c r="AT163">
        <f>IF(Tabla1[[#This Row],[MES ADEUDO DE AÑOS PASADOS ]]&gt;0,1,0)</f>
        <v>1</v>
      </c>
      <c r="AU163" s="9">
        <f t="shared" si="6"/>
        <v>1</v>
      </c>
      <c r="AV163" s="60">
        <f>IF(Tabla1[[#This Row],[MESES DE ADEUDO DEL AÑO EN CURSO ]]&gt;0,1,0)</f>
        <v>0</v>
      </c>
      <c r="AW163" s="42"/>
      <c r="AX163" s="42"/>
      <c r="AY163" s="42"/>
      <c r="AZ163" s="43"/>
    </row>
    <row r="164" spans="1:52" ht="21.75" thickBot="1" x14ac:dyDescent="0.35">
      <c r="A164" s="106">
        <v>158</v>
      </c>
      <c r="B164" s="5" t="s">
        <v>503</v>
      </c>
      <c r="C164" s="2" t="s">
        <v>501</v>
      </c>
      <c r="D164" s="32"/>
      <c r="E164" s="35" t="s">
        <v>455</v>
      </c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24">
        <f>SUM(Tabla1[[#This Row],[ENERO ]:[DICIEMBRE]])</f>
        <v>0</v>
      </c>
      <c r="W164">
        <v>4</v>
      </c>
      <c r="X164" s="21">
        <f>COUNTIF(Tabla1[[#This Row],[ENERO ]:[DICIEMBRE]],0)-(AS164)-IF(Tabla1[[#This Row],[BAJAS]]="BAJA",IF(Tabla1[[#This Row],[ALTAS]]="ALTA",VLOOKUP(Tabla1[[#This Row],[MES DE ALTA ]],$AW$6:$AX$17,2,FALSE),12)-VLOOKUP(Tabla1[[#This Row],[MES DE BAJA ]],$AW$6:$AX$17,2,FALSE),0)</f>
        <v>0</v>
      </c>
      <c r="Y164" s="68">
        <f>SUM(Tabla1[[#This Row],[MES ADEUDO DE AÑOS PASADOS ]:[MESES DE ADEUDO DEL AÑO EN CURSO ]])-Tabla1[[#This Row],[PAGO DE DEUDA ANTERIOR EN MESES]]</f>
        <v>4</v>
      </c>
      <c r="Z164" s="15">
        <f>Tabla1[[#This Row],[MES ADEUDO DE AÑOS PASADOS ]]*$T$2</f>
        <v>180</v>
      </c>
      <c r="AA164" s="15">
        <f>Tabla1[[#This Row],[MESES DE ADEUDO DEL AÑO EN CURSO ]]*$T$2</f>
        <v>0</v>
      </c>
      <c r="AB164" s="69">
        <f>SUM(Tabla1[[#This Row],[DEUDA DE LOS MESES PASADOS EN $$]:[DEUDA DEL AÑO 2013 $$ ]])</f>
        <v>180</v>
      </c>
      <c r="AD164">
        <f>Tabla1[[#This Row],[PAGO DE DEUDA ANTERIOR EN MESES]]*$T$2</f>
        <v>0</v>
      </c>
      <c r="AG164" s="100">
        <f>IF(Tabla1[[#This Row],[TIPO DE CONSUMIDOR]]="MEDIO",IF(Tabla1[[#This Row],[ENERO ]]&gt;22.5,Tabla1[[#This Row],[ENERO ]]/22.5-1,0),IF(Tabla1[[#This Row],[ENERO ]]&gt;45,Tabla1[[#This Row],[ENERO ]]/45-1,0))</f>
        <v>0</v>
      </c>
      <c r="AH16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4" s="100">
        <f>IF(Tabla1[[#This Row],[TIPO DE CONSUMIDOR]]="MEDIO",IF(Tabla1[[#This Row],[MARZO]]&gt;22.5,Tabla1[[#This Row],[MARZO]]/22.5-1,0),IF(Tabla1[[#This Row],[MARZO]]&gt;45,Tabla1[[#This Row],[MARZO]]/45-1,0))</f>
        <v>0</v>
      </c>
      <c r="AJ164" s="100">
        <f>IF(Tabla1[[#This Row],[TIPO DE CONSUMIDOR]]="MEDIO",IF(Tabla1[[#This Row],[ABRIL]]&gt;22.5,Tabla1[[#This Row],[ABRIL]]/22.5-1,0),IF(Tabla1[[#This Row],[ABRIL]]&gt;45,Tabla1[[#This Row],[ABRIL]]/45-1,0))</f>
        <v>0</v>
      </c>
      <c r="AK164" s="100">
        <f>IF(Tabla1[[#This Row],[TIPO DE CONSUMIDOR]]="MEDIO",IF(Tabla1[[#This Row],[MAYO ]]&gt;22.5,Tabla1[[#This Row],[MAYO ]]/22.5-1,0),IF(Tabla1[[#This Row],[MAYO ]]&gt;45,Tabla1[[#This Row],[MAYO ]]/45-1,0))</f>
        <v>0</v>
      </c>
      <c r="AL164" s="100">
        <f>IF(Tabla1[[#This Row],[TIPO DE CONSUMIDOR]]="MEDIO",IF(Tabla1[[#This Row],[JUNIO ]]&gt;22.5,Tabla1[[#This Row],[JUNIO ]]/22.5-1,0),IF(Tabla1[[#This Row],[JUNIO ]]&gt;45,Tabla1[[#This Row],[JUNIO ]]/45-1,0))</f>
        <v>0</v>
      </c>
      <c r="AM164" s="100">
        <f>IF(Tabla1[[#This Row],[TIPO DE CONSUMIDOR]]="MEDIO",IF(Tabla1[[#This Row],[JULIO ]]&gt;22.5,Tabla1[[#This Row],[JULIO ]]/22.5-1,0),IF(Tabla1[[#This Row],[JULIO ]]&gt;45,Tabla1[[#This Row],[JULIO ]]/45-1,0))</f>
        <v>0</v>
      </c>
      <c r="AN164" s="100">
        <f>IF(Tabla1[[#This Row],[TIPO DE CONSUMIDOR]]="MEDIO",IF(Tabla1[[#This Row],[AGOSTO]]&gt;22.5,Tabla1[[#This Row],[AGOSTO]]/22.5-1,0),IF(Tabla1[[#This Row],[AGOSTO]]&gt;45,Tabla1[[#This Row],[AGOSTO]]/45-1,0))</f>
        <v>0</v>
      </c>
      <c r="AO16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4" s="101">
        <f t="shared" si="5"/>
        <v>0</v>
      </c>
      <c r="AT164">
        <f>IF(Tabla1[[#This Row],[MES ADEUDO DE AÑOS PASADOS ]]&gt;0,1,0)</f>
        <v>1</v>
      </c>
      <c r="AU164" s="9">
        <f t="shared" si="6"/>
        <v>1</v>
      </c>
      <c r="AV164" s="60">
        <f>IF(Tabla1[[#This Row],[MESES DE ADEUDO DEL AÑO EN CURSO ]]&gt;0,1,0)</f>
        <v>0</v>
      </c>
      <c r="AW164" s="42"/>
      <c r="AX164" s="42"/>
      <c r="AY164" s="42"/>
      <c r="AZ164" s="43"/>
    </row>
    <row r="165" spans="1:52" ht="21.75" thickBot="1" x14ac:dyDescent="0.35">
      <c r="A165" s="106">
        <v>159</v>
      </c>
      <c r="B165" s="5" t="s">
        <v>169</v>
      </c>
      <c r="C165" s="2" t="s">
        <v>501</v>
      </c>
      <c r="D165" s="32"/>
      <c r="E165" s="35" t="s">
        <v>455</v>
      </c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24">
        <f>SUM(Tabla1[[#This Row],[ENERO ]:[DICIEMBRE]])</f>
        <v>0</v>
      </c>
      <c r="W165">
        <v>6</v>
      </c>
      <c r="X165" s="21">
        <f>COUNTIF(Tabla1[[#This Row],[ENERO ]:[DICIEMBRE]],0)-(AS165)-IF(Tabla1[[#This Row],[BAJAS]]="BAJA",IF(Tabla1[[#This Row],[ALTAS]]="ALTA",VLOOKUP(Tabla1[[#This Row],[MES DE ALTA ]],$AW$6:$AX$17,2,FALSE),12)-VLOOKUP(Tabla1[[#This Row],[MES DE BAJA ]],$AW$6:$AX$17,2,FALSE),0)</f>
        <v>0</v>
      </c>
      <c r="Y165" s="68">
        <f>SUM(Tabla1[[#This Row],[MES ADEUDO DE AÑOS PASADOS ]:[MESES DE ADEUDO DEL AÑO EN CURSO ]])-Tabla1[[#This Row],[PAGO DE DEUDA ANTERIOR EN MESES]]</f>
        <v>6</v>
      </c>
      <c r="Z165" s="15">
        <f>Tabla1[[#This Row],[MES ADEUDO DE AÑOS PASADOS ]]*$T$2</f>
        <v>270</v>
      </c>
      <c r="AA165" s="15">
        <f>Tabla1[[#This Row],[MESES DE ADEUDO DEL AÑO EN CURSO ]]*$T$2</f>
        <v>0</v>
      </c>
      <c r="AB165" s="69">
        <f>SUM(Tabla1[[#This Row],[DEUDA DE LOS MESES PASADOS EN $$]:[DEUDA DEL AÑO 2013 $$ ]])</f>
        <v>270</v>
      </c>
      <c r="AD165">
        <f>Tabla1[[#This Row],[PAGO DE DEUDA ANTERIOR EN MESES]]*$T$2</f>
        <v>0</v>
      </c>
      <c r="AG165" s="100">
        <f>IF(Tabla1[[#This Row],[TIPO DE CONSUMIDOR]]="MEDIO",IF(Tabla1[[#This Row],[ENERO ]]&gt;22.5,Tabla1[[#This Row],[ENERO ]]/22.5-1,0),IF(Tabla1[[#This Row],[ENERO ]]&gt;45,Tabla1[[#This Row],[ENERO ]]/45-1,0))</f>
        <v>0</v>
      </c>
      <c r="AH16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5" s="100">
        <f>IF(Tabla1[[#This Row],[TIPO DE CONSUMIDOR]]="MEDIO",IF(Tabla1[[#This Row],[MARZO]]&gt;22.5,Tabla1[[#This Row],[MARZO]]/22.5-1,0),IF(Tabla1[[#This Row],[MARZO]]&gt;45,Tabla1[[#This Row],[MARZO]]/45-1,0))</f>
        <v>0</v>
      </c>
      <c r="AJ165" s="100">
        <f>IF(Tabla1[[#This Row],[TIPO DE CONSUMIDOR]]="MEDIO",IF(Tabla1[[#This Row],[ABRIL]]&gt;22.5,Tabla1[[#This Row],[ABRIL]]/22.5-1,0),IF(Tabla1[[#This Row],[ABRIL]]&gt;45,Tabla1[[#This Row],[ABRIL]]/45-1,0))</f>
        <v>0</v>
      </c>
      <c r="AK165" s="100">
        <f>IF(Tabla1[[#This Row],[TIPO DE CONSUMIDOR]]="MEDIO",IF(Tabla1[[#This Row],[MAYO ]]&gt;22.5,Tabla1[[#This Row],[MAYO ]]/22.5-1,0),IF(Tabla1[[#This Row],[MAYO ]]&gt;45,Tabla1[[#This Row],[MAYO ]]/45-1,0))</f>
        <v>0</v>
      </c>
      <c r="AL165" s="100">
        <f>IF(Tabla1[[#This Row],[TIPO DE CONSUMIDOR]]="MEDIO",IF(Tabla1[[#This Row],[JUNIO ]]&gt;22.5,Tabla1[[#This Row],[JUNIO ]]/22.5-1,0),IF(Tabla1[[#This Row],[JUNIO ]]&gt;45,Tabla1[[#This Row],[JUNIO ]]/45-1,0))</f>
        <v>0</v>
      </c>
      <c r="AM165" s="100">
        <f>IF(Tabla1[[#This Row],[TIPO DE CONSUMIDOR]]="MEDIO",IF(Tabla1[[#This Row],[JULIO ]]&gt;22.5,Tabla1[[#This Row],[JULIO ]]/22.5-1,0),IF(Tabla1[[#This Row],[JULIO ]]&gt;45,Tabla1[[#This Row],[JULIO ]]/45-1,0))</f>
        <v>0</v>
      </c>
      <c r="AN165" s="100">
        <f>IF(Tabla1[[#This Row],[TIPO DE CONSUMIDOR]]="MEDIO",IF(Tabla1[[#This Row],[AGOSTO]]&gt;22.5,Tabla1[[#This Row],[AGOSTO]]/22.5-1,0),IF(Tabla1[[#This Row],[AGOSTO]]&gt;45,Tabla1[[#This Row],[AGOSTO]]/45-1,0))</f>
        <v>0</v>
      </c>
      <c r="AO16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5" s="101">
        <f t="shared" si="5"/>
        <v>0</v>
      </c>
      <c r="AT165">
        <f>IF(Tabla1[[#This Row],[MES ADEUDO DE AÑOS PASADOS ]]&gt;0,1,0)</f>
        <v>1</v>
      </c>
      <c r="AU165" s="9">
        <f t="shared" si="6"/>
        <v>1</v>
      </c>
      <c r="AV165" s="60">
        <f>IF(Tabla1[[#This Row],[MESES DE ADEUDO DEL AÑO EN CURSO ]]&gt;0,1,0)</f>
        <v>0</v>
      </c>
      <c r="AW165" s="42"/>
      <c r="AX165" s="42"/>
      <c r="AY165" s="42"/>
      <c r="AZ165" s="43"/>
    </row>
    <row r="166" spans="1:52" ht="21.75" thickBot="1" x14ac:dyDescent="0.35">
      <c r="A166" s="106">
        <v>160</v>
      </c>
      <c r="B166" s="5" t="s">
        <v>48</v>
      </c>
      <c r="C166" s="2" t="s">
        <v>501</v>
      </c>
      <c r="D166" s="32"/>
      <c r="E166" s="35" t="s">
        <v>455</v>
      </c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24">
        <f>SUM(Tabla1[[#This Row],[ENERO ]:[DICIEMBRE]])</f>
        <v>0</v>
      </c>
      <c r="W166">
        <v>9</v>
      </c>
      <c r="X166" s="21">
        <f>COUNTIF(Tabla1[[#This Row],[ENERO ]:[DICIEMBRE]],0)-(AS166)-IF(Tabla1[[#This Row],[BAJAS]]="BAJA",IF(Tabla1[[#This Row],[ALTAS]]="ALTA",VLOOKUP(Tabla1[[#This Row],[MES DE ALTA ]],$AW$6:$AX$17,2,FALSE),12)-VLOOKUP(Tabla1[[#This Row],[MES DE BAJA ]],$AW$6:$AX$17,2,FALSE),0)</f>
        <v>0</v>
      </c>
      <c r="Y166" s="68">
        <f>SUM(Tabla1[[#This Row],[MES ADEUDO DE AÑOS PASADOS ]:[MESES DE ADEUDO DEL AÑO EN CURSO ]])-Tabla1[[#This Row],[PAGO DE DEUDA ANTERIOR EN MESES]]</f>
        <v>9</v>
      </c>
      <c r="Z166" s="15">
        <f>Tabla1[[#This Row],[MES ADEUDO DE AÑOS PASADOS ]]*$T$2</f>
        <v>405</v>
      </c>
      <c r="AA166" s="15">
        <f>Tabla1[[#This Row],[MESES DE ADEUDO DEL AÑO EN CURSO ]]*$T$2</f>
        <v>0</v>
      </c>
      <c r="AB166" s="69">
        <f>SUM(Tabla1[[#This Row],[DEUDA DE LOS MESES PASADOS EN $$]:[DEUDA DEL AÑO 2013 $$ ]])</f>
        <v>405</v>
      </c>
      <c r="AD166">
        <f>Tabla1[[#This Row],[PAGO DE DEUDA ANTERIOR EN MESES]]*$T$2</f>
        <v>0</v>
      </c>
      <c r="AG166" s="100">
        <f>IF(Tabla1[[#This Row],[TIPO DE CONSUMIDOR]]="MEDIO",IF(Tabla1[[#This Row],[ENERO ]]&gt;22.5,Tabla1[[#This Row],[ENERO ]]/22.5-1,0),IF(Tabla1[[#This Row],[ENERO ]]&gt;45,Tabla1[[#This Row],[ENERO ]]/45-1,0))</f>
        <v>0</v>
      </c>
      <c r="AH16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6" s="100">
        <f>IF(Tabla1[[#This Row],[TIPO DE CONSUMIDOR]]="MEDIO",IF(Tabla1[[#This Row],[MARZO]]&gt;22.5,Tabla1[[#This Row],[MARZO]]/22.5-1,0),IF(Tabla1[[#This Row],[MARZO]]&gt;45,Tabla1[[#This Row],[MARZO]]/45-1,0))</f>
        <v>0</v>
      </c>
      <c r="AJ166" s="100">
        <f>IF(Tabla1[[#This Row],[TIPO DE CONSUMIDOR]]="MEDIO",IF(Tabla1[[#This Row],[ABRIL]]&gt;22.5,Tabla1[[#This Row],[ABRIL]]/22.5-1,0),IF(Tabla1[[#This Row],[ABRIL]]&gt;45,Tabla1[[#This Row],[ABRIL]]/45-1,0))</f>
        <v>0</v>
      </c>
      <c r="AK166" s="100">
        <f>IF(Tabla1[[#This Row],[TIPO DE CONSUMIDOR]]="MEDIO",IF(Tabla1[[#This Row],[MAYO ]]&gt;22.5,Tabla1[[#This Row],[MAYO ]]/22.5-1,0),IF(Tabla1[[#This Row],[MAYO ]]&gt;45,Tabla1[[#This Row],[MAYO ]]/45-1,0))</f>
        <v>0</v>
      </c>
      <c r="AL166" s="100">
        <f>IF(Tabla1[[#This Row],[TIPO DE CONSUMIDOR]]="MEDIO",IF(Tabla1[[#This Row],[JUNIO ]]&gt;22.5,Tabla1[[#This Row],[JUNIO ]]/22.5-1,0),IF(Tabla1[[#This Row],[JUNIO ]]&gt;45,Tabla1[[#This Row],[JUNIO ]]/45-1,0))</f>
        <v>0</v>
      </c>
      <c r="AM166" s="100">
        <f>IF(Tabla1[[#This Row],[TIPO DE CONSUMIDOR]]="MEDIO",IF(Tabla1[[#This Row],[JULIO ]]&gt;22.5,Tabla1[[#This Row],[JULIO ]]/22.5-1,0),IF(Tabla1[[#This Row],[JULIO ]]&gt;45,Tabla1[[#This Row],[JULIO ]]/45-1,0))</f>
        <v>0</v>
      </c>
      <c r="AN166" s="100">
        <f>IF(Tabla1[[#This Row],[TIPO DE CONSUMIDOR]]="MEDIO",IF(Tabla1[[#This Row],[AGOSTO]]&gt;22.5,Tabla1[[#This Row],[AGOSTO]]/22.5-1,0),IF(Tabla1[[#This Row],[AGOSTO]]&gt;45,Tabla1[[#This Row],[AGOSTO]]/45-1,0))</f>
        <v>0</v>
      </c>
      <c r="AO16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6" s="101">
        <f t="shared" si="5"/>
        <v>0</v>
      </c>
      <c r="AT166">
        <f>IF(Tabla1[[#This Row],[MES ADEUDO DE AÑOS PASADOS ]]&gt;0,1,0)</f>
        <v>1</v>
      </c>
      <c r="AU166" s="9">
        <f t="shared" si="6"/>
        <v>1</v>
      </c>
      <c r="AV166" s="60">
        <f>IF(Tabla1[[#This Row],[MESES DE ADEUDO DEL AÑO EN CURSO ]]&gt;0,1,0)</f>
        <v>0</v>
      </c>
      <c r="AW166" s="42"/>
      <c r="AX166" s="42"/>
      <c r="AY166" s="42"/>
      <c r="AZ166" s="43"/>
    </row>
    <row r="167" spans="1:52" ht="21.75" thickBot="1" x14ac:dyDescent="0.35">
      <c r="A167" s="106">
        <v>161</v>
      </c>
      <c r="B167" s="5" t="s">
        <v>49</v>
      </c>
      <c r="C167" s="2" t="s">
        <v>501</v>
      </c>
      <c r="D167" s="32"/>
      <c r="E167" s="35" t="s">
        <v>455</v>
      </c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24">
        <f>SUM(Tabla1[[#This Row],[ENERO ]:[DICIEMBRE]])</f>
        <v>0</v>
      </c>
      <c r="W167">
        <v>10</v>
      </c>
      <c r="X167" s="21">
        <f>COUNTIF(Tabla1[[#This Row],[ENERO ]:[DICIEMBRE]],0)-(AS167)-IF(Tabla1[[#This Row],[BAJAS]]="BAJA",IF(Tabla1[[#This Row],[ALTAS]]="ALTA",VLOOKUP(Tabla1[[#This Row],[MES DE ALTA ]],$AW$6:$AX$17,2,FALSE),12)-VLOOKUP(Tabla1[[#This Row],[MES DE BAJA ]],$AW$6:$AX$17,2,FALSE),0)</f>
        <v>0</v>
      </c>
      <c r="Y167" s="68">
        <f>SUM(Tabla1[[#This Row],[MES ADEUDO DE AÑOS PASADOS ]:[MESES DE ADEUDO DEL AÑO EN CURSO ]])-Tabla1[[#This Row],[PAGO DE DEUDA ANTERIOR EN MESES]]</f>
        <v>10</v>
      </c>
      <c r="Z167" s="15">
        <f>Tabla1[[#This Row],[MES ADEUDO DE AÑOS PASADOS ]]*$T$2</f>
        <v>450</v>
      </c>
      <c r="AA167" s="15">
        <f>Tabla1[[#This Row],[MESES DE ADEUDO DEL AÑO EN CURSO ]]*$T$2</f>
        <v>0</v>
      </c>
      <c r="AB167" s="69">
        <f>SUM(Tabla1[[#This Row],[DEUDA DE LOS MESES PASADOS EN $$]:[DEUDA DEL AÑO 2013 $$ ]])</f>
        <v>450</v>
      </c>
      <c r="AD167">
        <f>Tabla1[[#This Row],[PAGO DE DEUDA ANTERIOR EN MESES]]*$T$2</f>
        <v>0</v>
      </c>
      <c r="AG167" s="100">
        <f>IF(Tabla1[[#This Row],[TIPO DE CONSUMIDOR]]="MEDIO",IF(Tabla1[[#This Row],[ENERO ]]&gt;22.5,Tabla1[[#This Row],[ENERO ]]/22.5-1,0),IF(Tabla1[[#This Row],[ENERO ]]&gt;45,Tabla1[[#This Row],[ENERO ]]/45-1,0))</f>
        <v>0</v>
      </c>
      <c r="AH16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7" s="100">
        <f>IF(Tabla1[[#This Row],[TIPO DE CONSUMIDOR]]="MEDIO",IF(Tabla1[[#This Row],[MARZO]]&gt;22.5,Tabla1[[#This Row],[MARZO]]/22.5-1,0),IF(Tabla1[[#This Row],[MARZO]]&gt;45,Tabla1[[#This Row],[MARZO]]/45-1,0))</f>
        <v>0</v>
      </c>
      <c r="AJ167" s="100">
        <f>IF(Tabla1[[#This Row],[TIPO DE CONSUMIDOR]]="MEDIO",IF(Tabla1[[#This Row],[ABRIL]]&gt;22.5,Tabla1[[#This Row],[ABRIL]]/22.5-1,0),IF(Tabla1[[#This Row],[ABRIL]]&gt;45,Tabla1[[#This Row],[ABRIL]]/45-1,0))</f>
        <v>0</v>
      </c>
      <c r="AK167" s="100">
        <f>IF(Tabla1[[#This Row],[TIPO DE CONSUMIDOR]]="MEDIO",IF(Tabla1[[#This Row],[MAYO ]]&gt;22.5,Tabla1[[#This Row],[MAYO ]]/22.5-1,0),IF(Tabla1[[#This Row],[MAYO ]]&gt;45,Tabla1[[#This Row],[MAYO ]]/45-1,0))</f>
        <v>0</v>
      </c>
      <c r="AL167" s="100">
        <f>IF(Tabla1[[#This Row],[TIPO DE CONSUMIDOR]]="MEDIO",IF(Tabla1[[#This Row],[JUNIO ]]&gt;22.5,Tabla1[[#This Row],[JUNIO ]]/22.5-1,0),IF(Tabla1[[#This Row],[JUNIO ]]&gt;45,Tabla1[[#This Row],[JUNIO ]]/45-1,0))</f>
        <v>0</v>
      </c>
      <c r="AM167" s="100">
        <f>IF(Tabla1[[#This Row],[TIPO DE CONSUMIDOR]]="MEDIO",IF(Tabla1[[#This Row],[JULIO ]]&gt;22.5,Tabla1[[#This Row],[JULIO ]]/22.5-1,0),IF(Tabla1[[#This Row],[JULIO ]]&gt;45,Tabla1[[#This Row],[JULIO ]]/45-1,0))</f>
        <v>0</v>
      </c>
      <c r="AN167" s="100">
        <f>IF(Tabla1[[#This Row],[TIPO DE CONSUMIDOR]]="MEDIO",IF(Tabla1[[#This Row],[AGOSTO]]&gt;22.5,Tabla1[[#This Row],[AGOSTO]]/22.5-1,0),IF(Tabla1[[#This Row],[AGOSTO]]&gt;45,Tabla1[[#This Row],[AGOSTO]]/45-1,0))</f>
        <v>0</v>
      </c>
      <c r="AO16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7" s="101">
        <f t="shared" si="5"/>
        <v>0</v>
      </c>
      <c r="AT167">
        <f>IF(Tabla1[[#This Row],[MES ADEUDO DE AÑOS PASADOS ]]&gt;0,1,0)</f>
        <v>1</v>
      </c>
      <c r="AU167" s="9">
        <f t="shared" si="6"/>
        <v>1</v>
      </c>
      <c r="AV167" s="60">
        <f>IF(Tabla1[[#This Row],[MESES DE ADEUDO DEL AÑO EN CURSO ]]&gt;0,1,0)</f>
        <v>0</v>
      </c>
      <c r="AW167" s="42"/>
      <c r="AX167" s="42"/>
      <c r="AY167" s="42"/>
      <c r="AZ167" s="43"/>
    </row>
    <row r="168" spans="1:52" ht="21.75" thickBot="1" x14ac:dyDescent="0.35">
      <c r="A168" s="106">
        <v>162</v>
      </c>
      <c r="B168" s="5" t="s">
        <v>323</v>
      </c>
      <c r="C168" s="2" t="s">
        <v>501</v>
      </c>
      <c r="D168" s="32"/>
      <c r="E168" s="35" t="s">
        <v>455</v>
      </c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24">
        <f>SUM(Tabla1[[#This Row],[ENERO ]:[DICIEMBRE]])</f>
        <v>0</v>
      </c>
      <c r="W168">
        <v>18</v>
      </c>
      <c r="X168" s="21">
        <f>COUNTIF(Tabla1[[#This Row],[ENERO ]:[DICIEMBRE]],0)-(AS168)-IF(Tabla1[[#This Row],[BAJAS]]="BAJA",IF(Tabla1[[#This Row],[ALTAS]]="ALTA",VLOOKUP(Tabla1[[#This Row],[MES DE ALTA ]],$AW$6:$AX$17,2,FALSE),12)-VLOOKUP(Tabla1[[#This Row],[MES DE BAJA ]],$AW$6:$AX$17,2,FALSE),0)</f>
        <v>0</v>
      </c>
      <c r="Y168" s="68">
        <f>SUM(Tabla1[[#This Row],[MES ADEUDO DE AÑOS PASADOS ]:[MESES DE ADEUDO DEL AÑO EN CURSO ]])-Tabla1[[#This Row],[PAGO DE DEUDA ANTERIOR EN MESES]]</f>
        <v>18</v>
      </c>
      <c r="Z168" s="15">
        <f>Tabla1[[#This Row],[MES ADEUDO DE AÑOS PASADOS ]]*$T$2</f>
        <v>810</v>
      </c>
      <c r="AA168" s="15">
        <f>Tabla1[[#This Row],[MESES DE ADEUDO DEL AÑO EN CURSO ]]*$T$2</f>
        <v>0</v>
      </c>
      <c r="AB168" s="69">
        <f>SUM(Tabla1[[#This Row],[DEUDA DE LOS MESES PASADOS EN $$]:[DEUDA DEL AÑO 2013 $$ ]])</f>
        <v>810</v>
      </c>
      <c r="AD168">
        <f>Tabla1[[#This Row],[PAGO DE DEUDA ANTERIOR EN MESES]]*$T$2</f>
        <v>0</v>
      </c>
      <c r="AG168" s="100">
        <f>IF(Tabla1[[#This Row],[TIPO DE CONSUMIDOR]]="MEDIO",IF(Tabla1[[#This Row],[ENERO ]]&gt;22.5,Tabla1[[#This Row],[ENERO ]]/22.5-1,0),IF(Tabla1[[#This Row],[ENERO ]]&gt;45,Tabla1[[#This Row],[ENERO ]]/45-1,0))</f>
        <v>0</v>
      </c>
      <c r="AH16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8" s="100">
        <f>IF(Tabla1[[#This Row],[TIPO DE CONSUMIDOR]]="MEDIO",IF(Tabla1[[#This Row],[MARZO]]&gt;22.5,Tabla1[[#This Row],[MARZO]]/22.5-1,0),IF(Tabla1[[#This Row],[MARZO]]&gt;45,Tabla1[[#This Row],[MARZO]]/45-1,0))</f>
        <v>0</v>
      </c>
      <c r="AJ168" s="100">
        <f>IF(Tabla1[[#This Row],[TIPO DE CONSUMIDOR]]="MEDIO",IF(Tabla1[[#This Row],[ABRIL]]&gt;22.5,Tabla1[[#This Row],[ABRIL]]/22.5-1,0),IF(Tabla1[[#This Row],[ABRIL]]&gt;45,Tabla1[[#This Row],[ABRIL]]/45-1,0))</f>
        <v>0</v>
      </c>
      <c r="AK168" s="100">
        <f>IF(Tabla1[[#This Row],[TIPO DE CONSUMIDOR]]="MEDIO",IF(Tabla1[[#This Row],[MAYO ]]&gt;22.5,Tabla1[[#This Row],[MAYO ]]/22.5-1,0),IF(Tabla1[[#This Row],[MAYO ]]&gt;45,Tabla1[[#This Row],[MAYO ]]/45-1,0))</f>
        <v>0</v>
      </c>
      <c r="AL168" s="100">
        <f>IF(Tabla1[[#This Row],[TIPO DE CONSUMIDOR]]="MEDIO",IF(Tabla1[[#This Row],[JUNIO ]]&gt;22.5,Tabla1[[#This Row],[JUNIO ]]/22.5-1,0),IF(Tabla1[[#This Row],[JUNIO ]]&gt;45,Tabla1[[#This Row],[JUNIO ]]/45-1,0))</f>
        <v>0</v>
      </c>
      <c r="AM168" s="100">
        <f>IF(Tabla1[[#This Row],[TIPO DE CONSUMIDOR]]="MEDIO",IF(Tabla1[[#This Row],[JULIO ]]&gt;22.5,Tabla1[[#This Row],[JULIO ]]/22.5-1,0),IF(Tabla1[[#This Row],[JULIO ]]&gt;45,Tabla1[[#This Row],[JULIO ]]/45-1,0))</f>
        <v>0</v>
      </c>
      <c r="AN168" s="100">
        <f>IF(Tabla1[[#This Row],[TIPO DE CONSUMIDOR]]="MEDIO",IF(Tabla1[[#This Row],[AGOSTO]]&gt;22.5,Tabla1[[#This Row],[AGOSTO]]/22.5-1,0),IF(Tabla1[[#This Row],[AGOSTO]]&gt;45,Tabla1[[#This Row],[AGOSTO]]/45-1,0))</f>
        <v>0</v>
      </c>
      <c r="AO16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8" s="101">
        <f t="shared" si="5"/>
        <v>0</v>
      </c>
      <c r="AT168">
        <f>IF(Tabla1[[#This Row],[MES ADEUDO DE AÑOS PASADOS ]]&gt;0,1,0)</f>
        <v>1</v>
      </c>
      <c r="AU168" s="9">
        <f t="shared" si="6"/>
        <v>1</v>
      </c>
      <c r="AV168" s="60">
        <f>IF(Tabla1[[#This Row],[MESES DE ADEUDO DEL AÑO EN CURSO ]]&gt;0,1,0)</f>
        <v>0</v>
      </c>
      <c r="AW168" s="42"/>
      <c r="AX168" s="42"/>
      <c r="AY168" s="42"/>
      <c r="AZ168" s="43"/>
    </row>
    <row r="169" spans="1:52" ht="21.75" thickBot="1" x14ac:dyDescent="0.35">
      <c r="A169" s="106">
        <v>163</v>
      </c>
      <c r="B169" s="93" t="s">
        <v>647</v>
      </c>
      <c r="C169" s="94" t="s">
        <v>501</v>
      </c>
      <c r="D169" s="95"/>
      <c r="E169" s="35" t="s">
        <v>455</v>
      </c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118">
        <f>SUM(Tabla1[[#This Row],[ENERO ]:[DICIEMBRE]])</f>
        <v>0</v>
      </c>
      <c r="W169">
        <v>28</v>
      </c>
      <c r="X169" s="21">
        <f>COUNTIF(Tabla1[[#This Row],[ENERO ]:[DICIEMBRE]],0)-(AS169)-IF(Tabla1[[#This Row],[BAJAS]]="BAJA",IF(Tabla1[[#This Row],[ALTAS]]="ALTA",VLOOKUP(Tabla1[[#This Row],[MES DE ALTA ]],$AW$6:$AX$17,2,FALSE),12)-VLOOKUP(Tabla1[[#This Row],[MES DE BAJA ]],$AW$6:$AX$17,2,FALSE),0)</f>
        <v>0</v>
      </c>
      <c r="Y169" s="91">
        <f>SUM(Tabla1[[#This Row],[MES ADEUDO DE AÑOS PASADOS ]:[MESES DE ADEUDO DEL AÑO EN CURSO ]])-Tabla1[[#This Row],[PAGO DE DEUDA ANTERIOR EN MESES]]</f>
        <v>28</v>
      </c>
      <c r="Z169" s="15">
        <f>Tabla1[[#This Row],[MES ADEUDO DE AÑOS PASADOS ]]*$T$2</f>
        <v>1260</v>
      </c>
      <c r="AA169" s="15">
        <f>Tabla1[[#This Row],[MESES DE ADEUDO DEL AÑO EN CURSO ]]*$T$2</f>
        <v>0</v>
      </c>
      <c r="AB169" s="69">
        <f>SUM(Tabla1[[#This Row],[DEUDA DE LOS MESES PASADOS EN $$]:[DEUDA DEL AÑO 2013 $$ ]])</f>
        <v>1260</v>
      </c>
      <c r="AD169">
        <f>Tabla1[[#This Row],[PAGO DE DEUDA ANTERIOR EN MESES]]*$T$2</f>
        <v>0</v>
      </c>
      <c r="AG169" s="100">
        <f>IF(Tabla1[[#This Row],[TIPO DE CONSUMIDOR]]="MEDIO",IF(Tabla1[[#This Row],[ENERO ]]&gt;22.5,Tabla1[[#This Row],[ENERO ]]/22.5-1,0),IF(Tabla1[[#This Row],[ENERO ]]&gt;45,Tabla1[[#This Row],[ENERO ]]/45-1,0))</f>
        <v>0</v>
      </c>
      <c r="AH16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69" s="100">
        <f>IF(Tabla1[[#This Row],[TIPO DE CONSUMIDOR]]="MEDIO",IF(Tabla1[[#This Row],[MARZO]]&gt;22.5,Tabla1[[#This Row],[MARZO]]/22.5-1,0),IF(Tabla1[[#This Row],[MARZO]]&gt;45,Tabla1[[#This Row],[MARZO]]/45-1,0))</f>
        <v>0</v>
      </c>
      <c r="AJ169" s="100">
        <f>IF(Tabla1[[#This Row],[TIPO DE CONSUMIDOR]]="MEDIO",IF(Tabla1[[#This Row],[ABRIL]]&gt;22.5,Tabla1[[#This Row],[ABRIL]]/22.5-1,0),IF(Tabla1[[#This Row],[ABRIL]]&gt;45,Tabla1[[#This Row],[ABRIL]]/45-1,0))</f>
        <v>0</v>
      </c>
      <c r="AK169" s="100">
        <f>IF(Tabla1[[#This Row],[TIPO DE CONSUMIDOR]]="MEDIO",IF(Tabla1[[#This Row],[MAYO ]]&gt;22.5,Tabla1[[#This Row],[MAYO ]]/22.5-1,0),IF(Tabla1[[#This Row],[MAYO ]]&gt;45,Tabla1[[#This Row],[MAYO ]]/45-1,0))</f>
        <v>0</v>
      </c>
      <c r="AL169" s="100">
        <f>IF(Tabla1[[#This Row],[TIPO DE CONSUMIDOR]]="MEDIO",IF(Tabla1[[#This Row],[JUNIO ]]&gt;22.5,Tabla1[[#This Row],[JUNIO ]]/22.5-1,0),IF(Tabla1[[#This Row],[JUNIO ]]&gt;45,Tabla1[[#This Row],[JUNIO ]]/45-1,0))</f>
        <v>0</v>
      </c>
      <c r="AM169" s="100">
        <f>IF(Tabla1[[#This Row],[TIPO DE CONSUMIDOR]]="MEDIO",IF(Tabla1[[#This Row],[JULIO ]]&gt;22.5,Tabla1[[#This Row],[JULIO ]]/22.5-1,0),IF(Tabla1[[#This Row],[JULIO ]]&gt;45,Tabla1[[#This Row],[JULIO ]]/45-1,0))</f>
        <v>0</v>
      </c>
      <c r="AN169" s="100">
        <f>IF(Tabla1[[#This Row],[TIPO DE CONSUMIDOR]]="MEDIO",IF(Tabla1[[#This Row],[AGOSTO]]&gt;22.5,Tabla1[[#This Row],[AGOSTO]]/22.5-1,0),IF(Tabla1[[#This Row],[AGOSTO]]&gt;45,Tabla1[[#This Row],[AGOSTO]]/45-1,0))</f>
        <v>0</v>
      </c>
      <c r="AO16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6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6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6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69" s="101">
        <f t="shared" si="5"/>
        <v>0</v>
      </c>
      <c r="AT169">
        <f>IF(Tabla1[[#This Row],[MES ADEUDO DE AÑOS PASADOS ]]&gt;0,1,0)</f>
        <v>1</v>
      </c>
      <c r="AU169" s="9">
        <f t="shared" si="6"/>
        <v>1</v>
      </c>
      <c r="AV169" s="60">
        <f>IF(Tabla1[[#This Row],[MESES DE ADEUDO DEL AÑO EN CURSO ]]&gt;0,1,0)</f>
        <v>0</v>
      </c>
      <c r="AW169" s="42"/>
      <c r="AX169" s="42"/>
      <c r="AY169" s="42"/>
      <c r="AZ169" s="43"/>
    </row>
    <row r="170" spans="1:52" ht="21.75" thickBot="1" x14ac:dyDescent="0.35">
      <c r="A170" s="106">
        <v>164</v>
      </c>
      <c r="B170" s="5" t="s">
        <v>655</v>
      </c>
      <c r="C170" s="94" t="s">
        <v>501</v>
      </c>
      <c r="D170" s="32"/>
      <c r="E170" s="35" t="s">
        <v>455</v>
      </c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118">
        <f>SUM(Tabla1[[#This Row],[ENERO ]:[DICIEMBRE]])</f>
        <v>0</v>
      </c>
      <c r="W170">
        <v>32</v>
      </c>
      <c r="X170" s="21">
        <f>COUNTIF(Tabla1[[#This Row],[ENERO ]:[DICIEMBRE]],0)-(AS170)-IF(Tabla1[[#This Row],[BAJAS]]="BAJA",IF(Tabla1[[#This Row],[ALTAS]]="ALTA",VLOOKUP(Tabla1[[#This Row],[MES DE ALTA ]],$AW$6:$AX$17,2,FALSE),12)-VLOOKUP(Tabla1[[#This Row],[MES DE BAJA ]],$AW$6:$AX$17,2,FALSE),0)</f>
        <v>0</v>
      </c>
      <c r="Y170" s="91">
        <f>SUM(Tabla1[[#This Row],[MES ADEUDO DE AÑOS PASADOS ]:[MESES DE ADEUDO DEL AÑO EN CURSO ]])-Tabla1[[#This Row],[PAGO DE DEUDA ANTERIOR EN MESES]]</f>
        <v>32</v>
      </c>
      <c r="Z170" s="15">
        <f>Tabla1[[#This Row],[MES ADEUDO DE AÑOS PASADOS ]]*$T$2</f>
        <v>1440</v>
      </c>
      <c r="AA170" s="15">
        <f>Tabla1[[#This Row],[MESES DE ADEUDO DEL AÑO EN CURSO ]]*$T$2</f>
        <v>0</v>
      </c>
      <c r="AB170" s="69">
        <f>SUM(Tabla1[[#This Row],[DEUDA DE LOS MESES PASADOS EN $$]:[DEUDA DEL AÑO 2013 $$ ]])</f>
        <v>1440</v>
      </c>
      <c r="AD170">
        <f>Tabla1[[#This Row],[PAGO DE DEUDA ANTERIOR EN MESES]]*$T$2</f>
        <v>0</v>
      </c>
      <c r="AG170" s="100">
        <f>IF(Tabla1[[#This Row],[TIPO DE CONSUMIDOR]]="MEDIO",IF(Tabla1[[#This Row],[ENERO ]]&gt;22.5,Tabla1[[#This Row],[ENERO ]]/22.5-1,0),IF(Tabla1[[#This Row],[ENERO ]]&gt;45,Tabla1[[#This Row],[ENERO ]]/45-1,0))</f>
        <v>0</v>
      </c>
      <c r="AH17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0" s="100">
        <f>IF(Tabla1[[#This Row],[TIPO DE CONSUMIDOR]]="MEDIO",IF(Tabla1[[#This Row],[MARZO]]&gt;22.5,Tabla1[[#This Row],[MARZO]]/22.5-1,0),IF(Tabla1[[#This Row],[MARZO]]&gt;45,Tabla1[[#This Row],[MARZO]]/45-1,0))</f>
        <v>0</v>
      </c>
      <c r="AJ170" s="100">
        <f>IF(Tabla1[[#This Row],[TIPO DE CONSUMIDOR]]="MEDIO",IF(Tabla1[[#This Row],[ABRIL]]&gt;22.5,Tabla1[[#This Row],[ABRIL]]/22.5-1,0),IF(Tabla1[[#This Row],[ABRIL]]&gt;45,Tabla1[[#This Row],[ABRIL]]/45-1,0))</f>
        <v>0</v>
      </c>
      <c r="AK170" s="100">
        <f>IF(Tabla1[[#This Row],[TIPO DE CONSUMIDOR]]="MEDIO",IF(Tabla1[[#This Row],[MAYO ]]&gt;22.5,Tabla1[[#This Row],[MAYO ]]/22.5-1,0),IF(Tabla1[[#This Row],[MAYO ]]&gt;45,Tabla1[[#This Row],[MAYO ]]/45-1,0))</f>
        <v>0</v>
      </c>
      <c r="AL170" s="100">
        <f>IF(Tabla1[[#This Row],[TIPO DE CONSUMIDOR]]="MEDIO",IF(Tabla1[[#This Row],[JUNIO ]]&gt;22.5,Tabla1[[#This Row],[JUNIO ]]/22.5-1,0),IF(Tabla1[[#This Row],[JUNIO ]]&gt;45,Tabla1[[#This Row],[JUNIO ]]/45-1,0))</f>
        <v>0</v>
      </c>
      <c r="AM170" s="100">
        <f>IF(Tabla1[[#This Row],[TIPO DE CONSUMIDOR]]="MEDIO",IF(Tabla1[[#This Row],[JULIO ]]&gt;22.5,Tabla1[[#This Row],[JULIO ]]/22.5-1,0),IF(Tabla1[[#This Row],[JULIO ]]&gt;45,Tabla1[[#This Row],[JULIO ]]/45-1,0))</f>
        <v>0</v>
      </c>
      <c r="AN170" s="100">
        <f>IF(Tabla1[[#This Row],[TIPO DE CONSUMIDOR]]="MEDIO",IF(Tabla1[[#This Row],[AGOSTO]]&gt;22.5,Tabla1[[#This Row],[AGOSTO]]/22.5-1,0),IF(Tabla1[[#This Row],[AGOSTO]]&gt;45,Tabla1[[#This Row],[AGOSTO]]/45-1,0))</f>
        <v>0</v>
      </c>
      <c r="AO17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0" s="101">
        <f t="shared" si="5"/>
        <v>0</v>
      </c>
      <c r="AT170">
        <f>IF(Tabla1[[#This Row],[MES ADEUDO DE AÑOS PASADOS ]]&gt;0,1,0)</f>
        <v>1</v>
      </c>
      <c r="AU170" s="9">
        <f t="shared" si="6"/>
        <v>1</v>
      </c>
      <c r="AV170" s="60">
        <f>IF(Tabla1[[#This Row],[MESES DE ADEUDO DEL AÑO EN CURSO ]]&gt;0,1,0)</f>
        <v>0</v>
      </c>
      <c r="AW170" s="42"/>
      <c r="AX170" s="42"/>
      <c r="AY170" s="42"/>
      <c r="AZ170" s="43"/>
    </row>
    <row r="171" spans="1:52" ht="21.75" thickBot="1" x14ac:dyDescent="0.35">
      <c r="A171" s="106">
        <v>165</v>
      </c>
      <c r="B171" s="5" t="s">
        <v>505</v>
      </c>
      <c r="C171" s="2" t="s">
        <v>504</v>
      </c>
      <c r="D171" s="32"/>
      <c r="E171" s="35" t="s">
        <v>455</v>
      </c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24">
        <f>SUM(Tabla1[[#This Row],[ENERO ]:[DICIEMBRE]])</f>
        <v>0</v>
      </c>
      <c r="W171">
        <v>0</v>
      </c>
      <c r="X171" s="21">
        <f>COUNTIF(Tabla1[[#This Row],[ENERO ]:[DICIEMBRE]],0)-(AS171)-IF(Tabla1[[#This Row],[BAJAS]]="BAJA",IF(Tabla1[[#This Row],[ALTAS]]="ALTA",VLOOKUP(Tabla1[[#This Row],[MES DE ALTA ]],$AW$6:$AX$17,2,FALSE),12)-VLOOKUP(Tabla1[[#This Row],[MES DE BAJA ]],$AW$6:$AX$17,2,FALSE),0)</f>
        <v>0</v>
      </c>
      <c r="Y171" s="68">
        <f>SUM(Tabla1[[#This Row],[MES ADEUDO DE AÑOS PASADOS ]:[MESES DE ADEUDO DEL AÑO EN CURSO ]])-Tabla1[[#This Row],[PAGO DE DEUDA ANTERIOR EN MESES]]</f>
        <v>0</v>
      </c>
      <c r="Z171" s="15">
        <f>Tabla1[[#This Row],[MES ADEUDO DE AÑOS PASADOS ]]*$T$2</f>
        <v>0</v>
      </c>
      <c r="AA171" s="15">
        <f>Tabla1[[#This Row],[MESES DE ADEUDO DEL AÑO EN CURSO ]]*$T$2</f>
        <v>0</v>
      </c>
      <c r="AB171" s="69">
        <f>SUM(Tabla1[[#This Row],[DEUDA DE LOS MESES PASADOS EN $$]:[DEUDA DEL AÑO 2013 $$ ]])</f>
        <v>0</v>
      </c>
      <c r="AD171">
        <f>Tabla1[[#This Row],[PAGO DE DEUDA ANTERIOR EN MESES]]*$T$2</f>
        <v>0</v>
      </c>
      <c r="AG171" s="100">
        <f>IF(Tabla1[[#This Row],[TIPO DE CONSUMIDOR]]="MEDIO",IF(Tabla1[[#This Row],[ENERO ]]&gt;22.5,Tabla1[[#This Row],[ENERO ]]/22.5-1,0),IF(Tabla1[[#This Row],[ENERO ]]&gt;45,Tabla1[[#This Row],[ENERO ]]/45-1,0))</f>
        <v>0</v>
      </c>
      <c r="AH17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1" s="100">
        <f>IF(Tabla1[[#This Row],[TIPO DE CONSUMIDOR]]="MEDIO",IF(Tabla1[[#This Row],[MARZO]]&gt;22.5,Tabla1[[#This Row],[MARZO]]/22.5-1,0),IF(Tabla1[[#This Row],[MARZO]]&gt;45,Tabla1[[#This Row],[MARZO]]/45-1,0))</f>
        <v>0</v>
      </c>
      <c r="AJ171" s="100">
        <f>IF(Tabla1[[#This Row],[TIPO DE CONSUMIDOR]]="MEDIO",IF(Tabla1[[#This Row],[ABRIL]]&gt;22.5,Tabla1[[#This Row],[ABRIL]]/22.5-1,0),IF(Tabla1[[#This Row],[ABRIL]]&gt;45,Tabla1[[#This Row],[ABRIL]]/45-1,0))</f>
        <v>0</v>
      </c>
      <c r="AK171" s="100">
        <f>IF(Tabla1[[#This Row],[TIPO DE CONSUMIDOR]]="MEDIO",IF(Tabla1[[#This Row],[MAYO ]]&gt;22.5,Tabla1[[#This Row],[MAYO ]]/22.5-1,0),IF(Tabla1[[#This Row],[MAYO ]]&gt;45,Tabla1[[#This Row],[MAYO ]]/45-1,0))</f>
        <v>0</v>
      </c>
      <c r="AL171" s="100">
        <f>IF(Tabla1[[#This Row],[TIPO DE CONSUMIDOR]]="MEDIO",IF(Tabla1[[#This Row],[JUNIO ]]&gt;22.5,Tabla1[[#This Row],[JUNIO ]]/22.5-1,0),IF(Tabla1[[#This Row],[JUNIO ]]&gt;45,Tabla1[[#This Row],[JUNIO ]]/45-1,0))</f>
        <v>0</v>
      </c>
      <c r="AM171" s="100">
        <f>IF(Tabla1[[#This Row],[TIPO DE CONSUMIDOR]]="MEDIO",IF(Tabla1[[#This Row],[JULIO ]]&gt;22.5,Tabla1[[#This Row],[JULIO ]]/22.5-1,0),IF(Tabla1[[#This Row],[JULIO ]]&gt;45,Tabla1[[#This Row],[JULIO ]]/45-1,0))</f>
        <v>0</v>
      </c>
      <c r="AN171" s="100">
        <f>IF(Tabla1[[#This Row],[TIPO DE CONSUMIDOR]]="MEDIO",IF(Tabla1[[#This Row],[AGOSTO]]&gt;22.5,Tabla1[[#This Row],[AGOSTO]]/22.5-1,0),IF(Tabla1[[#This Row],[AGOSTO]]&gt;45,Tabla1[[#This Row],[AGOSTO]]/45-1,0))</f>
        <v>0</v>
      </c>
      <c r="AO17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1" s="101">
        <f t="shared" si="5"/>
        <v>0</v>
      </c>
      <c r="AT171">
        <f>IF(Tabla1[[#This Row],[MES ADEUDO DE AÑOS PASADOS ]]&gt;0,1,0)</f>
        <v>0</v>
      </c>
      <c r="AU171" s="9">
        <f t="shared" si="6"/>
        <v>0</v>
      </c>
      <c r="AV171" s="60">
        <f>IF(Tabla1[[#This Row],[MESES DE ADEUDO DEL AÑO EN CURSO ]]&gt;0,1,0)</f>
        <v>0</v>
      </c>
      <c r="AW171" s="42"/>
      <c r="AX171" s="42"/>
      <c r="AY171" s="42"/>
      <c r="AZ171" s="43"/>
    </row>
    <row r="172" spans="1:52" ht="21.75" customHeight="1" thickBot="1" x14ac:dyDescent="0.35">
      <c r="A172" s="106">
        <v>166</v>
      </c>
      <c r="B172" s="5" t="s">
        <v>506</v>
      </c>
      <c r="C172" s="2" t="s">
        <v>504</v>
      </c>
      <c r="D172" s="32"/>
      <c r="E172" s="35" t="s">
        <v>455</v>
      </c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24">
        <f>SUM(Tabla1[[#This Row],[ENERO ]:[DICIEMBRE]])</f>
        <v>0</v>
      </c>
      <c r="W172">
        <v>0</v>
      </c>
      <c r="X172" s="21">
        <f>COUNTIF(Tabla1[[#This Row],[ENERO ]:[DICIEMBRE]],0)-(AS172)-IF(Tabla1[[#This Row],[BAJAS]]="BAJA",IF(Tabla1[[#This Row],[ALTAS]]="ALTA",VLOOKUP(Tabla1[[#This Row],[MES DE ALTA ]],$AW$6:$AX$17,2,FALSE),12)-VLOOKUP(Tabla1[[#This Row],[MES DE BAJA ]],$AW$6:$AX$17,2,FALSE),0)</f>
        <v>0</v>
      </c>
      <c r="Y172" s="68">
        <f>SUM(Tabla1[[#This Row],[MES ADEUDO DE AÑOS PASADOS ]:[MESES DE ADEUDO DEL AÑO EN CURSO ]])-Tabla1[[#This Row],[PAGO DE DEUDA ANTERIOR EN MESES]]</f>
        <v>0</v>
      </c>
      <c r="Z172" s="15">
        <f>Tabla1[[#This Row],[MES ADEUDO DE AÑOS PASADOS ]]*$T$2</f>
        <v>0</v>
      </c>
      <c r="AA172" s="15">
        <f>Tabla1[[#This Row],[MESES DE ADEUDO DEL AÑO EN CURSO ]]*$T$2</f>
        <v>0</v>
      </c>
      <c r="AB172" s="69">
        <f>SUM(Tabla1[[#This Row],[DEUDA DE LOS MESES PASADOS EN $$]:[DEUDA DEL AÑO 2013 $$ ]])</f>
        <v>0</v>
      </c>
      <c r="AD172">
        <f>Tabla1[[#This Row],[PAGO DE DEUDA ANTERIOR EN MESES]]*$T$2</f>
        <v>0</v>
      </c>
      <c r="AG172" s="100">
        <f>IF(Tabla1[[#This Row],[TIPO DE CONSUMIDOR]]="MEDIO",IF(Tabla1[[#This Row],[ENERO ]]&gt;22.5,Tabla1[[#This Row],[ENERO ]]/22.5-1,0),IF(Tabla1[[#This Row],[ENERO ]]&gt;45,Tabla1[[#This Row],[ENERO ]]/45-1,0))</f>
        <v>0</v>
      </c>
      <c r="AH17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2" s="100">
        <f>IF(Tabla1[[#This Row],[TIPO DE CONSUMIDOR]]="MEDIO",IF(Tabla1[[#This Row],[MARZO]]&gt;22.5,Tabla1[[#This Row],[MARZO]]/22.5-1,0),IF(Tabla1[[#This Row],[MARZO]]&gt;45,Tabla1[[#This Row],[MARZO]]/45-1,0))</f>
        <v>0</v>
      </c>
      <c r="AJ172" s="100">
        <f>IF(Tabla1[[#This Row],[TIPO DE CONSUMIDOR]]="MEDIO",IF(Tabla1[[#This Row],[ABRIL]]&gt;22.5,Tabla1[[#This Row],[ABRIL]]/22.5-1,0),IF(Tabla1[[#This Row],[ABRIL]]&gt;45,Tabla1[[#This Row],[ABRIL]]/45-1,0))</f>
        <v>0</v>
      </c>
      <c r="AK172" s="100">
        <f>IF(Tabla1[[#This Row],[TIPO DE CONSUMIDOR]]="MEDIO",IF(Tabla1[[#This Row],[MAYO ]]&gt;22.5,Tabla1[[#This Row],[MAYO ]]/22.5-1,0),IF(Tabla1[[#This Row],[MAYO ]]&gt;45,Tabla1[[#This Row],[MAYO ]]/45-1,0))</f>
        <v>0</v>
      </c>
      <c r="AL172" s="100">
        <f>IF(Tabla1[[#This Row],[TIPO DE CONSUMIDOR]]="MEDIO",IF(Tabla1[[#This Row],[JUNIO ]]&gt;22.5,Tabla1[[#This Row],[JUNIO ]]/22.5-1,0),IF(Tabla1[[#This Row],[JUNIO ]]&gt;45,Tabla1[[#This Row],[JUNIO ]]/45-1,0))</f>
        <v>0</v>
      </c>
      <c r="AM172" s="100">
        <f>IF(Tabla1[[#This Row],[TIPO DE CONSUMIDOR]]="MEDIO",IF(Tabla1[[#This Row],[JULIO ]]&gt;22.5,Tabla1[[#This Row],[JULIO ]]/22.5-1,0),IF(Tabla1[[#This Row],[JULIO ]]&gt;45,Tabla1[[#This Row],[JULIO ]]/45-1,0))</f>
        <v>0</v>
      </c>
      <c r="AN172" s="100">
        <f>IF(Tabla1[[#This Row],[TIPO DE CONSUMIDOR]]="MEDIO",IF(Tabla1[[#This Row],[AGOSTO]]&gt;22.5,Tabla1[[#This Row],[AGOSTO]]/22.5-1,0),IF(Tabla1[[#This Row],[AGOSTO]]&gt;45,Tabla1[[#This Row],[AGOSTO]]/45-1,0))</f>
        <v>0</v>
      </c>
      <c r="AO17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2" s="101">
        <f t="shared" si="5"/>
        <v>0</v>
      </c>
      <c r="AT172">
        <f>IF(Tabla1[[#This Row],[MES ADEUDO DE AÑOS PASADOS ]]&gt;0,1,0)</f>
        <v>0</v>
      </c>
      <c r="AU172" s="9">
        <f t="shared" si="6"/>
        <v>0</v>
      </c>
      <c r="AV172" s="60">
        <f>IF(Tabla1[[#This Row],[MESES DE ADEUDO DEL AÑO EN CURSO ]]&gt;0,1,0)</f>
        <v>0</v>
      </c>
      <c r="AW172" s="42"/>
      <c r="AX172" s="42"/>
      <c r="AY172" s="42"/>
      <c r="AZ172" s="43"/>
    </row>
    <row r="173" spans="1:52" ht="21.75" customHeight="1" thickBot="1" x14ac:dyDescent="0.35">
      <c r="A173" s="106">
        <v>167</v>
      </c>
      <c r="B173" s="5" t="s">
        <v>176</v>
      </c>
      <c r="C173" s="2" t="s">
        <v>504</v>
      </c>
      <c r="D173" s="32"/>
      <c r="E173" s="35" t="s">
        <v>455</v>
      </c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24">
        <f>SUM(Tabla1[[#This Row],[ENERO ]:[DICIEMBRE]])</f>
        <v>0</v>
      </c>
      <c r="W173">
        <v>0</v>
      </c>
      <c r="X173" s="21">
        <f>COUNTIF(Tabla1[[#This Row],[ENERO ]:[DICIEMBRE]],0)-(AS173)-IF(Tabla1[[#This Row],[BAJAS]]="BAJA",IF(Tabla1[[#This Row],[ALTAS]]="ALTA",VLOOKUP(Tabla1[[#This Row],[MES DE ALTA ]],$AW$6:$AX$17,2,FALSE),12)-VLOOKUP(Tabla1[[#This Row],[MES DE BAJA ]],$AW$6:$AX$17,2,FALSE),0)</f>
        <v>0</v>
      </c>
      <c r="Y173" s="68">
        <f>SUM(Tabla1[[#This Row],[MES ADEUDO DE AÑOS PASADOS ]:[MESES DE ADEUDO DEL AÑO EN CURSO ]])-Tabla1[[#This Row],[PAGO DE DEUDA ANTERIOR EN MESES]]</f>
        <v>0</v>
      </c>
      <c r="Z173" s="15">
        <f>Tabla1[[#This Row],[MES ADEUDO DE AÑOS PASADOS ]]*$T$2</f>
        <v>0</v>
      </c>
      <c r="AA173" s="15">
        <f>Tabla1[[#This Row],[MESES DE ADEUDO DEL AÑO EN CURSO ]]*$T$2</f>
        <v>0</v>
      </c>
      <c r="AB173" s="69">
        <f>SUM(Tabla1[[#This Row],[DEUDA DE LOS MESES PASADOS EN $$]:[DEUDA DEL AÑO 2013 $$ ]])</f>
        <v>0</v>
      </c>
      <c r="AD173">
        <f>Tabla1[[#This Row],[PAGO DE DEUDA ANTERIOR EN MESES]]*$T$2</f>
        <v>0</v>
      </c>
      <c r="AG173" s="100">
        <f>IF(Tabla1[[#This Row],[TIPO DE CONSUMIDOR]]="MEDIO",IF(Tabla1[[#This Row],[ENERO ]]&gt;22.5,Tabla1[[#This Row],[ENERO ]]/22.5-1,0),IF(Tabla1[[#This Row],[ENERO ]]&gt;45,Tabla1[[#This Row],[ENERO ]]/45-1,0))</f>
        <v>0</v>
      </c>
      <c r="AH17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3" s="100">
        <f>IF(Tabla1[[#This Row],[TIPO DE CONSUMIDOR]]="MEDIO",IF(Tabla1[[#This Row],[MARZO]]&gt;22.5,Tabla1[[#This Row],[MARZO]]/22.5-1,0),IF(Tabla1[[#This Row],[MARZO]]&gt;45,Tabla1[[#This Row],[MARZO]]/45-1,0))</f>
        <v>0</v>
      </c>
      <c r="AJ173" s="100">
        <f>IF(Tabla1[[#This Row],[TIPO DE CONSUMIDOR]]="MEDIO",IF(Tabla1[[#This Row],[ABRIL]]&gt;22.5,Tabla1[[#This Row],[ABRIL]]/22.5-1,0),IF(Tabla1[[#This Row],[ABRIL]]&gt;45,Tabla1[[#This Row],[ABRIL]]/45-1,0))</f>
        <v>0</v>
      </c>
      <c r="AK173" s="100">
        <f>IF(Tabla1[[#This Row],[TIPO DE CONSUMIDOR]]="MEDIO",IF(Tabla1[[#This Row],[MAYO ]]&gt;22.5,Tabla1[[#This Row],[MAYO ]]/22.5-1,0),IF(Tabla1[[#This Row],[MAYO ]]&gt;45,Tabla1[[#This Row],[MAYO ]]/45-1,0))</f>
        <v>0</v>
      </c>
      <c r="AL173" s="100">
        <f>IF(Tabla1[[#This Row],[TIPO DE CONSUMIDOR]]="MEDIO",IF(Tabla1[[#This Row],[JUNIO ]]&gt;22.5,Tabla1[[#This Row],[JUNIO ]]/22.5-1,0),IF(Tabla1[[#This Row],[JUNIO ]]&gt;45,Tabla1[[#This Row],[JUNIO ]]/45-1,0))</f>
        <v>0</v>
      </c>
      <c r="AM173" s="100">
        <f>IF(Tabla1[[#This Row],[TIPO DE CONSUMIDOR]]="MEDIO",IF(Tabla1[[#This Row],[JULIO ]]&gt;22.5,Tabla1[[#This Row],[JULIO ]]/22.5-1,0),IF(Tabla1[[#This Row],[JULIO ]]&gt;45,Tabla1[[#This Row],[JULIO ]]/45-1,0))</f>
        <v>0</v>
      </c>
      <c r="AN173" s="100">
        <f>IF(Tabla1[[#This Row],[TIPO DE CONSUMIDOR]]="MEDIO",IF(Tabla1[[#This Row],[AGOSTO]]&gt;22.5,Tabla1[[#This Row],[AGOSTO]]/22.5-1,0),IF(Tabla1[[#This Row],[AGOSTO]]&gt;45,Tabla1[[#This Row],[AGOSTO]]/45-1,0))</f>
        <v>0</v>
      </c>
      <c r="AO17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3" s="101">
        <f t="shared" si="5"/>
        <v>0</v>
      </c>
      <c r="AT173">
        <f>IF(Tabla1[[#This Row],[MES ADEUDO DE AÑOS PASADOS ]]&gt;0,1,0)</f>
        <v>0</v>
      </c>
      <c r="AU173" s="9">
        <f t="shared" si="6"/>
        <v>0</v>
      </c>
      <c r="AV173" s="60">
        <f>IF(Tabla1[[#This Row],[MESES DE ADEUDO DEL AÑO EN CURSO ]]&gt;0,1,0)</f>
        <v>0</v>
      </c>
      <c r="AW173" s="42"/>
      <c r="AX173" s="42"/>
      <c r="AY173" s="42"/>
      <c r="AZ173" s="43"/>
    </row>
    <row r="174" spans="1:52" ht="21.75" thickBot="1" x14ac:dyDescent="0.35">
      <c r="A174" s="106">
        <v>168</v>
      </c>
      <c r="B174" s="5" t="s">
        <v>173</v>
      </c>
      <c r="C174" s="2" t="s">
        <v>504</v>
      </c>
      <c r="D174" s="46"/>
      <c r="E174" s="36" t="s">
        <v>455</v>
      </c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24">
        <f>SUM(Tabla1[[#This Row],[ENERO ]:[DICIEMBRE]])</f>
        <v>0</v>
      </c>
      <c r="W174">
        <v>0</v>
      </c>
      <c r="X174" s="21">
        <f>COUNTIF(Tabla1[[#This Row],[ENERO ]:[DICIEMBRE]],0)-(AS174)-IF(Tabla1[[#This Row],[BAJAS]]="BAJA",IF(Tabla1[[#This Row],[ALTAS]]="ALTA",VLOOKUP(Tabla1[[#This Row],[MES DE ALTA ]],$AW$6:$AX$17,2,FALSE),12)-VLOOKUP(Tabla1[[#This Row],[MES DE BAJA ]],$AW$6:$AX$17,2,FALSE),0)</f>
        <v>0</v>
      </c>
      <c r="Y174" s="68">
        <f>SUM(Tabla1[[#This Row],[MES ADEUDO DE AÑOS PASADOS ]:[MESES DE ADEUDO DEL AÑO EN CURSO ]])-Tabla1[[#This Row],[PAGO DE DEUDA ANTERIOR EN MESES]]</f>
        <v>0</v>
      </c>
      <c r="Z174" s="15">
        <f>Tabla1[[#This Row],[MES ADEUDO DE AÑOS PASADOS ]]*$T$2</f>
        <v>0</v>
      </c>
      <c r="AA174" s="15">
        <f>Tabla1[[#This Row],[MESES DE ADEUDO DEL AÑO EN CURSO ]]*$T$2</f>
        <v>0</v>
      </c>
      <c r="AB174" s="69">
        <f>SUM(Tabla1[[#This Row],[DEUDA DE LOS MESES PASADOS EN $$]:[DEUDA DEL AÑO 2013 $$ ]])</f>
        <v>0</v>
      </c>
      <c r="AD174">
        <f>Tabla1[[#This Row],[PAGO DE DEUDA ANTERIOR EN MESES]]*$T$2</f>
        <v>0</v>
      </c>
      <c r="AG174" s="100">
        <f>IF(Tabla1[[#This Row],[TIPO DE CONSUMIDOR]]="MEDIO",IF(Tabla1[[#This Row],[ENERO ]]&gt;22.5,Tabla1[[#This Row],[ENERO ]]/22.5-1,0),IF(Tabla1[[#This Row],[ENERO ]]&gt;45,Tabla1[[#This Row],[ENERO ]]/45-1,0))</f>
        <v>0</v>
      </c>
      <c r="AH17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4" s="100">
        <f>IF(Tabla1[[#This Row],[TIPO DE CONSUMIDOR]]="MEDIO",IF(Tabla1[[#This Row],[MARZO]]&gt;22.5,Tabla1[[#This Row],[MARZO]]/22.5-1,0),IF(Tabla1[[#This Row],[MARZO]]&gt;45,Tabla1[[#This Row],[MARZO]]/45-1,0))</f>
        <v>0</v>
      </c>
      <c r="AJ174" s="100">
        <f>IF(Tabla1[[#This Row],[TIPO DE CONSUMIDOR]]="MEDIO",IF(Tabla1[[#This Row],[ABRIL]]&gt;22.5,Tabla1[[#This Row],[ABRIL]]/22.5-1,0),IF(Tabla1[[#This Row],[ABRIL]]&gt;45,Tabla1[[#This Row],[ABRIL]]/45-1,0))</f>
        <v>0</v>
      </c>
      <c r="AK174" s="100">
        <f>IF(Tabla1[[#This Row],[TIPO DE CONSUMIDOR]]="MEDIO",IF(Tabla1[[#This Row],[MAYO ]]&gt;22.5,Tabla1[[#This Row],[MAYO ]]/22.5-1,0),IF(Tabla1[[#This Row],[MAYO ]]&gt;45,Tabla1[[#This Row],[MAYO ]]/45-1,0))</f>
        <v>0</v>
      </c>
      <c r="AL174" s="100">
        <f>IF(Tabla1[[#This Row],[TIPO DE CONSUMIDOR]]="MEDIO",IF(Tabla1[[#This Row],[JUNIO ]]&gt;22.5,Tabla1[[#This Row],[JUNIO ]]/22.5-1,0),IF(Tabla1[[#This Row],[JUNIO ]]&gt;45,Tabla1[[#This Row],[JUNIO ]]/45-1,0))</f>
        <v>0</v>
      </c>
      <c r="AM174" s="100">
        <f>IF(Tabla1[[#This Row],[TIPO DE CONSUMIDOR]]="MEDIO",IF(Tabla1[[#This Row],[JULIO ]]&gt;22.5,Tabla1[[#This Row],[JULIO ]]/22.5-1,0),IF(Tabla1[[#This Row],[JULIO ]]&gt;45,Tabla1[[#This Row],[JULIO ]]/45-1,0))</f>
        <v>0</v>
      </c>
      <c r="AN174" s="100">
        <f>IF(Tabla1[[#This Row],[TIPO DE CONSUMIDOR]]="MEDIO",IF(Tabla1[[#This Row],[AGOSTO]]&gt;22.5,Tabla1[[#This Row],[AGOSTO]]/22.5-1,0),IF(Tabla1[[#This Row],[AGOSTO]]&gt;45,Tabla1[[#This Row],[AGOSTO]]/45-1,0))</f>
        <v>0</v>
      </c>
      <c r="AO17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4" s="101">
        <f t="shared" si="5"/>
        <v>0</v>
      </c>
      <c r="AT174">
        <f>IF(Tabla1[[#This Row],[MES ADEUDO DE AÑOS PASADOS ]]&gt;0,1,0)</f>
        <v>0</v>
      </c>
      <c r="AU174" s="9">
        <f t="shared" si="6"/>
        <v>0</v>
      </c>
      <c r="AV174" s="60">
        <f>IF(Tabla1[[#This Row],[MESES DE ADEUDO DEL AÑO EN CURSO ]]&gt;0,1,0)</f>
        <v>0</v>
      </c>
      <c r="AW174" s="42"/>
      <c r="AX174" s="42"/>
      <c r="AY174" s="42"/>
      <c r="AZ174" s="43"/>
    </row>
    <row r="175" spans="1:52" ht="21.75" thickBot="1" x14ac:dyDescent="0.35">
      <c r="A175" s="106">
        <v>169</v>
      </c>
      <c r="B175" s="5" t="s">
        <v>311</v>
      </c>
      <c r="C175" s="2" t="s">
        <v>504</v>
      </c>
      <c r="D175" s="32"/>
      <c r="E175" s="35" t="s">
        <v>455</v>
      </c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24">
        <f>SUM(Tabla1[[#This Row],[ENERO ]:[DICIEMBRE]])</f>
        <v>0</v>
      </c>
      <c r="W175">
        <v>0</v>
      </c>
      <c r="X175" s="21">
        <f>COUNTIF(Tabla1[[#This Row],[ENERO ]:[DICIEMBRE]],0)-(AS175)-IF(Tabla1[[#This Row],[BAJAS]]="BAJA",IF(Tabla1[[#This Row],[ALTAS]]="ALTA",VLOOKUP(Tabla1[[#This Row],[MES DE ALTA ]],$AW$6:$AX$17,2,FALSE),12)-VLOOKUP(Tabla1[[#This Row],[MES DE BAJA ]],$AW$6:$AX$17,2,FALSE),0)</f>
        <v>0</v>
      </c>
      <c r="Y175" s="68">
        <f>SUM(Tabla1[[#This Row],[MES ADEUDO DE AÑOS PASADOS ]:[MESES DE ADEUDO DEL AÑO EN CURSO ]])-Tabla1[[#This Row],[PAGO DE DEUDA ANTERIOR EN MESES]]</f>
        <v>0</v>
      </c>
      <c r="Z175" s="15">
        <f>Tabla1[[#This Row],[MES ADEUDO DE AÑOS PASADOS ]]*$T$2</f>
        <v>0</v>
      </c>
      <c r="AA175" s="15">
        <f>Tabla1[[#This Row],[MESES DE ADEUDO DEL AÑO EN CURSO ]]*$T$2</f>
        <v>0</v>
      </c>
      <c r="AB175" s="69">
        <f>SUM(Tabla1[[#This Row],[DEUDA DE LOS MESES PASADOS EN $$]:[DEUDA DEL AÑO 2013 $$ ]])</f>
        <v>0</v>
      </c>
      <c r="AD175">
        <f>Tabla1[[#This Row],[PAGO DE DEUDA ANTERIOR EN MESES]]*$T$2</f>
        <v>0</v>
      </c>
      <c r="AG175" s="100">
        <f>IF(Tabla1[[#This Row],[TIPO DE CONSUMIDOR]]="MEDIO",IF(Tabla1[[#This Row],[ENERO ]]&gt;22.5,Tabla1[[#This Row],[ENERO ]]/22.5-1,0),IF(Tabla1[[#This Row],[ENERO ]]&gt;45,Tabla1[[#This Row],[ENERO ]]/45-1,0))</f>
        <v>0</v>
      </c>
      <c r="AH17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5" s="100">
        <f>IF(Tabla1[[#This Row],[TIPO DE CONSUMIDOR]]="MEDIO",IF(Tabla1[[#This Row],[MARZO]]&gt;22.5,Tabla1[[#This Row],[MARZO]]/22.5-1,0),IF(Tabla1[[#This Row],[MARZO]]&gt;45,Tabla1[[#This Row],[MARZO]]/45-1,0))</f>
        <v>0</v>
      </c>
      <c r="AJ175" s="100">
        <f>IF(Tabla1[[#This Row],[TIPO DE CONSUMIDOR]]="MEDIO",IF(Tabla1[[#This Row],[ABRIL]]&gt;22.5,Tabla1[[#This Row],[ABRIL]]/22.5-1,0),IF(Tabla1[[#This Row],[ABRIL]]&gt;45,Tabla1[[#This Row],[ABRIL]]/45-1,0))</f>
        <v>0</v>
      </c>
      <c r="AK175" s="100">
        <f>IF(Tabla1[[#This Row],[TIPO DE CONSUMIDOR]]="MEDIO",IF(Tabla1[[#This Row],[MAYO ]]&gt;22.5,Tabla1[[#This Row],[MAYO ]]/22.5-1,0),IF(Tabla1[[#This Row],[MAYO ]]&gt;45,Tabla1[[#This Row],[MAYO ]]/45-1,0))</f>
        <v>0</v>
      </c>
      <c r="AL175" s="100">
        <f>IF(Tabla1[[#This Row],[TIPO DE CONSUMIDOR]]="MEDIO",IF(Tabla1[[#This Row],[JUNIO ]]&gt;22.5,Tabla1[[#This Row],[JUNIO ]]/22.5-1,0),IF(Tabla1[[#This Row],[JUNIO ]]&gt;45,Tabla1[[#This Row],[JUNIO ]]/45-1,0))</f>
        <v>0</v>
      </c>
      <c r="AM175" s="100">
        <f>IF(Tabla1[[#This Row],[TIPO DE CONSUMIDOR]]="MEDIO",IF(Tabla1[[#This Row],[JULIO ]]&gt;22.5,Tabla1[[#This Row],[JULIO ]]/22.5-1,0),IF(Tabla1[[#This Row],[JULIO ]]&gt;45,Tabla1[[#This Row],[JULIO ]]/45-1,0))</f>
        <v>0</v>
      </c>
      <c r="AN175" s="100">
        <f>IF(Tabla1[[#This Row],[TIPO DE CONSUMIDOR]]="MEDIO",IF(Tabla1[[#This Row],[AGOSTO]]&gt;22.5,Tabla1[[#This Row],[AGOSTO]]/22.5-1,0),IF(Tabla1[[#This Row],[AGOSTO]]&gt;45,Tabla1[[#This Row],[AGOSTO]]/45-1,0))</f>
        <v>0</v>
      </c>
      <c r="AO17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5" s="101">
        <f t="shared" si="5"/>
        <v>0</v>
      </c>
      <c r="AT175">
        <f>IF(Tabla1[[#This Row],[MES ADEUDO DE AÑOS PASADOS ]]&gt;0,1,0)</f>
        <v>0</v>
      </c>
      <c r="AU175" s="9">
        <f t="shared" si="6"/>
        <v>0</v>
      </c>
      <c r="AV175" s="60">
        <f>IF(Tabla1[[#This Row],[MESES DE ADEUDO DEL AÑO EN CURSO ]]&gt;0,1,0)</f>
        <v>0</v>
      </c>
      <c r="AW175" s="42"/>
      <c r="AX175" s="42"/>
      <c r="AY175" s="42"/>
      <c r="AZ175" s="43"/>
    </row>
    <row r="176" spans="1:52" ht="21.75" thickBot="1" x14ac:dyDescent="0.35">
      <c r="A176" s="106">
        <v>170</v>
      </c>
      <c r="B176" s="5" t="s">
        <v>509</v>
      </c>
      <c r="C176" s="2" t="s">
        <v>504</v>
      </c>
      <c r="D176" s="32"/>
      <c r="E176" s="35" t="s">
        <v>455</v>
      </c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24">
        <f>SUM(Tabla1[[#This Row],[ENERO ]:[DICIEMBRE]])</f>
        <v>0</v>
      </c>
      <c r="W176">
        <v>0</v>
      </c>
      <c r="X176" s="21">
        <f>COUNTIF(Tabla1[[#This Row],[ENERO ]:[DICIEMBRE]],0)-(AS176)-IF(Tabla1[[#This Row],[BAJAS]]="BAJA",IF(Tabla1[[#This Row],[ALTAS]]="ALTA",VLOOKUP(Tabla1[[#This Row],[MES DE ALTA ]],$AW$6:$AX$17,2,FALSE),12)-VLOOKUP(Tabla1[[#This Row],[MES DE BAJA ]],$AW$6:$AX$17,2,FALSE),0)</f>
        <v>0</v>
      </c>
      <c r="Y176" s="68">
        <f>SUM(Tabla1[[#This Row],[MES ADEUDO DE AÑOS PASADOS ]:[MESES DE ADEUDO DEL AÑO EN CURSO ]])-Tabla1[[#This Row],[PAGO DE DEUDA ANTERIOR EN MESES]]</f>
        <v>0</v>
      </c>
      <c r="Z176" s="15">
        <f>Tabla1[[#This Row],[MES ADEUDO DE AÑOS PASADOS ]]*$T$2</f>
        <v>0</v>
      </c>
      <c r="AA176" s="15">
        <f>Tabla1[[#This Row],[MESES DE ADEUDO DEL AÑO EN CURSO ]]*$T$2</f>
        <v>0</v>
      </c>
      <c r="AB176" s="69">
        <f>SUM(Tabla1[[#This Row],[DEUDA DE LOS MESES PASADOS EN $$]:[DEUDA DEL AÑO 2013 $$ ]])</f>
        <v>0</v>
      </c>
      <c r="AD176">
        <f>Tabla1[[#This Row],[PAGO DE DEUDA ANTERIOR EN MESES]]*$T$2</f>
        <v>0</v>
      </c>
      <c r="AG176" s="100">
        <f>IF(Tabla1[[#This Row],[TIPO DE CONSUMIDOR]]="MEDIO",IF(Tabla1[[#This Row],[ENERO ]]&gt;22.5,Tabla1[[#This Row],[ENERO ]]/22.5-1,0),IF(Tabla1[[#This Row],[ENERO ]]&gt;45,Tabla1[[#This Row],[ENERO ]]/45-1,0))</f>
        <v>0</v>
      </c>
      <c r="AH17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6" s="100">
        <f>IF(Tabla1[[#This Row],[TIPO DE CONSUMIDOR]]="MEDIO",IF(Tabla1[[#This Row],[MARZO]]&gt;22.5,Tabla1[[#This Row],[MARZO]]/22.5-1,0),IF(Tabla1[[#This Row],[MARZO]]&gt;45,Tabla1[[#This Row],[MARZO]]/45-1,0))</f>
        <v>0</v>
      </c>
      <c r="AJ176" s="100">
        <f>IF(Tabla1[[#This Row],[TIPO DE CONSUMIDOR]]="MEDIO",IF(Tabla1[[#This Row],[ABRIL]]&gt;22.5,Tabla1[[#This Row],[ABRIL]]/22.5-1,0),IF(Tabla1[[#This Row],[ABRIL]]&gt;45,Tabla1[[#This Row],[ABRIL]]/45-1,0))</f>
        <v>0</v>
      </c>
      <c r="AK176" s="100">
        <f>IF(Tabla1[[#This Row],[TIPO DE CONSUMIDOR]]="MEDIO",IF(Tabla1[[#This Row],[MAYO ]]&gt;22.5,Tabla1[[#This Row],[MAYO ]]/22.5-1,0),IF(Tabla1[[#This Row],[MAYO ]]&gt;45,Tabla1[[#This Row],[MAYO ]]/45-1,0))</f>
        <v>0</v>
      </c>
      <c r="AL176" s="100">
        <f>IF(Tabla1[[#This Row],[TIPO DE CONSUMIDOR]]="MEDIO",IF(Tabla1[[#This Row],[JUNIO ]]&gt;22.5,Tabla1[[#This Row],[JUNIO ]]/22.5-1,0),IF(Tabla1[[#This Row],[JUNIO ]]&gt;45,Tabla1[[#This Row],[JUNIO ]]/45-1,0))</f>
        <v>0</v>
      </c>
      <c r="AM176" s="100">
        <f>IF(Tabla1[[#This Row],[TIPO DE CONSUMIDOR]]="MEDIO",IF(Tabla1[[#This Row],[JULIO ]]&gt;22.5,Tabla1[[#This Row],[JULIO ]]/22.5-1,0),IF(Tabla1[[#This Row],[JULIO ]]&gt;45,Tabla1[[#This Row],[JULIO ]]/45-1,0))</f>
        <v>0</v>
      </c>
      <c r="AN176" s="100">
        <f>IF(Tabla1[[#This Row],[TIPO DE CONSUMIDOR]]="MEDIO",IF(Tabla1[[#This Row],[AGOSTO]]&gt;22.5,Tabla1[[#This Row],[AGOSTO]]/22.5-1,0),IF(Tabla1[[#This Row],[AGOSTO]]&gt;45,Tabla1[[#This Row],[AGOSTO]]/45-1,0))</f>
        <v>0</v>
      </c>
      <c r="AO17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6" s="101">
        <f t="shared" si="5"/>
        <v>0</v>
      </c>
      <c r="AT176">
        <f>IF(Tabla1[[#This Row],[MES ADEUDO DE AÑOS PASADOS ]]&gt;0,1,0)</f>
        <v>0</v>
      </c>
      <c r="AU176" s="9">
        <f t="shared" si="6"/>
        <v>0</v>
      </c>
      <c r="AV176" s="60">
        <f>IF(Tabla1[[#This Row],[MESES DE ADEUDO DEL AÑO EN CURSO ]]&gt;0,1,0)</f>
        <v>0</v>
      </c>
      <c r="AW176" s="42"/>
      <c r="AX176" s="42"/>
      <c r="AY176" s="42"/>
      <c r="AZ176" s="43"/>
    </row>
    <row r="177" spans="1:52" ht="21.75" thickBot="1" x14ac:dyDescent="0.35">
      <c r="A177" s="106">
        <v>171</v>
      </c>
      <c r="B177" s="5" t="s">
        <v>379</v>
      </c>
      <c r="C177" s="2" t="s">
        <v>504</v>
      </c>
      <c r="D177" s="32"/>
      <c r="E177" s="35" t="s">
        <v>455</v>
      </c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24">
        <f>SUM(Tabla1[[#This Row],[ENERO ]:[DICIEMBRE]])</f>
        <v>0</v>
      </c>
      <c r="W177">
        <v>0</v>
      </c>
      <c r="X177" s="21">
        <f>COUNTIF(Tabla1[[#This Row],[ENERO ]:[DICIEMBRE]],0)-(AS177)-IF(Tabla1[[#This Row],[BAJAS]]="BAJA",IF(Tabla1[[#This Row],[ALTAS]]="ALTA",VLOOKUP(Tabla1[[#This Row],[MES DE ALTA ]],$AW$6:$AX$17,2,FALSE),12)-VLOOKUP(Tabla1[[#This Row],[MES DE BAJA ]],$AW$6:$AX$17,2,FALSE),0)</f>
        <v>0</v>
      </c>
      <c r="Y177" s="68">
        <f>SUM(Tabla1[[#This Row],[MES ADEUDO DE AÑOS PASADOS ]:[MESES DE ADEUDO DEL AÑO EN CURSO ]])-Tabla1[[#This Row],[PAGO DE DEUDA ANTERIOR EN MESES]]</f>
        <v>0</v>
      </c>
      <c r="Z177" s="15">
        <f>Tabla1[[#This Row],[MES ADEUDO DE AÑOS PASADOS ]]*$T$2</f>
        <v>0</v>
      </c>
      <c r="AA177" s="15">
        <f>Tabla1[[#This Row],[MESES DE ADEUDO DEL AÑO EN CURSO ]]*$T$2</f>
        <v>0</v>
      </c>
      <c r="AB177" s="69">
        <f>SUM(Tabla1[[#This Row],[DEUDA DE LOS MESES PASADOS EN $$]:[DEUDA DEL AÑO 2013 $$ ]])</f>
        <v>0</v>
      </c>
      <c r="AD177">
        <f>Tabla1[[#This Row],[PAGO DE DEUDA ANTERIOR EN MESES]]*$T$2</f>
        <v>0</v>
      </c>
      <c r="AG177" s="100">
        <f>IF(Tabla1[[#This Row],[TIPO DE CONSUMIDOR]]="MEDIO",IF(Tabla1[[#This Row],[ENERO ]]&gt;22.5,Tabla1[[#This Row],[ENERO ]]/22.5-1,0),IF(Tabla1[[#This Row],[ENERO ]]&gt;45,Tabla1[[#This Row],[ENERO ]]/45-1,0))</f>
        <v>0</v>
      </c>
      <c r="AH17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7" s="100">
        <f>IF(Tabla1[[#This Row],[TIPO DE CONSUMIDOR]]="MEDIO",IF(Tabla1[[#This Row],[MARZO]]&gt;22.5,Tabla1[[#This Row],[MARZO]]/22.5-1,0),IF(Tabla1[[#This Row],[MARZO]]&gt;45,Tabla1[[#This Row],[MARZO]]/45-1,0))</f>
        <v>0</v>
      </c>
      <c r="AJ177" s="100">
        <f>IF(Tabla1[[#This Row],[TIPO DE CONSUMIDOR]]="MEDIO",IF(Tabla1[[#This Row],[ABRIL]]&gt;22.5,Tabla1[[#This Row],[ABRIL]]/22.5-1,0),IF(Tabla1[[#This Row],[ABRIL]]&gt;45,Tabla1[[#This Row],[ABRIL]]/45-1,0))</f>
        <v>0</v>
      </c>
      <c r="AK177" s="100">
        <f>IF(Tabla1[[#This Row],[TIPO DE CONSUMIDOR]]="MEDIO",IF(Tabla1[[#This Row],[MAYO ]]&gt;22.5,Tabla1[[#This Row],[MAYO ]]/22.5-1,0),IF(Tabla1[[#This Row],[MAYO ]]&gt;45,Tabla1[[#This Row],[MAYO ]]/45-1,0))</f>
        <v>0</v>
      </c>
      <c r="AL177" s="100">
        <f>IF(Tabla1[[#This Row],[TIPO DE CONSUMIDOR]]="MEDIO",IF(Tabla1[[#This Row],[JUNIO ]]&gt;22.5,Tabla1[[#This Row],[JUNIO ]]/22.5-1,0),IF(Tabla1[[#This Row],[JUNIO ]]&gt;45,Tabla1[[#This Row],[JUNIO ]]/45-1,0))</f>
        <v>0</v>
      </c>
      <c r="AM177" s="100">
        <f>IF(Tabla1[[#This Row],[TIPO DE CONSUMIDOR]]="MEDIO",IF(Tabla1[[#This Row],[JULIO ]]&gt;22.5,Tabla1[[#This Row],[JULIO ]]/22.5-1,0),IF(Tabla1[[#This Row],[JULIO ]]&gt;45,Tabla1[[#This Row],[JULIO ]]/45-1,0))</f>
        <v>0</v>
      </c>
      <c r="AN177" s="100">
        <f>IF(Tabla1[[#This Row],[TIPO DE CONSUMIDOR]]="MEDIO",IF(Tabla1[[#This Row],[AGOSTO]]&gt;22.5,Tabla1[[#This Row],[AGOSTO]]/22.5-1,0),IF(Tabla1[[#This Row],[AGOSTO]]&gt;45,Tabla1[[#This Row],[AGOSTO]]/45-1,0))</f>
        <v>0</v>
      </c>
      <c r="AO17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7" s="101">
        <f t="shared" si="5"/>
        <v>0</v>
      </c>
      <c r="AT177">
        <f>IF(Tabla1[[#This Row],[MES ADEUDO DE AÑOS PASADOS ]]&gt;0,1,0)</f>
        <v>0</v>
      </c>
      <c r="AU177" s="9">
        <f t="shared" si="6"/>
        <v>0</v>
      </c>
      <c r="AV177" s="60">
        <f>IF(Tabla1[[#This Row],[MESES DE ADEUDO DEL AÑO EN CURSO ]]&gt;0,1,0)</f>
        <v>0</v>
      </c>
      <c r="AW177" s="42"/>
      <c r="AX177" s="42"/>
      <c r="AY177" s="42"/>
      <c r="AZ177" s="43"/>
    </row>
    <row r="178" spans="1:52" ht="21.75" thickBot="1" x14ac:dyDescent="0.35">
      <c r="A178" s="106">
        <v>172</v>
      </c>
      <c r="B178" s="5" t="s">
        <v>369</v>
      </c>
      <c r="C178" s="2" t="s">
        <v>504</v>
      </c>
      <c r="D178" s="32"/>
      <c r="E178" s="35" t="s">
        <v>455</v>
      </c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24">
        <f>SUM(Tabla1[[#This Row],[ENERO ]:[DICIEMBRE]])</f>
        <v>0</v>
      </c>
      <c r="W178">
        <v>0</v>
      </c>
      <c r="X178" s="21">
        <f>COUNTIF(Tabla1[[#This Row],[ENERO ]:[DICIEMBRE]],0)-(AS178)-IF(Tabla1[[#This Row],[BAJAS]]="BAJA",IF(Tabla1[[#This Row],[ALTAS]]="ALTA",VLOOKUP(Tabla1[[#This Row],[MES DE ALTA ]],$AW$6:$AX$17,2,FALSE),12)-VLOOKUP(Tabla1[[#This Row],[MES DE BAJA ]],$AW$6:$AX$17,2,FALSE),0)</f>
        <v>0</v>
      </c>
      <c r="Y178" s="68">
        <f>SUM(Tabla1[[#This Row],[MES ADEUDO DE AÑOS PASADOS ]:[MESES DE ADEUDO DEL AÑO EN CURSO ]])-Tabla1[[#This Row],[PAGO DE DEUDA ANTERIOR EN MESES]]</f>
        <v>0</v>
      </c>
      <c r="Z178" s="15">
        <f>Tabla1[[#This Row],[MES ADEUDO DE AÑOS PASADOS ]]*$T$2</f>
        <v>0</v>
      </c>
      <c r="AA178" s="15">
        <f>Tabla1[[#This Row],[MESES DE ADEUDO DEL AÑO EN CURSO ]]*$T$2</f>
        <v>0</v>
      </c>
      <c r="AB178" s="69">
        <f>SUM(Tabla1[[#This Row],[DEUDA DE LOS MESES PASADOS EN $$]:[DEUDA DEL AÑO 2013 $$ ]])</f>
        <v>0</v>
      </c>
      <c r="AD178">
        <f>Tabla1[[#This Row],[PAGO DE DEUDA ANTERIOR EN MESES]]*$T$2</f>
        <v>0</v>
      </c>
      <c r="AG178" s="100">
        <f>IF(Tabla1[[#This Row],[TIPO DE CONSUMIDOR]]="MEDIO",IF(Tabla1[[#This Row],[ENERO ]]&gt;22.5,Tabla1[[#This Row],[ENERO ]]/22.5-1,0),IF(Tabla1[[#This Row],[ENERO ]]&gt;45,Tabla1[[#This Row],[ENERO ]]/45-1,0))</f>
        <v>0</v>
      </c>
      <c r="AH17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8" s="100">
        <f>IF(Tabla1[[#This Row],[TIPO DE CONSUMIDOR]]="MEDIO",IF(Tabla1[[#This Row],[MARZO]]&gt;22.5,Tabla1[[#This Row],[MARZO]]/22.5-1,0),IF(Tabla1[[#This Row],[MARZO]]&gt;45,Tabla1[[#This Row],[MARZO]]/45-1,0))</f>
        <v>0</v>
      </c>
      <c r="AJ178" s="100">
        <f>IF(Tabla1[[#This Row],[TIPO DE CONSUMIDOR]]="MEDIO",IF(Tabla1[[#This Row],[ABRIL]]&gt;22.5,Tabla1[[#This Row],[ABRIL]]/22.5-1,0),IF(Tabla1[[#This Row],[ABRIL]]&gt;45,Tabla1[[#This Row],[ABRIL]]/45-1,0))</f>
        <v>0</v>
      </c>
      <c r="AK178" s="100">
        <f>IF(Tabla1[[#This Row],[TIPO DE CONSUMIDOR]]="MEDIO",IF(Tabla1[[#This Row],[MAYO ]]&gt;22.5,Tabla1[[#This Row],[MAYO ]]/22.5-1,0),IF(Tabla1[[#This Row],[MAYO ]]&gt;45,Tabla1[[#This Row],[MAYO ]]/45-1,0))</f>
        <v>0</v>
      </c>
      <c r="AL178" s="100">
        <f>IF(Tabla1[[#This Row],[TIPO DE CONSUMIDOR]]="MEDIO",IF(Tabla1[[#This Row],[JUNIO ]]&gt;22.5,Tabla1[[#This Row],[JUNIO ]]/22.5-1,0),IF(Tabla1[[#This Row],[JUNIO ]]&gt;45,Tabla1[[#This Row],[JUNIO ]]/45-1,0))</f>
        <v>0</v>
      </c>
      <c r="AM178" s="100">
        <f>IF(Tabla1[[#This Row],[TIPO DE CONSUMIDOR]]="MEDIO",IF(Tabla1[[#This Row],[JULIO ]]&gt;22.5,Tabla1[[#This Row],[JULIO ]]/22.5-1,0),IF(Tabla1[[#This Row],[JULIO ]]&gt;45,Tabla1[[#This Row],[JULIO ]]/45-1,0))</f>
        <v>0</v>
      </c>
      <c r="AN178" s="100">
        <f>IF(Tabla1[[#This Row],[TIPO DE CONSUMIDOR]]="MEDIO",IF(Tabla1[[#This Row],[AGOSTO]]&gt;22.5,Tabla1[[#This Row],[AGOSTO]]/22.5-1,0),IF(Tabla1[[#This Row],[AGOSTO]]&gt;45,Tabla1[[#This Row],[AGOSTO]]/45-1,0))</f>
        <v>0</v>
      </c>
      <c r="AO17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8" s="101">
        <f t="shared" si="5"/>
        <v>0</v>
      </c>
      <c r="AT178">
        <f>IF(Tabla1[[#This Row],[MES ADEUDO DE AÑOS PASADOS ]]&gt;0,1,0)</f>
        <v>0</v>
      </c>
      <c r="AU178" s="9">
        <f t="shared" si="6"/>
        <v>0</v>
      </c>
      <c r="AV178" s="60">
        <f>IF(Tabla1[[#This Row],[MESES DE ADEUDO DEL AÑO EN CURSO ]]&gt;0,1,0)</f>
        <v>0</v>
      </c>
      <c r="AW178" s="42"/>
      <c r="AX178" s="42"/>
      <c r="AY178" s="42"/>
      <c r="AZ178" s="43"/>
    </row>
    <row r="179" spans="1:52" ht="21.75" thickBot="1" x14ac:dyDescent="0.35">
      <c r="A179" s="106">
        <v>173</v>
      </c>
      <c r="B179" s="5" t="s">
        <v>155</v>
      </c>
      <c r="C179" s="2" t="s">
        <v>504</v>
      </c>
      <c r="D179" s="32"/>
      <c r="E179" s="35" t="s">
        <v>455</v>
      </c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24">
        <f>SUM(Tabla1[[#This Row],[ENERO ]:[DICIEMBRE]])</f>
        <v>0</v>
      </c>
      <c r="W179">
        <v>1</v>
      </c>
      <c r="X179" s="21">
        <f>COUNTIF(Tabla1[[#This Row],[ENERO ]:[DICIEMBRE]],0)-(AS179)-IF(Tabla1[[#This Row],[BAJAS]]="BAJA",IF(Tabla1[[#This Row],[ALTAS]]="ALTA",VLOOKUP(Tabla1[[#This Row],[MES DE ALTA ]],$AW$6:$AX$17,2,FALSE),12)-VLOOKUP(Tabla1[[#This Row],[MES DE BAJA ]],$AW$6:$AX$17,2,FALSE),0)</f>
        <v>0</v>
      </c>
      <c r="Y179" s="68">
        <f>SUM(Tabla1[[#This Row],[MES ADEUDO DE AÑOS PASADOS ]:[MESES DE ADEUDO DEL AÑO EN CURSO ]])-Tabla1[[#This Row],[PAGO DE DEUDA ANTERIOR EN MESES]]</f>
        <v>1</v>
      </c>
      <c r="Z179" s="15">
        <f>Tabla1[[#This Row],[MES ADEUDO DE AÑOS PASADOS ]]*$T$2</f>
        <v>45</v>
      </c>
      <c r="AA179" s="15">
        <f>Tabla1[[#This Row],[MESES DE ADEUDO DEL AÑO EN CURSO ]]*$T$2</f>
        <v>0</v>
      </c>
      <c r="AB179" s="69">
        <f>SUM(Tabla1[[#This Row],[DEUDA DE LOS MESES PASADOS EN $$]:[DEUDA DEL AÑO 2013 $$ ]])</f>
        <v>45</v>
      </c>
      <c r="AD179">
        <f>Tabla1[[#This Row],[PAGO DE DEUDA ANTERIOR EN MESES]]*$T$2</f>
        <v>0</v>
      </c>
      <c r="AG179" s="100">
        <f>IF(Tabla1[[#This Row],[TIPO DE CONSUMIDOR]]="MEDIO",IF(Tabla1[[#This Row],[ENERO ]]&gt;22.5,Tabla1[[#This Row],[ENERO ]]/22.5-1,0),IF(Tabla1[[#This Row],[ENERO ]]&gt;45,Tabla1[[#This Row],[ENERO ]]/45-1,0))</f>
        <v>0</v>
      </c>
      <c r="AH17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79" s="100">
        <f>IF(Tabla1[[#This Row],[TIPO DE CONSUMIDOR]]="MEDIO",IF(Tabla1[[#This Row],[MARZO]]&gt;22.5,Tabla1[[#This Row],[MARZO]]/22.5-1,0),IF(Tabla1[[#This Row],[MARZO]]&gt;45,Tabla1[[#This Row],[MARZO]]/45-1,0))</f>
        <v>0</v>
      </c>
      <c r="AJ179" s="100">
        <f>IF(Tabla1[[#This Row],[TIPO DE CONSUMIDOR]]="MEDIO",IF(Tabla1[[#This Row],[ABRIL]]&gt;22.5,Tabla1[[#This Row],[ABRIL]]/22.5-1,0),IF(Tabla1[[#This Row],[ABRIL]]&gt;45,Tabla1[[#This Row],[ABRIL]]/45-1,0))</f>
        <v>0</v>
      </c>
      <c r="AK179" s="100">
        <f>IF(Tabla1[[#This Row],[TIPO DE CONSUMIDOR]]="MEDIO",IF(Tabla1[[#This Row],[MAYO ]]&gt;22.5,Tabla1[[#This Row],[MAYO ]]/22.5-1,0),IF(Tabla1[[#This Row],[MAYO ]]&gt;45,Tabla1[[#This Row],[MAYO ]]/45-1,0))</f>
        <v>0</v>
      </c>
      <c r="AL179" s="100">
        <f>IF(Tabla1[[#This Row],[TIPO DE CONSUMIDOR]]="MEDIO",IF(Tabla1[[#This Row],[JUNIO ]]&gt;22.5,Tabla1[[#This Row],[JUNIO ]]/22.5-1,0),IF(Tabla1[[#This Row],[JUNIO ]]&gt;45,Tabla1[[#This Row],[JUNIO ]]/45-1,0))</f>
        <v>0</v>
      </c>
      <c r="AM179" s="100">
        <f>IF(Tabla1[[#This Row],[TIPO DE CONSUMIDOR]]="MEDIO",IF(Tabla1[[#This Row],[JULIO ]]&gt;22.5,Tabla1[[#This Row],[JULIO ]]/22.5-1,0),IF(Tabla1[[#This Row],[JULIO ]]&gt;45,Tabla1[[#This Row],[JULIO ]]/45-1,0))</f>
        <v>0</v>
      </c>
      <c r="AN179" s="100">
        <f>IF(Tabla1[[#This Row],[TIPO DE CONSUMIDOR]]="MEDIO",IF(Tabla1[[#This Row],[AGOSTO]]&gt;22.5,Tabla1[[#This Row],[AGOSTO]]/22.5-1,0),IF(Tabla1[[#This Row],[AGOSTO]]&gt;45,Tabla1[[#This Row],[AGOSTO]]/45-1,0))</f>
        <v>0</v>
      </c>
      <c r="AO17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7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7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7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79" s="101">
        <f t="shared" si="5"/>
        <v>0</v>
      </c>
      <c r="AT179">
        <f>IF(Tabla1[[#This Row],[MES ADEUDO DE AÑOS PASADOS ]]&gt;0,1,0)</f>
        <v>1</v>
      </c>
      <c r="AU179" s="9">
        <f t="shared" si="6"/>
        <v>1</v>
      </c>
      <c r="AV179" s="60">
        <f>IF(Tabla1[[#This Row],[MESES DE ADEUDO DEL AÑO EN CURSO ]]&gt;0,1,0)</f>
        <v>0</v>
      </c>
      <c r="AW179" s="42"/>
      <c r="AX179" s="42"/>
      <c r="AY179" s="42"/>
      <c r="AZ179" s="43"/>
    </row>
    <row r="180" spans="1:52" ht="21.75" thickBot="1" x14ac:dyDescent="0.35">
      <c r="A180" s="106">
        <v>174</v>
      </c>
      <c r="B180" s="5" t="s">
        <v>191</v>
      </c>
      <c r="C180" s="2" t="s">
        <v>504</v>
      </c>
      <c r="D180" s="32"/>
      <c r="E180" s="35" t="s">
        <v>455</v>
      </c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24">
        <f>SUM(Tabla1[[#This Row],[ENERO ]:[DICIEMBRE]])</f>
        <v>0</v>
      </c>
      <c r="W180">
        <v>2</v>
      </c>
      <c r="X180" s="21">
        <f>COUNTIF(Tabla1[[#This Row],[ENERO ]:[DICIEMBRE]],0)-(AS180)-IF(Tabla1[[#This Row],[BAJAS]]="BAJA",IF(Tabla1[[#This Row],[ALTAS]]="ALTA",VLOOKUP(Tabla1[[#This Row],[MES DE ALTA ]],$AW$6:$AX$17,2,FALSE),12)-VLOOKUP(Tabla1[[#This Row],[MES DE BAJA ]],$AW$6:$AX$17,2,FALSE),0)</f>
        <v>0</v>
      </c>
      <c r="Y180" s="68">
        <f>SUM(Tabla1[[#This Row],[MES ADEUDO DE AÑOS PASADOS ]:[MESES DE ADEUDO DEL AÑO EN CURSO ]])-Tabla1[[#This Row],[PAGO DE DEUDA ANTERIOR EN MESES]]</f>
        <v>2</v>
      </c>
      <c r="Z180" s="15">
        <f>Tabla1[[#This Row],[MES ADEUDO DE AÑOS PASADOS ]]*$T$2</f>
        <v>90</v>
      </c>
      <c r="AA180" s="15">
        <f>Tabla1[[#This Row],[MESES DE ADEUDO DEL AÑO EN CURSO ]]*$T$2</f>
        <v>0</v>
      </c>
      <c r="AB180" s="69">
        <f>SUM(Tabla1[[#This Row],[DEUDA DE LOS MESES PASADOS EN $$]:[DEUDA DEL AÑO 2013 $$ ]])</f>
        <v>90</v>
      </c>
      <c r="AD180">
        <f>Tabla1[[#This Row],[PAGO DE DEUDA ANTERIOR EN MESES]]*$T$2</f>
        <v>0</v>
      </c>
      <c r="AG180" s="100">
        <f>IF(Tabla1[[#This Row],[TIPO DE CONSUMIDOR]]="MEDIO",IF(Tabla1[[#This Row],[ENERO ]]&gt;22.5,Tabla1[[#This Row],[ENERO ]]/22.5-1,0),IF(Tabla1[[#This Row],[ENERO ]]&gt;45,Tabla1[[#This Row],[ENERO ]]/45-1,0))</f>
        <v>0</v>
      </c>
      <c r="AH18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0" s="100">
        <f>IF(Tabla1[[#This Row],[TIPO DE CONSUMIDOR]]="MEDIO",IF(Tabla1[[#This Row],[MARZO]]&gt;22.5,Tabla1[[#This Row],[MARZO]]/22.5-1,0),IF(Tabla1[[#This Row],[MARZO]]&gt;45,Tabla1[[#This Row],[MARZO]]/45-1,0))</f>
        <v>0</v>
      </c>
      <c r="AJ180" s="100">
        <f>IF(Tabla1[[#This Row],[TIPO DE CONSUMIDOR]]="MEDIO",IF(Tabla1[[#This Row],[ABRIL]]&gt;22.5,Tabla1[[#This Row],[ABRIL]]/22.5-1,0),IF(Tabla1[[#This Row],[ABRIL]]&gt;45,Tabla1[[#This Row],[ABRIL]]/45-1,0))</f>
        <v>0</v>
      </c>
      <c r="AK180" s="100">
        <f>IF(Tabla1[[#This Row],[TIPO DE CONSUMIDOR]]="MEDIO",IF(Tabla1[[#This Row],[MAYO ]]&gt;22.5,Tabla1[[#This Row],[MAYO ]]/22.5-1,0),IF(Tabla1[[#This Row],[MAYO ]]&gt;45,Tabla1[[#This Row],[MAYO ]]/45-1,0))</f>
        <v>0</v>
      </c>
      <c r="AL180" s="100">
        <f>IF(Tabla1[[#This Row],[TIPO DE CONSUMIDOR]]="MEDIO",IF(Tabla1[[#This Row],[JUNIO ]]&gt;22.5,Tabla1[[#This Row],[JUNIO ]]/22.5-1,0),IF(Tabla1[[#This Row],[JUNIO ]]&gt;45,Tabla1[[#This Row],[JUNIO ]]/45-1,0))</f>
        <v>0</v>
      </c>
      <c r="AM180" s="100">
        <f>IF(Tabla1[[#This Row],[TIPO DE CONSUMIDOR]]="MEDIO",IF(Tabla1[[#This Row],[JULIO ]]&gt;22.5,Tabla1[[#This Row],[JULIO ]]/22.5-1,0),IF(Tabla1[[#This Row],[JULIO ]]&gt;45,Tabla1[[#This Row],[JULIO ]]/45-1,0))</f>
        <v>0</v>
      </c>
      <c r="AN180" s="100">
        <f>IF(Tabla1[[#This Row],[TIPO DE CONSUMIDOR]]="MEDIO",IF(Tabla1[[#This Row],[AGOSTO]]&gt;22.5,Tabla1[[#This Row],[AGOSTO]]/22.5-1,0),IF(Tabla1[[#This Row],[AGOSTO]]&gt;45,Tabla1[[#This Row],[AGOSTO]]/45-1,0))</f>
        <v>0</v>
      </c>
      <c r="AO18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0" s="101">
        <f t="shared" si="5"/>
        <v>0</v>
      </c>
      <c r="AT180">
        <f>IF(Tabla1[[#This Row],[MES ADEUDO DE AÑOS PASADOS ]]&gt;0,1,0)</f>
        <v>1</v>
      </c>
      <c r="AU180" s="9">
        <f t="shared" si="6"/>
        <v>1</v>
      </c>
      <c r="AV180" s="60">
        <f>IF(Tabla1[[#This Row],[MESES DE ADEUDO DEL AÑO EN CURSO ]]&gt;0,1,0)</f>
        <v>0</v>
      </c>
      <c r="AW180" s="42"/>
      <c r="AX180" s="42"/>
      <c r="AY180" s="42"/>
      <c r="AZ180" s="43"/>
    </row>
    <row r="181" spans="1:52" ht="21.75" thickBot="1" x14ac:dyDescent="0.35">
      <c r="A181" s="106">
        <v>175</v>
      </c>
      <c r="B181" s="5" t="s">
        <v>341</v>
      </c>
      <c r="C181" s="2" t="s">
        <v>504</v>
      </c>
      <c r="D181" s="32"/>
      <c r="E181" s="35" t="s">
        <v>455</v>
      </c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24">
        <f>SUM(Tabla1[[#This Row],[ENERO ]:[DICIEMBRE]])</f>
        <v>0</v>
      </c>
      <c r="W181">
        <v>2</v>
      </c>
      <c r="X181" s="21">
        <f>COUNTIF(Tabla1[[#This Row],[ENERO ]:[DICIEMBRE]],0)-(AS181)-IF(Tabla1[[#This Row],[BAJAS]]="BAJA",IF(Tabla1[[#This Row],[ALTAS]]="ALTA",VLOOKUP(Tabla1[[#This Row],[MES DE ALTA ]],$AW$6:$AX$17,2,FALSE),12)-VLOOKUP(Tabla1[[#This Row],[MES DE BAJA ]],$AW$6:$AX$17,2,FALSE),0)</f>
        <v>0</v>
      </c>
      <c r="Y181" s="68">
        <f>SUM(Tabla1[[#This Row],[MES ADEUDO DE AÑOS PASADOS ]:[MESES DE ADEUDO DEL AÑO EN CURSO ]])-Tabla1[[#This Row],[PAGO DE DEUDA ANTERIOR EN MESES]]</f>
        <v>2</v>
      </c>
      <c r="Z181" s="15">
        <f>Tabla1[[#This Row],[MES ADEUDO DE AÑOS PASADOS ]]*$T$2</f>
        <v>90</v>
      </c>
      <c r="AA181" s="15">
        <f>Tabla1[[#This Row],[MESES DE ADEUDO DEL AÑO EN CURSO ]]*$T$2</f>
        <v>0</v>
      </c>
      <c r="AB181" s="69">
        <f>SUM(Tabla1[[#This Row],[DEUDA DE LOS MESES PASADOS EN $$]:[DEUDA DEL AÑO 2013 $$ ]])</f>
        <v>90</v>
      </c>
      <c r="AD181">
        <f>Tabla1[[#This Row],[PAGO DE DEUDA ANTERIOR EN MESES]]*$T$2</f>
        <v>0</v>
      </c>
      <c r="AG181" s="100">
        <f>IF(Tabla1[[#This Row],[TIPO DE CONSUMIDOR]]="MEDIO",IF(Tabla1[[#This Row],[ENERO ]]&gt;22.5,Tabla1[[#This Row],[ENERO ]]/22.5-1,0),IF(Tabla1[[#This Row],[ENERO ]]&gt;45,Tabla1[[#This Row],[ENERO ]]/45-1,0))</f>
        <v>0</v>
      </c>
      <c r="AH18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1" s="100">
        <f>IF(Tabla1[[#This Row],[TIPO DE CONSUMIDOR]]="MEDIO",IF(Tabla1[[#This Row],[MARZO]]&gt;22.5,Tabla1[[#This Row],[MARZO]]/22.5-1,0),IF(Tabla1[[#This Row],[MARZO]]&gt;45,Tabla1[[#This Row],[MARZO]]/45-1,0))</f>
        <v>0</v>
      </c>
      <c r="AJ181" s="100">
        <f>IF(Tabla1[[#This Row],[TIPO DE CONSUMIDOR]]="MEDIO",IF(Tabla1[[#This Row],[ABRIL]]&gt;22.5,Tabla1[[#This Row],[ABRIL]]/22.5-1,0),IF(Tabla1[[#This Row],[ABRIL]]&gt;45,Tabla1[[#This Row],[ABRIL]]/45-1,0))</f>
        <v>0</v>
      </c>
      <c r="AK181" s="100">
        <f>IF(Tabla1[[#This Row],[TIPO DE CONSUMIDOR]]="MEDIO",IF(Tabla1[[#This Row],[MAYO ]]&gt;22.5,Tabla1[[#This Row],[MAYO ]]/22.5-1,0),IF(Tabla1[[#This Row],[MAYO ]]&gt;45,Tabla1[[#This Row],[MAYO ]]/45-1,0))</f>
        <v>0</v>
      </c>
      <c r="AL181" s="100">
        <f>IF(Tabla1[[#This Row],[TIPO DE CONSUMIDOR]]="MEDIO",IF(Tabla1[[#This Row],[JUNIO ]]&gt;22.5,Tabla1[[#This Row],[JUNIO ]]/22.5-1,0),IF(Tabla1[[#This Row],[JUNIO ]]&gt;45,Tabla1[[#This Row],[JUNIO ]]/45-1,0))</f>
        <v>0</v>
      </c>
      <c r="AM181" s="100">
        <f>IF(Tabla1[[#This Row],[TIPO DE CONSUMIDOR]]="MEDIO",IF(Tabla1[[#This Row],[JULIO ]]&gt;22.5,Tabla1[[#This Row],[JULIO ]]/22.5-1,0),IF(Tabla1[[#This Row],[JULIO ]]&gt;45,Tabla1[[#This Row],[JULIO ]]/45-1,0))</f>
        <v>0</v>
      </c>
      <c r="AN181" s="100">
        <f>IF(Tabla1[[#This Row],[TIPO DE CONSUMIDOR]]="MEDIO",IF(Tabla1[[#This Row],[AGOSTO]]&gt;22.5,Tabla1[[#This Row],[AGOSTO]]/22.5-1,0),IF(Tabla1[[#This Row],[AGOSTO]]&gt;45,Tabla1[[#This Row],[AGOSTO]]/45-1,0))</f>
        <v>0</v>
      </c>
      <c r="AO18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1" s="101">
        <f t="shared" si="5"/>
        <v>0</v>
      </c>
      <c r="AT181">
        <f>IF(Tabla1[[#This Row],[MES ADEUDO DE AÑOS PASADOS ]]&gt;0,1,0)</f>
        <v>1</v>
      </c>
      <c r="AU181" s="9">
        <f t="shared" si="6"/>
        <v>1</v>
      </c>
      <c r="AV181" s="60">
        <f>IF(Tabla1[[#This Row],[MESES DE ADEUDO DEL AÑO EN CURSO ]]&gt;0,1,0)</f>
        <v>0</v>
      </c>
      <c r="AW181" s="42"/>
      <c r="AX181" s="42"/>
      <c r="AY181" s="42"/>
      <c r="AZ181" s="43"/>
    </row>
    <row r="182" spans="1:52" ht="21.75" thickBot="1" x14ac:dyDescent="0.35">
      <c r="A182" s="106">
        <v>176</v>
      </c>
      <c r="B182" s="5" t="s">
        <v>276</v>
      </c>
      <c r="C182" s="2" t="s">
        <v>504</v>
      </c>
      <c r="D182" s="32"/>
      <c r="E182" s="35" t="s">
        <v>455</v>
      </c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24">
        <f>SUM(Tabla1[[#This Row],[ENERO ]:[DICIEMBRE]])</f>
        <v>0</v>
      </c>
      <c r="W182">
        <v>3</v>
      </c>
      <c r="X182" s="21">
        <f>COUNTIF(Tabla1[[#This Row],[ENERO ]:[DICIEMBRE]],0)-(AS182)-IF(Tabla1[[#This Row],[BAJAS]]="BAJA",IF(Tabla1[[#This Row],[ALTAS]]="ALTA",VLOOKUP(Tabla1[[#This Row],[MES DE ALTA ]],$AW$6:$AX$17,2,FALSE),12)-VLOOKUP(Tabla1[[#This Row],[MES DE BAJA ]],$AW$6:$AX$17,2,FALSE),0)</f>
        <v>0</v>
      </c>
      <c r="Y182" s="68">
        <f>SUM(Tabla1[[#This Row],[MES ADEUDO DE AÑOS PASADOS ]:[MESES DE ADEUDO DEL AÑO EN CURSO ]])-Tabla1[[#This Row],[PAGO DE DEUDA ANTERIOR EN MESES]]</f>
        <v>3</v>
      </c>
      <c r="Z182" s="15">
        <f>Tabla1[[#This Row],[MES ADEUDO DE AÑOS PASADOS ]]*$T$2</f>
        <v>135</v>
      </c>
      <c r="AA182" s="15">
        <f>Tabla1[[#This Row],[MESES DE ADEUDO DEL AÑO EN CURSO ]]*$T$2</f>
        <v>0</v>
      </c>
      <c r="AB182" s="69">
        <f>SUM(Tabla1[[#This Row],[DEUDA DE LOS MESES PASADOS EN $$]:[DEUDA DEL AÑO 2013 $$ ]])</f>
        <v>135</v>
      </c>
      <c r="AD182">
        <f>Tabla1[[#This Row],[PAGO DE DEUDA ANTERIOR EN MESES]]*$T$2</f>
        <v>0</v>
      </c>
      <c r="AG182" s="100">
        <f>IF(Tabla1[[#This Row],[TIPO DE CONSUMIDOR]]="MEDIO",IF(Tabla1[[#This Row],[ENERO ]]&gt;22.5,Tabla1[[#This Row],[ENERO ]]/22.5-1,0),IF(Tabla1[[#This Row],[ENERO ]]&gt;45,Tabla1[[#This Row],[ENERO ]]/45-1,0))</f>
        <v>0</v>
      </c>
      <c r="AH18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2" s="100">
        <f>IF(Tabla1[[#This Row],[TIPO DE CONSUMIDOR]]="MEDIO",IF(Tabla1[[#This Row],[MARZO]]&gt;22.5,Tabla1[[#This Row],[MARZO]]/22.5-1,0),IF(Tabla1[[#This Row],[MARZO]]&gt;45,Tabla1[[#This Row],[MARZO]]/45-1,0))</f>
        <v>0</v>
      </c>
      <c r="AJ182" s="100">
        <f>IF(Tabla1[[#This Row],[TIPO DE CONSUMIDOR]]="MEDIO",IF(Tabla1[[#This Row],[ABRIL]]&gt;22.5,Tabla1[[#This Row],[ABRIL]]/22.5-1,0),IF(Tabla1[[#This Row],[ABRIL]]&gt;45,Tabla1[[#This Row],[ABRIL]]/45-1,0))</f>
        <v>0</v>
      </c>
      <c r="AK182" s="100">
        <f>IF(Tabla1[[#This Row],[TIPO DE CONSUMIDOR]]="MEDIO",IF(Tabla1[[#This Row],[MAYO ]]&gt;22.5,Tabla1[[#This Row],[MAYO ]]/22.5-1,0),IF(Tabla1[[#This Row],[MAYO ]]&gt;45,Tabla1[[#This Row],[MAYO ]]/45-1,0))</f>
        <v>0</v>
      </c>
      <c r="AL182" s="100">
        <f>IF(Tabla1[[#This Row],[TIPO DE CONSUMIDOR]]="MEDIO",IF(Tabla1[[#This Row],[JUNIO ]]&gt;22.5,Tabla1[[#This Row],[JUNIO ]]/22.5-1,0),IF(Tabla1[[#This Row],[JUNIO ]]&gt;45,Tabla1[[#This Row],[JUNIO ]]/45-1,0))</f>
        <v>0</v>
      </c>
      <c r="AM182" s="100">
        <f>IF(Tabla1[[#This Row],[TIPO DE CONSUMIDOR]]="MEDIO",IF(Tabla1[[#This Row],[JULIO ]]&gt;22.5,Tabla1[[#This Row],[JULIO ]]/22.5-1,0),IF(Tabla1[[#This Row],[JULIO ]]&gt;45,Tabla1[[#This Row],[JULIO ]]/45-1,0))</f>
        <v>0</v>
      </c>
      <c r="AN182" s="100">
        <f>IF(Tabla1[[#This Row],[TIPO DE CONSUMIDOR]]="MEDIO",IF(Tabla1[[#This Row],[AGOSTO]]&gt;22.5,Tabla1[[#This Row],[AGOSTO]]/22.5-1,0),IF(Tabla1[[#This Row],[AGOSTO]]&gt;45,Tabla1[[#This Row],[AGOSTO]]/45-1,0))</f>
        <v>0</v>
      </c>
      <c r="AO18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2" s="101">
        <f t="shared" si="5"/>
        <v>0</v>
      </c>
      <c r="AT182">
        <f>IF(Tabla1[[#This Row],[MES ADEUDO DE AÑOS PASADOS ]]&gt;0,1,0)</f>
        <v>1</v>
      </c>
      <c r="AU182" s="9">
        <f t="shared" si="6"/>
        <v>1</v>
      </c>
      <c r="AV182" s="60">
        <f>IF(Tabla1[[#This Row],[MESES DE ADEUDO DEL AÑO EN CURSO ]]&gt;0,1,0)</f>
        <v>0</v>
      </c>
      <c r="AW182" s="42"/>
      <c r="AX182" s="42"/>
      <c r="AY182" s="42"/>
      <c r="AZ182" s="43"/>
    </row>
    <row r="183" spans="1:52" ht="21.75" thickBot="1" x14ac:dyDescent="0.35">
      <c r="A183" s="106">
        <v>177</v>
      </c>
      <c r="B183" s="5" t="s">
        <v>102</v>
      </c>
      <c r="C183" s="2" t="s">
        <v>504</v>
      </c>
      <c r="D183" s="32"/>
      <c r="E183" s="35" t="s">
        <v>455</v>
      </c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24">
        <f>SUM(Tabla1[[#This Row],[ENERO ]:[DICIEMBRE]])</f>
        <v>0</v>
      </c>
      <c r="W183">
        <v>4</v>
      </c>
      <c r="X183" s="21">
        <f>COUNTIF(Tabla1[[#This Row],[ENERO ]:[DICIEMBRE]],0)-(AS183)-IF(Tabla1[[#This Row],[BAJAS]]="BAJA",IF(Tabla1[[#This Row],[ALTAS]]="ALTA",VLOOKUP(Tabla1[[#This Row],[MES DE ALTA ]],$AW$6:$AX$17,2,FALSE),12)-VLOOKUP(Tabla1[[#This Row],[MES DE BAJA ]],$AW$6:$AX$17,2,FALSE),0)</f>
        <v>0</v>
      </c>
      <c r="Y183" s="68">
        <f>SUM(Tabla1[[#This Row],[MES ADEUDO DE AÑOS PASADOS ]:[MESES DE ADEUDO DEL AÑO EN CURSO ]])-Tabla1[[#This Row],[PAGO DE DEUDA ANTERIOR EN MESES]]</f>
        <v>4</v>
      </c>
      <c r="Z183" s="15">
        <f>Tabla1[[#This Row],[MES ADEUDO DE AÑOS PASADOS ]]*$T$2</f>
        <v>180</v>
      </c>
      <c r="AA183" s="15">
        <f>Tabla1[[#This Row],[MESES DE ADEUDO DEL AÑO EN CURSO ]]*$T$2</f>
        <v>0</v>
      </c>
      <c r="AB183" s="69">
        <f>SUM(Tabla1[[#This Row],[DEUDA DE LOS MESES PASADOS EN $$]:[DEUDA DEL AÑO 2013 $$ ]])</f>
        <v>180</v>
      </c>
      <c r="AD183">
        <f>Tabla1[[#This Row],[PAGO DE DEUDA ANTERIOR EN MESES]]*$T$2</f>
        <v>0</v>
      </c>
      <c r="AG183" s="100">
        <f>IF(Tabla1[[#This Row],[TIPO DE CONSUMIDOR]]="MEDIO",IF(Tabla1[[#This Row],[ENERO ]]&gt;22.5,Tabla1[[#This Row],[ENERO ]]/22.5-1,0),IF(Tabla1[[#This Row],[ENERO ]]&gt;45,Tabla1[[#This Row],[ENERO ]]/45-1,0))</f>
        <v>0</v>
      </c>
      <c r="AH18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3" s="100">
        <f>IF(Tabla1[[#This Row],[TIPO DE CONSUMIDOR]]="MEDIO",IF(Tabla1[[#This Row],[MARZO]]&gt;22.5,Tabla1[[#This Row],[MARZO]]/22.5-1,0),IF(Tabla1[[#This Row],[MARZO]]&gt;45,Tabla1[[#This Row],[MARZO]]/45-1,0))</f>
        <v>0</v>
      </c>
      <c r="AJ183" s="100">
        <f>IF(Tabla1[[#This Row],[TIPO DE CONSUMIDOR]]="MEDIO",IF(Tabla1[[#This Row],[ABRIL]]&gt;22.5,Tabla1[[#This Row],[ABRIL]]/22.5-1,0),IF(Tabla1[[#This Row],[ABRIL]]&gt;45,Tabla1[[#This Row],[ABRIL]]/45-1,0))</f>
        <v>0</v>
      </c>
      <c r="AK183" s="100">
        <f>IF(Tabla1[[#This Row],[TIPO DE CONSUMIDOR]]="MEDIO",IF(Tabla1[[#This Row],[MAYO ]]&gt;22.5,Tabla1[[#This Row],[MAYO ]]/22.5-1,0),IF(Tabla1[[#This Row],[MAYO ]]&gt;45,Tabla1[[#This Row],[MAYO ]]/45-1,0))</f>
        <v>0</v>
      </c>
      <c r="AL183" s="100">
        <f>IF(Tabla1[[#This Row],[TIPO DE CONSUMIDOR]]="MEDIO",IF(Tabla1[[#This Row],[JUNIO ]]&gt;22.5,Tabla1[[#This Row],[JUNIO ]]/22.5-1,0),IF(Tabla1[[#This Row],[JUNIO ]]&gt;45,Tabla1[[#This Row],[JUNIO ]]/45-1,0))</f>
        <v>0</v>
      </c>
      <c r="AM183" s="100">
        <f>IF(Tabla1[[#This Row],[TIPO DE CONSUMIDOR]]="MEDIO",IF(Tabla1[[#This Row],[JULIO ]]&gt;22.5,Tabla1[[#This Row],[JULIO ]]/22.5-1,0),IF(Tabla1[[#This Row],[JULIO ]]&gt;45,Tabla1[[#This Row],[JULIO ]]/45-1,0))</f>
        <v>0</v>
      </c>
      <c r="AN183" s="100">
        <f>IF(Tabla1[[#This Row],[TIPO DE CONSUMIDOR]]="MEDIO",IF(Tabla1[[#This Row],[AGOSTO]]&gt;22.5,Tabla1[[#This Row],[AGOSTO]]/22.5-1,0),IF(Tabla1[[#This Row],[AGOSTO]]&gt;45,Tabla1[[#This Row],[AGOSTO]]/45-1,0))</f>
        <v>0</v>
      </c>
      <c r="AO18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3" s="101">
        <f t="shared" si="5"/>
        <v>0</v>
      </c>
      <c r="AT183">
        <f>IF(Tabla1[[#This Row],[MES ADEUDO DE AÑOS PASADOS ]]&gt;0,1,0)</f>
        <v>1</v>
      </c>
      <c r="AU183" s="9">
        <f t="shared" si="6"/>
        <v>1</v>
      </c>
      <c r="AV183" s="60">
        <f>IF(Tabla1[[#This Row],[MESES DE ADEUDO DEL AÑO EN CURSO ]]&gt;0,1,0)</f>
        <v>0</v>
      </c>
      <c r="AW183" s="42"/>
      <c r="AX183" s="42"/>
      <c r="AY183" s="42"/>
      <c r="AZ183" s="43"/>
    </row>
    <row r="184" spans="1:52" ht="21.75" thickBot="1" x14ac:dyDescent="0.35">
      <c r="A184" s="106">
        <v>178</v>
      </c>
      <c r="B184" s="5" t="s">
        <v>393</v>
      </c>
      <c r="C184" s="2" t="s">
        <v>504</v>
      </c>
      <c r="D184" s="32"/>
      <c r="E184" s="35" t="s">
        <v>455</v>
      </c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24">
        <f>SUM(Tabla1[[#This Row],[ENERO ]:[DICIEMBRE]])</f>
        <v>0</v>
      </c>
      <c r="W184">
        <v>4</v>
      </c>
      <c r="X184" s="21">
        <f>COUNTIF(Tabla1[[#This Row],[ENERO ]:[DICIEMBRE]],0)-(AS184)-IF(Tabla1[[#This Row],[BAJAS]]="BAJA",IF(Tabla1[[#This Row],[ALTAS]]="ALTA",VLOOKUP(Tabla1[[#This Row],[MES DE ALTA ]],$AW$6:$AX$17,2,FALSE),12)-VLOOKUP(Tabla1[[#This Row],[MES DE BAJA ]],$AW$6:$AX$17,2,FALSE),0)</f>
        <v>0</v>
      </c>
      <c r="Y184" s="68">
        <f>SUM(Tabla1[[#This Row],[MES ADEUDO DE AÑOS PASADOS ]:[MESES DE ADEUDO DEL AÑO EN CURSO ]])-Tabla1[[#This Row],[PAGO DE DEUDA ANTERIOR EN MESES]]</f>
        <v>4</v>
      </c>
      <c r="Z184" s="15">
        <f>Tabla1[[#This Row],[MES ADEUDO DE AÑOS PASADOS ]]*$T$2</f>
        <v>180</v>
      </c>
      <c r="AA184" s="15">
        <f>Tabla1[[#This Row],[MESES DE ADEUDO DEL AÑO EN CURSO ]]*$T$2</f>
        <v>0</v>
      </c>
      <c r="AB184" s="69">
        <f>SUM(Tabla1[[#This Row],[DEUDA DE LOS MESES PASADOS EN $$]:[DEUDA DEL AÑO 2013 $$ ]])</f>
        <v>180</v>
      </c>
      <c r="AD184">
        <f>Tabla1[[#This Row],[PAGO DE DEUDA ANTERIOR EN MESES]]*$T$2</f>
        <v>0</v>
      </c>
      <c r="AG184" s="100">
        <f>IF(Tabla1[[#This Row],[TIPO DE CONSUMIDOR]]="MEDIO",IF(Tabla1[[#This Row],[ENERO ]]&gt;22.5,Tabla1[[#This Row],[ENERO ]]/22.5-1,0),IF(Tabla1[[#This Row],[ENERO ]]&gt;45,Tabla1[[#This Row],[ENERO ]]/45-1,0))</f>
        <v>0</v>
      </c>
      <c r="AH18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4" s="100">
        <f>IF(Tabla1[[#This Row],[TIPO DE CONSUMIDOR]]="MEDIO",IF(Tabla1[[#This Row],[MARZO]]&gt;22.5,Tabla1[[#This Row],[MARZO]]/22.5-1,0),IF(Tabla1[[#This Row],[MARZO]]&gt;45,Tabla1[[#This Row],[MARZO]]/45-1,0))</f>
        <v>0</v>
      </c>
      <c r="AJ184" s="100">
        <f>IF(Tabla1[[#This Row],[TIPO DE CONSUMIDOR]]="MEDIO",IF(Tabla1[[#This Row],[ABRIL]]&gt;22.5,Tabla1[[#This Row],[ABRIL]]/22.5-1,0),IF(Tabla1[[#This Row],[ABRIL]]&gt;45,Tabla1[[#This Row],[ABRIL]]/45-1,0))</f>
        <v>0</v>
      </c>
      <c r="AK184" s="100">
        <f>IF(Tabla1[[#This Row],[TIPO DE CONSUMIDOR]]="MEDIO",IF(Tabla1[[#This Row],[MAYO ]]&gt;22.5,Tabla1[[#This Row],[MAYO ]]/22.5-1,0),IF(Tabla1[[#This Row],[MAYO ]]&gt;45,Tabla1[[#This Row],[MAYO ]]/45-1,0))</f>
        <v>0</v>
      </c>
      <c r="AL184" s="100">
        <f>IF(Tabla1[[#This Row],[TIPO DE CONSUMIDOR]]="MEDIO",IF(Tabla1[[#This Row],[JUNIO ]]&gt;22.5,Tabla1[[#This Row],[JUNIO ]]/22.5-1,0),IF(Tabla1[[#This Row],[JUNIO ]]&gt;45,Tabla1[[#This Row],[JUNIO ]]/45-1,0))</f>
        <v>0</v>
      </c>
      <c r="AM184" s="100">
        <f>IF(Tabla1[[#This Row],[TIPO DE CONSUMIDOR]]="MEDIO",IF(Tabla1[[#This Row],[JULIO ]]&gt;22.5,Tabla1[[#This Row],[JULIO ]]/22.5-1,0),IF(Tabla1[[#This Row],[JULIO ]]&gt;45,Tabla1[[#This Row],[JULIO ]]/45-1,0))</f>
        <v>0</v>
      </c>
      <c r="AN184" s="100">
        <f>IF(Tabla1[[#This Row],[TIPO DE CONSUMIDOR]]="MEDIO",IF(Tabla1[[#This Row],[AGOSTO]]&gt;22.5,Tabla1[[#This Row],[AGOSTO]]/22.5-1,0),IF(Tabla1[[#This Row],[AGOSTO]]&gt;45,Tabla1[[#This Row],[AGOSTO]]/45-1,0))</f>
        <v>0</v>
      </c>
      <c r="AO18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4" s="101">
        <f t="shared" si="5"/>
        <v>0</v>
      </c>
      <c r="AT184">
        <f>IF(Tabla1[[#This Row],[MES ADEUDO DE AÑOS PASADOS ]]&gt;0,1,0)</f>
        <v>1</v>
      </c>
      <c r="AU184" s="9">
        <f t="shared" si="6"/>
        <v>1</v>
      </c>
      <c r="AV184" s="60">
        <f>IF(Tabla1[[#This Row],[MESES DE ADEUDO DEL AÑO EN CURSO ]]&gt;0,1,0)</f>
        <v>0</v>
      </c>
      <c r="AW184" s="42"/>
      <c r="AX184" s="42"/>
      <c r="AY184" s="42"/>
      <c r="AZ184" s="43"/>
    </row>
    <row r="185" spans="1:52" ht="21.75" thickBot="1" x14ac:dyDescent="0.35">
      <c r="A185" s="106">
        <v>179</v>
      </c>
      <c r="B185" s="5" t="s">
        <v>111</v>
      </c>
      <c r="C185" s="2" t="s">
        <v>504</v>
      </c>
      <c r="D185" s="32"/>
      <c r="E185" s="35" t="s">
        <v>455</v>
      </c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24">
        <f>SUM(Tabla1[[#This Row],[ENERO ]:[DICIEMBRE]])</f>
        <v>0</v>
      </c>
      <c r="W185">
        <v>10</v>
      </c>
      <c r="X185" s="21">
        <f>COUNTIF(Tabla1[[#This Row],[ENERO ]:[DICIEMBRE]],0)-(AS185)-IF(Tabla1[[#This Row],[BAJAS]]="BAJA",IF(Tabla1[[#This Row],[ALTAS]]="ALTA",VLOOKUP(Tabla1[[#This Row],[MES DE ALTA ]],$AW$6:$AX$17,2,FALSE),12)-VLOOKUP(Tabla1[[#This Row],[MES DE BAJA ]],$AW$6:$AX$17,2,FALSE),0)</f>
        <v>0</v>
      </c>
      <c r="Y185" s="68">
        <f>SUM(Tabla1[[#This Row],[MES ADEUDO DE AÑOS PASADOS ]:[MESES DE ADEUDO DEL AÑO EN CURSO ]])-Tabla1[[#This Row],[PAGO DE DEUDA ANTERIOR EN MESES]]</f>
        <v>10</v>
      </c>
      <c r="Z185" s="15">
        <f>Tabla1[[#This Row],[MES ADEUDO DE AÑOS PASADOS ]]*$T$2</f>
        <v>450</v>
      </c>
      <c r="AA185" s="15">
        <f>Tabla1[[#This Row],[MESES DE ADEUDO DEL AÑO EN CURSO ]]*$T$2</f>
        <v>0</v>
      </c>
      <c r="AB185" s="69">
        <f>SUM(Tabla1[[#This Row],[DEUDA DE LOS MESES PASADOS EN $$]:[DEUDA DEL AÑO 2013 $$ ]])</f>
        <v>450</v>
      </c>
      <c r="AD185">
        <f>Tabla1[[#This Row],[PAGO DE DEUDA ANTERIOR EN MESES]]*$T$2</f>
        <v>0</v>
      </c>
      <c r="AG185" s="100">
        <f>IF(Tabla1[[#This Row],[TIPO DE CONSUMIDOR]]="MEDIO",IF(Tabla1[[#This Row],[ENERO ]]&gt;22.5,Tabla1[[#This Row],[ENERO ]]/22.5-1,0),IF(Tabla1[[#This Row],[ENERO ]]&gt;45,Tabla1[[#This Row],[ENERO ]]/45-1,0))</f>
        <v>0</v>
      </c>
      <c r="AH18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5" s="100">
        <f>IF(Tabla1[[#This Row],[TIPO DE CONSUMIDOR]]="MEDIO",IF(Tabla1[[#This Row],[MARZO]]&gt;22.5,Tabla1[[#This Row],[MARZO]]/22.5-1,0),IF(Tabla1[[#This Row],[MARZO]]&gt;45,Tabla1[[#This Row],[MARZO]]/45-1,0))</f>
        <v>0</v>
      </c>
      <c r="AJ185" s="100">
        <f>IF(Tabla1[[#This Row],[TIPO DE CONSUMIDOR]]="MEDIO",IF(Tabla1[[#This Row],[ABRIL]]&gt;22.5,Tabla1[[#This Row],[ABRIL]]/22.5-1,0),IF(Tabla1[[#This Row],[ABRIL]]&gt;45,Tabla1[[#This Row],[ABRIL]]/45-1,0))</f>
        <v>0</v>
      </c>
      <c r="AK185" s="100">
        <f>IF(Tabla1[[#This Row],[TIPO DE CONSUMIDOR]]="MEDIO",IF(Tabla1[[#This Row],[MAYO ]]&gt;22.5,Tabla1[[#This Row],[MAYO ]]/22.5-1,0),IF(Tabla1[[#This Row],[MAYO ]]&gt;45,Tabla1[[#This Row],[MAYO ]]/45-1,0))</f>
        <v>0</v>
      </c>
      <c r="AL185" s="100">
        <f>IF(Tabla1[[#This Row],[TIPO DE CONSUMIDOR]]="MEDIO",IF(Tabla1[[#This Row],[JUNIO ]]&gt;22.5,Tabla1[[#This Row],[JUNIO ]]/22.5-1,0),IF(Tabla1[[#This Row],[JUNIO ]]&gt;45,Tabla1[[#This Row],[JUNIO ]]/45-1,0))</f>
        <v>0</v>
      </c>
      <c r="AM185" s="100">
        <f>IF(Tabla1[[#This Row],[TIPO DE CONSUMIDOR]]="MEDIO",IF(Tabla1[[#This Row],[JULIO ]]&gt;22.5,Tabla1[[#This Row],[JULIO ]]/22.5-1,0),IF(Tabla1[[#This Row],[JULIO ]]&gt;45,Tabla1[[#This Row],[JULIO ]]/45-1,0))</f>
        <v>0</v>
      </c>
      <c r="AN185" s="100">
        <f>IF(Tabla1[[#This Row],[TIPO DE CONSUMIDOR]]="MEDIO",IF(Tabla1[[#This Row],[AGOSTO]]&gt;22.5,Tabla1[[#This Row],[AGOSTO]]/22.5-1,0),IF(Tabla1[[#This Row],[AGOSTO]]&gt;45,Tabla1[[#This Row],[AGOSTO]]/45-1,0))</f>
        <v>0</v>
      </c>
      <c r="AO18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5" s="101">
        <f t="shared" si="5"/>
        <v>0</v>
      </c>
      <c r="AT185">
        <f>IF(Tabla1[[#This Row],[MES ADEUDO DE AÑOS PASADOS ]]&gt;0,1,0)</f>
        <v>1</v>
      </c>
      <c r="AU185" s="9">
        <f t="shared" si="6"/>
        <v>1</v>
      </c>
      <c r="AV185" s="60">
        <f>IF(Tabla1[[#This Row],[MESES DE ADEUDO DEL AÑO EN CURSO ]]&gt;0,1,0)</f>
        <v>0</v>
      </c>
      <c r="AW185" s="42"/>
      <c r="AX185" s="42"/>
      <c r="AY185" s="42"/>
      <c r="AZ185" s="43"/>
    </row>
    <row r="186" spans="1:52" ht="21.75" thickBot="1" x14ac:dyDescent="0.35">
      <c r="A186" s="106">
        <v>180</v>
      </c>
      <c r="B186" s="5" t="s">
        <v>128</v>
      </c>
      <c r="C186" s="2" t="s">
        <v>504</v>
      </c>
      <c r="D186" s="32"/>
      <c r="E186" s="35" t="s">
        <v>455</v>
      </c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24">
        <f>SUM(Tabla1[[#This Row],[ENERO ]:[DICIEMBRE]])</f>
        <v>0</v>
      </c>
      <c r="W186">
        <v>10</v>
      </c>
      <c r="X186" s="21">
        <f>COUNTIF(Tabla1[[#This Row],[ENERO ]:[DICIEMBRE]],0)-(AS186)-IF(Tabla1[[#This Row],[BAJAS]]="BAJA",IF(Tabla1[[#This Row],[ALTAS]]="ALTA",VLOOKUP(Tabla1[[#This Row],[MES DE ALTA ]],$AW$6:$AX$17,2,FALSE),12)-VLOOKUP(Tabla1[[#This Row],[MES DE BAJA ]],$AW$6:$AX$17,2,FALSE),0)</f>
        <v>0</v>
      </c>
      <c r="Y186" s="68">
        <f>SUM(Tabla1[[#This Row],[MES ADEUDO DE AÑOS PASADOS ]:[MESES DE ADEUDO DEL AÑO EN CURSO ]])-Tabla1[[#This Row],[PAGO DE DEUDA ANTERIOR EN MESES]]</f>
        <v>10</v>
      </c>
      <c r="Z186" s="15">
        <f>Tabla1[[#This Row],[MES ADEUDO DE AÑOS PASADOS ]]*$T$2</f>
        <v>450</v>
      </c>
      <c r="AA186" s="15">
        <f>Tabla1[[#This Row],[MESES DE ADEUDO DEL AÑO EN CURSO ]]*$T$2</f>
        <v>0</v>
      </c>
      <c r="AB186" s="69">
        <f>SUM(Tabla1[[#This Row],[DEUDA DE LOS MESES PASADOS EN $$]:[DEUDA DEL AÑO 2013 $$ ]])</f>
        <v>450</v>
      </c>
      <c r="AD186">
        <f>Tabla1[[#This Row],[PAGO DE DEUDA ANTERIOR EN MESES]]*$T$2</f>
        <v>0</v>
      </c>
      <c r="AG186" s="100">
        <f>IF(Tabla1[[#This Row],[TIPO DE CONSUMIDOR]]="MEDIO",IF(Tabla1[[#This Row],[ENERO ]]&gt;22.5,Tabla1[[#This Row],[ENERO ]]/22.5-1,0),IF(Tabla1[[#This Row],[ENERO ]]&gt;45,Tabla1[[#This Row],[ENERO ]]/45-1,0))</f>
        <v>0</v>
      </c>
      <c r="AH18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6" s="100">
        <f>IF(Tabla1[[#This Row],[TIPO DE CONSUMIDOR]]="MEDIO",IF(Tabla1[[#This Row],[MARZO]]&gt;22.5,Tabla1[[#This Row],[MARZO]]/22.5-1,0),IF(Tabla1[[#This Row],[MARZO]]&gt;45,Tabla1[[#This Row],[MARZO]]/45-1,0))</f>
        <v>0</v>
      </c>
      <c r="AJ186" s="100">
        <f>IF(Tabla1[[#This Row],[TIPO DE CONSUMIDOR]]="MEDIO",IF(Tabla1[[#This Row],[ABRIL]]&gt;22.5,Tabla1[[#This Row],[ABRIL]]/22.5-1,0),IF(Tabla1[[#This Row],[ABRIL]]&gt;45,Tabla1[[#This Row],[ABRIL]]/45-1,0))</f>
        <v>0</v>
      </c>
      <c r="AK186" s="100">
        <f>IF(Tabla1[[#This Row],[TIPO DE CONSUMIDOR]]="MEDIO",IF(Tabla1[[#This Row],[MAYO ]]&gt;22.5,Tabla1[[#This Row],[MAYO ]]/22.5-1,0),IF(Tabla1[[#This Row],[MAYO ]]&gt;45,Tabla1[[#This Row],[MAYO ]]/45-1,0))</f>
        <v>0</v>
      </c>
      <c r="AL186" s="100">
        <f>IF(Tabla1[[#This Row],[TIPO DE CONSUMIDOR]]="MEDIO",IF(Tabla1[[#This Row],[JUNIO ]]&gt;22.5,Tabla1[[#This Row],[JUNIO ]]/22.5-1,0),IF(Tabla1[[#This Row],[JUNIO ]]&gt;45,Tabla1[[#This Row],[JUNIO ]]/45-1,0))</f>
        <v>0</v>
      </c>
      <c r="AM186" s="100">
        <f>IF(Tabla1[[#This Row],[TIPO DE CONSUMIDOR]]="MEDIO",IF(Tabla1[[#This Row],[JULIO ]]&gt;22.5,Tabla1[[#This Row],[JULIO ]]/22.5-1,0),IF(Tabla1[[#This Row],[JULIO ]]&gt;45,Tabla1[[#This Row],[JULIO ]]/45-1,0))</f>
        <v>0</v>
      </c>
      <c r="AN186" s="100">
        <f>IF(Tabla1[[#This Row],[TIPO DE CONSUMIDOR]]="MEDIO",IF(Tabla1[[#This Row],[AGOSTO]]&gt;22.5,Tabla1[[#This Row],[AGOSTO]]/22.5-1,0),IF(Tabla1[[#This Row],[AGOSTO]]&gt;45,Tabla1[[#This Row],[AGOSTO]]/45-1,0))</f>
        <v>0</v>
      </c>
      <c r="AO18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6" s="101">
        <f t="shared" si="5"/>
        <v>0</v>
      </c>
      <c r="AT186">
        <f>IF(Tabla1[[#This Row],[MES ADEUDO DE AÑOS PASADOS ]]&gt;0,1,0)</f>
        <v>1</v>
      </c>
      <c r="AU186" s="9">
        <f t="shared" si="6"/>
        <v>1</v>
      </c>
      <c r="AV186" s="60">
        <f>IF(Tabla1[[#This Row],[MESES DE ADEUDO DEL AÑO EN CURSO ]]&gt;0,1,0)</f>
        <v>0</v>
      </c>
      <c r="AW186" s="42"/>
      <c r="AX186" s="42"/>
      <c r="AY186" s="42"/>
      <c r="AZ186" s="43"/>
    </row>
    <row r="187" spans="1:52" ht="21.75" thickBot="1" x14ac:dyDescent="0.35">
      <c r="A187" s="106">
        <v>181</v>
      </c>
      <c r="B187" s="5" t="s">
        <v>389</v>
      </c>
      <c r="C187" s="2" t="s">
        <v>504</v>
      </c>
      <c r="D187" s="32"/>
      <c r="E187" s="35" t="s">
        <v>455</v>
      </c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24">
        <f>SUM(Tabla1[[#This Row],[ENERO ]:[DICIEMBRE]])</f>
        <v>0</v>
      </c>
      <c r="W187">
        <v>10</v>
      </c>
      <c r="X187" s="21">
        <f>COUNTIF(Tabla1[[#This Row],[ENERO ]:[DICIEMBRE]],0)-(AS187)-IF(Tabla1[[#This Row],[BAJAS]]="BAJA",IF(Tabla1[[#This Row],[ALTAS]]="ALTA",VLOOKUP(Tabla1[[#This Row],[MES DE ALTA ]],$AW$6:$AX$17,2,FALSE),12)-VLOOKUP(Tabla1[[#This Row],[MES DE BAJA ]],$AW$6:$AX$17,2,FALSE),0)</f>
        <v>0</v>
      </c>
      <c r="Y187" s="68">
        <f>SUM(Tabla1[[#This Row],[MES ADEUDO DE AÑOS PASADOS ]:[MESES DE ADEUDO DEL AÑO EN CURSO ]])-Tabla1[[#This Row],[PAGO DE DEUDA ANTERIOR EN MESES]]</f>
        <v>10</v>
      </c>
      <c r="Z187" s="15">
        <f>Tabla1[[#This Row],[MES ADEUDO DE AÑOS PASADOS ]]*$T$2</f>
        <v>450</v>
      </c>
      <c r="AA187" s="15">
        <f>Tabla1[[#This Row],[MESES DE ADEUDO DEL AÑO EN CURSO ]]*$T$2</f>
        <v>0</v>
      </c>
      <c r="AB187" s="69">
        <f>SUM(Tabla1[[#This Row],[DEUDA DE LOS MESES PASADOS EN $$]:[DEUDA DEL AÑO 2013 $$ ]])</f>
        <v>450</v>
      </c>
      <c r="AD187">
        <f>Tabla1[[#This Row],[PAGO DE DEUDA ANTERIOR EN MESES]]*$T$2</f>
        <v>0</v>
      </c>
      <c r="AG187" s="100">
        <f>IF(Tabla1[[#This Row],[TIPO DE CONSUMIDOR]]="MEDIO",IF(Tabla1[[#This Row],[ENERO ]]&gt;22.5,Tabla1[[#This Row],[ENERO ]]/22.5-1,0),IF(Tabla1[[#This Row],[ENERO ]]&gt;45,Tabla1[[#This Row],[ENERO ]]/45-1,0))</f>
        <v>0</v>
      </c>
      <c r="AH18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7" s="100">
        <f>IF(Tabla1[[#This Row],[TIPO DE CONSUMIDOR]]="MEDIO",IF(Tabla1[[#This Row],[MARZO]]&gt;22.5,Tabla1[[#This Row],[MARZO]]/22.5-1,0),IF(Tabla1[[#This Row],[MARZO]]&gt;45,Tabla1[[#This Row],[MARZO]]/45-1,0))</f>
        <v>0</v>
      </c>
      <c r="AJ187" s="100">
        <f>IF(Tabla1[[#This Row],[TIPO DE CONSUMIDOR]]="MEDIO",IF(Tabla1[[#This Row],[ABRIL]]&gt;22.5,Tabla1[[#This Row],[ABRIL]]/22.5-1,0),IF(Tabla1[[#This Row],[ABRIL]]&gt;45,Tabla1[[#This Row],[ABRIL]]/45-1,0))</f>
        <v>0</v>
      </c>
      <c r="AK187" s="100">
        <f>IF(Tabla1[[#This Row],[TIPO DE CONSUMIDOR]]="MEDIO",IF(Tabla1[[#This Row],[MAYO ]]&gt;22.5,Tabla1[[#This Row],[MAYO ]]/22.5-1,0),IF(Tabla1[[#This Row],[MAYO ]]&gt;45,Tabla1[[#This Row],[MAYO ]]/45-1,0))</f>
        <v>0</v>
      </c>
      <c r="AL187" s="100">
        <f>IF(Tabla1[[#This Row],[TIPO DE CONSUMIDOR]]="MEDIO",IF(Tabla1[[#This Row],[JUNIO ]]&gt;22.5,Tabla1[[#This Row],[JUNIO ]]/22.5-1,0),IF(Tabla1[[#This Row],[JUNIO ]]&gt;45,Tabla1[[#This Row],[JUNIO ]]/45-1,0))</f>
        <v>0</v>
      </c>
      <c r="AM187" s="100">
        <f>IF(Tabla1[[#This Row],[TIPO DE CONSUMIDOR]]="MEDIO",IF(Tabla1[[#This Row],[JULIO ]]&gt;22.5,Tabla1[[#This Row],[JULIO ]]/22.5-1,0),IF(Tabla1[[#This Row],[JULIO ]]&gt;45,Tabla1[[#This Row],[JULIO ]]/45-1,0))</f>
        <v>0</v>
      </c>
      <c r="AN187" s="100">
        <f>IF(Tabla1[[#This Row],[TIPO DE CONSUMIDOR]]="MEDIO",IF(Tabla1[[#This Row],[AGOSTO]]&gt;22.5,Tabla1[[#This Row],[AGOSTO]]/22.5-1,0),IF(Tabla1[[#This Row],[AGOSTO]]&gt;45,Tabla1[[#This Row],[AGOSTO]]/45-1,0))</f>
        <v>0</v>
      </c>
      <c r="AO18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7" s="101">
        <f t="shared" si="5"/>
        <v>0</v>
      </c>
      <c r="AT187">
        <f>IF(Tabla1[[#This Row],[MES ADEUDO DE AÑOS PASADOS ]]&gt;0,1,0)</f>
        <v>1</v>
      </c>
      <c r="AU187" s="9">
        <f t="shared" si="6"/>
        <v>1</v>
      </c>
      <c r="AV187" s="60">
        <f>IF(Tabla1[[#This Row],[MESES DE ADEUDO DEL AÑO EN CURSO ]]&gt;0,1,0)</f>
        <v>0</v>
      </c>
      <c r="AW187" s="42"/>
      <c r="AX187" s="42"/>
      <c r="AY187" s="42"/>
      <c r="AZ187" s="43"/>
    </row>
    <row r="188" spans="1:52" ht="21.75" thickBot="1" x14ac:dyDescent="0.35">
      <c r="A188" s="106">
        <v>182</v>
      </c>
      <c r="B188" s="5" t="s">
        <v>510</v>
      </c>
      <c r="C188" s="2" t="s">
        <v>504</v>
      </c>
      <c r="D188" s="32"/>
      <c r="E188" s="35" t="s">
        <v>455</v>
      </c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24">
        <f>SUM(Tabla1[[#This Row],[ENERO ]:[DICIEMBRE]])</f>
        <v>0</v>
      </c>
      <c r="W188">
        <v>12</v>
      </c>
      <c r="X188" s="21">
        <f>COUNTIF(Tabla1[[#This Row],[ENERO ]:[DICIEMBRE]],0)-(AS188)-IF(Tabla1[[#This Row],[BAJAS]]="BAJA",IF(Tabla1[[#This Row],[ALTAS]]="ALTA",VLOOKUP(Tabla1[[#This Row],[MES DE ALTA ]],$AW$6:$AX$17,2,FALSE),12)-VLOOKUP(Tabla1[[#This Row],[MES DE BAJA ]],$AW$6:$AX$17,2,FALSE),0)</f>
        <v>0</v>
      </c>
      <c r="Y188" s="68">
        <f>SUM(Tabla1[[#This Row],[MES ADEUDO DE AÑOS PASADOS ]:[MESES DE ADEUDO DEL AÑO EN CURSO ]])-Tabla1[[#This Row],[PAGO DE DEUDA ANTERIOR EN MESES]]</f>
        <v>12</v>
      </c>
      <c r="Z188" s="15">
        <f>Tabla1[[#This Row],[MES ADEUDO DE AÑOS PASADOS ]]*$T$2</f>
        <v>540</v>
      </c>
      <c r="AA188" s="15">
        <f>Tabla1[[#This Row],[MESES DE ADEUDO DEL AÑO EN CURSO ]]*$T$2</f>
        <v>0</v>
      </c>
      <c r="AB188" s="69">
        <f>SUM(Tabla1[[#This Row],[DEUDA DE LOS MESES PASADOS EN $$]:[DEUDA DEL AÑO 2013 $$ ]])</f>
        <v>540</v>
      </c>
      <c r="AD188">
        <f>Tabla1[[#This Row],[PAGO DE DEUDA ANTERIOR EN MESES]]*$T$2</f>
        <v>0</v>
      </c>
      <c r="AG188" s="100">
        <f>IF(Tabla1[[#This Row],[TIPO DE CONSUMIDOR]]="MEDIO",IF(Tabla1[[#This Row],[ENERO ]]&gt;22.5,Tabla1[[#This Row],[ENERO ]]/22.5-1,0),IF(Tabla1[[#This Row],[ENERO ]]&gt;45,Tabla1[[#This Row],[ENERO ]]/45-1,0))</f>
        <v>0</v>
      </c>
      <c r="AH18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8" s="100">
        <f>IF(Tabla1[[#This Row],[TIPO DE CONSUMIDOR]]="MEDIO",IF(Tabla1[[#This Row],[MARZO]]&gt;22.5,Tabla1[[#This Row],[MARZO]]/22.5-1,0),IF(Tabla1[[#This Row],[MARZO]]&gt;45,Tabla1[[#This Row],[MARZO]]/45-1,0))</f>
        <v>0</v>
      </c>
      <c r="AJ188" s="100">
        <f>IF(Tabla1[[#This Row],[TIPO DE CONSUMIDOR]]="MEDIO",IF(Tabla1[[#This Row],[ABRIL]]&gt;22.5,Tabla1[[#This Row],[ABRIL]]/22.5-1,0),IF(Tabla1[[#This Row],[ABRIL]]&gt;45,Tabla1[[#This Row],[ABRIL]]/45-1,0))</f>
        <v>0</v>
      </c>
      <c r="AK188" s="100">
        <f>IF(Tabla1[[#This Row],[TIPO DE CONSUMIDOR]]="MEDIO",IF(Tabla1[[#This Row],[MAYO ]]&gt;22.5,Tabla1[[#This Row],[MAYO ]]/22.5-1,0),IF(Tabla1[[#This Row],[MAYO ]]&gt;45,Tabla1[[#This Row],[MAYO ]]/45-1,0))</f>
        <v>0</v>
      </c>
      <c r="AL188" s="100">
        <f>IF(Tabla1[[#This Row],[TIPO DE CONSUMIDOR]]="MEDIO",IF(Tabla1[[#This Row],[JUNIO ]]&gt;22.5,Tabla1[[#This Row],[JUNIO ]]/22.5-1,0),IF(Tabla1[[#This Row],[JUNIO ]]&gt;45,Tabla1[[#This Row],[JUNIO ]]/45-1,0))</f>
        <v>0</v>
      </c>
      <c r="AM188" s="100">
        <f>IF(Tabla1[[#This Row],[TIPO DE CONSUMIDOR]]="MEDIO",IF(Tabla1[[#This Row],[JULIO ]]&gt;22.5,Tabla1[[#This Row],[JULIO ]]/22.5-1,0),IF(Tabla1[[#This Row],[JULIO ]]&gt;45,Tabla1[[#This Row],[JULIO ]]/45-1,0))</f>
        <v>0</v>
      </c>
      <c r="AN188" s="100">
        <f>IF(Tabla1[[#This Row],[TIPO DE CONSUMIDOR]]="MEDIO",IF(Tabla1[[#This Row],[AGOSTO]]&gt;22.5,Tabla1[[#This Row],[AGOSTO]]/22.5-1,0),IF(Tabla1[[#This Row],[AGOSTO]]&gt;45,Tabla1[[#This Row],[AGOSTO]]/45-1,0))</f>
        <v>0</v>
      </c>
      <c r="AO18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8" s="101">
        <f t="shared" si="5"/>
        <v>0</v>
      </c>
      <c r="AT188">
        <f>IF(Tabla1[[#This Row],[MES ADEUDO DE AÑOS PASADOS ]]&gt;0,1,0)</f>
        <v>1</v>
      </c>
      <c r="AU188" s="9">
        <f t="shared" si="6"/>
        <v>1</v>
      </c>
      <c r="AV188" s="60">
        <f>IF(Tabla1[[#This Row],[MESES DE ADEUDO DEL AÑO EN CURSO ]]&gt;0,1,0)</f>
        <v>0</v>
      </c>
      <c r="AW188" s="42"/>
      <c r="AX188" s="42"/>
      <c r="AY188" s="42"/>
      <c r="AZ188" s="43"/>
    </row>
    <row r="189" spans="1:52" ht="21.75" thickBot="1" x14ac:dyDescent="0.35">
      <c r="A189" s="106">
        <v>183</v>
      </c>
      <c r="B189" s="5" t="s">
        <v>345</v>
      </c>
      <c r="C189" s="2" t="s">
        <v>504</v>
      </c>
      <c r="D189" s="32"/>
      <c r="E189" s="35" t="s">
        <v>455</v>
      </c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24">
        <f>SUM(Tabla1[[#This Row],[ENERO ]:[DICIEMBRE]])</f>
        <v>0</v>
      </c>
      <c r="W189">
        <v>13</v>
      </c>
      <c r="X189" s="21">
        <f>COUNTIF(Tabla1[[#This Row],[ENERO ]:[DICIEMBRE]],0)-(AS189)-IF(Tabla1[[#This Row],[BAJAS]]="BAJA",IF(Tabla1[[#This Row],[ALTAS]]="ALTA",VLOOKUP(Tabla1[[#This Row],[MES DE ALTA ]],$AW$6:$AX$17,2,FALSE),12)-VLOOKUP(Tabla1[[#This Row],[MES DE BAJA ]],$AW$6:$AX$17,2,FALSE),0)</f>
        <v>0</v>
      </c>
      <c r="Y189" s="68">
        <f>SUM(Tabla1[[#This Row],[MES ADEUDO DE AÑOS PASADOS ]:[MESES DE ADEUDO DEL AÑO EN CURSO ]])-Tabla1[[#This Row],[PAGO DE DEUDA ANTERIOR EN MESES]]</f>
        <v>13</v>
      </c>
      <c r="Z189" s="15">
        <f>Tabla1[[#This Row],[MES ADEUDO DE AÑOS PASADOS ]]*$T$2</f>
        <v>585</v>
      </c>
      <c r="AA189" s="15">
        <f>Tabla1[[#This Row],[MESES DE ADEUDO DEL AÑO EN CURSO ]]*$T$2</f>
        <v>0</v>
      </c>
      <c r="AB189" s="69">
        <f>SUM(Tabla1[[#This Row],[DEUDA DE LOS MESES PASADOS EN $$]:[DEUDA DEL AÑO 2013 $$ ]])</f>
        <v>585</v>
      </c>
      <c r="AD189">
        <f>Tabla1[[#This Row],[PAGO DE DEUDA ANTERIOR EN MESES]]*$T$2</f>
        <v>0</v>
      </c>
      <c r="AG189" s="100">
        <f>IF(Tabla1[[#This Row],[TIPO DE CONSUMIDOR]]="MEDIO",IF(Tabla1[[#This Row],[ENERO ]]&gt;22.5,Tabla1[[#This Row],[ENERO ]]/22.5-1,0),IF(Tabla1[[#This Row],[ENERO ]]&gt;45,Tabla1[[#This Row],[ENERO ]]/45-1,0))</f>
        <v>0</v>
      </c>
      <c r="AH18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89" s="100">
        <f>IF(Tabla1[[#This Row],[TIPO DE CONSUMIDOR]]="MEDIO",IF(Tabla1[[#This Row],[MARZO]]&gt;22.5,Tabla1[[#This Row],[MARZO]]/22.5-1,0),IF(Tabla1[[#This Row],[MARZO]]&gt;45,Tabla1[[#This Row],[MARZO]]/45-1,0))</f>
        <v>0</v>
      </c>
      <c r="AJ189" s="100">
        <f>IF(Tabla1[[#This Row],[TIPO DE CONSUMIDOR]]="MEDIO",IF(Tabla1[[#This Row],[ABRIL]]&gt;22.5,Tabla1[[#This Row],[ABRIL]]/22.5-1,0),IF(Tabla1[[#This Row],[ABRIL]]&gt;45,Tabla1[[#This Row],[ABRIL]]/45-1,0))</f>
        <v>0</v>
      </c>
      <c r="AK189" s="100">
        <f>IF(Tabla1[[#This Row],[TIPO DE CONSUMIDOR]]="MEDIO",IF(Tabla1[[#This Row],[MAYO ]]&gt;22.5,Tabla1[[#This Row],[MAYO ]]/22.5-1,0),IF(Tabla1[[#This Row],[MAYO ]]&gt;45,Tabla1[[#This Row],[MAYO ]]/45-1,0))</f>
        <v>0</v>
      </c>
      <c r="AL189" s="100">
        <f>IF(Tabla1[[#This Row],[TIPO DE CONSUMIDOR]]="MEDIO",IF(Tabla1[[#This Row],[JUNIO ]]&gt;22.5,Tabla1[[#This Row],[JUNIO ]]/22.5-1,0),IF(Tabla1[[#This Row],[JUNIO ]]&gt;45,Tabla1[[#This Row],[JUNIO ]]/45-1,0))</f>
        <v>0</v>
      </c>
      <c r="AM189" s="100">
        <f>IF(Tabla1[[#This Row],[TIPO DE CONSUMIDOR]]="MEDIO",IF(Tabla1[[#This Row],[JULIO ]]&gt;22.5,Tabla1[[#This Row],[JULIO ]]/22.5-1,0),IF(Tabla1[[#This Row],[JULIO ]]&gt;45,Tabla1[[#This Row],[JULIO ]]/45-1,0))</f>
        <v>0</v>
      </c>
      <c r="AN189" s="100">
        <f>IF(Tabla1[[#This Row],[TIPO DE CONSUMIDOR]]="MEDIO",IF(Tabla1[[#This Row],[AGOSTO]]&gt;22.5,Tabla1[[#This Row],[AGOSTO]]/22.5-1,0),IF(Tabla1[[#This Row],[AGOSTO]]&gt;45,Tabla1[[#This Row],[AGOSTO]]/45-1,0))</f>
        <v>0</v>
      </c>
      <c r="AO18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8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8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8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89" s="101">
        <f t="shared" si="5"/>
        <v>0</v>
      </c>
      <c r="AT189">
        <f>IF(Tabla1[[#This Row],[MES ADEUDO DE AÑOS PASADOS ]]&gt;0,1,0)</f>
        <v>1</v>
      </c>
      <c r="AU189" s="9">
        <f t="shared" si="6"/>
        <v>1</v>
      </c>
      <c r="AV189" s="60">
        <f>IF(Tabla1[[#This Row],[MESES DE ADEUDO DEL AÑO EN CURSO ]]&gt;0,1,0)</f>
        <v>0</v>
      </c>
      <c r="AW189" s="42"/>
      <c r="AX189" s="42"/>
      <c r="AY189" s="42"/>
      <c r="AZ189" s="43"/>
    </row>
    <row r="190" spans="1:52" ht="21.75" thickBot="1" x14ac:dyDescent="0.35">
      <c r="A190" s="106">
        <v>184</v>
      </c>
      <c r="B190" s="5" t="s">
        <v>380</v>
      </c>
      <c r="C190" s="2" t="s">
        <v>504</v>
      </c>
      <c r="D190" s="32"/>
      <c r="E190" s="35" t="s">
        <v>455</v>
      </c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24">
        <f>SUM(Tabla1[[#This Row],[ENERO ]:[DICIEMBRE]])</f>
        <v>0</v>
      </c>
      <c r="W190">
        <v>14</v>
      </c>
      <c r="X190" s="21">
        <f>COUNTIF(Tabla1[[#This Row],[ENERO ]:[DICIEMBRE]],0)-(AS190)-IF(Tabla1[[#This Row],[BAJAS]]="BAJA",IF(Tabla1[[#This Row],[ALTAS]]="ALTA",VLOOKUP(Tabla1[[#This Row],[MES DE ALTA ]],$AW$6:$AX$17,2,FALSE),12)-VLOOKUP(Tabla1[[#This Row],[MES DE BAJA ]],$AW$6:$AX$17,2,FALSE),0)</f>
        <v>0</v>
      </c>
      <c r="Y190" s="68">
        <f>SUM(Tabla1[[#This Row],[MES ADEUDO DE AÑOS PASADOS ]:[MESES DE ADEUDO DEL AÑO EN CURSO ]])-Tabla1[[#This Row],[PAGO DE DEUDA ANTERIOR EN MESES]]</f>
        <v>14</v>
      </c>
      <c r="Z190" s="15">
        <f>Tabla1[[#This Row],[MES ADEUDO DE AÑOS PASADOS ]]*$T$2</f>
        <v>630</v>
      </c>
      <c r="AA190" s="15">
        <f>Tabla1[[#This Row],[MESES DE ADEUDO DEL AÑO EN CURSO ]]*$T$2</f>
        <v>0</v>
      </c>
      <c r="AB190" s="69">
        <f>SUM(Tabla1[[#This Row],[DEUDA DE LOS MESES PASADOS EN $$]:[DEUDA DEL AÑO 2013 $$ ]])</f>
        <v>630</v>
      </c>
      <c r="AD190">
        <f>Tabla1[[#This Row],[PAGO DE DEUDA ANTERIOR EN MESES]]*$T$2</f>
        <v>0</v>
      </c>
      <c r="AG190" s="100">
        <f>IF(Tabla1[[#This Row],[TIPO DE CONSUMIDOR]]="MEDIO",IF(Tabla1[[#This Row],[ENERO ]]&gt;22.5,Tabla1[[#This Row],[ENERO ]]/22.5-1,0),IF(Tabla1[[#This Row],[ENERO ]]&gt;45,Tabla1[[#This Row],[ENERO ]]/45-1,0))</f>
        <v>0</v>
      </c>
      <c r="AH19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0" s="100">
        <f>IF(Tabla1[[#This Row],[TIPO DE CONSUMIDOR]]="MEDIO",IF(Tabla1[[#This Row],[MARZO]]&gt;22.5,Tabla1[[#This Row],[MARZO]]/22.5-1,0),IF(Tabla1[[#This Row],[MARZO]]&gt;45,Tabla1[[#This Row],[MARZO]]/45-1,0))</f>
        <v>0</v>
      </c>
      <c r="AJ190" s="100">
        <f>IF(Tabla1[[#This Row],[TIPO DE CONSUMIDOR]]="MEDIO",IF(Tabla1[[#This Row],[ABRIL]]&gt;22.5,Tabla1[[#This Row],[ABRIL]]/22.5-1,0),IF(Tabla1[[#This Row],[ABRIL]]&gt;45,Tabla1[[#This Row],[ABRIL]]/45-1,0))</f>
        <v>0</v>
      </c>
      <c r="AK190" s="100">
        <f>IF(Tabla1[[#This Row],[TIPO DE CONSUMIDOR]]="MEDIO",IF(Tabla1[[#This Row],[MAYO ]]&gt;22.5,Tabla1[[#This Row],[MAYO ]]/22.5-1,0),IF(Tabla1[[#This Row],[MAYO ]]&gt;45,Tabla1[[#This Row],[MAYO ]]/45-1,0))</f>
        <v>0</v>
      </c>
      <c r="AL190" s="100">
        <f>IF(Tabla1[[#This Row],[TIPO DE CONSUMIDOR]]="MEDIO",IF(Tabla1[[#This Row],[JUNIO ]]&gt;22.5,Tabla1[[#This Row],[JUNIO ]]/22.5-1,0),IF(Tabla1[[#This Row],[JUNIO ]]&gt;45,Tabla1[[#This Row],[JUNIO ]]/45-1,0))</f>
        <v>0</v>
      </c>
      <c r="AM190" s="100">
        <f>IF(Tabla1[[#This Row],[TIPO DE CONSUMIDOR]]="MEDIO",IF(Tabla1[[#This Row],[JULIO ]]&gt;22.5,Tabla1[[#This Row],[JULIO ]]/22.5-1,0),IF(Tabla1[[#This Row],[JULIO ]]&gt;45,Tabla1[[#This Row],[JULIO ]]/45-1,0))</f>
        <v>0</v>
      </c>
      <c r="AN190" s="100">
        <f>IF(Tabla1[[#This Row],[TIPO DE CONSUMIDOR]]="MEDIO",IF(Tabla1[[#This Row],[AGOSTO]]&gt;22.5,Tabla1[[#This Row],[AGOSTO]]/22.5-1,0),IF(Tabla1[[#This Row],[AGOSTO]]&gt;45,Tabla1[[#This Row],[AGOSTO]]/45-1,0))</f>
        <v>0</v>
      </c>
      <c r="AO19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0" s="101">
        <f t="shared" si="5"/>
        <v>0</v>
      </c>
      <c r="AT190">
        <f>IF(Tabla1[[#This Row],[MES ADEUDO DE AÑOS PASADOS ]]&gt;0,1,0)</f>
        <v>1</v>
      </c>
      <c r="AU190" s="9">
        <f t="shared" si="6"/>
        <v>1</v>
      </c>
      <c r="AV190" s="60">
        <f>IF(Tabla1[[#This Row],[MESES DE ADEUDO DEL AÑO EN CURSO ]]&gt;0,1,0)</f>
        <v>0</v>
      </c>
      <c r="AW190" s="42"/>
      <c r="AX190" s="42"/>
      <c r="AY190" s="42"/>
      <c r="AZ190" s="43"/>
    </row>
    <row r="191" spans="1:52" ht="21.75" thickBot="1" x14ac:dyDescent="0.35">
      <c r="A191" s="106">
        <v>185</v>
      </c>
      <c r="B191" s="5" t="s">
        <v>344</v>
      </c>
      <c r="C191" s="2" t="s">
        <v>504</v>
      </c>
      <c r="D191" s="32"/>
      <c r="E191" s="35" t="s">
        <v>455</v>
      </c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24">
        <f>SUM(Tabla1[[#This Row],[ENERO ]:[DICIEMBRE]])</f>
        <v>0</v>
      </c>
      <c r="W191">
        <v>15</v>
      </c>
      <c r="X191" s="21">
        <f>COUNTIF(Tabla1[[#This Row],[ENERO ]:[DICIEMBRE]],0)-(AS191)-IF(Tabla1[[#This Row],[BAJAS]]="BAJA",IF(Tabla1[[#This Row],[ALTAS]]="ALTA",VLOOKUP(Tabla1[[#This Row],[MES DE ALTA ]],$AW$6:$AX$17,2,FALSE),12)-VLOOKUP(Tabla1[[#This Row],[MES DE BAJA ]],$AW$6:$AX$17,2,FALSE),0)</f>
        <v>0</v>
      </c>
      <c r="Y191" s="68">
        <f>SUM(Tabla1[[#This Row],[MES ADEUDO DE AÑOS PASADOS ]:[MESES DE ADEUDO DEL AÑO EN CURSO ]])-Tabla1[[#This Row],[PAGO DE DEUDA ANTERIOR EN MESES]]</f>
        <v>15</v>
      </c>
      <c r="Z191" s="15">
        <f>Tabla1[[#This Row],[MES ADEUDO DE AÑOS PASADOS ]]*$T$2</f>
        <v>675</v>
      </c>
      <c r="AA191" s="15">
        <f>Tabla1[[#This Row],[MESES DE ADEUDO DEL AÑO EN CURSO ]]*$T$2</f>
        <v>0</v>
      </c>
      <c r="AB191" s="69">
        <f>SUM(Tabla1[[#This Row],[DEUDA DE LOS MESES PASADOS EN $$]:[DEUDA DEL AÑO 2013 $$ ]])</f>
        <v>675</v>
      </c>
      <c r="AD191">
        <f>Tabla1[[#This Row],[PAGO DE DEUDA ANTERIOR EN MESES]]*$T$2</f>
        <v>0</v>
      </c>
      <c r="AG191" s="100">
        <f>IF(Tabla1[[#This Row],[TIPO DE CONSUMIDOR]]="MEDIO",IF(Tabla1[[#This Row],[ENERO ]]&gt;22.5,Tabla1[[#This Row],[ENERO ]]/22.5-1,0),IF(Tabla1[[#This Row],[ENERO ]]&gt;45,Tabla1[[#This Row],[ENERO ]]/45-1,0))</f>
        <v>0</v>
      </c>
      <c r="AH19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1" s="100">
        <f>IF(Tabla1[[#This Row],[TIPO DE CONSUMIDOR]]="MEDIO",IF(Tabla1[[#This Row],[MARZO]]&gt;22.5,Tabla1[[#This Row],[MARZO]]/22.5-1,0),IF(Tabla1[[#This Row],[MARZO]]&gt;45,Tabla1[[#This Row],[MARZO]]/45-1,0))</f>
        <v>0</v>
      </c>
      <c r="AJ191" s="100">
        <f>IF(Tabla1[[#This Row],[TIPO DE CONSUMIDOR]]="MEDIO",IF(Tabla1[[#This Row],[ABRIL]]&gt;22.5,Tabla1[[#This Row],[ABRIL]]/22.5-1,0),IF(Tabla1[[#This Row],[ABRIL]]&gt;45,Tabla1[[#This Row],[ABRIL]]/45-1,0))</f>
        <v>0</v>
      </c>
      <c r="AK191" s="100">
        <f>IF(Tabla1[[#This Row],[TIPO DE CONSUMIDOR]]="MEDIO",IF(Tabla1[[#This Row],[MAYO ]]&gt;22.5,Tabla1[[#This Row],[MAYO ]]/22.5-1,0),IF(Tabla1[[#This Row],[MAYO ]]&gt;45,Tabla1[[#This Row],[MAYO ]]/45-1,0))</f>
        <v>0</v>
      </c>
      <c r="AL191" s="100">
        <f>IF(Tabla1[[#This Row],[TIPO DE CONSUMIDOR]]="MEDIO",IF(Tabla1[[#This Row],[JUNIO ]]&gt;22.5,Tabla1[[#This Row],[JUNIO ]]/22.5-1,0),IF(Tabla1[[#This Row],[JUNIO ]]&gt;45,Tabla1[[#This Row],[JUNIO ]]/45-1,0))</f>
        <v>0</v>
      </c>
      <c r="AM191" s="100">
        <f>IF(Tabla1[[#This Row],[TIPO DE CONSUMIDOR]]="MEDIO",IF(Tabla1[[#This Row],[JULIO ]]&gt;22.5,Tabla1[[#This Row],[JULIO ]]/22.5-1,0),IF(Tabla1[[#This Row],[JULIO ]]&gt;45,Tabla1[[#This Row],[JULIO ]]/45-1,0))</f>
        <v>0</v>
      </c>
      <c r="AN191" s="100">
        <f>IF(Tabla1[[#This Row],[TIPO DE CONSUMIDOR]]="MEDIO",IF(Tabla1[[#This Row],[AGOSTO]]&gt;22.5,Tabla1[[#This Row],[AGOSTO]]/22.5-1,0),IF(Tabla1[[#This Row],[AGOSTO]]&gt;45,Tabla1[[#This Row],[AGOSTO]]/45-1,0))</f>
        <v>0</v>
      </c>
      <c r="AO19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1" s="101">
        <f t="shared" si="5"/>
        <v>0</v>
      </c>
      <c r="AT191">
        <f>IF(Tabla1[[#This Row],[MES ADEUDO DE AÑOS PASADOS ]]&gt;0,1,0)</f>
        <v>1</v>
      </c>
      <c r="AU191" s="9">
        <f t="shared" si="6"/>
        <v>1</v>
      </c>
      <c r="AV191" s="60">
        <f>IF(Tabla1[[#This Row],[MESES DE ADEUDO DEL AÑO EN CURSO ]]&gt;0,1,0)</f>
        <v>0</v>
      </c>
      <c r="AW191" s="42"/>
      <c r="AX191" s="42"/>
      <c r="AY191" s="42"/>
      <c r="AZ191" s="43"/>
    </row>
    <row r="192" spans="1:52" ht="21.75" thickBot="1" x14ac:dyDescent="0.35">
      <c r="A192" s="106">
        <v>186</v>
      </c>
      <c r="B192" s="5" t="s">
        <v>154</v>
      </c>
      <c r="C192" s="2" t="s">
        <v>504</v>
      </c>
      <c r="D192" s="32"/>
      <c r="E192" s="35" t="s">
        <v>455</v>
      </c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24">
        <f>SUM(Tabla1[[#This Row],[ENERO ]:[DICIEMBRE]])</f>
        <v>0</v>
      </c>
      <c r="W192">
        <v>17</v>
      </c>
      <c r="X192" s="21">
        <f>COUNTIF(Tabla1[[#This Row],[ENERO ]:[DICIEMBRE]],0)-(AS192)-IF(Tabla1[[#This Row],[BAJAS]]="BAJA",IF(Tabla1[[#This Row],[ALTAS]]="ALTA",VLOOKUP(Tabla1[[#This Row],[MES DE ALTA ]],$AW$6:$AX$17,2,FALSE),12)-VLOOKUP(Tabla1[[#This Row],[MES DE BAJA ]],$AW$6:$AX$17,2,FALSE),0)</f>
        <v>0</v>
      </c>
      <c r="Y192" s="68">
        <f>SUM(Tabla1[[#This Row],[MES ADEUDO DE AÑOS PASADOS ]:[MESES DE ADEUDO DEL AÑO EN CURSO ]])-Tabla1[[#This Row],[PAGO DE DEUDA ANTERIOR EN MESES]]</f>
        <v>17</v>
      </c>
      <c r="Z192" s="15">
        <f>Tabla1[[#This Row],[MES ADEUDO DE AÑOS PASADOS ]]*$T$2</f>
        <v>765</v>
      </c>
      <c r="AA192" s="15">
        <f>Tabla1[[#This Row],[MESES DE ADEUDO DEL AÑO EN CURSO ]]*$T$2</f>
        <v>0</v>
      </c>
      <c r="AB192" s="69">
        <f>SUM(Tabla1[[#This Row],[DEUDA DE LOS MESES PASADOS EN $$]:[DEUDA DEL AÑO 2013 $$ ]])</f>
        <v>765</v>
      </c>
      <c r="AD192">
        <f>Tabla1[[#This Row],[PAGO DE DEUDA ANTERIOR EN MESES]]*$T$2</f>
        <v>0</v>
      </c>
      <c r="AG192" s="100">
        <f>IF(Tabla1[[#This Row],[TIPO DE CONSUMIDOR]]="MEDIO",IF(Tabla1[[#This Row],[ENERO ]]&gt;22.5,Tabla1[[#This Row],[ENERO ]]/22.5-1,0),IF(Tabla1[[#This Row],[ENERO ]]&gt;45,Tabla1[[#This Row],[ENERO ]]/45-1,0))</f>
        <v>0</v>
      </c>
      <c r="AH19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2" s="100">
        <f>IF(Tabla1[[#This Row],[TIPO DE CONSUMIDOR]]="MEDIO",IF(Tabla1[[#This Row],[MARZO]]&gt;22.5,Tabla1[[#This Row],[MARZO]]/22.5-1,0),IF(Tabla1[[#This Row],[MARZO]]&gt;45,Tabla1[[#This Row],[MARZO]]/45-1,0))</f>
        <v>0</v>
      </c>
      <c r="AJ192" s="100">
        <f>IF(Tabla1[[#This Row],[TIPO DE CONSUMIDOR]]="MEDIO",IF(Tabla1[[#This Row],[ABRIL]]&gt;22.5,Tabla1[[#This Row],[ABRIL]]/22.5-1,0),IF(Tabla1[[#This Row],[ABRIL]]&gt;45,Tabla1[[#This Row],[ABRIL]]/45-1,0))</f>
        <v>0</v>
      </c>
      <c r="AK192" s="100">
        <f>IF(Tabla1[[#This Row],[TIPO DE CONSUMIDOR]]="MEDIO",IF(Tabla1[[#This Row],[MAYO ]]&gt;22.5,Tabla1[[#This Row],[MAYO ]]/22.5-1,0),IF(Tabla1[[#This Row],[MAYO ]]&gt;45,Tabla1[[#This Row],[MAYO ]]/45-1,0))</f>
        <v>0</v>
      </c>
      <c r="AL192" s="100">
        <f>IF(Tabla1[[#This Row],[TIPO DE CONSUMIDOR]]="MEDIO",IF(Tabla1[[#This Row],[JUNIO ]]&gt;22.5,Tabla1[[#This Row],[JUNIO ]]/22.5-1,0),IF(Tabla1[[#This Row],[JUNIO ]]&gt;45,Tabla1[[#This Row],[JUNIO ]]/45-1,0))</f>
        <v>0</v>
      </c>
      <c r="AM192" s="100">
        <f>IF(Tabla1[[#This Row],[TIPO DE CONSUMIDOR]]="MEDIO",IF(Tabla1[[#This Row],[JULIO ]]&gt;22.5,Tabla1[[#This Row],[JULIO ]]/22.5-1,0),IF(Tabla1[[#This Row],[JULIO ]]&gt;45,Tabla1[[#This Row],[JULIO ]]/45-1,0))</f>
        <v>0</v>
      </c>
      <c r="AN192" s="100">
        <f>IF(Tabla1[[#This Row],[TIPO DE CONSUMIDOR]]="MEDIO",IF(Tabla1[[#This Row],[AGOSTO]]&gt;22.5,Tabla1[[#This Row],[AGOSTO]]/22.5-1,0),IF(Tabla1[[#This Row],[AGOSTO]]&gt;45,Tabla1[[#This Row],[AGOSTO]]/45-1,0))</f>
        <v>0</v>
      </c>
      <c r="AO19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2" s="101">
        <f t="shared" si="5"/>
        <v>0</v>
      </c>
      <c r="AT192">
        <f>IF(Tabla1[[#This Row],[MES ADEUDO DE AÑOS PASADOS ]]&gt;0,1,0)</f>
        <v>1</v>
      </c>
      <c r="AU192" s="9">
        <f t="shared" si="6"/>
        <v>1</v>
      </c>
      <c r="AV192" s="60">
        <f>IF(Tabla1[[#This Row],[MESES DE ADEUDO DEL AÑO EN CURSO ]]&gt;0,1,0)</f>
        <v>0</v>
      </c>
      <c r="AW192" s="42"/>
      <c r="AX192" s="42"/>
      <c r="AY192" s="42"/>
      <c r="AZ192" s="43"/>
    </row>
    <row r="193" spans="1:52" ht="21.75" thickBot="1" x14ac:dyDescent="0.35">
      <c r="A193" s="106">
        <v>187</v>
      </c>
      <c r="B193" s="5" t="s">
        <v>157</v>
      </c>
      <c r="C193" s="2" t="s">
        <v>504</v>
      </c>
      <c r="D193" s="32"/>
      <c r="E193" s="35" t="s">
        <v>455</v>
      </c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24">
        <f>SUM(Tabla1[[#This Row],[ENERO ]:[DICIEMBRE]])</f>
        <v>0</v>
      </c>
      <c r="W193">
        <v>22</v>
      </c>
      <c r="X193" s="21">
        <f>COUNTIF(Tabla1[[#This Row],[ENERO ]:[DICIEMBRE]],0)-(AS193)-IF(Tabla1[[#This Row],[BAJAS]]="BAJA",IF(Tabla1[[#This Row],[ALTAS]]="ALTA",VLOOKUP(Tabla1[[#This Row],[MES DE ALTA ]],$AW$6:$AX$17,2,FALSE),12)-VLOOKUP(Tabla1[[#This Row],[MES DE BAJA ]],$AW$6:$AX$17,2,FALSE),0)</f>
        <v>0</v>
      </c>
      <c r="Y193" s="68">
        <f>SUM(Tabla1[[#This Row],[MES ADEUDO DE AÑOS PASADOS ]:[MESES DE ADEUDO DEL AÑO EN CURSO ]])-Tabla1[[#This Row],[PAGO DE DEUDA ANTERIOR EN MESES]]</f>
        <v>22</v>
      </c>
      <c r="Z193" s="15">
        <f>Tabla1[[#This Row],[MES ADEUDO DE AÑOS PASADOS ]]*$T$2</f>
        <v>990</v>
      </c>
      <c r="AA193" s="15">
        <f>Tabla1[[#This Row],[MESES DE ADEUDO DEL AÑO EN CURSO ]]*$T$2</f>
        <v>0</v>
      </c>
      <c r="AB193" s="69">
        <f>SUM(Tabla1[[#This Row],[DEUDA DE LOS MESES PASADOS EN $$]:[DEUDA DEL AÑO 2013 $$ ]])</f>
        <v>990</v>
      </c>
      <c r="AD193">
        <f>Tabla1[[#This Row],[PAGO DE DEUDA ANTERIOR EN MESES]]*$T$2</f>
        <v>0</v>
      </c>
      <c r="AG193" s="100">
        <f>IF(Tabla1[[#This Row],[TIPO DE CONSUMIDOR]]="MEDIO",IF(Tabla1[[#This Row],[ENERO ]]&gt;22.5,Tabla1[[#This Row],[ENERO ]]/22.5-1,0),IF(Tabla1[[#This Row],[ENERO ]]&gt;45,Tabla1[[#This Row],[ENERO ]]/45-1,0))</f>
        <v>0</v>
      </c>
      <c r="AH19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3" s="100">
        <f>IF(Tabla1[[#This Row],[TIPO DE CONSUMIDOR]]="MEDIO",IF(Tabla1[[#This Row],[MARZO]]&gt;22.5,Tabla1[[#This Row],[MARZO]]/22.5-1,0),IF(Tabla1[[#This Row],[MARZO]]&gt;45,Tabla1[[#This Row],[MARZO]]/45-1,0))</f>
        <v>0</v>
      </c>
      <c r="AJ193" s="100">
        <f>IF(Tabla1[[#This Row],[TIPO DE CONSUMIDOR]]="MEDIO",IF(Tabla1[[#This Row],[ABRIL]]&gt;22.5,Tabla1[[#This Row],[ABRIL]]/22.5-1,0),IF(Tabla1[[#This Row],[ABRIL]]&gt;45,Tabla1[[#This Row],[ABRIL]]/45-1,0))</f>
        <v>0</v>
      </c>
      <c r="AK193" s="100">
        <f>IF(Tabla1[[#This Row],[TIPO DE CONSUMIDOR]]="MEDIO",IF(Tabla1[[#This Row],[MAYO ]]&gt;22.5,Tabla1[[#This Row],[MAYO ]]/22.5-1,0),IF(Tabla1[[#This Row],[MAYO ]]&gt;45,Tabla1[[#This Row],[MAYO ]]/45-1,0))</f>
        <v>0</v>
      </c>
      <c r="AL193" s="100">
        <f>IF(Tabla1[[#This Row],[TIPO DE CONSUMIDOR]]="MEDIO",IF(Tabla1[[#This Row],[JUNIO ]]&gt;22.5,Tabla1[[#This Row],[JUNIO ]]/22.5-1,0),IF(Tabla1[[#This Row],[JUNIO ]]&gt;45,Tabla1[[#This Row],[JUNIO ]]/45-1,0))</f>
        <v>0</v>
      </c>
      <c r="AM193" s="100">
        <f>IF(Tabla1[[#This Row],[TIPO DE CONSUMIDOR]]="MEDIO",IF(Tabla1[[#This Row],[JULIO ]]&gt;22.5,Tabla1[[#This Row],[JULIO ]]/22.5-1,0),IF(Tabla1[[#This Row],[JULIO ]]&gt;45,Tabla1[[#This Row],[JULIO ]]/45-1,0))</f>
        <v>0</v>
      </c>
      <c r="AN193" s="100">
        <f>IF(Tabla1[[#This Row],[TIPO DE CONSUMIDOR]]="MEDIO",IF(Tabla1[[#This Row],[AGOSTO]]&gt;22.5,Tabla1[[#This Row],[AGOSTO]]/22.5-1,0),IF(Tabla1[[#This Row],[AGOSTO]]&gt;45,Tabla1[[#This Row],[AGOSTO]]/45-1,0))</f>
        <v>0</v>
      </c>
      <c r="AO19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3" s="101">
        <f t="shared" si="5"/>
        <v>0</v>
      </c>
      <c r="AT193">
        <f>IF(Tabla1[[#This Row],[MES ADEUDO DE AÑOS PASADOS ]]&gt;0,1,0)</f>
        <v>1</v>
      </c>
      <c r="AU193" s="9">
        <f t="shared" si="6"/>
        <v>1</v>
      </c>
      <c r="AV193" s="60">
        <f>IF(Tabla1[[#This Row],[MESES DE ADEUDO DEL AÑO EN CURSO ]]&gt;0,1,0)</f>
        <v>0</v>
      </c>
      <c r="AW193" s="42"/>
      <c r="AX193" s="42"/>
      <c r="AY193" s="42"/>
      <c r="AZ193" s="43"/>
    </row>
    <row r="194" spans="1:52" ht="21.75" thickBot="1" x14ac:dyDescent="0.35">
      <c r="A194" s="106">
        <v>188</v>
      </c>
      <c r="B194" s="5" t="s">
        <v>250</v>
      </c>
      <c r="C194" s="2" t="s">
        <v>504</v>
      </c>
      <c r="D194" s="32"/>
      <c r="E194" s="35" t="s">
        <v>455</v>
      </c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24">
        <f>SUM(Tabla1[[#This Row],[ENERO ]:[DICIEMBRE]])</f>
        <v>0</v>
      </c>
      <c r="W194">
        <v>25</v>
      </c>
      <c r="X194" s="21">
        <f>COUNTIF(Tabla1[[#This Row],[ENERO ]:[DICIEMBRE]],0)-(AS194)-IF(Tabla1[[#This Row],[BAJAS]]="BAJA",IF(Tabla1[[#This Row],[ALTAS]]="ALTA",VLOOKUP(Tabla1[[#This Row],[MES DE ALTA ]],$AW$6:$AX$17,2,FALSE),12)-VLOOKUP(Tabla1[[#This Row],[MES DE BAJA ]],$AW$6:$AX$17,2,FALSE),0)</f>
        <v>0</v>
      </c>
      <c r="Y194" s="68">
        <f>SUM(Tabla1[[#This Row],[MES ADEUDO DE AÑOS PASADOS ]:[MESES DE ADEUDO DEL AÑO EN CURSO ]])-Tabla1[[#This Row],[PAGO DE DEUDA ANTERIOR EN MESES]]</f>
        <v>25</v>
      </c>
      <c r="Z194" s="15">
        <f>Tabla1[[#This Row],[MES ADEUDO DE AÑOS PASADOS ]]*$T$2</f>
        <v>1125</v>
      </c>
      <c r="AA194" s="15">
        <f>Tabla1[[#This Row],[MESES DE ADEUDO DEL AÑO EN CURSO ]]*$T$2</f>
        <v>0</v>
      </c>
      <c r="AB194" s="69">
        <f>SUM(Tabla1[[#This Row],[DEUDA DE LOS MESES PASADOS EN $$]:[DEUDA DEL AÑO 2013 $$ ]])</f>
        <v>1125</v>
      </c>
      <c r="AD194">
        <f>Tabla1[[#This Row],[PAGO DE DEUDA ANTERIOR EN MESES]]*$T$2</f>
        <v>0</v>
      </c>
      <c r="AG194" s="100">
        <f>IF(Tabla1[[#This Row],[TIPO DE CONSUMIDOR]]="MEDIO",IF(Tabla1[[#This Row],[ENERO ]]&gt;22.5,Tabla1[[#This Row],[ENERO ]]/22.5-1,0),IF(Tabla1[[#This Row],[ENERO ]]&gt;45,Tabla1[[#This Row],[ENERO ]]/45-1,0))</f>
        <v>0</v>
      </c>
      <c r="AH19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4" s="100">
        <f>IF(Tabla1[[#This Row],[TIPO DE CONSUMIDOR]]="MEDIO",IF(Tabla1[[#This Row],[MARZO]]&gt;22.5,Tabla1[[#This Row],[MARZO]]/22.5-1,0),IF(Tabla1[[#This Row],[MARZO]]&gt;45,Tabla1[[#This Row],[MARZO]]/45-1,0))</f>
        <v>0</v>
      </c>
      <c r="AJ194" s="100">
        <f>IF(Tabla1[[#This Row],[TIPO DE CONSUMIDOR]]="MEDIO",IF(Tabla1[[#This Row],[ABRIL]]&gt;22.5,Tabla1[[#This Row],[ABRIL]]/22.5-1,0),IF(Tabla1[[#This Row],[ABRIL]]&gt;45,Tabla1[[#This Row],[ABRIL]]/45-1,0))</f>
        <v>0</v>
      </c>
      <c r="AK194" s="100">
        <f>IF(Tabla1[[#This Row],[TIPO DE CONSUMIDOR]]="MEDIO",IF(Tabla1[[#This Row],[MAYO ]]&gt;22.5,Tabla1[[#This Row],[MAYO ]]/22.5-1,0),IF(Tabla1[[#This Row],[MAYO ]]&gt;45,Tabla1[[#This Row],[MAYO ]]/45-1,0))</f>
        <v>0</v>
      </c>
      <c r="AL194" s="100">
        <f>IF(Tabla1[[#This Row],[TIPO DE CONSUMIDOR]]="MEDIO",IF(Tabla1[[#This Row],[JUNIO ]]&gt;22.5,Tabla1[[#This Row],[JUNIO ]]/22.5-1,0),IF(Tabla1[[#This Row],[JUNIO ]]&gt;45,Tabla1[[#This Row],[JUNIO ]]/45-1,0))</f>
        <v>0</v>
      </c>
      <c r="AM194" s="100">
        <f>IF(Tabla1[[#This Row],[TIPO DE CONSUMIDOR]]="MEDIO",IF(Tabla1[[#This Row],[JULIO ]]&gt;22.5,Tabla1[[#This Row],[JULIO ]]/22.5-1,0),IF(Tabla1[[#This Row],[JULIO ]]&gt;45,Tabla1[[#This Row],[JULIO ]]/45-1,0))</f>
        <v>0</v>
      </c>
      <c r="AN194" s="100">
        <f>IF(Tabla1[[#This Row],[TIPO DE CONSUMIDOR]]="MEDIO",IF(Tabla1[[#This Row],[AGOSTO]]&gt;22.5,Tabla1[[#This Row],[AGOSTO]]/22.5-1,0),IF(Tabla1[[#This Row],[AGOSTO]]&gt;45,Tabla1[[#This Row],[AGOSTO]]/45-1,0))</f>
        <v>0</v>
      </c>
      <c r="AO19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4" s="101">
        <f t="shared" si="5"/>
        <v>0</v>
      </c>
      <c r="AT194">
        <f>IF(Tabla1[[#This Row],[MES ADEUDO DE AÑOS PASADOS ]]&gt;0,1,0)</f>
        <v>1</v>
      </c>
      <c r="AU194" s="9">
        <f t="shared" si="6"/>
        <v>1</v>
      </c>
      <c r="AV194" s="60">
        <f>IF(Tabla1[[#This Row],[MESES DE ADEUDO DEL AÑO EN CURSO ]]&gt;0,1,0)</f>
        <v>0</v>
      </c>
      <c r="AW194" s="42"/>
      <c r="AX194" s="42"/>
      <c r="AY194" s="42"/>
      <c r="AZ194" s="43"/>
    </row>
    <row r="195" spans="1:52" ht="21.75" thickBot="1" x14ac:dyDescent="0.35">
      <c r="A195" s="106">
        <v>189</v>
      </c>
      <c r="B195" s="5" t="s">
        <v>508</v>
      </c>
      <c r="C195" s="2" t="s">
        <v>504</v>
      </c>
      <c r="D195" s="32"/>
      <c r="E195" s="35" t="s">
        <v>455</v>
      </c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24">
        <f>SUM(Tabla1[[#This Row],[ENERO ]:[DICIEMBRE]])</f>
        <v>0</v>
      </c>
      <c r="W195">
        <v>39</v>
      </c>
      <c r="X195" s="21">
        <f>COUNTIF(Tabla1[[#This Row],[ENERO ]:[DICIEMBRE]],0)-(AS195)-IF(Tabla1[[#This Row],[BAJAS]]="BAJA",IF(Tabla1[[#This Row],[ALTAS]]="ALTA",VLOOKUP(Tabla1[[#This Row],[MES DE ALTA ]],$AW$6:$AX$17,2,FALSE),12)-VLOOKUP(Tabla1[[#This Row],[MES DE BAJA ]],$AW$6:$AX$17,2,FALSE),0)</f>
        <v>0</v>
      </c>
      <c r="Y195" s="68">
        <f>SUM(Tabla1[[#This Row],[MES ADEUDO DE AÑOS PASADOS ]:[MESES DE ADEUDO DEL AÑO EN CURSO ]])-Tabla1[[#This Row],[PAGO DE DEUDA ANTERIOR EN MESES]]</f>
        <v>39</v>
      </c>
      <c r="Z195" s="15">
        <f>Tabla1[[#This Row],[MES ADEUDO DE AÑOS PASADOS ]]*$T$2</f>
        <v>1755</v>
      </c>
      <c r="AA195" s="15">
        <f>Tabla1[[#This Row],[MESES DE ADEUDO DEL AÑO EN CURSO ]]*$T$2</f>
        <v>0</v>
      </c>
      <c r="AB195" s="69">
        <f>SUM(Tabla1[[#This Row],[DEUDA DE LOS MESES PASADOS EN $$]:[DEUDA DEL AÑO 2013 $$ ]])</f>
        <v>1755</v>
      </c>
      <c r="AD195">
        <f>Tabla1[[#This Row],[PAGO DE DEUDA ANTERIOR EN MESES]]*$T$2</f>
        <v>0</v>
      </c>
      <c r="AG195" s="100">
        <f>IF(Tabla1[[#This Row],[TIPO DE CONSUMIDOR]]="MEDIO",IF(Tabla1[[#This Row],[ENERO ]]&gt;22.5,Tabla1[[#This Row],[ENERO ]]/22.5-1,0),IF(Tabla1[[#This Row],[ENERO ]]&gt;45,Tabla1[[#This Row],[ENERO ]]/45-1,0))</f>
        <v>0</v>
      </c>
      <c r="AH19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5" s="100">
        <f>IF(Tabla1[[#This Row],[TIPO DE CONSUMIDOR]]="MEDIO",IF(Tabla1[[#This Row],[MARZO]]&gt;22.5,Tabla1[[#This Row],[MARZO]]/22.5-1,0),IF(Tabla1[[#This Row],[MARZO]]&gt;45,Tabla1[[#This Row],[MARZO]]/45-1,0))</f>
        <v>0</v>
      </c>
      <c r="AJ195" s="100">
        <f>IF(Tabla1[[#This Row],[TIPO DE CONSUMIDOR]]="MEDIO",IF(Tabla1[[#This Row],[ABRIL]]&gt;22.5,Tabla1[[#This Row],[ABRIL]]/22.5-1,0),IF(Tabla1[[#This Row],[ABRIL]]&gt;45,Tabla1[[#This Row],[ABRIL]]/45-1,0))</f>
        <v>0</v>
      </c>
      <c r="AK195" s="100">
        <f>IF(Tabla1[[#This Row],[TIPO DE CONSUMIDOR]]="MEDIO",IF(Tabla1[[#This Row],[MAYO ]]&gt;22.5,Tabla1[[#This Row],[MAYO ]]/22.5-1,0),IF(Tabla1[[#This Row],[MAYO ]]&gt;45,Tabla1[[#This Row],[MAYO ]]/45-1,0))</f>
        <v>0</v>
      </c>
      <c r="AL195" s="100">
        <f>IF(Tabla1[[#This Row],[TIPO DE CONSUMIDOR]]="MEDIO",IF(Tabla1[[#This Row],[JUNIO ]]&gt;22.5,Tabla1[[#This Row],[JUNIO ]]/22.5-1,0),IF(Tabla1[[#This Row],[JUNIO ]]&gt;45,Tabla1[[#This Row],[JUNIO ]]/45-1,0))</f>
        <v>0</v>
      </c>
      <c r="AM195" s="100">
        <f>IF(Tabla1[[#This Row],[TIPO DE CONSUMIDOR]]="MEDIO",IF(Tabla1[[#This Row],[JULIO ]]&gt;22.5,Tabla1[[#This Row],[JULIO ]]/22.5-1,0),IF(Tabla1[[#This Row],[JULIO ]]&gt;45,Tabla1[[#This Row],[JULIO ]]/45-1,0))</f>
        <v>0</v>
      </c>
      <c r="AN195" s="100">
        <f>IF(Tabla1[[#This Row],[TIPO DE CONSUMIDOR]]="MEDIO",IF(Tabla1[[#This Row],[AGOSTO]]&gt;22.5,Tabla1[[#This Row],[AGOSTO]]/22.5-1,0),IF(Tabla1[[#This Row],[AGOSTO]]&gt;45,Tabla1[[#This Row],[AGOSTO]]/45-1,0))</f>
        <v>0</v>
      </c>
      <c r="AO19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5" s="101">
        <f t="shared" si="5"/>
        <v>0</v>
      </c>
      <c r="AT195">
        <f>IF(Tabla1[[#This Row],[MES ADEUDO DE AÑOS PASADOS ]]&gt;0,1,0)</f>
        <v>1</v>
      </c>
      <c r="AU195" s="9">
        <f t="shared" si="6"/>
        <v>1</v>
      </c>
      <c r="AV195" s="60">
        <f>IF(Tabla1[[#This Row],[MESES DE ADEUDO DEL AÑO EN CURSO ]]&gt;0,1,0)</f>
        <v>0</v>
      </c>
      <c r="AW195" s="42"/>
      <c r="AX195" s="42"/>
      <c r="AY195" s="42"/>
      <c r="AZ195" s="43"/>
    </row>
    <row r="196" spans="1:52" ht="21.75" thickBot="1" x14ac:dyDescent="0.35">
      <c r="A196" s="106">
        <v>190</v>
      </c>
      <c r="B196" s="5" t="s">
        <v>34</v>
      </c>
      <c r="C196" s="2" t="s">
        <v>504</v>
      </c>
      <c r="D196" s="32"/>
      <c r="E196" s="35" t="s">
        <v>455</v>
      </c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24">
        <f>SUM(Tabla1[[#This Row],[ENERO ]:[DICIEMBRE]])</f>
        <v>0</v>
      </c>
      <c r="W196">
        <v>46</v>
      </c>
      <c r="X196" s="21">
        <f>COUNTIF(Tabla1[[#This Row],[ENERO ]:[DICIEMBRE]],0)-(AS196)-IF(Tabla1[[#This Row],[BAJAS]]="BAJA",IF(Tabla1[[#This Row],[ALTAS]]="ALTA",VLOOKUP(Tabla1[[#This Row],[MES DE ALTA ]],$AW$6:$AX$17,2,FALSE),12)-VLOOKUP(Tabla1[[#This Row],[MES DE BAJA ]],$AW$6:$AX$17,2,FALSE),0)</f>
        <v>0</v>
      </c>
      <c r="Y196" s="68">
        <f>SUM(Tabla1[[#This Row],[MES ADEUDO DE AÑOS PASADOS ]:[MESES DE ADEUDO DEL AÑO EN CURSO ]])-Tabla1[[#This Row],[PAGO DE DEUDA ANTERIOR EN MESES]]</f>
        <v>46</v>
      </c>
      <c r="Z196" s="15">
        <f>Tabla1[[#This Row],[MES ADEUDO DE AÑOS PASADOS ]]*$T$2</f>
        <v>2070</v>
      </c>
      <c r="AA196" s="15">
        <f>Tabla1[[#This Row],[MESES DE ADEUDO DEL AÑO EN CURSO ]]*$T$2</f>
        <v>0</v>
      </c>
      <c r="AB196" s="69">
        <f>SUM(Tabla1[[#This Row],[DEUDA DE LOS MESES PASADOS EN $$]:[DEUDA DEL AÑO 2013 $$ ]])</f>
        <v>2070</v>
      </c>
      <c r="AD196">
        <f>Tabla1[[#This Row],[PAGO DE DEUDA ANTERIOR EN MESES]]*$T$2</f>
        <v>0</v>
      </c>
      <c r="AG196" s="100">
        <f>IF(Tabla1[[#This Row],[TIPO DE CONSUMIDOR]]="MEDIO",IF(Tabla1[[#This Row],[ENERO ]]&gt;22.5,Tabla1[[#This Row],[ENERO ]]/22.5-1,0),IF(Tabla1[[#This Row],[ENERO ]]&gt;45,Tabla1[[#This Row],[ENERO ]]/45-1,0))</f>
        <v>0</v>
      </c>
      <c r="AH19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6" s="100">
        <f>IF(Tabla1[[#This Row],[TIPO DE CONSUMIDOR]]="MEDIO",IF(Tabla1[[#This Row],[MARZO]]&gt;22.5,Tabla1[[#This Row],[MARZO]]/22.5-1,0),IF(Tabla1[[#This Row],[MARZO]]&gt;45,Tabla1[[#This Row],[MARZO]]/45-1,0))</f>
        <v>0</v>
      </c>
      <c r="AJ196" s="100">
        <f>IF(Tabla1[[#This Row],[TIPO DE CONSUMIDOR]]="MEDIO",IF(Tabla1[[#This Row],[ABRIL]]&gt;22.5,Tabla1[[#This Row],[ABRIL]]/22.5-1,0),IF(Tabla1[[#This Row],[ABRIL]]&gt;45,Tabla1[[#This Row],[ABRIL]]/45-1,0))</f>
        <v>0</v>
      </c>
      <c r="AK196" s="100">
        <f>IF(Tabla1[[#This Row],[TIPO DE CONSUMIDOR]]="MEDIO",IF(Tabla1[[#This Row],[MAYO ]]&gt;22.5,Tabla1[[#This Row],[MAYO ]]/22.5-1,0),IF(Tabla1[[#This Row],[MAYO ]]&gt;45,Tabla1[[#This Row],[MAYO ]]/45-1,0))</f>
        <v>0</v>
      </c>
      <c r="AL196" s="100">
        <f>IF(Tabla1[[#This Row],[TIPO DE CONSUMIDOR]]="MEDIO",IF(Tabla1[[#This Row],[JUNIO ]]&gt;22.5,Tabla1[[#This Row],[JUNIO ]]/22.5-1,0),IF(Tabla1[[#This Row],[JUNIO ]]&gt;45,Tabla1[[#This Row],[JUNIO ]]/45-1,0))</f>
        <v>0</v>
      </c>
      <c r="AM196" s="100">
        <f>IF(Tabla1[[#This Row],[TIPO DE CONSUMIDOR]]="MEDIO",IF(Tabla1[[#This Row],[JULIO ]]&gt;22.5,Tabla1[[#This Row],[JULIO ]]/22.5-1,0),IF(Tabla1[[#This Row],[JULIO ]]&gt;45,Tabla1[[#This Row],[JULIO ]]/45-1,0))</f>
        <v>0</v>
      </c>
      <c r="AN196" s="100">
        <f>IF(Tabla1[[#This Row],[TIPO DE CONSUMIDOR]]="MEDIO",IF(Tabla1[[#This Row],[AGOSTO]]&gt;22.5,Tabla1[[#This Row],[AGOSTO]]/22.5-1,0),IF(Tabla1[[#This Row],[AGOSTO]]&gt;45,Tabla1[[#This Row],[AGOSTO]]/45-1,0))</f>
        <v>0</v>
      </c>
      <c r="AO19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6" s="101">
        <f t="shared" si="5"/>
        <v>0</v>
      </c>
      <c r="AT196">
        <f>IF(Tabla1[[#This Row],[MES ADEUDO DE AÑOS PASADOS ]]&gt;0,1,0)</f>
        <v>1</v>
      </c>
      <c r="AU196" s="9">
        <f t="shared" si="6"/>
        <v>1</v>
      </c>
      <c r="AV196" s="60">
        <f>IF(Tabla1[[#This Row],[MESES DE ADEUDO DEL AÑO EN CURSO ]]&gt;0,1,0)</f>
        <v>0</v>
      </c>
      <c r="AW196" s="42"/>
      <c r="AX196" s="42"/>
      <c r="AY196" s="42"/>
      <c r="AZ196" s="43"/>
    </row>
    <row r="197" spans="1:52" ht="21.75" thickBot="1" x14ac:dyDescent="0.35">
      <c r="A197" s="106">
        <v>191</v>
      </c>
      <c r="B197" s="5" t="s">
        <v>507</v>
      </c>
      <c r="C197" s="2" t="s">
        <v>504</v>
      </c>
      <c r="D197" s="32"/>
      <c r="E197" s="35" t="s">
        <v>455</v>
      </c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24">
        <f>SUM(Tabla1[[#This Row],[ENERO ]:[DICIEMBRE]])</f>
        <v>0</v>
      </c>
      <c r="W197">
        <v>73</v>
      </c>
      <c r="X197" s="21">
        <f>COUNTIF(Tabla1[[#This Row],[ENERO ]:[DICIEMBRE]],0)-(AS197)-IF(Tabla1[[#This Row],[BAJAS]]="BAJA",IF(Tabla1[[#This Row],[ALTAS]]="ALTA",VLOOKUP(Tabla1[[#This Row],[MES DE ALTA ]],$AW$6:$AX$17,2,FALSE),12)-VLOOKUP(Tabla1[[#This Row],[MES DE BAJA ]],$AW$6:$AX$17,2,FALSE),0)</f>
        <v>0</v>
      </c>
      <c r="Y197" s="68">
        <f>SUM(Tabla1[[#This Row],[MES ADEUDO DE AÑOS PASADOS ]:[MESES DE ADEUDO DEL AÑO EN CURSO ]])-Tabla1[[#This Row],[PAGO DE DEUDA ANTERIOR EN MESES]]</f>
        <v>73</v>
      </c>
      <c r="Z197" s="15">
        <f>Tabla1[[#This Row],[MES ADEUDO DE AÑOS PASADOS ]]*$T$2</f>
        <v>3285</v>
      </c>
      <c r="AA197" s="15">
        <f>Tabla1[[#This Row],[MESES DE ADEUDO DEL AÑO EN CURSO ]]*$T$2</f>
        <v>0</v>
      </c>
      <c r="AB197" s="69">
        <f>SUM(Tabla1[[#This Row],[DEUDA DE LOS MESES PASADOS EN $$]:[DEUDA DEL AÑO 2013 $$ ]])</f>
        <v>3285</v>
      </c>
      <c r="AD197">
        <f>Tabla1[[#This Row],[PAGO DE DEUDA ANTERIOR EN MESES]]*$T$2</f>
        <v>0</v>
      </c>
      <c r="AG197" s="100">
        <f>IF(Tabla1[[#This Row],[TIPO DE CONSUMIDOR]]="MEDIO",IF(Tabla1[[#This Row],[ENERO ]]&gt;22.5,Tabla1[[#This Row],[ENERO ]]/22.5-1,0),IF(Tabla1[[#This Row],[ENERO ]]&gt;45,Tabla1[[#This Row],[ENERO ]]/45-1,0))</f>
        <v>0</v>
      </c>
      <c r="AH19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7" s="100">
        <f>IF(Tabla1[[#This Row],[TIPO DE CONSUMIDOR]]="MEDIO",IF(Tabla1[[#This Row],[MARZO]]&gt;22.5,Tabla1[[#This Row],[MARZO]]/22.5-1,0),IF(Tabla1[[#This Row],[MARZO]]&gt;45,Tabla1[[#This Row],[MARZO]]/45-1,0))</f>
        <v>0</v>
      </c>
      <c r="AJ197" s="100">
        <f>IF(Tabla1[[#This Row],[TIPO DE CONSUMIDOR]]="MEDIO",IF(Tabla1[[#This Row],[ABRIL]]&gt;22.5,Tabla1[[#This Row],[ABRIL]]/22.5-1,0),IF(Tabla1[[#This Row],[ABRIL]]&gt;45,Tabla1[[#This Row],[ABRIL]]/45-1,0))</f>
        <v>0</v>
      </c>
      <c r="AK197" s="100">
        <f>IF(Tabla1[[#This Row],[TIPO DE CONSUMIDOR]]="MEDIO",IF(Tabla1[[#This Row],[MAYO ]]&gt;22.5,Tabla1[[#This Row],[MAYO ]]/22.5-1,0),IF(Tabla1[[#This Row],[MAYO ]]&gt;45,Tabla1[[#This Row],[MAYO ]]/45-1,0))</f>
        <v>0</v>
      </c>
      <c r="AL197" s="100">
        <f>IF(Tabla1[[#This Row],[TIPO DE CONSUMIDOR]]="MEDIO",IF(Tabla1[[#This Row],[JUNIO ]]&gt;22.5,Tabla1[[#This Row],[JUNIO ]]/22.5-1,0),IF(Tabla1[[#This Row],[JUNIO ]]&gt;45,Tabla1[[#This Row],[JUNIO ]]/45-1,0))</f>
        <v>0</v>
      </c>
      <c r="AM197" s="100">
        <f>IF(Tabla1[[#This Row],[TIPO DE CONSUMIDOR]]="MEDIO",IF(Tabla1[[#This Row],[JULIO ]]&gt;22.5,Tabla1[[#This Row],[JULIO ]]/22.5-1,0),IF(Tabla1[[#This Row],[JULIO ]]&gt;45,Tabla1[[#This Row],[JULIO ]]/45-1,0))</f>
        <v>0</v>
      </c>
      <c r="AN197" s="100">
        <f>IF(Tabla1[[#This Row],[TIPO DE CONSUMIDOR]]="MEDIO",IF(Tabla1[[#This Row],[AGOSTO]]&gt;22.5,Tabla1[[#This Row],[AGOSTO]]/22.5-1,0),IF(Tabla1[[#This Row],[AGOSTO]]&gt;45,Tabla1[[#This Row],[AGOSTO]]/45-1,0))</f>
        <v>0</v>
      </c>
      <c r="AO19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7" s="101">
        <f t="shared" si="5"/>
        <v>0</v>
      </c>
      <c r="AT197">
        <f>IF(Tabla1[[#This Row],[MES ADEUDO DE AÑOS PASADOS ]]&gt;0,1,0)</f>
        <v>1</v>
      </c>
      <c r="AU197" s="9">
        <f t="shared" si="6"/>
        <v>1</v>
      </c>
      <c r="AV197" s="60">
        <f>IF(Tabla1[[#This Row],[MESES DE ADEUDO DEL AÑO EN CURSO ]]&gt;0,1,0)</f>
        <v>0</v>
      </c>
      <c r="AW197" s="42"/>
      <c r="AX197" s="42"/>
      <c r="AY197" s="42"/>
      <c r="AZ197" s="43"/>
    </row>
    <row r="198" spans="1:52" ht="21.75" thickBot="1" x14ac:dyDescent="0.35">
      <c r="A198" s="106">
        <v>192</v>
      </c>
      <c r="B198" s="5" t="s">
        <v>27</v>
      </c>
      <c r="C198" s="2" t="s">
        <v>511</v>
      </c>
      <c r="D198" s="32"/>
      <c r="E198" s="35" t="s">
        <v>455</v>
      </c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24">
        <f>SUM(Tabla1[[#This Row],[ENERO ]:[DICIEMBRE]])</f>
        <v>0</v>
      </c>
      <c r="W198">
        <v>0</v>
      </c>
      <c r="X198" s="21">
        <f>COUNTIF(Tabla1[[#This Row],[ENERO ]:[DICIEMBRE]],0)-(AS198)-IF(Tabla1[[#This Row],[BAJAS]]="BAJA",IF(Tabla1[[#This Row],[ALTAS]]="ALTA",VLOOKUP(Tabla1[[#This Row],[MES DE ALTA ]],$AW$6:$AX$17,2,FALSE),12)-VLOOKUP(Tabla1[[#This Row],[MES DE BAJA ]],$AW$6:$AX$17,2,FALSE),0)</f>
        <v>0</v>
      </c>
      <c r="Y198" s="68">
        <f>SUM(Tabla1[[#This Row],[MES ADEUDO DE AÑOS PASADOS ]:[MESES DE ADEUDO DEL AÑO EN CURSO ]])-Tabla1[[#This Row],[PAGO DE DEUDA ANTERIOR EN MESES]]</f>
        <v>0</v>
      </c>
      <c r="Z198" s="15">
        <f>Tabla1[[#This Row],[MES ADEUDO DE AÑOS PASADOS ]]*$T$2</f>
        <v>0</v>
      </c>
      <c r="AA198" s="15">
        <f>Tabla1[[#This Row],[MESES DE ADEUDO DEL AÑO EN CURSO ]]*$T$2</f>
        <v>0</v>
      </c>
      <c r="AB198" s="69">
        <f>SUM(Tabla1[[#This Row],[DEUDA DE LOS MESES PASADOS EN $$]:[DEUDA DEL AÑO 2013 $$ ]])</f>
        <v>0</v>
      </c>
      <c r="AD198">
        <f>Tabla1[[#This Row],[PAGO DE DEUDA ANTERIOR EN MESES]]*$T$2</f>
        <v>0</v>
      </c>
      <c r="AG198" s="100">
        <f>IF(Tabla1[[#This Row],[TIPO DE CONSUMIDOR]]="MEDIO",IF(Tabla1[[#This Row],[ENERO ]]&gt;22.5,Tabla1[[#This Row],[ENERO ]]/22.5-1,0),IF(Tabla1[[#This Row],[ENERO ]]&gt;45,Tabla1[[#This Row],[ENERO ]]/45-1,0))</f>
        <v>0</v>
      </c>
      <c r="AH19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8" s="100">
        <f>IF(Tabla1[[#This Row],[TIPO DE CONSUMIDOR]]="MEDIO",IF(Tabla1[[#This Row],[MARZO]]&gt;22.5,Tabla1[[#This Row],[MARZO]]/22.5-1,0),IF(Tabla1[[#This Row],[MARZO]]&gt;45,Tabla1[[#This Row],[MARZO]]/45-1,0))</f>
        <v>0</v>
      </c>
      <c r="AJ198" s="100">
        <f>IF(Tabla1[[#This Row],[TIPO DE CONSUMIDOR]]="MEDIO",IF(Tabla1[[#This Row],[ABRIL]]&gt;22.5,Tabla1[[#This Row],[ABRIL]]/22.5-1,0),IF(Tabla1[[#This Row],[ABRIL]]&gt;45,Tabla1[[#This Row],[ABRIL]]/45-1,0))</f>
        <v>0</v>
      </c>
      <c r="AK198" s="100">
        <f>IF(Tabla1[[#This Row],[TIPO DE CONSUMIDOR]]="MEDIO",IF(Tabla1[[#This Row],[MAYO ]]&gt;22.5,Tabla1[[#This Row],[MAYO ]]/22.5-1,0),IF(Tabla1[[#This Row],[MAYO ]]&gt;45,Tabla1[[#This Row],[MAYO ]]/45-1,0))</f>
        <v>0</v>
      </c>
      <c r="AL198" s="100">
        <f>IF(Tabla1[[#This Row],[TIPO DE CONSUMIDOR]]="MEDIO",IF(Tabla1[[#This Row],[JUNIO ]]&gt;22.5,Tabla1[[#This Row],[JUNIO ]]/22.5-1,0),IF(Tabla1[[#This Row],[JUNIO ]]&gt;45,Tabla1[[#This Row],[JUNIO ]]/45-1,0))</f>
        <v>0</v>
      </c>
      <c r="AM198" s="100">
        <f>IF(Tabla1[[#This Row],[TIPO DE CONSUMIDOR]]="MEDIO",IF(Tabla1[[#This Row],[JULIO ]]&gt;22.5,Tabla1[[#This Row],[JULIO ]]/22.5-1,0),IF(Tabla1[[#This Row],[JULIO ]]&gt;45,Tabla1[[#This Row],[JULIO ]]/45-1,0))</f>
        <v>0</v>
      </c>
      <c r="AN198" s="100">
        <f>IF(Tabla1[[#This Row],[TIPO DE CONSUMIDOR]]="MEDIO",IF(Tabla1[[#This Row],[AGOSTO]]&gt;22.5,Tabla1[[#This Row],[AGOSTO]]/22.5-1,0),IF(Tabla1[[#This Row],[AGOSTO]]&gt;45,Tabla1[[#This Row],[AGOSTO]]/45-1,0))</f>
        <v>0</v>
      </c>
      <c r="AO19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8" s="101">
        <f t="shared" si="5"/>
        <v>0</v>
      </c>
      <c r="AT198">
        <f>IF(Tabla1[[#This Row],[MES ADEUDO DE AÑOS PASADOS ]]&gt;0,1,0)</f>
        <v>0</v>
      </c>
      <c r="AU198" s="9">
        <f t="shared" si="6"/>
        <v>0</v>
      </c>
      <c r="AV198" s="60">
        <f>IF(Tabla1[[#This Row],[MESES DE ADEUDO DEL AÑO EN CURSO ]]&gt;0,1,0)</f>
        <v>0</v>
      </c>
      <c r="AW198" s="42"/>
      <c r="AX198" s="42"/>
      <c r="AY198" s="42"/>
      <c r="AZ198" s="43"/>
    </row>
    <row r="199" spans="1:52" ht="21.75" thickBot="1" x14ac:dyDescent="0.35">
      <c r="A199" s="106">
        <v>193</v>
      </c>
      <c r="B199" s="5" t="s">
        <v>513</v>
      </c>
      <c r="C199" s="2" t="s">
        <v>511</v>
      </c>
      <c r="D199" s="32"/>
      <c r="E199" s="35" t="s">
        <v>455</v>
      </c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24">
        <f>SUM(Tabla1[[#This Row],[ENERO ]:[DICIEMBRE]])</f>
        <v>0</v>
      </c>
      <c r="W199">
        <v>0</v>
      </c>
      <c r="X199" s="21">
        <f>COUNTIF(Tabla1[[#This Row],[ENERO ]:[DICIEMBRE]],0)-(AS199)-IF(Tabla1[[#This Row],[BAJAS]]="BAJA",IF(Tabla1[[#This Row],[ALTAS]]="ALTA",VLOOKUP(Tabla1[[#This Row],[MES DE ALTA ]],$AW$6:$AX$17,2,FALSE),12)-VLOOKUP(Tabla1[[#This Row],[MES DE BAJA ]],$AW$6:$AX$17,2,FALSE),0)</f>
        <v>0</v>
      </c>
      <c r="Y199" s="68">
        <f>SUM(Tabla1[[#This Row],[MES ADEUDO DE AÑOS PASADOS ]:[MESES DE ADEUDO DEL AÑO EN CURSO ]])-Tabla1[[#This Row],[PAGO DE DEUDA ANTERIOR EN MESES]]</f>
        <v>0</v>
      </c>
      <c r="Z199" s="15">
        <f>Tabla1[[#This Row],[MES ADEUDO DE AÑOS PASADOS ]]*$T$2</f>
        <v>0</v>
      </c>
      <c r="AA199" s="15">
        <f>Tabla1[[#This Row],[MESES DE ADEUDO DEL AÑO EN CURSO ]]*$T$2</f>
        <v>0</v>
      </c>
      <c r="AB199" s="69">
        <f>SUM(Tabla1[[#This Row],[DEUDA DE LOS MESES PASADOS EN $$]:[DEUDA DEL AÑO 2013 $$ ]])</f>
        <v>0</v>
      </c>
      <c r="AD199">
        <f>Tabla1[[#This Row],[PAGO DE DEUDA ANTERIOR EN MESES]]*$T$2</f>
        <v>0</v>
      </c>
      <c r="AG199" s="100">
        <f>IF(Tabla1[[#This Row],[TIPO DE CONSUMIDOR]]="MEDIO",IF(Tabla1[[#This Row],[ENERO ]]&gt;22.5,Tabla1[[#This Row],[ENERO ]]/22.5-1,0),IF(Tabla1[[#This Row],[ENERO ]]&gt;45,Tabla1[[#This Row],[ENERO ]]/45-1,0))</f>
        <v>0</v>
      </c>
      <c r="AH19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199" s="100">
        <f>IF(Tabla1[[#This Row],[TIPO DE CONSUMIDOR]]="MEDIO",IF(Tabla1[[#This Row],[MARZO]]&gt;22.5,Tabla1[[#This Row],[MARZO]]/22.5-1,0),IF(Tabla1[[#This Row],[MARZO]]&gt;45,Tabla1[[#This Row],[MARZO]]/45-1,0))</f>
        <v>0</v>
      </c>
      <c r="AJ199" s="100">
        <f>IF(Tabla1[[#This Row],[TIPO DE CONSUMIDOR]]="MEDIO",IF(Tabla1[[#This Row],[ABRIL]]&gt;22.5,Tabla1[[#This Row],[ABRIL]]/22.5-1,0),IF(Tabla1[[#This Row],[ABRIL]]&gt;45,Tabla1[[#This Row],[ABRIL]]/45-1,0))</f>
        <v>0</v>
      </c>
      <c r="AK199" s="100">
        <f>IF(Tabla1[[#This Row],[TIPO DE CONSUMIDOR]]="MEDIO",IF(Tabla1[[#This Row],[MAYO ]]&gt;22.5,Tabla1[[#This Row],[MAYO ]]/22.5-1,0),IF(Tabla1[[#This Row],[MAYO ]]&gt;45,Tabla1[[#This Row],[MAYO ]]/45-1,0))</f>
        <v>0</v>
      </c>
      <c r="AL199" s="100">
        <f>IF(Tabla1[[#This Row],[TIPO DE CONSUMIDOR]]="MEDIO",IF(Tabla1[[#This Row],[JUNIO ]]&gt;22.5,Tabla1[[#This Row],[JUNIO ]]/22.5-1,0),IF(Tabla1[[#This Row],[JUNIO ]]&gt;45,Tabla1[[#This Row],[JUNIO ]]/45-1,0))</f>
        <v>0</v>
      </c>
      <c r="AM199" s="100">
        <f>IF(Tabla1[[#This Row],[TIPO DE CONSUMIDOR]]="MEDIO",IF(Tabla1[[#This Row],[JULIO ]]&gt;22.5,Tabla1[[#This Row],[JULIO ]]/22.5-1,0),IF(Tabla1[[#This Row],[JULIO ]]&gt;45,Tabla1[[#This Row],[JULIO ]]/45-1,0))</f>
        <v>0</v>
      </c>
      <c r="AN199" s="100">
        <f>IF(Tabla1[[#This Row],[TIPO DE CONSUMIDOR]]="MEDIO",IF(Tabla1[[#This Row],[AGOSTO]]&gt;22.5,Tabla1[[#This Row],[AGOSTO]]/22.5-1,0),IF(Tabla1[[#This Row],[AGOSTO]]&gt;45,Tabla1[[#This Row],[AGOSTO]]/45-1,0))</f>
        <v>0</v>
      </c>
      <c r="AO19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19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19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19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199" s="101">
        <f t="shared" ref="AS199:AS262" si="7">SUM(AG199:AR199)</f>
        <v>0</v>
      </c>
      <c r="AT199">
        <f>IF(Tabla1[[#This Row],[MES ADEUDO DE AÑOS PASADOS ]]&gt;0,1,0)</f>
        <v>0</v>
      </c>
      <c r="AU199" s="9">
        <f t="shared" ref="AU199:AU262" si="8">IF(Y199&gt;0,1,0)</f>
        <v>0</v>
      </c>
      <c r="AV199" s="60">
        <f>IF(Tabla1[[#This Row],[MESES DE ADEUDO DEL AÑO EN CURSO ]]&gt;0,1,0)</f>
        <v>0</v>
      </c>
      <c r="AW199" s="42"/>
      <c r="AX199" s="42"/>
      <c r="AY199" s="42"/>
      <c r="AZ199" s="43"/>
    </row>
    <row r="200" spans="1:52" ht="21.75" thickBot="1" x14ac:dyDescent="0.35">
      <c r="A200" s="106">
        <v>194</v>
      </c>
      <c r="B200" s="5" t="s">
        <v>512</v>
      </c>
      <c r="C200" s="2" t="s">
        <v>511</v>
      </c>
      <c r="D200" s="32"/>
      <c r="E200" s="35" t="s">
        <v>455</v>
      </c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24">
        <f>SUM(Tabla1[[#This Row],[ENERO ]:[DICIEMBRE]])</f>
        <v>0</v>
      </c>
      <c r="W200">
        <v>0</v>
      </c>
      <c r="X200" s="21">
        <f>COUNTIF(Tabla1[[#This Row],[ENERO ]:[DICIEMBRE]],0)-(AS200)-IF(Tabla1[[#This Row],[BAJAS]]="BAJA",IF(Tabla1[[#This Row],[ALTAS]]="ALTA",VLOOKUP(Tabla1[[#This Row],[MES DE ALTA ]],$AW$6:$AX$17,2,FALSE),12)-VLOOKUP(Tabla1[[#This Row],[MES DE BAJA ]],$AW$6:$AX$17,2,FALSE),0)</f>
        <v>0</v>
      </c>
      <c r="Y200" s="68">
        <f>SUM(Tabla1[[#This Row],[MES ADEUDO DE AÑOS PASADOS ]:[MESES DE ADEUDO DEL AÑO EN CURSO ]])-Tabla1[[#This Row],[PAGO DE DEUDA ANTERIOR EN MESES]]</f>
        <v>0</v>
      </c>
      <c r="Z200" s="15">
        <f>Tabla1[[#This Row],[MES ADEUDO DE AÑOS PASADOS ]]*$T$2</f>
        <v>0</v>
      </c>
      <c r="AA200" s="15">
        <f>Tabla1[[#This Row],[MESES DE ADEUDO DEL AÑO EN CURSO ]]*$T$2</f>
        <v>0</v>
      </c>
      <c r="AB200" s="69">
        <f>SUM(Tabla1[[#This Row],[DEUDA DE LOS MESES PASADOS EN $$]:[DEUDA DEL AÑO 2013 $$ ]])</f>
        <v>0</v>
      </c>
      <c r="AD200">
        <f>Tabla1[[#This Row],[PAGO DE DEUDA ANTERIOR EN MESES]]*$T$2</f>
        <v>0</v>
      </c>
      <c r="AG200" s="100">
        <f>IF(Tabla1[[#This Row],[TIPO DE CONSUMIDOR]]="MEDIO",IF(Tabla1[[#This Row],[ENERO ]]&gt;22.5,Tabla1[[#This Row],[ENERO ]]/22.5-1,0),IF(Tabla1[[#This Row],[ENERO ]]&gt;45,Tabla1[[#This Row],[ENERO ]]/45-1,0))</f>
        <v>0</v>
      </c>
      <c r="AH20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0" s="100">
        <f>IF(Tabla1[[#This Row],[TIPO DE CONSUMIDOR]]="MEDIO",IF(Tabla1[[#This Row],[MARZO]]&gt;22.5,Tabla1[[#This Row],[MARZO]]/22.5-1,0),IF(Tabla1[[#This Row],[MARZO]]&gt;45,Tabla1[[#This Row],[MARZO]]/45-1,0))</f>
        <v>0</v>
      </c>
      <c r="AJ200" s="100">
        <f>IF(Tabla1[[#This Row],[TIPO DE CONSUMIDOR]]="MEDIO",IF(Tabla1[[#This Row],[ABRIL]]&gt;22.5,Tabla1[[#This Row],[ABRIL]]/22.5-1,0),IF(Tabla1[[#This Row],[ABRIL]]&gt;45,Tabla1[[#This Row],[ABRIL]]/45-1,0))</f>
        <v>0</v>
      </c>
      <c r="AK200" s="100">
        <f>IF(Tabla1[[#This Row],[TIPO DE CONSUMIDOR]]="MEDIO",IF(Tabla1[[#This Row],[MAYO ]]&gt;22.5,Tabla1[[#This Row],[MAYO ]]/22.5-1,0),IF(Tabla1[[#This Row],[MAYO ]]&gt;45,Tabla1[[#This Row],[MAYO ]]/45-1,0))</f>
        <v>0</v>
      </c>
      <c r="AL200" s="100">
        <f>IF(Tabla1[[#This Row],[TIPO DE CONSUMIDOR]]="MEDIO",IF(Tabla1[[#This Row],[JUNIO ]]&gt;22.5,Tabla1[[#This Row],[JUNIO ]]/22.5-1,0),IF(Tabla1[[#This Row],[JUNIO ]]&gt;45,Tabla1[[#This Row],[JUNIO ]]/45-1,0))</f>
        <v>0</v>
      </c>
      <c r="AM200" s="100">
        <f>IF(Tabla1[[#This Row],[TIPO DE CONSUMIDOR]]="MEDIO",IF(Tabla1[[#This Row],[JULIO ]]&gt;22.5,Tabla1[[#This Row],[JULIO ]]/22.5-1,0),IF(Tabla1[[#This Row],[JULIO ]]&gt;45,Tabla1[[#This Row],[JULIO ]]/45-1,0))</f>
        <v>0</v>
      </c>
      <c r="AN200" s="100">
        <f>IF(Tabla1[[#This Row],[TIPO DE CONSUMIDOR]]="MEDIO",IF(Tabla1[[#This Row],[AGOSTO]]&gt;22.5,Tabla1[[#This Row],[AGOSTO]]/22.5-1,0),IF(Tabla1[[#This Row],[AGOSTO]]&gt;45,Tabla1[[#This Row],[AGOSTO]]/45-1,0))</f>
        <v>0</v>
      </c>
      <c r="AO20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0" s="101">
        <f t="shared" si="7"/>
        <v>0</v>
      </c>
      <c r="AT200">
        <f>IF(Tabla1[[#This Row],[MES ADEUDO DE AÑOS PASADOS ]]&gt;0,1,0)</f>
        <v>0</v>
      </c>
      <c r="AU200" s="9">
        <f t="shared" si="8"/>
        <v>0</v>
      </c>
      <c r="AV200" s="60">
        <f>IF(Tabla1[[#This Row],[MESES DE ADEUDO DEL AÑO EN CURSO ]]&gt;0,1,0)</f>
        <v>0</v>
      </c>
      <c r="AW200" s="42"/>
      <c r="AX200" s="42"/>
      <c r="AY200" s="42"/>
      <c r="AZ200" s="43"/>
    </row>
    <row r="201" spans="1:52" ht="21.75" thickBot="1" x14ac:dyDescent="0.35">
      <c r="A201" s="106">
        <v>195</v>
      </c>
      <c r="B201" s="5" t="s">
        <v>60</v>
      </c>
      <c r="C201" s="2" t="s">
        <v>511</v>
      </c>
      <c r="D201" s="32"/>
      <c r="E201" s="35" t="s">
        <v>455</v>
      </c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24">
        <f>SUM(Tabla1[[#This Row],[ENERO ]:[DICIEMBRE]])</f>
        <v>0</v>
      </c>
      <c r="W201">
        <v>0</v>
      </c>
      <c r="X201" s="21">
        <f>COUNTIF(Tabla1[[#This Row],[ENERO ]:[DICIEMBRE]],0)-(AS201)-IF(Tabla1[[#This Row],[BAJAS]]="BAJA",IF(Tabla1[[#This Row],[ALTAS]]="ALTA",VLOOKUP(Tabla1[[#This Row],[MES DE ALTA ]],$AW$6:$AX$17,2,FALSE),12)-VLOOKUP(Tabla1[[#This Row],[MES DE BAJA ]],$AW$6:$AX$17,2,FALSE),0)</f>
        <v>0</v>
      </c>
      <c r="Y201" s="68">
        <f>SUM(Tabla1[[#This Row],[MES ADEUDO DE AÑOS PASADOS ]:[MESES DE ADEUDO DEL AÑO EN CURSO ]])-Tabla1[[#This Row],[PAGO DE DEUDA ANTERIOR EN MESES]]</f>
        <v>0</v>
      </c>
      <c r="Z201" s="15">
        <f>Tabla1[[#This Row],[MES ADEUDO DE AÑOS PASADOS ]]*$T$2</f>
        <v>0</v>
      </c>
      <c r="AA201" s="15">
        <f>Tabla1[[#This Row],[MESES DE ADEUDO DEL AÑO EN CURSO ]]*$T$2</f>
        <v>0</v>
      </c>
      <c r="AB201" s="69">
        <f>SUM(Tabla1[[#This Row],[DEUDA DE LOS MESES PASADOS EN $$]:[DEUDA DEL AÑO 2013 $$ ]])</f>
        <v>0</v>
      </c>
      <c r="AD201">
        <f>Tabla1[[#This Row],[PAGO DE DEUDA ANTERIOR EN MESES]]*$T$2</f>
        <v>0</v>
      </c>
      <c r="AG201" s="100">
        <f>IF(Tabla1[[#This Row],[TIPO DE CONSUMIDOR]]="MEDIO",IF(Tabla1[[#This Row],[ENERO ]]&gt;22.5,Tabla1[[#This Row],[ENERO ]]/22.5-1,0),IF(Tabla1[[#This Row],[ENERO ]]&gt;45,Tabla1[[#This Row],[ENERO ]]/45-1,0))</f>
        <v>0</v>
      </c>
      <c r="AH20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1" s="100">
        <f>IF(Tabla1[[#This Row],[TIPO DE CONSUMIDOR]]="MEDIO",IF(Tabla1[[#This Row],[MARZO]]&gt;22.5,Tabla1[[#This Row],[MARZO]]/22.5-1,0),IF(Tabla1[[#This Row],[MARZO]]&gt;45,Tabla1[[#This Row],[MARZO]]/45-1,0))</f>
        <v>0</v>
      </c>
      <c r="AJ201" s="100">
        <f>IF(Tabla1[[#This Row],[TIPO DE CONSUMIDOR]]="MEDIO",IF(Tabla1[[#This Row],[ABRIL]]&gt;22.5,Tabla1[[#This Row],[ABRIL]]/22.5-1,0),IF(Tabla1[[#This Row],[ABRIL]]&gt;45,Tabla1[[#This Row],[ABRIL]]/45-1,0))</f>
        <v>0</v>
      </c>
      <c r="AK201" s="100">
        <f>IF(Tabla1[[#This Row],[TIPO DE CONSUMIDOR]]="MEDIO",IF(Tabla1[[#This Row],[MAYO ]]&gt;22.5,Tabla1[[#This Row],[MAYO ]]/22.5-1,0),IF(Tabla1[[#This Row],[MAYO ]]&gt;45,Tabla1[[#This Row],[MAYO ]]/45-1,0))</f>
        <v>0</v>
      </c>
      <c r="AL201" s="100">
        <f>IF(Tabla1[[#This Row],[TIPO DE CONSUMIDOR]]="MEDIO",IF(Tabla1[[#This Row],[JUNIO ]]&gt;22.5,Tabla1[[#This Row],[JUNIO ]]/22.5-1,0),IF(Tabla1[[#This Row],[JUNIO ]]&gt;45,Tabla1[[#This Row],[JUNIO ]]/45-1,0))</f>
        <v>0</v>
      </c>
      <c r="AM201" s="100">
        <f>IF(Tabla1[[#This Row],[TIPO DE CONSUMIDOR]]="MEDIO",IF(Tabla1[[#This Row],[JULIO ]]&gt;22.5,Tabla1[[#This Row],[JULIO ]]/22.5-1,0),IF(Tabla1[[#This Row],[JULIO ]]&gt;45,Tabla1[[#This Row],[JULIO ]]/45-1,0))</f>
        <v>0</v>
      </c>
      <c r="AN201" s="100">
        <f>IF(Tabla1[[#This Row],[TIPO DE CONSUMIDOR]]="MEDIO",IF(Tabla1[[#This Row],[AGOSTO]]&gt;22.5,Tabla1[[#This Row],[AGOSTO]]/22.5-1,0),IF(Tabla1[[#This Row],[AGOSTO]]&gt;45,Tabla1[[#This Row],[AGOSTO]]/45-1,0))</f>
        <v>0</v>
      </c>
      <c r="AO20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1" s="101">
        <f t="shared" si="7"/>
        <v>0</v>
      </c>
      <c r="AT201">
        <f>IF(Tabla1[[#This Row],[MES ADEUDO DE AÑOS PASADOS ]]&gt;0,1,0)</f>
        <v>0</v>
      </c>
      <c r="AU201" s="9">
        <f t="shared" si="8"/>
        <v>0</v>
      </c>
      <c r="AV201" s="60">
        <f>IF(Tabla1[[#This Row],[MESES DE ADEUDO DEL AÑO EN CURSO ]]&gt;0,1,0)</f>
        <v>0</v>
      </c>
      <c r="AW201" s="42"/>
      <c r="AX201" s="42"/>
      <c r="AY201" s="42"/>
      <c r="AZ201" s="43"/>
    </row>
    <row r="202" spans="1:52" ht="21.75" thickBot="1" x14ac:dyDescent="0.35">
      <c r="A202" s="106">
        <v>196</v>
      </c>
      <c r="B202" s="5" t="s">
        <v>515</v>
      </c>
      <c r="C202" s="2" t="s">
        <v>511</v>
      </c>
      <c r="D202" s="32"/>
      <c r="E202" s="35" t="s">
        <v>455</v>
      </c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24">
        <f>SUM(Tabla1[[#This Row],[ENERO ]:[DICIEMBRE]])</f>
        <v>0</v>
      </c>
      <c r="W202">
        <v>0</v>
      </c>
      <c r="X202" s="21">
        <f>COUNTIF(Tabla1[[#This Row],[ENERO ]:[DICIEMBRE]],0)-(AS202)-IF(Tabla1[[#This Row],[BAJAS]]="BAJA",IF(Tabla1[[#This Row],[ALTAS]]="ALTA",VLOOKUP(Tabla1[[#This Row],[MES DE ALTA ]],$AW$6:$AX$17,2,FALSE),12)-VLOOKUP(Tabla1[[#This Row],[MES DE BAJA ]],$AW$6:$AX$17,2,FALSE),0)</f>
        <v>0</v>
      </c>
      <c r="Y202" s="68">
        <f>SUM(Tabla1[[#This Row],[MES ADEUDO DE AÑOS PASADOS ]:[MESES DE ADEUDO DEL AÑO EN CURSO ]])-Tabla1[[#This Row],[PAGO DE DEUDA ANTERIOR EN MESES]]</f>
        <v>0</v>
      </c>
      <c r="Z202" s="15">
        <f>Tabla1[[#This Row],[MES ADEUDO DE AÑOS PASADOS ]]*$T$2</f>
        <v>0</v>
      </c>
      <c r="AA202" s="15">
        <f>Tabla1[[#This Row],[MESES DE ADEUDO DEL AÑO EN CURSO ]]*$T$2</f>
        <v>0</v>
      </c>
      <c r="AB202" s="69">
        <f>SUM(Tabla1[[#This Row],[DEUDA DE LOS MESES PASADOS EN $$]:[DEUDA DEL AÑO 2013 $$ ]])</f>
        <v>0</v>
      </c>
      <c r="AD202">
        <f>Tabla1[[#This Row],[PAGO DE DEUDA ANTERIOR EN MESES]]*$T$2</f>
        <v>0</v>
      </c>
      <c r="AG202" s="100">
        <f>IF(Tabla1[[#This Row],[TIPO DE CONSUMIDOR]]="MEDIO",IF(Tabla1[[#This Row],[ENERO ]]&gt;22.5,Tabla1[[#This Row],[ENERO ]]/22.5-1,0),IF(Tabla1[[#This Row],[ENERO ]]&gt;45,Tabla1[[#This Row],[ENERO ]]/45-1,0))</f>
        <v>0</v>
      </c>
      <c r="AH20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2" s="100">
        <f>IF(Tabla1[[#This Row],[TIPO DE CONSUMIDOR]]="MEDIO",IF(Tabla1[[#This Row],[MARZO]]&gt;22.5,Tabla1[[#This Row],[MARZO]]/22.5-1,0),IF(Tabla1[[#This Row],[MARZO]]&gt;45,Tabla1[[#This Row],[MARZO]]/45-1,0))</f>
        <v>0</v>
      </c>
      <c r="AJ202" s="100">
        <f>IF(Tabla1[[#This Row],[TIPO DE CONSUMIDOR]]="MEDIO",IF(Tabla1[[#This Row],[ABRIL]]&gt;22.5,Tabla1[[#This Row],[ABRIL]]/22.5-1,0),IF(Tabla1[[#This Row],[ABRIL]]&gt;45,Tabla1[[#This Row],[ABRIL]]/45-1,0))</f>
        <v>0</v>
      </c>
      <c r="AK202" s="100">
        <f>IF(Tabla1[[#This Row],[TIPO DE CONSUMIDOR]]="MEDIO",IF(Tabla1[[#This Row],[MAYO ]]&gt;22.5,Tabla1[[#This Row],[MAYO ]]/22.5-1,0),IF(Tabla1[[#This Row],[MAYO ]]&gt;45,Tabla1[[#This Row],[MAYO ]]/45-1,0))</f>
        <v>0</v>
      </c>
      <c r="AL202" s="100">
        <f>IF(Tabla1[[#This Row],[TIPO DE CONSUMIDOR]]="MEDIO",IF(Tabla1[[#This Row],[JUNIO ]]&gt;22.5,Tabla1[[#This Row],[JUNIO ]]/22.5-1,0),IF(Tabla1[[#This Row],[JUNIO ]]&gt;45,Tabla1[[#This Row],[JUNIO ]]/45-1,0))</f>
        <v>0</v>
      </c>
      <c r="AM202" s="100">
        <f>IF(Tabla1[[#This Row],[TIPO DE CONSUMIDOR]]="MEDIO",IF(Tabla1[[#This Row],[JULIO ]]&gt;22.5,Tabla1[[#This Row],[JULIO ]]/22.5-1,0),IF(Tabla1[[#This Row],[JULIO ]]&gt;45,Tabla1[[#This Row],[JULIO ]]/45-1,0))</f>
        <v>0</v>
      </c>
      <c r="AN202" s="100">
        <f>IF(Tabla1[[#This Row],[TIPO DE CONSUMIDOR]]="MEDIO",IF(Tabla1[[#This Row],[AGOSTO]]&gt;22.5,Tabla1[[#This Row],[AGOSTO]]/22.5-1,0),IF(Tabla1[[#This Row],[AGOSTO]]&gt;45,Tabla1[[#This Row],[AGOSTO]]/45-1,0))</f>
        <v>0</v>
      </c>
      <c r="AO20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2" s="101">
        <f t="shared" si="7"/>
        <v>0</v>
      </c>
      <c r="AT202">
        <f>IF(Tabla1[[#This Row],[MES ADEUDO DE AÑOS PASADOS ]]&gt;0,1,0)</f>
        <v>0</v>
      </c>
      <c r="AU202" s="9">
        <f t="shared" si="8"/>
        <v>0</v>
      </c>
      <c r="AV202" s="60">
        <f>IF(Tabla1[[#This Row],[MESES DE ADEUDO DEL AÑO EN CURSO ]]&gt;0,1,0)</f>
        <v>0</v>
      </c>
      <c r="AW202" s="42"/>
      <c r="AX202" s="42"/>
      <c r="AY202" s="42"/>
      <c r="AZ202" s="43"/>
    </row>
    <row r="203" spans="1:52" ht="21.75" thickBot="1" x14ac:dyDescent="0.35">
      <c r="A203" s="106">
        <v>197</v>
      </c>
      <c r="B203" s="5" t="s">
        <v>516</v>
      </c>
      <c r="C203" s="2" t="s">
        <v>511</v>
      </c>
      <c r="D203" s="32"/>
      <c r="E203" s="35" t="s">
        <v>455</v>
      </c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24">
        <f>SUM(Tabla1[[#This Row],[ENERO ]:[DICIEMBRE]])</f>
        <v>0</v>
      </c>
      <c r="W203">
        <v>0</v>
      </c>
      <c r="X203" s="21">
        <f>COUNTIF(Tabla1[[#This Row],[ENERO ]:[DICIEMBRE]],0)-(AS203)-IF(Tabla1[[#This Row],[BAJAS]]="BAJA",IF(Tabla1[[#This Row],[ALTAS]]="ALTA",VLOOKUP(Tabla1[[#This Row],[MES DE ALTA ]],$AW$6:$AX$17,2,FALSE),12)-VLOOKUP(Tabla1[[#This Row],[MES DE BAJA ]],$AW$6:$AX$17,2,FALSE),0)</f>
        <v>0</v>
      </c>
      <c r="Y203" s="68">
        <f>SUM(Tabla1[[#This Row],[MES ADEUDO DE AÑOS PASADOS ]:[MESES DE ADEUDO DEL AÑO EN CURSO ]])-Tabla1[[#This Row],[PAGO DE DEUDA ANTERIOR EN MESES]]</f>
        <v>0</v>
      </c>
      <c r="Z203" s="15">
        <f>Tabla1[[#This Row],[MES ADEUDO DE AÑOS PASADOS ]]*$T$2</f>
        <v>0</v>
      </c>
      <c r="AA203" s="15">
        <f>Tabla1[[#This Row],[MESES DE ADEUDO DEL AÑO EN CURSO ]]*$T$2</f>
        <v>0</v>
      </c>
      <c r="AB203" s="69">
        <f>SUM(Tabla1[[#This Row],[DEUDA DE LOS MESES PASADOS EN $$]:[DEUDA DEL AÑO 2013 $$ ]])</f>
        <v>0</v>
      </c>
      <c r="AD203">
        <f>Tabla1[[#This Row],[PAGO DE DEUDA ANTERIOR EN MESES]]*$T$2</f>
        <v>0</v>
      </c>
      <c r="AG203" s="100">
        <f>IF(Tabla1[[#This Row],[TIPO DE CONSUMIDOR]]="MEDIO",IF(Tabla1[[#This Row],[ENERO ]]&gt;22.5,Tabla1[[#This Row],[ENERO ]]/22.5-1,0),IF(Tabla1[[#This Row],[ENERO ]]&gt;45,Tabla1[[#This Row],[ENERO ]]/45-1,0))</f>
        <v>0</v>
      </c>
      <c r="AH20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3" s="100">
        <f>IF(Tabla1[[#This Row],[TIPO DE CONSUMIDOR]]="MEDIO",IF(Tabla1[[#This Row],[MARZO]]&gt;22.5,Tabla1[[#This Row],[MARZO]]/22.5-1,0),IF(Tabla1[[#This Row],[MARZO]]&gt;45,Tabla1[[#This Row],[MARZO]]/45-1,0))</f>
        <v>0</v>
      </c>
      <c r="AJ203" s="100">
        <f>IF(Tabla1[[#This Row],[TIPO DE CONSUMIDOR]]="MEDIO",IF(Tabla1[[#This Row],[ABRIL]]&gt;22.5,Tabla1[[#This Row],[ABRIL]]/22.5-1,0),IF(Tabla1[[#This Row],[ABRIL]]&gt;45,Tabla1[[#This Row],[ABRIL]]/45-1,0))</f>
        <v>0</v>
      </c>
      <c r="AK203" s="100">
        <f>IF(Tabla1[[#This Row],[TIPO DE CONSUMIDOR]]="MEDIO",IF(Tabla1[[#This Row],[MAYO ]]&gt;22.5,Tabla1[[#This Row],[MAYO ]]/22.5-1,0),IF(Tabla1[[#This Row],[MAYO ]]&gt;45,Tabla1[[#This Row],[MAYO ]]/45-1,0))</f>
        <v>0</v>
      </c>
      <c r="AL203" s="100">
        <f>IF(Tabla1[[#This Row],[TIPO DE CONSUMIDOR]]="MEDIO",IF(Tabla1[[#This Row],[JUNIO ]]&gt;22.5,Tabla1[[#This Row],[JUNIO ]]/22.5-1,0),IF(Tabla1[[#This Row],[JUNIO ]]&gt;45,Tabla1[[#This Row],[JUNIO ]]/45-1,0))</f>
        <v>0</v>
      </c>
      <c r="AM203" s="100">
        <f>IF(Tabla1[[#This Row],[TIPO DE CONSUMIDOR]]="MEDIO",IF(Tabla1[[#This Row],[JULIO ]]&gt;22.5,Tabla1[[#This Row],[JULIO ]]/22.5-1,0),IF(Tabla1[[#This Row],[JULIO ]]&gt;45,Tabla1[[#This Row],[JULIO ]]/45-1,0))</f>
        <v>0</v>
      </c>
      <c r="AN203" s="100">
        <f>IF(Tabla1[[#This Row],[TIPO DE CONSUMIDOR]]="MEDIO",IF(Tabla1[[#This Row],[AGOSTO]]&gt;22.5,Tabla1[[#This Row],[AGOSTO]]/22.5-1,0),IF(Tabla1[[#This Row],[AGOSTO]]&gt;45,Tabla1[[#This Row],[AGOSTO]]/45-1,0))</f>
        <v>0</v>
      </c>
      <c r="AO20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3" s="101">
        <f t="shared" si="7"/>
        <v>0</v>
      </c>
      <c r="AT203">
        <f>IF(Tabla1[[#This Row],[MES ADEUDO DE AÑOS PASADOS ]]&gt;0,1,0)</f>
        <v>0</v>
      </c>
      <c r="AU203" s="9">
        <f t="shared" si="8"/>
        <v>0</v>
      </c>
      <c r="AV203" s="60">
        <f>IF(Tabla1[[#This Row],[MESES DE ADEUDO DEL AÑO EN CURSO ]]&gt;0,1,0)</f>
        <v>0</v>
      </c>
      <c r="AW203" s="42"/>
      <c r="AX203" s="42"/>
      <c r="AY203" s="42"/>
      <c r="AZ203" s="43"/>
    </row>
    <row r="204" spans="1:52" ht="21.75" thickBot="1" x14ac:dyDescent="0.35">
      <c r="A204" s="106">
        <v>198</v>
      </c>
      <c r="B204" s="5" t="s">
        <v>112</v>
      </c>
      <c r="C204" s="2" t="s">
        <v>511</v>
      </c>
      <c r="D204" s="32"/>
      <c r="E204" s="35" t="s">
        <v>455</v>
      </c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24">
        <f>SUM(Tabla1[[#This Row],[ENERO ]:[DICIEMBRE]])</f>
        <v>0</v>
      </c>
      <c r="W204">
        <v>0</v>
      </c>
      <c r="X204" s="21">
        <f>COUNTIF(Tabla1[[#This Row],[ENERO ]:[DICIEMBRE]],0)-(AS204)-IF(Tabla1[[#This Row],[BAJAS]]="BAJA",IF(Tabla1[[#This Row],[ALTAS]]="ALTA",VLOOKUP(Tabla1[[#This Row],[MES DE ALTA ]],$AW$6:$AX$17,2,FALSE),12)-VLOOKUP(Tabla1[[#This Row],[MES DE BAJA ]],$AW$6:$AX$17,2,FALSE),0)</f>
        <v>0</v>
      </c>
      <c r="Y204" s="68">
        <f>SUM(Tabla1[[#This Row],[MES ADEUDO DE AÑOS PASADOS ]:[MESES DE ADEUDO DEL AÑO EN CURSO ]])-Tabla1[[#This Row],[PAGO DE DEUDA ANTERIOR EN MESES]]</f>
        <v>0</v>
      </c>
      <c r="Z204" s="15">
        <f>Tabla1[[#This Row],[MES ADEUDO DE AÑOS PASADOS ]]*$T$2</f>
        <v>0</v>
      </c>
      <c r="AA204" s="15">
        <f>Tabla1[[#This Row],[MESES DE ADEUDO DEL AÑO EN CURSO ]]*$T$2</f>
        <v>0</v>
      </c>
      <c r="AB204" s="69">
        <f>SUM(Tabla1[[#This Row],[DEUDA DE LOS MESES PASADOS EN $$]:[DEUDA DEL AÑO 2013 $$ ]])</f>
        <v>0</v>
      </c>
      <c r="AD204">
        <f>Tabla1[[#This Row],[PAGO DE DEUDA ANTERIOR EN MESES]]*$T$2</f>
        <v>0</v>
      </c>
      <c r="AG204" s="100">
        <f>IF(Tabla1[[#This Row],[TIPO DE CONSUMIDOR]]="MEDIO",IF(Tabla1[[#This Row],[ENERO ]]&gt;22.5,Tabla1[[#This Row],[ENERO ]]/22.5-1,0),IF(Tabla1[[#This Row],[ENERO ]]&gt;45,Tabla1[[#This Row],[ENERO ]]/45-1,0))</f>
        <v>0</v>
      </c>
      <c r="AH20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4" s="100">
        <f>IF(Tabla1[[#This Row],[TIPO DE CONSUMIDOR]]="MEDIO",IF(Tabla1[[#This Row],[MARZO]]&gt;22.5,Tabla1[[#This Row],[MARZO]]/22.5-1,0),IF(Tabla1[[#This Row],[MARZO]]&gt;45,Tabla1[[#This Row],[MARZO]]/45-1,0))</f>
        <v>0</v>
      </c>
      <c r="AJ204" s="100">
        <f>IF(Tabla1[[#This Row],[TIPO DE CONSUMIDOR]]="MEDIO",IF(Tabla1[[#This Row],[ABRIL]]&gt;22.5,Tabla1[[#This Row],[ABRIL]]/22.5-1,0),IF(Tabla1[[#This Row],[ABRIL]]&gt;45,Tabla1[[#This Row],[ABRIL]]/45-1,0))</f>
        <v>0</v>
      </c>
      <c r="AK204" s="100">
        <f>IF(Tabla1[[#This Row],[TIPO DE CONSUMIDOR]]="MEDIO",IF(Tabla1[[#This Row],[MAYO ]]&gt;22.5,Tabla1[[#This Row],[MAYO ]]/22.5-1,0),IF(Tabla1[[#This Row],[MAYO ]]&gt;45,Tabla1[[#This Row],[MAYO ]]/45-1,0))</f>
        <v>0</v>
      </c>
      <c r="AL204" s="100">
        <f>IF(Tabla1[[#This Row],[TIPO DE CONSUMIDOR]]="MEDIO",IF(Tabla1[[#This Row],[JUNIO ]]&gt;22.5,Tabla1[[#This Row],[JUNIO ]]/22.5-1,0),IF(Tabla1[[#This Row],[JUNIO ]]&gt;45,Tabla1[[#This Row],[JUNIO ]]/45-1,0))</f>
        <v>0</v>
      </c>
      <c r="AM204" s="100">
        <f>IF(Tabla1[[#This Row],[TIPO DE CONSUMIDOR]]="MEDIO",IF(Tabla1[[#This Row],[JULIO ]]&gt;22.5,Tabla1[[#This Row],[JULIO ]]/22.5-1,0),IF(Tabla1[[#This Row],[JULIO ]]&gt;45,Tabla1[[#This Row],[JULIO ]]/45-1,0))</f>
        <v>0</v>
      </c>
      <c r="AN204" s="100">
        <f>IF(Tabla1[[#This Row],[TIPO DE CONSUMIDOR]]="MEDIO",IF(Tabla1[[#This Row],[AGOSTO]]&gt;22.5,Tabla1[[#This Row],[AGOSTO]]/22.5-1,0),IF(Tabla1[[#This Row],[AGOSTO]]&gt;45,Tabla1[[#This Row],[AGOSTO]]/45-1,0))</f>
        <v>0</v>
      </c>
      <c r="AO20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4" s="101">
        <f t="shared" si="7"/>
        <v>0</v>
      </c>
      <c r="AT204">
        <f>IF(Tabla1[[#This Row],[MES ADEUDO DE AÑOS PASADOS ]]&gt;0,1,0)</f>
        <v>0</v>
      </c>
      <c r="AU204" s="9">
        <f t="shared" si="8"/>
        <v>0</v>
      </c>
      <c r="AV204" s="60">
        <f>IF(Tabla1[[#This Row],[MESES DE ADEUDO DEL AÑO EN CURSO ]]&gt;0,1,0)</f>
        <v>0</v>
      </c>
      <c r="AW204" s="42"/>
      <c r="AX204" s="42"/>
      <c r="AY204" s="42"/>
      <c r="AZ204" s="43"/>
    </row>
    <row r="205" spans="1:52" ht="21.75" thickBot="1" x14ac:dyDescent="0.35">
      <c r="A205" s="106">
        <v>199</v>
      </c>
      <c r="B205" s="5" t="s">
        <v>185</v>
      </c>
      <c r="C205" s="2" t="s">
        <v>511</v>
      </c>
      <c r="D205" s="32"/>
      <c r="E205" s="35" t="s">
        <v>455</v>
      </c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24">
        <f>SUM(Tabla1[[#This Row],[ENERO ]:[DICIEMBRE]])</f>
        <v>0</v>
      </c>
      <c r="W205">
        <v>0</v>
      </c>
      <c r="X205" s="21">
        <f>COUNTIF(Tabla1[[#This Row],[ENERO ]:[DICIEMBRE]],0)-(AS205)-IF(Tabla1[[#This Row],[BAJAS]]="BAJA",IF(Tabla1[[#This Row],[ALTAS]]="ALTA",VLOOKUP(Tabla1[[#This Row],[MES DE ALTA ]],$AW$6:$AX$17,2,FALSE),12)-VLOOKUP(Tabla1[[#This Row],[MES DE BAJA ]],$AW$6:$AX$17,2,FALSE),0)</f>
        <v>0</v>
      </c>
      <c r="Y205" s="68">
        <f>SUM(Tabla1[[#This Row],[MES ADEUDO DE AÑOS PASADOS ]:[MESES DE ADEUDO DEL AÑO EN CURSO ]])-Tabla1[[#This Row],[PAGO DE DEUDA ANTERIOR EN MESES]]</f>
        <v>0</v>
      </c>
      <c r="Z205" s="15">
        <f>Tabla1[[#This Row],[MES ADEUDO DE AÑOS PASADOS ]]*$T$2</f>
        <v>0</v>
      </c>
      <c r="AA205" s="15">
        <f>Tabla1[[#This Row],[MESES DE ADEUDO DEL AÑO EN CURSO ]]*$T$2</f>
        <v>0</v>
      </c>
      <c r="AB205" s="69">
        <f>SUM(Tabla1[[#This Row],[DEUDA DE LOS MESES PASADOS EN $$]:[DEUDA DEL AÑO 2013 $$ ]])</f>
        <v>0</v>
      </c>
      <c r="AD205">
        <f>Tabla1[[#This Row],[PAGO DE DEUDA ANTERIOR EN MESES]]*$T$2</f>
        <v>0</v>
      </c>
      <c r="AG205" s="100">
        <f>IF(Tabla1[[#This Row],[TIPO DE CONSUMIDOR]]="MEDIO",IF(Tabla1[[#This Row],[ENERO ]]&gt;22.5,Tabla1[[#This Row],[ENERO ]]/22.5-1,0),IF(Tabla1[[#This Row],[ENERO ]]&gt;45,Tabla1[[#This Row],[ENERO ]]/45-1,0))</f>
        <v>0</v>
      </c>
      <c r="AH20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5" s="100">
        <f>IF(Tabla1[[#This Row],[TIPO DE CONSUMIDOR]]="MEDIO",IF(Tabla1[[#This Row],[MARZO]]&gt;22.5,Tabla1[[#This Row],[MARZO]]/22.5-1,0),IF(Tabla1[[#This Row],[MARZO]]&gt;45,Tabla1[[#This Row],[MARZO]]/45-1,0))</f>
        <v>0</v>
      </c>
      <c r="AJ205" s="100">
        <f>IF(Tabla1[[#This Row],[TIPO DE CONSUMIDOR]]="MEDIO",IF(Tabla1[[#This Row],[ABRIL]]&gt;22.5,Tabla1[[#This Row],[ABRIL]]/22.5-1,0),IF(Tabla1[[#This Row],[ABRIL]]&gt;45,Tabla1[[#This Row],[ABRIL]]/45-1,0))</f>
        <v>0</v>
      </c>
      <c r="AK205" s="100">
        <f>IF(Tabla1[[#This Row],[TIPO DE CONSUMIDOR]]="MEDIO",IF(Tabla1[[#This Row],[MAYO ]]&gt;22.5,Tabla1[[#This Row],[MAYO ]]/22.5-1,0),IF(Tabla1[[#This Row],[MAYO ]]&gt;45,Tabla1[[#This Row],[MAYO ]]/45-1,0))</f>
        <v>0</v>
      </c>
      <c r="AL205" s="100">
        <f>IF(Tabla1[[#This Row],[TIPO DE CONSUMIDOR]]="MEDIO",IF(Tabla1[[#This Row],[JUNIO ]]&gt;22.5,Tabla1[[#This Row],[JUNIO ]]/22.5-1,0),IF(Tabla1[[#This Row],[JUNIO ]]&gt;45,Tabla1[[#This Row],[JUNIO ]]/45-1,0))</f>
        <v>0</v>
      </c>
      <c r="AM205" s="100">
        <f>IF(Tabla1[[#This Row],[TIPO DE CONSUMIDOR]]="MEDIO",IF(Tabla1[[#This Row],[JULIO ]]&gt;22.5,Tabla1[[#This Row],[JULIO ]]/22.5-1,0),IF(Tabla1[[#This Row],[JULIO ]]&gt;45,Tabla1[[#This Row],[JULIO ]]/45-1,0))</f>
        <v>0</v>
      </c>
      <c r="AN205" s="100">
        <f>IF(Tabla1[[#This Row],[TIPO DE CONSUMIDOR]]="MEDIO",IF(Tabla1[[#This Row],[AGOSTO]]&gt;22.5,Tabla1[[#This Row],[AGOSTO]]/22.5-1,0),IF(Tabla1[[#This Row],[AGOSTO]]&gt;45,Tabla1[[#This Row],[AGOSTO]]/45-1,0))</f>
        <v>0</v>
      </c>
      <c r="AO20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5" s="101">
        <f t="shared" si="7"/>
        <v>0</v>
      </c>
      <c r="AT205">
        <f>IF(Tabla1[[#This Row],[MES ADEUDO DE AÑOS PASADOS ]]&gt;0,1,0)</f>
        <v>0</v>
      </c>
      <c r="AU205" s="9">
        <f t="shared" si="8"/>
        <v>0</v>
      </c>
      <c r="AV205" s="60">
        <f>IF(Tabla1[[#This Row],[MESES DE ADEUDO DEL AÑO EN CURSO ]]&gt;0,1,0)</f>
        <v>0</v>
      </c>
      <c r="AW205" s="42"/>
      <c r="AX205" s="42"/>
      <c r="AY205" s="42"/>
      <c r="AZ205" s="43"/>
    </row>
    <row r="206" spans="1:52" ht="21.75" thickBot="1" x14ac:dyDescent="0.35">
      <c r="A206" s="106">
        <v>200</v>
      </c>
      <c r="B206" s="5" t="s">
        <v>517</v>
      </c>
      <c r="C206" s="2" t="s">
        <v>511</v>
      </c>
      <c r="D206" s="32"/>
      <c r="E206" s="35" t="s">
        <v>455</v>
      </c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24">
        <f>SUM(Tabla1[[#This Row],[ENERO ]:[DICIEMBRE]])</f>
        <v>0</v>
      </c>
      <c r="W206">
        <v>0</v>
      </c>
      <c r="X206" s="21">
        <f>COUNTIF(Tabla1[[#This Row],[ENERO ]:[DICIEMBRE]],0)-(AS206)-IF(Tabla1[[#This Row],[BAJAS]]="BAJA",IF(Tabla1[[#This Row],[ALTAS]]="ALTA",VLOOKUP(Tabla1[[#This Row],[MES DE ALTA ]],$AW$6:$AX$17,2,FALSE),12)-VLOOKUP(Tabla1[[#This Row],[MES DE BAJA ]],$AW$6:$AX$17,2,FALSE),0)</f>
        <v>0</v>
      </c>
      <c r="Y206" s="68">
        <f>SUM(Tabla1[[#This Row],[MES ADEUDO DE AÑOS PASADOS ]:[MESES DE ADEUDO DEL AÑO EN CURSO ]])-Tabla1[[#This Row],[PAGO DE DEUDA ANTERIOR EN MESES]]</f>
        <v>0</v>
      </c>
      <c r="Z206" s="15">
        <f>Tabla1[[#This Row],[MES ADEUDO DE AÑOS PASADOS ]]*$T$2</f>
        <v>0</v>
      </c>
      <c r="AA206" s="15">
        <f>Tabla1[[#This Row],[MESES DE ADEUDO DEL AÑO EN CURSO ]]*$T$2</f>
        <v>0</v>
      </c>
      <c r="AB206" s="69">
        <f>SUM(Tabla1[[#This Row],[DEUDA DE LOS MESES PASADOS EN $$]:[DEUDA DEL AÑO 2013 $$ ]])</f>
        <v>0</v>
      </c>
      <c r="AD206">
        <f>Tabla1[[#This Row],[PAGO DE DEUDA ANTERIOR EN MESES]]*$T$2</f>
        <v>0</v>
      </c>
      <c r="AG206" s="100">
        <f>IF(Tabla1[[#This Row],[TIPO DE CONSUMIDOR]]="MEDIO",IF(Tabla1[[#This Row],[ENERO ]]&gt;22.5,Tabla1[[#This Row],[ENERO ]]/22.5-1,0),IF(Tabla1[[#This Row],[ENERO ]]&gt;45,Tabla1[[#This Row],[ENERO ]]/45-1,0))</f>
        <v>0</v>
      </c>
      <c r="AH20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6" s="100">
        <f>IF(Tabla1[[#This Row],[TIPO DE CONSUMIDOR]]="MEDIO",IF(Tabla1[[#This Row],[MARZO]]&gt;22.5,Tabla1[[#This Row],[MARZO]]/22.5-1,0),IF(Tabla1[[#This Row],[MARZO]]&gt;45,Tabla1[[#This Row],[MARZO]]/45-1,0))</f>
        <v>0</v>
      </c>
      <c r="AJ206" s="100">
        <f>IF(Tabla1[[#This Row],[TIPO DE CONSUMIDOR]]="MEDIO",IF(Tabla1[[#This Row],[ABRIL]]&gt;22.5,Tabla1[[#This Row],[ABRIL]]/22.5-1,0),IF(Tabla1[[#This Row],[ABRIL]]&gt;45,Tabla1[[#This Row],[ABRIL]]/45-1,0))</f>
        <v>0</v>
      </c>
      <c r="AK206" s="100">
        <f>IF(Tabla1[[#This Row],[TIPO DE CONSUMIDOR]]="MEDIO",IF(Tabla1[[#This Row],[MAYO ]]&gt;22.5,Tabla1[[#This Row],[MAYO ]]/22.5-1,0),IF(Tabla1[[#This Row],[MAYO ]]&gt;45,Tabla1[[#This Row],[MAYO ]]/45-1,0))</f>
        <v>0</v>
      </c>
      <c r="AL206" s="100">
        <f>IF(Tabla1[[#This Row],[TIPO DE CONSUMIDOR]]="MEDIO",IF(Tabla1[[#This Row],[JUNIO ]]&gt;22.5,Tabla1[[#This Row],[JUNIO ]]/22.5-1,0),IF(Tabla1[[#This Row],[JUNIO ]]&gt;45,Tabla1[[#This Row],[JUNIO ]]/45-1,0))</f>
        <v>0</v>
      </c>
      <c r="AM206" s="100">
        <f>IF(Tabla1[[#This Row],[TIPO DE CONSUMIDOR]]="MEDIO",IF(Tabla1[[#This Row],[JULIO ]]&gt;22.5,Tabla1[[#This Row],[JULIO ]]/22.5-1,0),IF(Tabla1[[#This Row],[JULIO ]]&gt;45,Tabla1[[#This Row],[JULIO ]]/45-1,0))</f>
        <v>0</v>
      </c>
      <c r="AN206" s="100">
        <f>IF(Tabla1[[#This Row],[TIPO DE CONSUMIDOR]]="MEDIO",IF(Tabla1[[#This Row],[AGOSTO]]&gt;22.5,Tabla1[[#This Row],[AGOSTO]]/22.5-1,0),IF(Tabla1[[#This Row],[AGOSTO]]&gt;45,Tabla1[[#This Row],[AGOSTO]]/45-1,0))</f>
        <v>0</v>
      </c>
      <c r="AO20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6" s="101">
        <f t="shared" si="7"/>
        <v>0</v>
      </c>
      <c r="AT206">
        <f>IF(Tabla1[[#This Row],[MES ADEUDO DE AÑOS PASADOS ]]&gt;0,1,0)</f>
        <v>0</v>
      </c>
      <c r="AU206" s="9">
        <f t="shared" si="8"/>
        <v>0</v>
      </c>
      <c r="AV206" s="60">
        <f>IF(Tabla1[[#This Row],[MESES DE ADEUDO DEL AÑO EN CURSO ]]&gt;0,1,0)</f>
        <v>0</v>
      </c>
      <c r="AW206" s="42"/>
      <c r="AX206" s="42"/>
      <c r="AY206" s="42"/>
      <c r="AZ206" s="43"/>
    </row>
    <row r="207" spans="1:52" ht="21.75" thickBot="1" x14ac:dyDescent="0.35">
      <c r="A207" s="106">
        <v>201</v>
      </c>
      <c r="B207" s="5" t="s">
        <v>194</v>
      </c>
      <c r="C207" s="2" t="s">
        <v>511</v>
      </c>
      <c r="D207" s="32"/>
      <c r="E207" s="35" t="s">
        <v>489</v>
      </c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24">
        <f>SUM(Tabla1[[#This Row],[ENERO ]:[DICIEMBRE]])</f>
        <v>0</v>
      </c>
      <c r="W207">
        <v>0</v>
      </c>
      <c r="X207" s="21">
        <f>COUNTIF(Tabla1[[#This Row],[ENERO ]:[DICIEMBRE]],0)-(AS207)-IF(Tabla1[[#This Row],[BAJAS]]="BAJA",IF(Tabla1[[#This Row],[ALTAS]]="ALTA",VLOOKUP(Tabla1[[#This Row],[MES DE ALTA ]],$AW$6:$AX$17,2,FALSE),12)-VLOOKUP(Tabla1[[#This Row],[MES DE BAJA ]],$AW$6:$AX$17,2,FALSE),0)</f>
        <v>0</v>
      </c>
      <c r="Y207" s="68">
        <f>SUM(Tabla1[[#This Row],[MES ADEUDO DE AÑOS PASADOS ]:[MESES DE ADEUDO DEL AÑO EN CURSO ]])-Tabla1[[#This Row],[PAGO DE DEUDA ANTERIOR EN MESES]]</f>
        <v>0</v>
      </c>
      <c r="Z207" s="15">
        <f>Tabla1[[#This Row],[MES ADEUDO DE AÑOS PASADOS ]]*$T$2</f>
        <v>0</v>
      </c>
      <c r="AA207" s="15">
        <f>Tabla1[[#This Row],[MESES DE ADEUDO DEL AÑO EN CURSO ]]*$T$2</f>
        <v>0</v>
      </c>
      <c r="AB207" s="69">
        <f>SUM(Tabla1[[#This Row],[DEUDA DE LOS MESES PASADOS EN $$]:[DEUDA DEL AÑO 2013 $$ ]])</f>
        <v>0</v>
      </c>
      <c r="AD207">
        <f>Tabla1[[#This Row],[PAGO DE DEUDA ANTERIOR EN MESES]]*$T$2</f>
        <v>0</v>
      </c>
      <c r="AG207" s="100">
        <f>IF(Tabla1[[#This Row],[TIPO DE CONSUMIDOR]]="MEDIO",IF(Tabla1[[#This Row],[ENERO ]]&gt;22.5,Tabla1[[#This Row],[ENERO ]]/22.5-1,0),IF(Tabla1[[#This Row],[ENERO ]]&gt;45,Tabla1[[#This Row],[ENERO ]]/45-1,0))</f>
        <v>0</v>
      </c>
      <c r="AH20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7" s="100">
        <f>IF(Tabla1[[#This Row],[TIPO DE CONSUMIDOR]]="MEDIO",IF(Tabla1[[#This Row],[MARZO]]&gt;22.5,Tabla1[[#This Row],[MARZO]]/22.5-1,0),IF(Tabla1[[#This Row],[MARZO]]&gt;45,Tabla1[[#This Row],[MARZO]]/45-1,0))</f>
        <v>0</v>
      </c>
      <c r="AJ207" s="100">
        <f>IF(Tabla1[[#This Row],[TIPO DE CONSUMIDOR]]="MEDIO",IF(Tabla1[[#This Row],[ABRIL]]&gt;22.5,Tabla1[[#This Row],[ABRIL]]/22.5-1,0),IF(Tabla1[[#This Row],[ABRIL]]&gt;45,Tabla1[[#This Row],[ABRIL]]/45-1,0))</f>
        <v>0</v>
      </c>
      <c r="AK207" s="100">
        <f>IF(Tabla1[[#This Row],[TIPO DE CONSUMIDOR]]="MEDIO",IF(Tabla1[[#This Row],[MAYO ]]&gt;22.5,Tabla1[[#This Row],[MAYO ]]/22.5-1,0),IF(Tabla1[[#This Row],[MAYO ]]&gt;45,Tabla1[[#This Row],[MAYO ]]/45-1,0))</f>
        <v>0</v>
      </c>
      <c r="AL207" s="100">
        <f>IF(Tabla1[[#This Row],[TIPO DE CONSUMIDOR]]="MEDIO",IF(Tabla1[[#This Row],[JUNIO ]]&gt;22.5,Tabla1[[#This Row],[JUNIO ]]/22.5-1,0),IF(Tabla1[[#This Row],[JUNIO ]]&gt;45,Tabla1[[#This Row],[JUNIO ]]/45-1,0))</f>
        <v>0</v>
      </c>
      <c r="AM207" s="100">
        <f>IF(Tabla1[[#This Row],[TIPO DE CONSUMIDOR]]="MEDIO",IF(Tabla1[[#This Row],[JULIO ]]&gt;22.5,Tabla1[[#This Row],[JULIO ]]/22.5-1,0),IF(Tabla1[[#This Row],[JULIO ]]&gt;45,Tabla1[[#This Row],[JULIO ]]/45-1,0))</f>
        <v>0</v>
      </c>
      <c r="AN207" s="100">
        <f>IF(Tabla1[[#This Row],[TIPO DE CONSUMIDOR]]="MEDIO",IF(Tabla1[[#This Row],[AGOSTO]]&gt;22.5,Tabla1[[#This Row],[AGOSTO]]/22.5-1,0),IF(Tabla1[[#This Row],[AGOSTO]]&gt;45,Tabla1[[#This Row],[AGOSTO]]/45-1,0))</f>
        <v>0</v>
      </c>
      <c r="AO20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7" s="101">
        <f t="shared" si="7"/>
        <v>0</v>
      </c>
      <c r="AT207">
        <f>IF(Tabla1[[#This Row],[MES ADEUDO DE AÑOS PASADOS ]]&gt;0,1,0)</f>
        <v>0</v>
      </c>
      <c r="AU207" s="9">
        <f t="shared" si="8"/>
        <v>0</v>
      </c>
      <c r="AV207" s="60">
        <f>IF(Tabla1[[#This Row],[MESES DE ADEUDO DEL AÑO EN CURSO ]]&gt;0,1,0)</f>
        <v>0</v>
      </c>
      <c r="AW207" s="42"/>
      <c r="AX207" s="42"/>
      <c r="AY207" s="42"/>
      <c r="AZ207" s="43"/>
    </row>
    <row r="208" spans="1:52" ht="21.75" thickBot="1" x14ac:dyDescent="0.35">
      <c r="A208" s="106">
        <v>202</v>
      </c>
      <c r="B208" s="5" t="s">
        <v>302</v>
      </c>
      <c r="C208" s="2" t="s">
        <v>511</v>
      </c>
      <c r="D208" s="32"/>
      <c r="E208" s="35" t="s">
        <v>455</v>
      </c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24">
        <f>SUM(Tabla1[[#This Row],[ENERO ]:[DICIEMBRE]])</f>
        <v>0</v>
      </c>
      <c r="W208">
        <v>0</v>
      </c>
      <c r="X208" s="21">
        <f>COUNTIF(Tabla1[[#This Row],[ENERO ]:[DICIEMBRE]],0)-(AS208)-IF(Tabla1[[#This Row],[BAJAS]]="BAJA",IF(Tabla1[[#This Row],[ALTAS]]="ALTA",VLOOKUP(Tabla1[[#This Row],[MES DE ALTA ]],$AW$6:$AX$17,2,FALSE),12)-VLOOKUP(Tabla1[[#This Row],[MES DE BAJA ]],$AW$6:$AX$17,2,FALSE),0)</f>
        <v>0</v>
      </c>
      <c r="Y208" s="68">
        <f>SUM(Tabla1[[#This Row],[MES ADEUDO DE AÑOS PASADOS ]:[MESES DE ADEUDO DEL AÑO EN CURSO ]])-Tabla1[[#This Row],[PAGO DE DEUDA ANTERIOR EN MESES]]</f>
        <v>0</v>
      </c>
      <c r="Z208" s="15">
        <f>Tabla1[[#This Row],[MES ADEUDO DE AÑOS PASADOS ]]*$T$2</f>
        <v>0</v>
      </c>
      <c r="AA208" s="15">
        <f>Tabla1[[#This Row],[MESES DE ADEUDO DEL AÑO EN CURSO ]]*$T$2</f>
        <v>0</v>
      </c>
      <c r="AB208" s="69">
        <f>SUM(Tabla1[[#This Row],[DEUDA DE LOS MESES PASADOS EN $$]:[DEUDA DEL AÑO 2013 $$ ]])</f>
        <v>0</v>
      </c>
      <c r="AD208">
        <f>Tabla1[[#This Row],[PAGO DE DEUDA ANTERIOR EN MESES]]*$T$2</f>
        <v>0</v>
      </c>
      <c r="AG208" s="100">
        <f>IF(Tabla1[[#This Row],[TIPO DE CONSUMIDOR]]="MEDIO",IF(Tabla1[[#This Row],[ENERO ]]&gt;22.5,Tabla1[[#This Row],[ENERO ]]/22.5-1,0),IF(Tabla1[[#This Row],[ENERO ]]&gt;45,Tabla1[[#This Row],[ENERO ]]/45-1,0))</f>
        <v>0</v>
      </c>
      <c r="AH20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8" s="100">
        <f>IF(Tabla1[[#This Row],[TIPO DE CONSUMIDOR]]="MEDIO",IF(Tabla1[[#This Row],[MARZO]]&gt;22.5,Tabla1[[#This Row],[MARZO]]/22.5-1,0),IF(Tabla1[[#This Row],[MARZO]]&gt;45,Tabla1[[#This Row],[MARZO]]/45-1,0))</f>
        <v>0</v>
      </c>
      <c r="AJ208" s="100">
        <f>IF(Tabla1[[#This Row],[TIPO DE CONSUMIDOR]]="MEDIO",IF(Tabla1[[#This Row],[ABRIL]]&gt;22.5,Tabla1[[#This Row],[ABRIL]]/22.5-1,0),IF(Tabla1[[#This Row],[ABRIL]]&gt;45,Tabla1[[#This Row],[ABRIL]]/45-1,0))</f>
        <v>0</v>
      </c>
      <c r="AK208" s="100">
        <f>IF(Tabla1[[#This Row],[TIPO DE CONSUMIDOR]]="MEDIO",IF(Tabla1[[#This Row],[MAYO ]]&gt;22.5,Tabla1[[#This Row],[MAYO ]]/22.5-1,0),IF(Tabla1[[#This Row],[MAYO ]]&gt;45,Tabla1[[#This Row],[MAYO ]]/45-1,0))</f>
        <v>0</v>
      </c>
      <c r="AL208" s="100">
        <f>IF(Tabla1[[#This Row],[TIPO DE CONSUMIDOR]]="MEDIO",IF(Tabla1[[#This Row],[JUNIO ]]&gt;22.5,Tabla1[[#This Row],[JUNIO ]]/22.5-1,0),IF(Tabla1[[#This Row],[JUNIO ]]&gt;45,Tabla1[[#This Row],[JUNIO ]]/45-1,0))</f>
        <v>0</v>
      </c>
      <c r="AM208" s="100">
        <f>IF(Tabla1[[#This Row],[TIPO DE CONSUMIDOR]]="MEDIO",IF(Tabla1[[#This Row],[JULIO ]]&gt;22.5,Tabla1[[#This Row],[JULIO ]]/22.5-1,0),IF(Tabla1[[#This Row],[JULIO ]]&gt;45,Tabla1[[#This Row],[JULIO ]]/45-1,0))</f>
        <v>0</v>
      </c>
      <c r="AN208" s="100">
        <f>IF(Tabla1[[#This Row],[TIPO DE CONSUMIDOR]]="MEDIO",IF(Tabla1[[#This Row],[AGOSTO]]&gt;22.5,Tabla1[[#This Row],[AGOSTO]]/22.5-1,0),IF(Tabla1[[#This Row],[AGOSTO]]&gt;45,Tabla1[[#This Row],[AGOSTO]]/45-1,0))</f>
        <v>0</v>
      </c>
      <c r="AO20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8" s="101">
        <f t="shared" si="7"/>
        <v>0</v>
      </c>
      <c r="AT208">
        <f>IF(Tabla1[[#This Row],[MES ADEUDO DE AÑOS PASADOS ]]&gt;0,1,0)</f>
        <v>0</v>
      </c>
      <c r="AU208" s="9">
        <f t="shared" si="8"/>
        <v>0</v>
      </c>
      <c r="AV208" s="60">
        <f>IF(Tabla1[[#This Row],[MESES DE ADEUDO DEL AÑO EN CURSO ]]&gt;0,1,0)</f>
        <v>0</v>
      </c>
      <c r="AW208" s="42"/>
      <c r="AX208" s="42"/>
      <c r="AY208" s="42"/>
      <c r="AZ208" s="43"/>
    </row>
    <row r="209" spans="1:52" ht="21.75" thickBot="1" x14ac:dyDescent="0.35">
      <c r="A209" s="106">
        <v>203</v>
      </c>
      <c r="B209" s="5" t="s">
        <v>291</v>
      </c>
      <c r="C209" s="2" t="s">
        <v>511</v>
      </c>
      <c r="D209" s="32"/>
      <c r="E209" s="35" t="s">
        <v>455</v>
      </c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24">
        <f>SUM(Tabla1[[#This Row],[ENERO ]:[DICIEMBRE]])</f>
        <v>0</v>
      </c>
      <c r="W209">
        <v>0</v>
      </c>
      <c r="X209" s="21">
        <f>COUNTIF(Tabla1[[#This Row],[ENERO ]:[DICIEMBRE]],0)-(AS209)-IF(Tabla1[[#This Row],[BAJAS]]="BAJA",IF(Tabla1[[#This Row],[ALTAS]]="ALTA",VLOOKUP(Tabla1[[#This Row],[MES DE ALTA ]],$AW$6:$AX$17,2,FALSE),12)-VLOOKUP(Tabla1[[#This Row],[MES DE BAJA ]],$AW$6:$AX$17,2,FALSE),0)</f>
        <v>0</v>
      </c>
      <c r="Y209" s="68">
        <f>SUM(Tabla1[[#This Row],[MES ADEUDO DE AÑOS PASADOS ]:[MESES DE ADEUDO DEL AÑO EN CURSO ]])-Tabla1[[#This Row],[PAGO DE DEUDA ANTERIOR EN MESES]]</f>
        <v>0</v>
      </c>
      <c r="Z209" s="15">
        <f>Tabla1[[#This Row],[MES ADEUDO DE AÑOS PASADOS ]]*$T$2</f>
        <v>0</v>
      </c>
      <c r="AA209" s="15">
        <f>Tabla1[[#This Row],[MESES DE ADEUDO DEL AÑO EN CURSO ]]*$T$2</f>
        <v>0</v>
      </c>
      <c r="AB209" s="69">
        <f>SUM(Tabla1[[#This Row],[DEUDA DE LOS MESES PASADOS EN $$]:[DEUDA DEL AÑO 2013 $$ ]])</f>
        <v>0</v>
      </c>
      <c r="AD209">
        <f>Tabla1[[#This Row],[PAGO DE DEUDA ANTERIOR EN MESES]]*$T$2</f>
        <v>0</v>
      </c>
      <c r="AG209" s="100">
        <f>IF(Tabla1[[#This Row],[TIPO DE CONSUMIDOR]]="MEDIO",IF(Tabla1[[#This Row],[ENERO ]]&gt;22.5,Tabla1[[#This Row],[ENERO ]]/22.5-1,0),IF(Tabla1[[#This Row],[ENERO ]]&gt;45,Tabla1[[#This Row],[ENERO ]]/45-1,0))</f>
        <v>0</v>
      </c>
      <c r="AH20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09" s="100">
        <f>IF(Tabla1[[#This Row],[TIPO DE CONSUMIDOR]]="MEDIO",IF(Tabla1[[#This Row],[MARZO]]&gt;22.5,Tabla1[[#This Row],[MARZO]]/22.5-1,0),IF(Tabla1[[#This Row],[MARZO]]&gt;45,Tabla1[[#This Row],[MARZO]]/45-1,0))</f>
        <v>0</v>
      </c>
      <c r="AJ209" s="100">
        <f>IF(Tabla1[[#This Row],[TIPO DE CONSUMIDOR]]="MEDIO",IF(Tabla1[[#This Row],[ABRIL]]&gt;22.5,Tabla1[[#This Row],[ABRIL]]/22.5-1,0),IF(Tabla1[[#This Row],[ABRIL]]&gt;45,Tabla1[[#This Row],[ABRIL]]/45-1,0))</f>
        <v>0</v>
      </c>
      <c r="AK209" s="100">
        <f>IF(Tabla1[[#This Row],[TIPO DE CONSUMIDOR]]="MEDIO",IF(Tabla1[[#This Row],[MAYO ]]&gt;22.5,Tabla1[[#This Row],[MAYO ]]/22.5-1,0),IF(Tabla1[[#This Row],[MAYO ]]&gt;45,Tabla1[[#This Row],[MAYO ]]/45-1,0))</f>
        <v>0</v>
      </c>
      <c r="AL209" s="100">
        <f>IF(Tabla1[[#This Row],[TIPO DE CONSUMIDOR]]="MEDIO",IF(Tabla1[[#This Row],[JUNIO ]]&gt;22.5,Tabla1[[#This Row],[JUNIO ]]/22.5-1,0),IF(Tabla1[[#This Row],[JUNIO ]]&gt;45,Tabla1[[#This Row],[JUNIO ]]/45-1,0))</f>
        <v>0</v>
      </c>
      <c r="AM209" s="100">
        <f>IF(Tabla1[[#This Row],[TIPO DE CONSUMIDOR]]="MEDIO",IF(Tabla1[[#This Row],[JULIO ]]&gt;22.5,Tabla1[[#This Row],[JULIO ]]/22.5-1,0),IF(Tabla1[[#This Row],[JULIO ]]&gt;45,Tabla1[[#This Row],[JULIO ]]/45-1,0))</f>
        <v>0</v>
      </c>
      <c r="AN209" s="100">
        <f>IF(Tabla1[[#This Row],[TIPO DE CONSUMIDOR]]="MEDIO",IF(Tabla1[[#This Row],[AGOSTO]]&gt;22.5,Tabla1[[#This Row],[AGOSTO]]/22.5-1,0),IF(Tabla1[[#This Row],[AGOSTO]]&gt;45,Tabla1[[#This Row],[AGOSTO]]/45-1,0))</f>
        <v>0</v>
      </c>
      <c r="AO20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0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0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0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09" s="101">
        <f t="shared" si="7"/>
        <v>0</v>
      </c>
      <c r="AT209">
        <f>IF(Tabla1[[#This Row],[MES ADEUDO DE AÑOS PASADOS ]]&gt;0,1,0)</f>
        <v>0</v>
      </c>
      <c r="AU209" s="9">
        <f t="shared" si="8"/>
        <v>0</v>
      </c>
      <c r="AV209" s="60">
        <f>IF(Tabla1[[#This Row],[MESES DE ADEUDO DEL AÑO EN CURSO ]]&gt;0,1,0)</f>
        <v>0</v>
      </c>
      <c r="AW209" s="42"/>
      <c r="AX209" s="42"/>
      <c r="AY209" s="42"/>
      <c r="AZ209" s="43"/>
    </row>
    <row r="210" spans="1:52" ht="21.75" thickBot="1" x14ac:dyDescent="0.35">
      <c r="A210" s="106">
        <v>204</v>
      </c>
      <c r="B210" s="5" t="s">
        <v>358</v>
      </c>
      <c r="C210" s="2" t="s">
        <v>511</v>
      </c>
      <c r="D210" s="32"/>
      <c r="E210" s="35" t="s">
        <v>455</v>
      </c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24">
        <f>SUM(Tabla1[[#This Row],[ENERO ]:[DICIEMBRE]])</f>
        <v>0</v>
      </c>
      <c r="W210">
        <v>0</v>
      </c>
      <c r="X210" s="21">
        <f>COUNTIF(Tabla1[[#This Row],[ENERO ]:[DICIEMBRE]],0)-(AS210)-IF(Tabla1[[#This Row],[BAJAS]]="BAJA",IF(Tabla1[[#This Row],[ALTAS]]="ALTA",VLOOKUP(Tabla1[[#This Row],[MES DE ALTA ]],$AW$6:$AX$17,2,FALSE),12)-VLOOKUP(Tabla1[[#This Row],[MES DE BAJA ]],$AW$6:$AX$17,2,FALSE),0)</f>
        <v>0</v>
      </c>
      <c r="Y210" s="68">
        <f>SUM(Tabla1[[#This Row],[MES ADEUDO DE AÑOS PASADOS ]:[MESES DE ADEUDO DEL AÑO EN CURSO ]])-Tabla1[[#This Row],[PAGO DE DEUDA ANTERIOR EN MESES]]</f>
        <v>0</v>
      </c>
      <c r="Z210" s="15">
        <f>Tabla1[[#This Row],[MES ADEUDO DE AÑOS PASADOS ]]*$T$2</f>
        <v>0</v>
      </c>
      <c r="AA210" s="15">
        <f>Tabla1[[#This Row],[MESES DE ADEUDO DEL AÑO EN CURSO ]]*$T$2</f>
        <v>0</v>
      </c>
      <c r="AB210" s="69">
        <f>SUM(Tabla1[[#This Row],[DEUDA DE LOS MESES PASADOS EN $$]:[DEUDA DEL AÑO 2013 $$ ]])</f>
        <v>0</v>
      </c>
      <c r="AD210">
        <f>Tabla1[[#This Row],[PAGO DE DEUDA ANTERIOR EN MESES]]*$T$2</f>
        <v>0</v>
      </c>
      <c r="AG210" s="100">
        <f>IF(Tabla1[[#This Row],[TIPO DE CONSUMIDOR]]="MEDIO",IF(Tabla1[[#This Row],[ENERO ]]&gt;22.5,Tabla1[[#This Row],[ENERO ]]/22.5-1,0),IF(Tabla1[[#This Row],[ENERO ]]&gt;45,Tabla1[[#This Row],[ENERO ]]/45-1,0))</f>
        <v>0</v>
      </c>
      <c r="AH21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0" s="100">
        <f>IF(Tabla1[[#This Row],[TIPO DE CONSUMIDOR]]="MEDIO",IF(Tabla1[[#This Row],[MARZO]]&gt;22.5,Tabla1[[#This Row],[MARZO]]/22.5-1,0),IF(Tabla1[[#This Row],[MARZO]]&gt;45,Tabla1[[#This Row],[MARZO]]/45-1,0))</f>
        <v>0</v>
      </c>
      <c r="AJ210" s="100">
        <f>IF(Tabla1[[#This Row],[TIPO DE CONSUMIDOR]]="MEDIO",IF(Tabla1[[#This Row],[ABRIL]]&gt;22.5,Tabla1[[#This Row],[ABRIL]]/22.5-1,0),IF(Tabla1[[#This Row],[ABRIL]]&gt;45,Tabla1[[#This Row],[ABRIL]]/45-1,0))</f>
        <v>0</v>
      </c>
      <c r="AK210" s="100">
        <f>IF(Tabla1[[#This Row],[TIPO DE CONSUMIDOR]]="MEDIO",IF(Tabla1[[#This Row],[MAYO ]]&gt;22.5,Tabla1[[#This Row],[MAYO ]]/22.5-1,0),IF(Tabla1[[#This Row],[MAYO ]]&gt;45,Tabla1[[#This Row],[MAYO ]]/45-1,0))</f>
        <v>0</v>
      </c>
      <c r="AL210" s="100">
        <f>IF(Tabla1[[#This Row],[TIPO DE CONSUMIDOR]]="MEDIO",IF(Tabla1[[#This Row],[JUNIO ]]&gt;22.5,Tabla1[[#This Row],[JUNIO ]]/22.5-1,0),IF(Tabla1[[#This Row],[JUNIO ]]&gt;45,Tabla1[[#This Row],[JUNIO ]]/45-1,0))</f>
        <v>0</v>
      </c>
      <c r="AM210" s="100">
        <f>IF(Tabla1[[#This Row],[TIPO DE CONSUMIDOR]]="MEDIO",IF(Tabla1[[#This Row],[JULIO ]]&gt;22.5,Tabla1[[#This Row],[JULIO ]]/22.5-1,0),IF(Tabla1[[#This Row],[JULIO ]]&gt;45,Tabla1[[#This Row],[JULIO ]]/45-1,0))</f>
        <v>0</v>
      </c>
      <c r="AN210" s="100">
        <f>IF(Tabla1[[#This Row],[TIPO DE CONSUMIDOR]]="MEDIO",IF(Tabla1[[#This Row],[AGOSTO]]&gt;22.5,Tabla1[[#This Row],[AGOSTO]]/22.5-1,0),IF(Tabla1[[#This Row],[AGOSTO]]&gt;45,Tabla1[[#This Row],[AGOSTO]]/45-1,0))</f>
        <v>0</v>
      </c>
      <c r="AO21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0" s="101">
        <f t="shared" si="7"/>
        <v>0</v>
      </c>
      <c r="AT210">
        <f>IF(Tabla1[[#This Row],[MES ADEUDO DE AÑOS PASADOS ]]&gt;0,1,0)</f>
        <v>0</v>
      </c>
      <c r="AU210" s="9">
        <f t="shared" si="8"/>
        <v>0</v>
      </c>
      <c r="AV210" s="60">
        <f>IF(Tabla1[[#This Row],[MESES DE ADEUDO DEL AÑO EN CURSO ]]&gt;0,1,0)</f>
        <v>0</v>
      </c>
      <c r="AW210" s="42"/>
      <c r="AX210" s="42"/>
      <c r="AY210" s="42"/>
      <c r="AZ210" s="43"/>
    </row>
    <row r="211" spans="1:52" ht="21.75" thickBot="1" x14ac:dyDescent="0.35">
      <c r="A211" s="106">
        <v>205</v>
      </c>
      <c r="B211" s="5" t="s">
        <v>415</v>
      </c>
      <c r="C211" s="2" t="s">
        <v>511</v>
      </c>
      <c r="D211" s="32"/>
      <c r="E211" s="35" t="s">
        <v>455</v>
      </c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24">
        <f>SUM(Tabla1[[#This Row],[ENERO ]:[DICIEMBRE]])</f>
        <v>0</v>
      </c>
      <c r="W211">
        <v>0</v>
      </c>
      <c r="X211" s="21">
        <f>COUNTIF(Tabla1[[#This Row],[ENERO ]:[DICIEMBRE]],0)-(AS211)-IF(Tabla1[[#This Row],[BAJAS]]="BAJA",IF(Tabla1[[#This Row],[ALTAS]]="ALTA",VLOOKUP(Tabla1[[#This Row],[MES DE ALTA ]],$AW$6:$AX$17,2,FALSE),12)-VLOOKUP(Tabla1[[#This Row],[MES DE BAJA ]],$AW$6:$AX$17,2,FALSE),0)</f>
        <v>0</v>
      </c>
      <c r="Y211" s="68">
        <f>SUM(Tabla1[[#This Row],[MES ADEUDO DE AÑOS PASADOS ]:[MESES DE ADEUDO DEL AÑO EN CURSO ]])-Tabla1[[#This Row],[PAGO DE DEUDA ANTERIOR EN MESES]]</f>
        <v>0</v>
      </c>
      <c r="Z211" s="15">
        <f>Tabla1[[#This Row],[MES ADEUDO DE AÑOS PASADOS ]]*$T$2</f>
        <v>0</v>
      </c>
      <c r="AA211" s="15">
        <f>Tabla1[[#This Row],[MESES DE ADEUDO DEL AÑO EN CURSO ]]*$T$2</f>
        <v>0</v>
      </c>
      <c r="AB211" s="69">
        <f>SUM(Tabla1[[#This Row],[DEUDA DE LOS MESES PASADOS EN $$]:[DEUDA DEL AÑO 2013 $$ ]])</f>
        <v>0</v>
      </c>
      <c r="AD211">
        <f>Tabla1[[#This Row],[PAGO DE DEUDA ANTERIOR EN MESES]]*$T$2</f>
        <v>0</v>
      </c>
      <c r="AG211" s="100">
        <f>IF(Tabla1[[#This Row],[TIPO DE CONSUMIDOR]]="MEDIO",IF(Tabla1[[#This Row],[ENERO ]]&gt;22.5,Tabla1[[#This Row],[ENERO ]]/22.5-1,0),IF(Tabla1[[#This Row],[ENERO ]]&gt;45,Tabla1[[#This Row],[ENERO ]]/45-1,0))</f>
        <v>0</v>
      </c>
      <c r="AH21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1" s="100">
        <f>IF(Tabla1[[#This Row],[TIPO DE CONSUMIDOR]]="MEDIO",IF(Tabla1[[#This Row],[MARZO]]&gt;22.5,Tabla1[[#This Row],[MARZO]]/22.5-1,0),IF(Tabla1[[#This Row],[MARZO]]&gt;45,Tabla1[[#This Row],[MARZO]]/45-1,0))</f>
        <v>0</v>
      </c>
      <c r="AJ211" s="100">
        <f>IF(Tabla1[[#This Row],[TIPO DE CONSUMIDOR]]="MEDIO",IF(Tabla1[[#This Row],[ABRIL]]&gt;22.5,Tabla1[[#This Row],[ABRIL]]/22.5-1,0),IF(Tabla1[[#This Row],[ABRIL]]&gt;45,Tabla1[[#This Row],[ABRIL]]/45-1,0))</f>
        <v>0</v>
      </c>
      <c r="AK211" s="100">
        <f>IF(Tabla1[[#This Row],[TIPO DE CONSUMIDOR]]="MEDIO",IF(Tabla1[[#This Row],[MAYO ]]&gt;22.5,Tabla1[[#This Row],[MAYO ]]/22.5-1,0),IF(Tabla1[[#This Row],[MAYO ]]&gt;45,Tabla1[[#This Row],[MAYO ]]/45-1,0))</f>
        <v>0</v>
      </c>
      <c r="AL211" s="100">
        <f>IF(Tabla1[[#This Row],[TIPO DE CONSUMIDOR]]="MEDIO",IF(Tabla1[[#This Row],[JUNIO ]]&gt;22.5,Tabla1[[#This Row],[JUNIO ]]/22.5-1,0),IF(Tabla1[[#This Row],[JUNIO ]]&gt;45,Tabla1[[#This Row],[JUNIO ]]/45-1,0))</f>
        <v>0</v>
      </c>
      <c r="AM211" s="100">
        <f>IF(Tabla1[[#This Row],[TIPO DE CONSUMIDOR]]="MEDIO",IF(Tabla1[[#This Row],[JULIO ]]&gt;22.5,Tabla1[[#This Row],[JULIO ]]/22.5-1,0),IF(Tabla1[[#This Row],[JULIO ]]&gt;45,Tabla1[[#This Row],[JULIO ]]/45-1,0))</f>
        <v>0</v>
      </c>
      <c r="AN211" s="100">
        <f>IF(Tabla1[[#This Row],[TIPO DE CONSUMIDOR]]="MEDIO",IF(Tabla1[[#This Row],[AGOSTO]]&gt;22.5,Tabla1[[#This Row],[AGOSTO]]/22.5-1,0),IF(Tabla1[[#This Row],[AGOSTO]]&gt;45,Tabla1[[#This Row],[AGOSTO]]/45-1,0))</f>
        <v>0</v>
      </c>
      <c r="AO21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1" s="101">
        <f t="shared" si="7"/>
        <v>0</v>
      </c>
      <c r="AT211">
        <f>IF(Tabla1[[#This Row],[MES ADEUDO DE AÑOS PASADOS ]]&gt;0,1,0)</f>
        <v>0</v>
      </c>
      <c r="AU211" s="9">
        <f t="shared" si="8"/>
        <v>0</v>
      </c>
      <c r="AV211" s="60">
        <f>IF(Tabla1[[#This Row],[MESES DE ADEUDO DEL AÑO EN CURSO ]]&gt;0,1,0)</f>
        <v>0</v>
      </c>
      <c r="AW211" s="42"/>
      <c r="AX211" s="42"/>
      <c r="AY211" s="42"/>
      <c r="AZ211" s="43"/>
    </row>
    <row r="212" spans="1:52" ht="21.75" thickBot="1" x14ac:dyDescent="0.35">
      <c r="A212" s="106">
        <v>206</v>
      </c>
      <c r="B212" s="5" t="s">
        <v>417</v>
      </c>
      <c r="C212" s="2" t="s">
        <v>511</v>
      </c>
      <c r="D212" s="32"/>
      <c r="E212" s="35" t="s">
        <v>455</v>
      </c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24">
        <f>SUM(Tabla1[[#This Row],[ENERO ]:[DICIEMBRE]])</f>
        <v>0</v>
      </c>
      <c r="S212" s="63"/>
      <c r="W212">
        <v>3</v>
      </c>
      <c r="X212" s="21">
        <f>COUNTIF(Tabla1[[#This Row],[ENERO ]:[DICIEMBRE]],0)-(AS212)-IF(Tabla1[[#This Row],[BAJAS]]="BAJA",IF(Tabla1[[#This Row],[ALTAS]]="ALTA",VLOOKUP(Tabla1[[#This Row],[MES DE ALTA ]],$AW$6:$AX$17,2,FALSE),12)-VLOOKUP(Tabla1[[#This Row],[MES DE BAJA ]],$AW$6:$AX$17,2,FALSE),0)</f>
        <v>0</v>
      </c>
      <c r="Y212" s="68">
        <f>SUM(Tabla1[[#This Row],[MES ADEUDO DE AÑOS PASADOS ]:[MESES DE ADEUDO DEL AÑO EN CURSO ]])-Tabla1[[#This Row],[PAGO DE DEUDA ANTERIOR EN MESES]]</f>
        <v>3</v>
      </c>
      <c r="Z212" s="15">
        <f>Tabla1[[#This Row],[MES ADEUDO DE AÑOS PASADOS ]]*$T$2</f>
        <v>135</v>
      </c>
      <c r="AA212" s="15">
        <f>Tabla1[[#This Row],[MESES DE ADEUDO DEL AÑO EN CURSO ]]*$T$2</f>
        <v>0</v>
      </c>
      <c r="AB212" s="69">
        <f>SUM(Tabla1[[#This Row],[DEUDA DE LOS MESES PASADOS EN $$]:[DEUDA DEL AÑO 2013 $$ ]])</f>
        <v>135</v>
      </c>
      <c r="AD212">
        <f>Tabla1[[#This Row],[PAGO DE DEUDA ANTERIOR EN MESES]]*$T$2</f>
        <v>0</v>
      </c>
      <c r="AG212" s="100">
        <f>IF(Tabla1[[#This Row],[TIPO DE CONSUMIDOR]]="MEDIO",IF(Tabla1[[#This Row],[ENERO ]]&gt;22.5,Tabla1[[#This Row],[ENERO ]]/22.5-1,0),IF(Tabla1[[#This Row],[ENERO ]]&gt;45,Tabla1[[#This Row],[ENERO ]]/45-1,0))</f>
        <v>0</v>
      </c>
      <c r="AH21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2" s="100">
        <f>IF(Tabla1[[#This Row],[TIPO DE CONSUMIDOR]]="MEDIO",IF(Tabla1[[#This Row],[MARZO]]&gt;22.5,Tabla1[[#This Row],[MARZO]]/22.5-1,0),IF(Tabla1[[#This Row],[MARZO]]&gt;45,Tabla1[[#This Row],[MARZO]]/45-1,0))</f>
        <v>0</v>
      </c>
      <c r="AJ212" s="100">
        <f>IF(Tabla1[[#This Row],[TIPO DE CONSUMIDOR]]="MEDIO",IF(Tabla1[[#This Row],[ABRIL]]&gt;22.5,Tabla1[[#This Row],[ABRIL]]/22.5-1,0),IF(Tabla1[[#This Row],[ABRIL]]&gt;45,Tabla1[[#This Row],[ABRIL]]/45-1,0))</f>
        <v>0</v>
      </c>
      <c r="AK212" s="100">
        <f>IF(Tabla1[[#This Row],[TIPO DE CONSUMIDOR]]="MEDIO",IF(Tabla1[[#This Row],[MAYO ]]&gt;22.5,Tabla1[[#This Row],[MAYO ]]/22.5-1,0),IF(Tabla1[[#This Row],[MAYO ]]&gt;45,Tabla1[[#This Row],[MAYO ]]/45-1,0))</f>
        <v>0</v>
      </c>
      <c r="AL212" s="100">
        <f>IF(Tabla1[[#This Row],[TIPO DE CONSUMIDOR]]="MEDIO",IF(Tabla1[[#This Row],[JUNIO ]]&gt;22.5,Tabla1[[#This Row],[JUNIO ]]/22.5-1,0),IF(Tabla1[[#This Row],[JUNIO ]]&gt;45,Tabla1[[#This Row],[JUNIO ]]/45-1,0))</f>
        <v>0</v>
      </c>
      <c r="AM212" s="100">
        <f>IF(Tabla1[[#This Row],[TIPO DE CONSUMIDOR]]="MEDIO",IF(Tabla1[[#This Row],[JULIO ]]&gt;22.5,Tabla1[[#This Row],[JULIO ]]/22.5-1,0),IF(Tabla1[[#This Row],[JULIO ]]&gt;45,Tabla1[[#This Row],[JULIO ]]/45-1,0))</f>
        <v>0</v>
      </c>
      <c r="AN212" s="100">
        <f>IF(Tabla1[[#This Row],[TIPO DE CONSUMIDOR]]="MEDIO",IF(Tabla1[[#This Row],[AGOSTO]]&gt;22.5,Tabla1[[#This Row],[AGOSTO]]/22.5-1,0),IF(Tabla1[[#This Row],[AGOSTO]]&gt;45,Tabla1[[#This Row],[AGOSTO]]/45-1,0))</f>
        <v>0</v>
      </c>
      <c r="AO21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2" s="101">
        <f t="shared" si="7"/>
        <v>0</v>
      </c>
      <c r="AT212">
        <f>IF(Tabla1[[#This Row],[MES ADEUDO DE AÑOS PASADOS ]]&gt;0,1,0)</f>
        <v>1</v>
      </c>
      <c r="AU212" s="9">
        <f t="shared" si="8"/>
        <v>1</v>
      </c>
      <c r="AV212" s="60">
        <f>IF(Tabla1[[#This Row],[MESES DE ADEUDO DEL AÑO EN CURSO ]]&gt;0,1,0)</f>
        <v>0</v>
      </c>
      <c r="AW212" s="42"/>
      <c r="AX212" s="42"/>
      <c r="AY212" s="42"/>
      <c r="AZ212" s="43"/>
    </row>
    <row r="213" spans="1:52" ht="21.75" thickBot="1" x14ac:dyDescent="0.35">
      <c r="A213" s="106">
        <v>207</v>
      </c>
      <c r="B213" s="5" t="s">
        <v>333</v>
      </c>
      <c r="C213" s="2" t="s">
        <v>511</v>
      </c>
      <c r="D213" s="32"/>
      <c r="E213" s="35" t="s">
        <v>455</v>
      </c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24">
        <f>SUM(Tabla1[[#This Row],[ENERO ]:[DICIEMBRE]])</f>
        <v>0</v>
      </c>
      <c r="W213">
        <v>5</v>
      </c>
      <c r="X213" s="21">
        <f>COUNTIF(Tabla1[[#This Row],[ENERO ]:[DICIEMBRE]],0)-(AS213)-IF(Tabla1[[#This Row],[BAJAS]]="BAJA",IF(Tabla1[[#This Row],[ALTAS]]="ALTA",VLOOKUP(Tabla1[[#This Row],[MES DE ALTA ]],$AW$6:$AX$17,2,FALSE),12)-VLOOKUP(Tabla1[[#This Row],[MES DE BAJA ]],$AW$6:$AX$17,2,FALSE),0)</f>
        <v>0</v>
      </c>
      <c r="Y213" s="68">
        <f>SUM(Tabla1[[#This Row],[MES ADEUDO DE AÑOS PASADOS ]:[MESES DE ADEUDO DEL AÑO EN CURSO ]])-Tabla1[[#This Row],[PAGO DE DEUDA ANTERIOR EN MESES]]</f>
        <v>5</v>
      </c>
      <c r="Z213" s="15">
        <f>Tabla1[[#This Row],[MES ADEUDO DE AÑOS PASADOS ]]*$T$2</f>
        <v>225</v>
      </c>
      <c r="AA213" s="15">
        <f>Tabla1[[#This Row],[MESES DE ADEUDO DEL AÑO EN CURSO ]]*$T$2</f>
        <v>0</v>
      </c>
      <c r="AB213" s="69">
        <f>SUM(Tabla1[[#This Row],[DEUDA DE LOS MESES PASADOS EN $$]:[DEUDA DEL AÑO 2013 $$ ]])</f>
        <v>225</v>
      </c>
      <c r="AD213">
        <f>Tabla1[[#This Row],[PAGO DE DEUDA ANTERIOR EN MESES]]*$T$2</f>
        <v>0</v>
      </c>
      <c r="AG213" s="100">
        <f>IF(Tabla1[[#This Row],[TIPO DE CONSUMIDOR]]="MEDIO",IF(Tabla1[[#This Row],[ENERO ]]&gt;22.5,Tabla1[[#This Row],[ENERO ]]/22.5-1,0),IF(Tabla1[[#This Row],[ENERO ]]&gt;45,Tabla1[[#This Row],[ENERO ]]/45-1,0))</f>
        <v>0</v>
      </c>
      <c r="AH21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3" s="100">
        <f>IF(Tabla1[[#This Row],[TIPO DE CONSUMIDOR]]="MEDIO",IF(Tabla1[[#This Row],[MARZO]]&gt;22.5,Tabla1[[#This Row],[MARZO]]/22.5-1,0),IF(Tabla1[[#This Row],[MARZO]]&gt;45,Tabla1[[#This Row],[MARZO]]/45-1,0))</f>
        <v>0</v>
      </c>
      <c r="AJ213" s="100">
        <f>IF(Tabla1[[#This Row],[TIPO DE CONSUMIDOR]]="MEDIO",IF(Tabla1[[#This Row],[ABRIL]]&gt;22.5,Tabla1[[#This Row],[ABRIL]]/22.5-1,0),IF(Tabla1[[#This Row],[ABRIL]]&gt;45,Tabla1[[#This Row],[ABRIL]]/45-1,0))</f>
        <v>0</v>
      </c>
      <c r="AK213" s="100">
        <f>IF(Tabla1[[#This Row],[TIPO DE CONSUMIDOR]]="MEDIO",IF(Tabla1[[#This Row],[MAYO ]]&gt;22.5,Tabla1[[#This Row],[MAYO ]]/22.5-1,0),IF(Tabla1[[#This Row],[MAYO ]]&gt;45,Tabla1[[#This Row],[MAYO ]]/45-1,0))</f>
        <v>0</v>
      </c>
      <c r="AL213" s="100">
        <f>IF(Tabla1[[#This Row],[TIPO DE CONSUMIDOR]]="MEDIO",IF(Tabla1[[#This Row],[JUNIO ]]&gt;22.5,Tabla1[[#This Row],[JUNIO ]]/22.5-1,0),IF(Tabla1[[#This Row],[JUNIO ]]&gt;45,Tabla1[[#This Row],[JUNIO ]]/45-1,0))</f>
        <v>0</v>
      </c>
      <c r="AM213" s="100">
        <f>IF(Tabla1[[#This Row],[TIPO DE CONSUMIDOR]]="MEDIO",IF(Tabla1[[#This Row],[JULIO ]]&gt;22.5,Tabla1[[#This Row],[JULIO ]]/22.5-1,0),IF(Tabla1[[#This Row],[JULIO ]]&gt;45,Tabla1[[#This Row],[JULIO ]]/45-1,0))</f>
        <v>0</v>
      </c>
      <c r="AN213" s="100">
        <f>IF(Tabla1[[#This Row],[TIPO DE CONSUMIDOR]]="MEDIO",IF(Tabla1[[#This Row],[AGOSTO]]&gt;22.5,Tabla1[[#This Row],[AGOSTO]]/22.5-1,0),IF(Tabla1[[#This Row],[AGOSTO]]&gt;45,Tabla1[[#This Row],[AGOSTO]]/45-1,0))</f>
        <v>0</v>
      </c>
      <c r="AO21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3" s="101">
        <f t="shared" si="7"/>
        <v>0</v>
      </c>
      <c r="AT213">
        <f>IF(Tabla1[[#This Row],[MES ADEUDO DE AÑOS PASADOS ]]&gt;0,1,0)</f>
        <v>1</v>
      </c>
      <c r="AU213" s="9">
        <f t="shared" si="8"/>
        <v>1</v>
      </c>
      <c r="AV213" s="60">
        <f>IF(Tabla1[[#This Row],[MESES DE ADEUDO DEL AÑO EN CURSO ]]&gt;0,1,0)</f>
        <v>0</v>
      </c>
      <c r="AW213" s="42"/>
      <c r="AX213" s="42"/>
      <c r="AY213" s="42"/>
      <c r="AZ213" s="43"/>
    </row>
    <row r="214" spans="1:52" ht="21.75" thickBot="1" x14ac:dyDescent="0.35">
      <c r="A214" s="106">
        <v>208</v>
      </c>
      <c r="B214" s="5" t="s">
        <v>604</v>
      </c>
      <c r="C214" s="2" t="s">
        <v>511</v>
      </c>
      <c r="D214" s="32"/>
      <c r="E214" s="35" t="s">
        <v>455</v>
      </c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24">
        <f>SUM(Tabla1[[#This Row],[ENERO ]:[DICIEMBRE]])</f>
        <v>0</v>
      </c>
      <c r="W214">
        <v>5</v>
      </c>
      <c r="X214" s="21">
        <f>COUNTIF(Tabla1[[#This Row],[ENERO ]:[DICIEMBRE]],0)-(AS214)-IF(Tabla1[[#This Row],[BAJAS]]="BAJA",IF(Tabla1[[#This Row],[ALTAS]]="ALTA",VLOOKUP(Tabla1[[#This Row],[MES DE ALTA ]],$AW$6:$AX$17,2,FALSE),12)-VLOOKUP(Tabla1[[#This Row],[MES DE BAJA ]],$AW$6:$AX$17,2,FALSE),0)</f>
        <v>0</v>
      </c>
      <c r="Y214" s="68">
        <f>SUM(Tabla1[[#This Row],[MES ADEUDO DE AÑOS PASADOS ]:[MESES DE ADEUDO DEL AÑO EN CURSO ]])-Tabla1[[#This Row],[PAGO DE DEUDA ANTERIOR EN MESES]]</f>
        <v>5</v>
      </c>
      <c r="Z214" s="15">
        <f>Tabla1[[#This Row],[MES ADEUDO DE AÑOS PASADOS ]]*$T$2</f>
        <v>225</v>
      </c>
      <c r="AA214" s="15">
        <f>Tabla1[[#This Row],[MESES DE ADEUDO DEL AÑO EN CURSO ]]*$T$2</f>
        <v>0</v>
      </c>
      <c r="AB214" s="69">
        <f>SUM(Tabla1[[#This Row],[DEUDA DE LOS MESES PASADOS EN $$]:[DEUDA DEL AÑO 2013 $$ ]])</f>
        <v>225</v>
      </c>
      <c r="AD214">
        <f>Tabla1[[#This Row],[PAGO DE DEUDA ANTERIOR EN MESES]]*$T$2</f>
        <v>0</v>
      </c>
      <c r="AG214" s="100">
        <f>IF(Tabla1[[#This Row],[TIPO DE CONSUMIDOR]]="MEDIO",IF(Tabla1[[#This Row],[ENERO ]]&gt;22.5,Tabla1[[#This Row],[ENERO ]]/22.5-1,0),IF(Tabla1[[#This Row],[ENERO ]]&gt;45,Tabla1[[#This Row],[ENERO ]]/45-1,0))</f>
        <v>0</v>
      </c>
      <c r="AH21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4" s="100">
        <f>IF(Tabla1[[#This Row],[TIPO DE CONSUMIDOR]]="MEDIO",IF(Tabla1[[#This Row],[MARZO]]&gt;22.5,Tabla1[[#This Row],[MARZO]]/22.5-1,0),IF(Tabla1[[#This Row],[MARZO]]&gt;45,Tabla1[[#This Row],[MARZO]]/45-1,0))</f>
        <v>0</v>
      </c>
      <c r="AJ214" s="100">
        <f>IF(Tabla1[[#This Row],[TIPO DE CONSUMIDOR]]="MEDIO",IF(Tabla1[[#This Row],[ABRIL]]&gt;22.5,Tabla1[[#This Row],[ABRIL]]/22.5-1,0),IF(Tabla1[[#This Row],[ABRIL]]&gt;45,Tabla1[[#This Row],[ABRIL]]/45-1,0))</f>
        <v>0</v>
      </c>
      <c r="AK214" s="100">
        <f>IF(Tabla1[[#This Row],[TIPO DE CONSUMIDOR]]="MEDIO",IF(Tabla1[[#This Row],[MAYO ]]&gt;22.5,Tabla1[[#This Row],[MAYO ]]/22.5-1,0),IF(Tabla1[[#This Row],[MAYO ]]&gt;45,Tabla1[[#This Row],[MAYO ]]/45-1,0))</f>
        <v>0</v>
      </c>
      <c r="AL214" s="100">
        <f>IF(Tabla1[[#This Row],[TIPO DE CONSUMIDOR]]="MEDIO",IF(Tabla1[[#This Row],[JUNIO ]]&gt;22.5,Tabla1[[#This Row],[JUNIO ]]/22.5-1,0),IF(Tabla1[[#This Row],[JUNIO ]]&gt;45,Tabla1[[#This Row],[JUNIO ]]/45-1,0))</f>
        <v>0</v>
      </c>
      <c r="AM214" s="100">
        <f>IF(Tabla1[[#This Row],[TIPO DE CONSUMIDOR]]="MEDIO",IF(Tabla1[[#This Row],[JULIO ]]&gt;22.5,Tabla1[[#This Row],[JULIO ]]/22.5-1,0),IF(Tabla1[[#This Row],[JULIO ]]&gt;45,Tabla1[[#This Row],[JULIO ]]/45-1,0))</f>
        <v>0</v>
      </c>
      <c r="AN214" s="100">
        <f>IF(Tabla1[[#This Row],[TIPO DE CONSUMIDOR]]="MEDIO",IF(Tabla1[[#This Row],[AGOSTO]]&gt;22.5,Tabla1[[#This Row],[AGOSTO]]/22.5-1,0),IF(Tabla1[[#This Row],[AGOSTO]]&gt;45,Tabla1[[#This Row],[AGOSTO]]/45-1,0))</f>
        <v>0</v>
      </c>
      <c r="AO21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4" s="101">
        <f t="shared" si="7"/>
        <v>0</v>
      </c>
      <c r="AT214">
        <f>IF(Tabla1[[#This Row],[MES ADEUDO DE AÑOS PASADOS ]]&gt;0,1,0)</f>
        <v>1</v>
      </c>
      <c r="AU214" s="9">
        <f t="shared" si="8"/>
        <v>1</v>
      </c>
      <c r="AV214" s="60">
        <f>IF(Tabla1[[#This Row],[MESES DE ADEUDO DEL AÑO EN CURSO ]]&gt;0,1,0)</f>
        <v>0</v>
      </c>
      <c r="AW214" s="42"/>
      <c r="AX214" s="42"/>
      <c r="AY214" s="42"/>
      <c r="AZ214" s="43"/>
    </row>
    <row r="215" spans="1:52" ht="21.75" thickBot="1" x14ac:dyDescent="0.35">
      <c r="A215" s="106">
        <v>209</v>
      </c>
      <c r="B215" s="5" t="s">
        <v>514</v>
      </c>
      <c r="C215" s="2" t="s">
        <v>511</v>
      </c>
      <c r="D215" s="32"/>
      <c r="E215" s="35" t="s">
        <v>455</v>
      </c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24">
        <f>SUM(Tabla1[[#This Row],[ENERO ]:[DICIEMBRE]])</f>
        <v>0</v>
      </c>
      <c r="W215">
        <v>7</v>
      </c>
      <c r="X215" s="21">
        <f>COUNTIF(Tabla1[[#This Row],[ENERO ]:[DICIEMBRE]],0)-(AS215)-IF(Tabla1[[#This Row],[BAJAS]]="BAJA",IF(Tabla1[[#This Row],[ALTAS]]="ALTA",VLOOKUP(Tabla1[[#This Row],[MES DE ALTA ]],$AW$6:$AX$17,2,FALSE),12)-VLOOKUP(Tabla1[[#This Row],[MES DE BAJA ]],$AW$6:$AX$17,2,FALSE),0)</f>
        <v>0</v>
      </c>
      <c r="Y215" s="68">
        <f>SUM(Tabla1[[#This Row],[MES ADEUDO DE AÑOS PASADOS ]:[MESES DE ADEUDO DEL AÑO EN CURSO ]])-Tabla1[[#This Row],[PAGO DE DEUDA ANTERIOR EN MESES]]</f>
        <v>7</v>
      </c>
      <c r="Z215" s="15">
        <f>Tabla1[[#This Row],[MES ADEUDO DE AÑOS PASADOS ]]*$T$2</f>
        <v>315</v>
      </c>
      <c r="AA215" s="15">
        <f>Tabla1[[#This Row],[MESES DE ADEUDO DEL AÑO EN CURSO ]]*$T$2</f>
        <v>0</v>
      </c>
      <c r="AB215" s="69">
        <f>SUM(Tabla1[[#This Row],[DEUDA DE LOS MESES PASADOS EN $$]:[DEUDA DEL AÑO 2013 $$ ]])</f>
        <v>315</v>
      </c>
      <c r="AD215">
        <f>Tabla1[[#This Row],[PAGO DE DEUDA ANTERIOR EN MESES]]*$T$2</f>
        <v>0</v>
      </c>
      <c r="AG215" s="100">
        <f>IF(Tabla1[[#This Row],[TIPO DE CONSUMIDOR]]="MEDIO",IF(Tabla1[[#This Row],[ENERO ]]&gt;22.5,Tabla1[[#This Row],[ENERO ]]/22.5-1,0),IF(Tabla1[[#This Row],[ENERO ]]&gt;45,Tabla1[[#This Row],[ENERO ]]/45-1,0))</f>
        <v>0</v>
      </c>
      <c r="AH21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5" s="100">
        <f>IF(Tabla1[[#This Row],[TIPO DE CONSUMIDOR]]="MEDIO",IF(Tabla1[[#This Row],[MARZO]]&gt;22.5,Tabla1[[#This Row],[MARZO]]/22.5-1,0),IF(Tabla1[[#This Row],[MARZO]]&gt;45,Tabla1[[#This Row],[MARZO]]/45-1,0))</f>
        <v>0</v>
      </c>
      <c r="AJ215" s="100">
        <f>IF(Tabla1[[#This Row],[TIPO DE CONSUMIDOR]]="MEDIO",IF(Tabla1[[#This Row],[ABRIL]]&gt;22.5,Tabla1[[#This Row],[ABRIL]]/22.5-1,0),IF(Tabla1[[#This Row],[ABRIL]]&gt;45,Tabla1[[#This Row],[ABRIL]]/45-1,0))</f>
        <v>0</v>
      </c>
      <c r="AK215" s="100">
        <f>IF(Tabla1[[#This Row],[TIPO DE CONSUMIDOR]]="MEDIO",IF(Tabla1[[#This Row],[MAYO ]]&gt;22.5,Tabla1[[#This Row],[MAYO ]]/22.5-1,0),IF(Tabla1[[#This Row],[MAYO ]]&gt;45,Tabla1[[#This Row],[MAYO ]]/45-1,0))</f>
        <v>0</v>
      </c>
      <c r="AL215" s="100">
        <f>IF(Tabla1[[#This Row],[TIPO DE CONSUMIDOR]]="MEDIO",IF(Tabla1[[#This Row],[JUNIO ]]&gt;22.5,Tabla1[[#This Row],[JUNIO ]]/22.5-1,0),IF(Tabla1[[#This Row],[JUNIO ]]&gt;45,Tabla1[[#This Row],[JUNIO ]]/45-1,0))</f>
        <v>0</v>
      </c>
      <c r="AM215" s="100">
        <f>IF(Tabla1[[#This Row],[TIPO DE CONSUMIDOR]]="MEDIO",IF(Tabla1[[#This Row],[JULIO ]]&gt;22.5,Tabla1[[#This Row],[JULIO ]]/22.5-1,0),IF(Tabla1[[#This Row],[JULIO ]]&gt;45,Tabla1[[#This Row],[JULIO ]]/45-1,0))</f>
        <v>0</v>
      </c>
      <c r="AN215" s="100">
        <f>IF(Tabla1[[#This Row],[TIPO DE CONSUMIDOR]]="MEDIO",IF(Tabla1[[#This Row],[AGOSTO]]&gt;22.5,Tabla1[[#This Row],[AGOSTO]]/22.5-1,0),IF(Tabla1[[#This Row],[AGOSTO]]&gt;45,Tabla1[[#This Row],[AGOSTO]]/45-1,0))</f>
        <v>0</v>
      </c>
      <c r="AO21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5" s="101">
        <f t="shared" si="7"/>
        <v>0</v>
      </c>
      <c r="AT215">
        <f>IF(Tabla1[[#This Row],[MES ADEUDO DE AÑOS PASADOS ]]&gt;0,1,0)</f>
        <v>1</v>
      </c>
      <c r="AU215" s="9">
        <f t="shared" si="8"/>
        <v>1</v>
      </c>
      <c r="AV215" s="60">
        <f>IF(Tabla1[[#This Row],[MESES DE ADEUDO DEL AÑO EN CURSO ]]&gt;0,1,0)</f>
        <v>0</v>
      </c>
      <c r="AW215" s="42"/>
      <c r="AX215" s="42"/>
      <c r="AY215" s="42"/>
      <c r="AZ215" s="43"/>
    </row>
    <row r="216" spans="1:52" ht="21.75" thickBot="1" x14ac:dyDescent="0.35">
      <c r="A216" s="106">
        <v>210</v>
      </c>
      <c r="B216" s="5" t="s">
        <v>402</v>
      </c>
      <c r="C216" s="2" t="s">
        <v>511</v>
      </c>
      <c r="D216" s="32"/>
      <c r="E216" s="35" t="s">
        <v>455</v>
      </c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24">
        <f>SUM(Tabla1[[#This Row],[ENERO ]:[DICIEMBRE]])</f>
        <v>0</v>
      </c>
      <c r="W216">
        <v>9</v>
      </c>
      <c r="X216" s="21">
        <f>COUNTIF(Tabla1[[#This Row],[ENERO ]:[DICIEMBRE]],0)-(AS216)-IF(Tabla1[[#This Row],[BAJAS]]="BAJA",IF(Tabla1[[#This Row],[ALTAS]]="ALTA",VLOOKUP(Tabla1[[#This Row],[MES DE ALTA ]],$AW$6:$AX$17,2,FALSE),12)-VLOOKUP(Tabla1[[#This Row],[MES DE BAJA ]],$AW$6:$AX$17,2,FALSE),0)</f>
        <v>0</v>
      </c>
      <c r="Y216" s="68">
        <f>SUM(Tabla1[[#This Row],[MES ADEUDO DE AÑOS PASADOS ]:[MESES DE ADEUDO DEL AÑO EN CURSO ]])-Tabla1[[#This Row],[PAGO DE DEUDA ANTERIOR EN MESES]]</f>
        <v>9</v>
      </c>
      <c r="Z216" s="15">
        <f>Tabla1[[#This Row],[MES ADEUDO DE AÑOS PASADOS ]]*$T$2</f>
        <v>405</v>
      </c>
      <c r="AA216" s="15">
        <f>Tabla1[[#This Row],[MESES DE ADEUDO DEL AÑO EN CURSO ]]*$T$2</f>
        <v>0</v>
      </c>
      <c r="AB216" s="69">
        <f>SUM(Tabla1[[#This Row],[DEUDA DE LOS MESES PASADOS EN $$]:[DEUDA DEL AÑO 2013 $$ ]])</f>
        <v>405</v>
      </c>
      <c r="AD216">
        <f>Tabla1[[#This Row],[PAGO DE DEUDA ANTERIOR EN MESES]]*$T$2</f>
        <v>0</v>
      </c>
      <c r="AG216" s="100">
        <f>IF(Tabla1[[#This Row],[TIPO DE CONSUMIDOR]]="MEDIO",IF(Tabla1[[#This Row],[ENERO ]]&gt;22.5,Tabla1[[#This Row],[ENERO ]]/22.5-1,0),IF(Tabla1[[#This Row],[ENERO ]]&gt;45,Tabla1[[#This Row],[ENERO ]]/45-1,0))</f>
        <v>0</v>
      </c>
      <c r="AH21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6" s="100">
        <f>IF(Tabla1[[#This Row],[TIPO DE CONSUMIDOR]]="MEDIO",IF(Tabla1[[#This Row],[MARZO]]&gt;22.5,Tabla1[[#This Row],[MARZO]]/22.5-1,0),IF(Tabla1[[#This Row],[MARZO]]&gt;45,Tabla1[[#This Row],[MARZO]]/45-1,0))</f>
        <v>0</v>
      </c>
      <c r="AJ216" s="100">
        <f>IF(Tabla1[[#This Row],[TIPO DE CONSUMIDOR]]="MEDIO",IF(Tabla1[[#This Row],[ABRIL]]&gt;22.5,Tabla1[[#This Row],[ABRIL]]/22.5-1,0),IF(Tabla1[[#This Row],[ABRIL]]&gt;45,Tabla1[[#This Row],[ABRIL]]/45-1,0))</f>
        <v>0</v>
      </c>
      <c r="AK216" s="100">
        <f>IF(Tabla1[[#This Row],[TIPO DE CONSUMIDOR]]="MEDIO",IF(Tabla1[[#This Row],[MAYO ]]&gt;22.5,Tabla1[[#This Row],[MAYO ]]/22.5-1,0),IF(Tabla1[[#This Row],[MAYO ]]&gt;45,Tabla1[[#This Row],[MAYO ]]/45-1,0))</f>
        <v>0</v>
      </c>
      <c r="AL216" s="100">
        <f>IF(Tabla1[[#This Row],[TIPO DE CONSUMIDOR]]="MEDIO",IF(Tabla1[[#This Row],[JUNIO ]]&gt;22.5,Tabla1[[#This Row],[JUNIO ]]/22.5-1,0),IF(Tabla1[[#This Row],[JUNIO ]]&gt;45,Tabla1[[#This Row],[JUNIO ]]/45-1,0))</f>
        <v>0</v>
      </c>
      <c r="AM216" s="100">
        <f>IF(Tabla1[[#This Row],[TIPO DE CONSUMIDOR]]="MEDIO",IF(Tabla1[[#This Row],[JULIO ]]&gt;22.5,Tabla1[[#This Row],[JULIO ]]/22.5-1,0),IF(Tabla1[[#This Row],[JULIO ]]&gt;45,Tabla1[[#This Row],[JULIO ]]/45-1,0))</f>
        <v>0</v>
      </c>
      <c r="AN216" s="100">
        <f>IF(Tabla1[[#This Row],[TIPO DE CONSUMIDOR]]="MEDIO",IF(Tabla1[[#This Row],[AGOSTO]]&gt;22.5,Tabla1[[#This Row],[AGOSTO]]/22.5-1,0),IF(Tabla1[[#This Row],[AGOSTO]]&gt;45,Tabla1[[#This Row],[AGOSTO]]/45-1,0))</f>
        <v>0</v>
      </c>
      <c r="AO21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6" s="101">
        <f t="shared" si="7"/>
        <v>0</v>
      </c>
      <c r="AT216">
        <f>IF(Tabla1[[#This Row],[MES ADEUDO DE AÑOS PASADOS ]]&gt;0,1,0)</f>
        <v>1</v>
      </c>
      <c r="AU216" s="9">
        <f t="shared" si="8"/>
        <v>1</v>
      </c>
      <c r="AV216" s="60">
        <f>IF(Tabla1[[#This Row],[MESES DE ADEUDO DEL AÑO EN CURSO ]]&gt;0,1,0)</f>
        <v>0</v>
      </c>
      <c r="AW216" s="42"/>
      <c r="AX216" s="42"/>
      <c r="AY216" s="42"/>
      <c r="AZ216" s="43"/>
    </row>
    <row r="217" spans="1:52" ht="21.75" thickBot="1" x14ac:dyDescent="0.35">
      <c r="A217" s="106">
        <v>211</v>
      </c>
      <c r="B217" s="5" t="s">
        <v>177</v>
      </c>
      <c r="C217" s="2" t="s">
        <v>511</v>
      </c>
      <c r="D217" s="32"/>
      <c r="E217" s="35" t="s">
        <v>455</v>
      </c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24">
        <f>SUM(Tabla1[[#This Row],[ENERO ]:[DICIEMBRE]])</f>
        <v>0</v>
      </c>
      <c r="W217">
        <v>17</v>
      </c>
      <c r="X217" s="21">
        <f>COUNTIF(Tabla1[[#This Row],[ENERO ]:[DICIEMBRE]],0)-(AS217)-IF(Tabla1[[#This Row],[BAJAS]]="BAJA",IF(Tabla1[[#This Row],[ALTAS]]="ALTA",VLOOKUP(Tabla1[[#This Row],[MES DE ALTA ]],$AW$6:$AX$17,2,FALSE),12)-VLOOKUP(Tabla1[[#This Row],[MES DE BAJA ]],$AW$6:$AX$17,2,FALSE),0)</f>
        <v>0</v>
      </c>
      <c r="Y217" s="68">
        <f>SUM(Tabla1[[#This Row],[MES ADEUDO DE AÑOS PASADOS ]:[MESES DE ADEUDO DEL AÑO EN CURSO ]])-Tabla1[[#This Row],[PAGO DE DEUDA ANTERIOR EN MESES]]</f>
        <v>17</v>
      </c>
      <c r="Z217" s="15">
        <f>Tabla1[[#This Row],[MES ADEUDO DE AÑOS PASADOS ]]*$T$2</f>
        <v>765</v>
      </c>
      <c r="AA217" s="15">
        <f>Tabla1[[#This Row],[MESES DE ADEUDO DEL AÑO EN CURSO ]]*$T$2</f>
        <v>0</v>
      </c>
      <c r="AB217" s="69">
        <f>SUM(Tabla1[[#This Row],[DEUDA DE LOS MESES PASADOS EN $$]:[DEUDA DEL AÑO 2013 $$ ]])</f>
        <v>765</v>
      </c>
      <c r="AD217">
        <f>Tabla1[[#This Row],[PAGO DE DEUDA ANTERIOR EN MESES]]*$T$2</f>
        <v>0</v>
      </c>
      <c r="AG217" s="100">
        <f>IF(Tabla1[[#This Row],[TIPO DE CONSUMIDOR]]="MEDIO",IF(Tabla1[[#This Row],[ENERO ]]&gt;22.5,Tabla1[[#This Row],[ENERO ]]/22.5-1,0),IF(Tabla1[[#This Row],[ENERO ]]&gt;45,Tabla1[[#This Row],[ENERO ]]/45-1,0))</f>
        <v>0</v>
      </c>
      <c r="AH21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7" s="100">
        <f>IF(Tabla1[[#This Row],[TIPO DE CONSUMIDOR]]="MEDIO",IF(Tabla1[[#This Row],[MARZO]]&gt;22.5,Tabla1[[#This Row],[MARZO]]/22.5-1,0),IF(Tabla1[[#This Row],[MARZO]]&gt;45,Tabla1[[#This Row],[MARZO]]/45-1,0))</f>
        <v>0</v>
      </c>
      <c r="AJ217" s="100">
        <f>IF(Tabla1[[#This Row],[TIPO DE CONSUMIDOR]]="MEDIO",IF(Tabla1[[#This Row],[ABRIL]]&gt;22.5,Tabla1[[#This Row],[ABRIL]]/22.5-1,0),IF(Tabla1[[#This Row],[ABRIL]]&gt;45,Tabla1[[#This Row],[ABRIL]]/45-1,0))</f>
        <v>0</v>
      </c>
      <c r="AK217" s="100">
        <f>IF(Tabla1[[#This Row],[TIPO DE CONSUMIDOR]]="MEDIO",IF(Tabla1[[#This Row],[MAYO ]]&gt;22.5,Tabla1[[#This Row],[MAYO ]]/22.5-1,0),IF(Tabla1[[#This Row],[MAYO ]]&gt;45,Tabla1[[#This Row],[MAYO ]]/45-1,0))</f>
        <v>0</v>
      </c>
      <c r="AL217" s="100">
        <f>IF(Tabla1[[#This Row],[TIPO DE CONSUMIDOR]]="MEDIO",IF(Tabla1[[#This Row],[JUNIO ]]&gt;22.5,Tabla1[[#This Row],[JUNIO ]]/22.5-1,0),IF(Tabla1[[#This Row],[JUNIO ]]&gt;45,Tabla1[[#This Row],[JUNIO ]]/45-1,0))</f>
        <v>0</v>
      </c>
      <c r="AM217" s="100">
        <f>IF(Tabla1[[#This Row],[TIPO DE CONSUMIDOR]]="MEDIO",IF(Tabla1[[#This Row],[JULIO ]]&gt;22.5,Tabla1[[#This Row],[JULIO ]]/22.5-1,0),IF(Tabla1[[#This Row],[JULIO ]]&gt;45,Tabla1[[#This Row],[JULIO ]]/45-1,0))</f>
        <v>0</v>
      </c>
      <c r="AN217" s="100">
        <f>IF(Tabla1[[#This Row],[TIPO DE CONSUMIDOR]]="MEDIO",IF(Tabla1[[#This Row],[AGOSTO]]&gt;22.5,Tabla1[[#This Row],[AGOSTO]]/22.5-1,0),IF(Tabla1[[#This Row],[AGOSTO]]&gt;45,Tabla1[[#This Row],[AGOSTO]]/45-1,0))</f>
        <v>0</v>
      </c>
      <c r="AO21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7" s="101">
        <f t="shared" si="7"/>
        <v>0</v>
      </c>
      <c r="AT217">
        <f>IF(Tabla1[[#This Row],[MES ADEUDO DE AÑOS PASADOS ]]&gt;0,1,0)</f>
        <v>1</v>
      </c>
      <c r="AU217" s="9">
        <f t="shared" si="8"/>
        <v>1</v>
      </c>
      <c r="AV217" s="60">
        <f>IF(Tabla1[[#This Row],[MESES DE ADEUDO DEL AÑO EN CURSO ]]&gt;0,1,0)</f>
        <v>0</v>
      </c>
      <c r="AW217" s="42"/>
      <c r="AX217" s="42"/>
      <c r="AY217" s="42"/>
      <c r="AZ217" s="43"/>
    </row>
    <row r="218" spans="1:52" ht="21.75" thickBot="1" x14ac:dyDescent="0.35">
      <c r="A218" s="106">
        <v>212</v>
      </c>
      <c r="B218" s="5" t="s">
        <v>518</v>
      </c>
      <c r="C218" s="2" t="s">
        <v>519</v>
      </c>
      <c r="D218" s="32"/>
      <c r="E218" s="35" t="s">
        <v>455</v>
      </c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24">
        <f>SUM(Tabla1[[#This Row],[ENERO ]:[DICIEMBRE]])</f>
        <v>0</v>
      </c>
      <c r="W218">
        <v>0</v>
      </c>
      <c r="X218" s="21">
        <f>COUNTIF(Tabla1[[#This Row],[ENERO ]:[DICIEMBRE]],0)-(AS218)-IF(Tabla1[[#This Row],[BAJAS]]="BAJA",IF(Tabla1[[#This Row],[ALTAS]]="ALTA",VLOOKUP(Tabla1[[#This Row],[MES DE ALTA ]],$AW$6:$AX$17,2,FALSE),12)-VLOOKUP(Tabla1[[#This Row],[MES DE BAJA ]],$AW$6:$AX$17,2,FALSE),0)</f>
        <v>0</v>
      </c>
      <c r="Y218" s="68">
        <f>SUM(Tabla1[[#This Row],[MES ADEUDO DE AÑOS PASADOS ]:[MESES DE ADEUDO DEL AÑO EN CURSO ]])-Tabla1[[#This Row],[PAGO DE DEUDA ANTERIOR EN MESES]]</f>
        <v>0</v>
      </c>
      <c r="Z218" s="15">
        <f>Tabla1[[#This Row],[MES ADEUDO DE AÑOS PASADOS ]]*$T$2</f>
        <v>0</v>
      </c>
      <c r="AA218" s="15">
        <f>Tabla1[[#This Row],[MESES DE ADEUDO DEL AÑO EN CURSO ]]*$T$2</f>
        <v>0</v>
      </c>
      <c r="AB218" s="69">
        <f>SUM(Tabla1[[#This Row],[DEUDA DE LOS MESES PASADOS EN $$]:[DEUDA DEL AÑO 2013 $$ ]])</f>
        <v>0</v>
      </c>
      <c r="AD218">
        <f>Tabla1[[#This Row],[PAGO DE DEUDA ANTERIOR EN MESES]]*$T$2</f>
        <v>0</v>
      </c>
      <c r="AG218" s="100">
        <f>IF(Tabla1[[#This Row],[TIPO DE CONSUMIDOR]]="MEDIO",IF(Tabla1[[#This Row],[ENERO ]]&gt;22.5,Tabla1[[#This Row],[ENERO ]]/22.5-1,0),IF(Tabla1[[#This Row],[ENERO ]]&gt;45,Tabla1[[#This Row],[ENERO ]]/45-1,0))</f>
        <v>0</v>
      </c>
      <c r="AH21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8" s="100">
        <f>IF(Tabla1[[#This Row],[TIPO DE CONSUMIDOR]]="MEDIO",IF(Tabla1[[#This Row],[MARZO]]&gt;22.5,Tabla1[[#This Row],[MARZO]]/22.5-1,0),IF(Tabla1[[#This Row],[MARZO]]&gt;45,Tabla1[[#This Row],[MARZO]]/45-1,0))</f>
        <v>0</v>
      </c>
      <c r="AJ218" s="100">
        <f>IF(Tabla1[[#This Row],[TIPO DE CONSUMIDOR]]="MEDIO",IF(Tabla1[[#This Row],[ABRIL]]&gt;22.5,Tabla1[[#This Row],[ABRIL]]/22.5-1,0),IF(Tabla1[[#This Row],[ABRIL]]&gt;45,Tabla1[[#This Row],[ABRIL]]/45-1,0))</f>
        <v>0</v>
      </c>
      <c r="AK218" s="100">
        <f>IF(Tabla1[[#This Row],[TIPO DE CONSUMIDOR]]="MEDIO",IF(Tabla1[[#This Row],[MAYO ]]&gt;22.5,Tabla1[[#This Row],[MAYO ]]/22.5-1,0),IF(Tabla1[[#This Row],[MAYO ]]&gt;45,Tabla1[[#This Row],[MAYO ]]/45-1,0))</f>
        <v>0</v>
      </c>
      <c r="AL218" s="100">
        <f>IF(Tabla1[[#This Row],[TIPO DE CONSUMIDOR]]="MEDIO",IF(Tabla1[[#This Row],[JUNIO ]]&gt;22.5,Tabla1[[#This Row],[JUNIO ]]/22.5-1,0),IF(Tabla1[[#This Row],[JUNIO ]]&gt;45,Tabla1[[#This Row],[JUNIO ]]/45-1,0))</f>
        <v>0</v>
      </c>
      <c r="AM218" s="100">
        <f>IF(Tabla1[[#This Row],[TIPO DE CONSUMIDOR]]="MEDIO",IF(Tabla1[[#This Row],[JULIO ]]&gt;22.5,Tabla1[[#This Row],[JULIO ]]/22.5-1,0),IF(Tabla1[[#This Row],[JULIO ]]&gt;45,Tabla1[[#This Row],[JULIO ]]/45-1,0))</f>
        <v>0</v>
      </c>
      <c r="AN218" s="100">
        <f>IF(Tabla1[[#This Row],[TIPO DE CONSUMIDOR]]="MEDIO",IF(Tabla1[[#This Row],[AGOSTO]]&gt;22.5,Tabla1[[#This Row],[AGOSTO]]/22.5-1,0),IF(Tabla1[[#This Row],[AGOSTO]]&gt;45,Tabla1[[#This Row],[AGOSTO]]/45-1,0))</f>
        <v>0</v>
      </c>
      <c r="AO21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8" s="101">
        <f t="shared" si="7"/>
        <v>0</v>
      </c>
      <c r="AT218">
        <f>IF(Tabla1[[#This Row],[MES ADEUDO DE AÑOS PASADOS ]]&gt;0,1,0)</f>
        <v>0</v>
      </c>
      <c r="AU218" s="9">
        <f t="shared" si="8"/>
        <v>0</v>
      </c>
      <c r="AV218" s="60">
        <f>IF(Tabla1[[#This Row],[MESES DE ADEUDO DEL AÑO EN CURSO ]]&gt;0,1,0)</f>
        <v>0</v>
      </c>
      <c r="AW218" s="42"/>
      <c r="AX218" s="42"/>
      <c r="AY218" s="42"/>
      <c r="AZ218" s="43"/>
    </row>
    <row r="219" spans="1:52" ht="21.75" thickBot="1" x14ac:dyDescent="0.35">
      <c r="A219" s="106">
        <v>213</v>
      </c>
      <c r="B219" s="5" t="s">
        <v>87</v>
      </c>
      <c r="C219" s="2" t="s">
        <v>520</v>
      </c>
      <c r="D219" s="32"/>
      <c r="E219" s="35" t="s">
        <v>455</v>
      </c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24">
        <f>SUM(Tabla1[[#This Row],[ENERO ]:[DICIEMBRE]])</f>
        <v>0</v>
      </c>
      <c r="W219">
        <v>1</v>
      </c>
      <c r="X219" s="21">
        <f>COUNTIF(Tabla1[[#This Row],[ENERO ]:[DICIEMBRE]],0)-(AS219)-IF(Tabla1[[#This Row],[BAJAS]]="BAJA",IF(Tabla1[[#This Row],[ALTAS]]="ALTA",VLOOKUP(Tabla1[[#This Row],[MES DE ALTA ]],$AW$6:$AX$17,2,FALSE),12)-VLOOKUP(Tabla1[[#This Row],[MES DE BAJA ]],$AW$6:$AX$17,2,FALSE),0)</f>
        <v>0</v>
      </c>
      <c r="Y219" s="68">
        <f>SUM(Tabla1[[#This Row],[MES ADEUDO DE AÑOS PASADOS ]:[MESES DE ADEUDO DEL AÑO EN CURSO ]])-Tabla1[[#This Row],[PAGO DE DEUDA ANTERIOR EN MESES]]</f>
        <v>1</v>
      </c>
      <c r="Z219" s="15">
        <f>Tabla1[[#This Row],[MES ADEUDO DE AÑOS PASADOS ]]*$T$2</f>
        <v>45</v>
      </c>
      <c r="AA219" s="15">
        <f>Tabla1[[#This Row],[MESES DE ADEUDO DEL AÑO EN CURSO ]]*$T$2</f>
        <v>0</v>
      </c>
      <c r="AB219" s="69">
        <f>SUM(Tabla1[[#This Row],[DEUDA DE LOS MESES PASADOS EN $$]:[DEUDA DEL AÑO 2013 $$ ]])</f>
        <v>45</v>
      </c>
      <c r="AD219">
        <f>Tabla1[[#This Row],[PAGO DE DEUDA ANTERIOR EN MESES]]*$T$2</f>
        <v>0</v>
      </c>
      <c r="AG219" s="100">
        <f>IF(Tabla1[[#This Row],[TIPO DE CONSUMIDOR]]="MEDIO",IF(Tabla1[[#This Row],[ENERO ]]&gt;22.5,Tabla1[[#This Row],[ENERO ]]/22.5-1,0),IF(Tabla1[[#This Row],[ENERO ]]&gt;45,Tabla1[[#This Row],[ENERO ]]/45-1,0))</f>
        <v>0</v>
      </c>
      <c r="AH21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19" s="100">
        <f>IF(Tabla1[[#This Row],[TIPO DE CONSUMIDOR]]="MEDIO",IF(Tabla1[[#This Row],[MARZO]]&gt;22.5,Tabla1[[#This Row],[MARZO]]/22.5-1,0),IF(Tabla1[[#This Row],[MARZO]]&gt;45,Tabla1[[#This Row],[MARZO]]/45-1,0))</f>
        <v>0</v>
      </c>
      <c r="AJ219" s="100">
        <f>IF(Tabla1[[#This Row],[TIPO DE CONSUMIDOR]]="MEDIO",IF(Tabla1[[#This Row],[ABRIL]]&gt;22.5,Tabla1[[#This Row],[ABRIL]]/22.5-1,0),IF(Tabla1[[#This Row],[ABRIL]]&gt;45,Tabla1[[#This Row],[ABRIL]]/45-1,0))</f>
        <v>0</v>
      </c>
      <c r="AK219" s="100">
        <f>IF(Tabla1[[#This Row],[TIPO DE CONSUMIDOR]]="MEDIO",IF(Tabla1[[#This Row],[MAYO ]]&gt;22.5,Tabla1[[#This Row],[MAYO ]]/22.5-1,0),IF(Tabla1[[#This Row],[MAYO ]]&gt;45,Tabla1[[#This Row],[MAYO ]]/45-1,0))</f>
        <v>0</v>
      </c>
      <c r="AL219" s="100">
        <f>IF(Tabla1[[#This Row],[TIPO DE CONSUMIDOR]]="MEDIO",IF(Tabla1[[#This Row],[JUNIO ]]&gt;22.5,Tabla1[[#This Row],[JUNIO ]]/22.5-1,0),IF(Tabla1[[#This Row],[JUNIO ]]&gt;45,Tabla1[[#This Row],[JUNIO ]]/45-1,0))</f>
        <v>0</v>
      </c>
      <c r="AM219" s="100">
        <f>IF(Tabla1[[#This Row],[TIPO DE CONSUMIDOR]]="MEDIO",IF(Tabla1[[#This Row],[JULIO ]]&gt;22.5,Tabla1[[#This Row],[JULIO ]]/22.5-1,0),IF(Tabla1[[#This Row],[JULIO ]]&gt;45,Tabla1[[#This Row],[JULIO ]]/45-1,0))</f>
        <v>0</v>
      </c>
      <c r="AN219" s="100">
        <f>IF(Tabla1[[#This Row],[TIPO DE CONSUMIDOR]]="MEDIO",IF(Tabla1[[#This Row],[AGOSTO]]&gt;22.5,Tabla1[[#This Row],[AGOSTO]]/22.5-1,0),IF(Tabla1[[#This Row],[AGOSTO]]&gt;45,Tabla1[[#This Row],[AGOSTO]]/45-1,0))</f>
        <v>0</v>
      </c>
      <c r="AO21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1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1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1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19" s="101">
        <f t="shared" si="7"/>
        <v>0</v>
      </c>
      <c r="AT219">
        <f>IF(Tabla1[[#This Row],[MES ADEUDO DE AÑOS PASADOS ]]&gt;0,1,0)</f>
        <v>1</v>
      </c>
      <c r="AU219" s="9">
        <f t="shared" si="8"/>
        <v>1</v>
      </c>
      <c r="AV219" s="60">
        <f>IF(Tabla1[[#This Row],[MESES DE ADEUDO DEL AÑO EN CURSO ]]&gt;0,1,0)</f>
        <v>0</v>
      </c>
      <c r="AW219" s="42"/>
      <c r="AX219" s="42"/>
      <c r="AY219" s="42"/>
      <c r="AZ219" s="43"/>
    </row>
    <row r="220" spans="1:52" ht="21.75" thickBot="1" x14ac:dyDescent="0.35">
      <c r="A220" s="106">
        <v>214</v>
      </c>
      <c r="B220" s="5" t="s">
        <v>83</v>
      </c>
      <c r="C220" s="2" t="s">
        <v>521</v>
      </c>
      <c r="D220" s="32"/>
      <c r="E220" s="35" t="s">
        <v>455</v>
      </c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24">
        <f>SUM(Tabla1[[#This Row],[ENERO ]:[DICIEMBRE]])</f>
        <v>0</v>
      </c>
      <c r="W220">
        <v>0</v>
      </c>
      <c r="X220" s="21">
        <f>COUNTIF(Tabla1[[#This Row],[ENERO ]:[DICIEMBRE]],0)-(AS220)-IF(Tabla1[[#This Row],[BAJAS]]="BAJA",IF(Tabla1[[#This Row],[ALTAS]]="ALTA",VLOOKUP(Tabla1[[#This Row],[MES DE ALTA ]],$AW$6:$AX$17,2,FALSE),12)-VLOOKUP(Tabla1[[#This Row],[MES DE BAJA ]],$AW$6:$AX$17,2,FALSE),0)</f>
        <v>0</v>
      </c>
      <c r="Y220" s="68">
        <f>SUM(Tabla1[[#This Row],[MES ADEUDO DE AÑOS PASADOS ]:[MESES DE ADEUDO DEL AÑO EN CURSO ]])-Tabla1[[#This Row],[PAGO DE DEUDA ANTERIOR EN MESES]]</f>
        <v>0</v>
      </c>
      <c r="Z220" s="15">
        <f>Tabla1[[#This Row],[MES ADEUDO DE AÑOS PASADOS ]]*$T$2</f>
        <v>0</v>
      </c>
      <c r="AA220" s="15">
        <f>Tabla1[[#This Row],[MESES DE ADEUDO DEL AÑO EN CURSO ]]*$T$2</f>
        <v>0</v>
      </c>
      <c r="AB220" s="69">
        <f>SUM(Tabla1[[#This Row],[DEUDA DE LOS MESES PASADOS EN $$]:[DEUDA DEL AÑO 2013 $$ ]])</f>
        <v>0</v>
      </c>
      <c r="AD220">
        <f>Tabla1[[#This Row],[PAGO DE DEUDA ANTERIOR EN MESES]]*$T$2</f>
        <v>0</v>
      </c>
      <c r="AG220" s="100">
        <f>IF(Tabla1[[#This Row],[TIPO DE CONSUMIDOR]]="MEDIO",IF(Tabla1[[#This Row],[ENERO ]]&gt;22.5,Tabla1[[#This Row],[ENERO ]]/22.5-1,0),IF(Tabla1[[#This Row],[ENERO ]]&gt;45,Tabla1[[#This Row],[ENERO ]]/45-1,0))</f>
        <v>0</v>
      </c>
      <c r="AH22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0" s="100">
        <f>IF(Tabla1[[#This Row],[TIPO DE CONSUMIDOR]]="MEDIO",IF(Tabla1[[#This Row],[MARZO]]&gt;22.5,Tabla1[[#This Row],[MARZO]]/22.5-1,0),IF(Tabla1[[#This Row],[MARZO]]&gt;45,Tabla1[[#This Row],[MARZO]]/45-1,0))</f>
        <v>0</v>
      </c>
      <c r="AJ220" s="100">
        <f>IF(Tabla1[[#This Row],[TIPO DE CONSUMIDOR]]="MEDIO",IF(Tabla1[[#This Row],[ABRIL]]&gt;22.5,Tabla1[[#This Row],[ABRIL]]/22.5-1,0),IF(Tabla1[[#This Row],[ABRIL]]&gt;45,Tabla1[[#This Row],[ABRIL]]/45-1,0))</f>
        <v>0</v>
      </c>
      <c r="AK220" s="100">
        <f>IF(Tabla1[[#This Row],[TIPO DE CONSUMIDOR]]="MEDIO",IF(Tabla1[[#This Row],[MAYO ]]&gt;22.5,Tabla1[[#This Row],[MAYO ]]/22.5-1,0),IF(Tabla1[[#This Row],[MAYO ]]&gt;45,Tabla1[[#This Row],[MAYO ]]/45-1,0))</f>
        <v>0</v>
      </c>
      <c r="AL220" s="100">
        <f>IF(Tabla1[[#This Row],[TIPO DE CONSUMIDOR]]="MEDIO",IF(Tabla1[[#This Row],[JUNIO ]]&gt;22.5,Tabla1[[#This Row],[JUNIO ]]/22.5-1,0),IF(Tabla1[[#This Row],[JUNIO ]]&gt;45,Tabla1[[#This Row],[JUNIO ]]/45-1,0))</f>
        <v>0</v>
      </c>
      <c r="AM220" s="100">
        <f>IF(Tabla1[[#This Row],[TIPO DE CONSUMIDOR]]="MEDIO",IF(Tabla1[[#This Row],[JULIO ]]&gt;22.5,Tabla1[[#This Row],[JULIO ]]/22.5-1,0),IF(Tabla1[[#This Row],[JULIO ]]&gt;45,Tabla1[[#This Row],[JULIO ]]/45-1,0))</f>
        <v>0</v>
      </c>
      <c r="AN220" s="100">
        <f>IF(Tabla1[[#This Row],[TIPO DE CONSUMIDOR]]="MEDIO",IF(Tabla1[[#This Row],[AGOSTO]]&gt;22.5,Tabla1[[#This Row],[AGOSTO]]/22.5-1,0),IF(Tabla1[[#This Row],[AGOSTO]]&gt;45,Tabla1[[#This Row],[AGOSTO]]/45-1,0))</f>
        <v>0</v>
      </c>
      <c r="AO22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0" s="101">
        <f t="shared" si="7"/>
        <v>0</v>
      </c>
      <c r="AT220">
        <f>IF(Tabla1[[#This Row],[MES ADEUDO DE AÑOS PASADOS ]]&gt;0,1,0)</f>
        <v>0</v>
      </c>
      <c r="AU220" s="9">
        <f t="shared" si="8"/>
        <v>0</v>
      </c>
      <c r="AV220" s="60">
        <f>IF(Tabla1[[#This Row],[MESES DE ADEUDO DEL AÑO EN CURSO ]]&gt;0,1,0)</f>
        <v>0</v>
      </c>
      <c r="AW220" s="42"/>
      <c r="AX220" s="42"/>
      <c r="AY220" s="42"/>
      <c r="AZ220" s="43"/>
    </row>
    <row r="221" spans="1:52" ht="21.75" thickBot="1" x14ac:dyDescent="0.35">
      <c r="A221" s="106">
        <v>215</v>
      </c>
      <c r="B221" s="5" t="s">
        <v>144</v>
      </c>
      <c r="C221" s="2" t="s">
        <v>521</v>
      </c>
      <c r="D221" s="32"/>
      <c r="E221" s="35" t="s">
        <v>489</v>
      </c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24">
        <f>SUM(Tabla1[[#This Row],[ENERO ]:[DICIEMBRE]])</f>
        <v>0</v>
      </c>
      <c r="W221">
        <v>0</v>
      </c>
      <c r="X221" s="21">
        <f>COUNTIF(Tabla1[[#This Row],[ENERO ]:[DICIEMBRE]],0)-(AS221)-IF(Tabla1[[#This Row],[BAJAS]]="BAJA",IF(Tabla1[[#This Row],[ALTAS]]="ALTA",VLOOKUP(Tabla1[[#This Row],[MES DE ALTA ]],$AW$6:$AX$17,2,FALSE),12)-VLOOKUP(Tabla1[[#This Row],[MES DE BAJA ]],$AW$6:$AX$17,2,FALSE),0)</f>
        <v>0</v>
      </c>
      <c r="Y221" s="68">
        <f>SUM(Tabla1[[#This Row],[MES ADEUDO DE AÑOS PASADOS ]:[MESES DE ADEUDO DEL AÑO EN CURSO ]])-Tabla1[[#This Row],[PAGO DE DEUDA ANTERIOR EN MESES]]</f>
        <v>0</v>
      </c>
      <c r="Z221" s="15">
        <f>Tabla1[[#This Row],[MES ADEUDO DE AÑOS PASADOS ]]*$T$2</f>
        <v>0</v>
      </c>
      <c r="AA221" s="15">
        <f>Tabla1[[#This Row],[MESES DE ADEUDO DEL AÑO EN CURSO ]]*$T$2</f>
        <v>0</v>
      </c>
      <c r="AB221" s="69">
        <f>SUM(Tabla1[[#This Row],[DEUDA DE LOS MESES PASADOS EN $$]:[DEUDA DEL AÑO 2013 $$ ]])</f>
        <v>0</v>
      </c>
      <c r="AD221">
        <f>Tabla1[[#This Row],[PAGO DE DEUDA ANTERIOR EN MESES]]*$T$2</f>
        <v>0</v>
      </c>
      <c r="AG221" s="100">
        <f>IF(Tabla1[[#This Row],[TIPO DE CONSUMIDOR]]="MEDIO",IF(Tabla1[[#This Row],[ENERO ]]&gt;22.5,Tabla1[[#This Row],[ENERO ]]/22.5-1,0),IF(Tabla1[[#This Row],[ENERO ]]&gt;45,Tabla1[[#This Row],[ENERO ]]/45-1,0))</f>
        <v>0</v>
      </c>
      <c r="AH22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1" s="100">
        <f>IF(Tabla1[[#This Row],[TIPO DE CONSUMIDOR]]="MEDIO",IF(Tabla1[[#This Row],[MARZO]]&gt;22.5,Tabla1[[#This Row],[MARZO]]/22.5-1,0),IF(Tabla1[[#This Row],[MARZO]]&gt;45,Tabla1[[#This Row],[MARZO]]/45-1,0))</f>
        <v>0</v>
      </c>
      <c r="AJ221" s="100">
        <f>IF(Tabla1[[#This Row],[TIPO DE CONSUMIDOR]]="MEDIO",IF(Tabla1[[#This Row],[ABRIL]]&gt;22.5,Tabla1[[#This Row],[ABRIL]]/22.5-1,0),IF(Tabla1[[#This Row],[ABRIL]]&gt;45,Tabla1[[#This Row],[ABRIL]]/45-1,0))</f>
        <v>0</v>
      </c>
      <c r="AK221" s="100">
        <f>IF(Tabla1[[#This Row],[TIPO DE CONSUMIDOR]]="MEDIO",IF(Tabla1[[#This Row],[MAYO ]]&gt;22.5,Tabla1[[#This Row],[MAYO ]]/22.5-1,0),IF(Tabla1[[#This Row],[MAYO ]]&gt;45,Tabla1[[#This Row],[MAYO ]]/45-1,0))</f>
        <v>0</v>
      </c>
      <c r="AL221" s="100">
        <f>IF(Tabla1[[#This Row],[TIPO DE CONSUMIDOR]]="MEDIO",IF(Tabla1[[#This Row],[JUNIO ]]&gt;22.5,Tabla1[[#This Row],[JUNIO ]]/22.5-1,0),IF(Tabla1[[#This Row],[JUNIO ]]&gt;45,Tabla1[[#This Row],[JUNIO ]]/45-1,0))</f>
        <v>0</v>
      </c>
      <c r="AM221" s="100">
        <f>IF(Tabla1[[#This Row],[TIPO DE CONSUMIDOR]]="MEDIO",IF(Tabla1[[#This Row],[JULIO ]]&gt;22.5,Tabla1[[#This Row],[JULIO ]]/22.5-1,0),IF(Tabla1[[#This Row],[JULIO ]]&gt;45,Tabla1[[#This Row],[JULIO ]]/45-1,0))</f>
        <v>0</v>
      </c>
      <c r="AN221" s="100">
        <f>IF(Tabla1[[#This Row],[TIPO DE CONSUMIDOR]]="MEDIO",IF(Tabla1[[#This Row],[AGOSTO]]&gt;22.5,Tabla1[[#This Row],[AGOSTO]]/22.5-1,0),IF(Tabla1[[#This Row],[AGOSTO]]&gt;45,Tabla1[[#This Row],[AGOSTO]]/45-1,0))</f>
        <v>0</v>
      </c>
      <c r="AO22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1" s="101">
        <f t="shared" si="7"/>
        <v>0</v>
      </c>
      <c r="AT221">
        <f>IF(Tabla1[[#This Row],[MES ADEUDO DE AÑOS PASADOS ]]&gt;0,1,0)</f>
        <v>0</v>
      </c>
      <c r="AU221" s="9">
        <f t="shared" si="8"/>
        <v>0</v>
      </c>
      <c r="AV221" s="60">
        <f>IF(Tabla1[[#This Row],[MESES DE ADEUDO DEL AÑO EN CURSO ]]&gt;0,1,0)</f>
        <v>0</v>
      </c>
      <c r="AW221" s="42"/>
      <c r="AX221" s="42"/>
      <c r="AY221" s="42"/>
      <c r="AZ221" s="43"/>
    </row>
    <row r="222" spans="1:52" ht="21.75" thickBot="1" x14ac:dyDescent="0.35">
      <c r="A222" s="106">
        <v>216</v>
      </c>
      <c r="B222" s="5" t="s">
        <v>139</v>
      </c>
      <c r="C222" s="2" t="s">
        <v>521</v>
      </c>
      <c r="D222" s="32"/>
      <c r="E222" s="35" t="s">
        <v>455</v>
      </c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24">
        <f>SUM(Tabla1[[#This Row],[ENERO ]:[DICIEMBRE]])</f>
        <v>0</v>
      </c>
      <c r="W222">
        <v>0</v>
      </c>
      <c r="X222" s="21">
        <f>COUNTIF(Tabla1[[#This Row],[ENERO ]:[DICIEMBRE]],0)-(AS222)-IF(Tabla1[[#This Row],[BAJAS]]="BAJA",IF(Tabla1[[#This Row],[ALTAS]]="ALTA",VLOOKUP(Tabla1[[#This Row],[MES DE ALTA ]],$AW$6:$AX$17,2,FALSE),12)-VLOOKUP(Tabla1[[#This Row],[MES DE BAJA ]],$AW$6:$AX$17,2,FALSE),0)</f>
        <v>0</v>
      </c>
      <c r="Y222" s="68">
        <f>SUM(Tabla1[[#This Row],[MES ADEUDO DE AÑOS PASADOS ]:[MESES DE ADEUDO DEL AÑO EN CURSO ]])-Tabla1[[#This Row],[PAGO DE DEUDA ANTERIOR EN MESES]]</f>
        <v>0</v>
      </c>
      <c r="Z222" s="15">
        <f>Tabla1[[#This Row],[MES ADEUDO DE AÑOS PASADOS ]]*$T$2</f>
        <v>0</v>
      </c>
      <c r="AA222" s="15">
        <f>Tabla1[[#This Row],[MESES DE ADEUDO DEL AÑO EN CURSO ]]*$T$2</f>
        <v>0</v>
      </c>
      <c r="AB222" s="69">
        <f>SUM(Tabla1[[#This Row],[DEUDA DE LOS MESES PASADOS EN $$]:[DEUDA DEL AÑO 2013 $$ ]])</f>
        <v>0</v>
      </c>
      <c r="AD222">
        <f>Tabla1[[#This Row],[PAGO DE DEUDA ANTERIOR EN MESES]]*$T$2</f>
        <v>0</v>
      </c>
      <c r="AG222" s="100">
        <f>IF(Tabla1[[#This Row],[TIPO DE CONSUMIDOR]]="MEDIO",IF(Tabla1[[#This Row],[ENERO ]]&gt;22.5,Tabla1[[#This Row],[ENERO ]]/22.5-1,0),IF(Tabla1[[#This Row],[ENERO ]]&gt;45,Tabla1[[#This Row],[ENERO ]]/45-1,0))</f>
        <v>0</v>
      </c>
      <c r="AH22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2" s="100">
        <f>IF(Tabla1[[#This Row],[TIPO DE CONSUMIDOR]]="MEDIO",IF(Tabla1[[#This Row],[MARZO]]&gt;22.5,Tabla1[[#This Row],[MARZO]]/22.5-1,0),IF(Tabla1[[#This Row],[MARZO]]&gt;45,Tabla1[[#This Row],[MARZO]]/45-1,0))</f>
        <v>0</v>
      </c>
      <c r="AJ222" s="100">
        <f>IF(Tabla1[[#This Row],[TIPO DE CONSUMIDOR]]="MEDIO",IF(Tabla1[[#This Row],[ABRIL]]&gt;22.5,Tabla1[[#This Row],[ABRIL]]/22.5-1,0),IF(Tabla1[[#This Row],[ABRIL]]&gt;45,Tabla1[[#This Row],[ABRIL]]/45-1,0))</f>
        <v>0</v>
      </c>
      <c r="AK222" s="100">
        <f>IF(Tabla1[[#This Row],[TIPO DE CONSUMIDOR]]="MEDIO",IF(Tabla1[[#This Row],[MAYO ]]&gt;22.5,Tabla1[[#This Row],[MAYO ]]/22.5-1,0),IF(Tabla1[[#This Row],[MAYO ]]&gt;45,Tabla1[[#This Row],[MAYO ]]/45-1,0))</f>
        <v>0</v>
      </c>
      <c r="AL222" s="100">
        <f>IF(Tabla1[[#This Row],[TIPO DE CONSUMIDOR]]="MEDIO",IF(Tabla1[[#This Row],[JUNIO ]]&gt;22.5,Tabla1[[#This Row],[JUNIO ]]/22.5-1,0),IF(Tabla1[[#This Row],[JUNIO ]]&gt;45,Tabla1[[#This Row],[JUNIO ]]/45-1,0))</f>
        <v>0</v>
      </c>
      <c r="AM222" s="100">
        <f>IF(Tabla1[[#This Row],[TIPO DE CONSUMIDOR]]="MEDIO",IF(Tabla1[[#This Row],[JULIO ]]&gt;22.5,Tabla1[[#This Row],[JULIO ]]/22.5-1,0),IF(Tabla1[[#This Row],[JULIO ]]&gt;45,Tabla1[[#This Row],[JULIO ]]/45-1,0))</f>
        <v>0</v>
      </c>
      <c r="AN222" s="100">
        <f>IF(Tabla1[[#This Row],[TIPO DE CONSUMIDOR]]="MEDIO",IF(Tabla1[[#This Row],[AGOSTO]]&gt;22.5,Tabla1[[#This Row],[AGOSTO]]/22.5-1,0),IF(Tabla1[[#This Row],[AGOSTO]]&gt;45,Tabla1[[#This Row],[AGOSTO]]/45-1,0))</f>
        <v>0</v>
      </c>
      <c r="AO22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2" s="101">
        <f t="shared" si="7"/>
        <v>0</v>
      </c>
      <c r="AT222">
        <f>IF(Tabla1[[#This Row],[MES ADEUDO DE AÑOS PASADOS ]]&gt;0,1,0)</f>
        <v>0</v>
      </c>
      <c r="AU222" s="9">
        <f t="shared" si="8"/>
        <v>0</v>
      </c>
      <c r="AV222" s="60">
        <f>IF(Tabla1[[#This Row],[MESES DE ADEUDO DEL AÑO EN CURSO ]]&gt;0,1,0)</f>
        <v>0</v>
      </c>
      <c r="AW222" s="42"/>
      <c r="AX222" s="42"/>
      <c r="AY222" s="42"/>
      <c r="AZ222" s="43"/>
    </row>
    <row r="223" spans="1:52" ht="21.75" thickBot="1" x14ac:dyDescent="0.35">
      <c r="A223" s="106">
        <v>217</v>
      </c>
      <c r="B223" s="5" t="s">
        <v>522</v>
      </c>
      <c r="C223" s="2" t="s">
        <v>521</v>
      </c>
      <c r="D223" s="32"/>
      <c r="E223" s="35" t="s">
        <v>455</v>
      </c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24">
        <f>SUM(Tabla1[[#This Row],[ENERO ]:[DICIEMBRE]])</f>
        <v>0</v>
      </c>
      <c r="W223">
        <v>0</v>
      </c>
      <c r="X223" s="21">
        <f>COUNTIF(Tabla1[[#This Row],[ENERO ]:[DICIEMBRE]],0)-(AS223)-IF(Tabla1[[#This Row],[BAJAS]]="BAJA",IF(Tabla1[[#This Row],[ALTAS]]="ALTA",VLOOKUP(Tabla1[[#This Row],[MES DE ALTA ]],$AW$6:$AX$17,2,FALSE),12)-VLOOKUP(Tabla1[[#This Row],[MES DE BAJA ]],$AW$6:$AX$17,2,FALSE),0)</f>
        <v>0</v>
      </c>
      <c r="Y223" s="68">
        <f>SUM(Tabla1[[#This Row],[MES ADEUDO DE AÑOS PASADOS ]:[MESES DE ADEUDO DEL AÑO EN CURSO ]])-Tabla1[[#This Row],[PAGO DE DEUDA ANTERIOR EN MESES]]</f>
        <v>0</v>
      </c>
      <c r="Z223" s="15">
        <f>Tabla1[[#This Row],[MES ADEUDO DE AÑOS PASADOS ]]*$T$2</f>
        <v>0</v>
      </c>
      <c r="AA223" s="15">
        <f>Tabla1[[#This Row],[MESES DE ADEUDO DEL AÑO EN CURSO ]]*$T$2</f>
        <v>0</v>
      </c>
      <c r="AB223" s="69">
        <f>SUM(Tabla1[[#This Row],[DEUDA DE LOS MESES PASADOS EN $$]:[DEUDA DEL AÑO 2013 $$ ]])</f>
        <v>0</v>
      </c>
      <c r="AD223">
        <f>Tabla1[[#This Row],[PAGO DE DEUDA ANTERIOR EN MESES]]*$T$2</f>
        <v>0</v>
      </c>
      <c r="AG223" s="100">
        <f>IF(Tabla1[[#This Row],[TIPO DE CONSUMIDOR]]="MEDIO",IF(Tabla1[[#This Row],[ENERO ]]&gt;22.5,Tabla1[[#This Row],[ENERO ]]/22.5-1,0),IF(Tabla1[[#This Row],[ENERO ]]&gt;45,Tabla1[[#This Row],[ENERO ]]/45-1,0))</f>
        <v>0</v>
      </c>
      <c r="AH22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3" s="100">
        <f>IF(Tabla1[[#This Row],[TIPO DE CONSUMIDOR]]="MEDIO",IF(Tabla1[[#This Row],[MARZO]]&gt;22.5,Tabla1[[#This Row],[MARZO]]/22.5-1,0),IF(Tabla1[[#This Row],[MARZO]]&gt;45,Tabla1[[#This Row],[MARZO]]/45-1,0))</f>
        <v>0</v>
      </c>
      <c r="AJ223" s="100">
        <f>IF(Tabla1[[#This Row],[TIPO DE CONSUMIDOR]]="MEDIO",IF(Tabla1[[#This Row],[ABRIL]]&gt;22.5,Tabla1[[#This Row],[ABRIL]]/22.5-1,0),IF(Tabla1[[#This Row],[ABRIL]]&gt;45,Tabla1[[#This Row],[ABRIL]]/45-1,0))</f>
        <v>0</v>
      </c>
      <c r="AK223" s="100">
        <f>IF(Tabla1[[#This Row],[TIPO DE CONSUMIDOR]]="MEDIO",IF(Tabla1[[#This Row],[MAYO ]]&gt;22.5,Tabla1[[#This Row],[MAYO ]]/22.5-1,0),IF(Tabla1[[#This Row],[MAYO ]]&gt;45,Tabla1[[#This Row],[MAYO ]]/45-1,0))</f>
        <v>0</v>
      </c>
      <c r="AL223" s="100">
        <f>IF(Tabla1[[#This Row],[TIPO DE CONSUMIDOR]]="MEDIO",IF(Tabla1[[#This Row],[JUNIO ]]&gt;22.5,Tabla1[[#This Row],[JUNIO ]]/22.5-1,0),IF(Tabla1[[#This Row],[JUNIO ]]&gt;45,Tabla1[[#This Row],[JUNIO ]]/45-1,0))</f>
        <v>0</v>
      </c>
      <c r="AM223" s="100">
        <f>IF(Tabla1[[#This Row],[TIPO DE CONSUMIDOR]]="MEDIO",IF(Tabla1[[#This Row],[JULIO ]]&gt;22.5,Tabla1[[#This Row],[JULIO ]]/22.5-1,0),IF(Tabla1[[#This Row],[JULIO ]]&gt;45,Tabla1[[#This Row],[JULIO ]]/45-1,0))</f>
        <v>0</v>
      </c>
      <c r="AN223" s="100">
        <f>IF(Tabla1[[#This Row],[TIPO DE CONSUMIDOR]]="MEDIO",IF(Tabla1[[#This Row],[AGOSTO]]&gt;22.5,Tabla1[[#This Row],[AGOSTO]]/22.5-1,0),IF(Tabla1[[#This Row],[AGOSTO]]&gt;45,Tabla1[[#This Row],[AGOSTO]]/45-1,0))</f>
        <v>0</v>
      </c>
      <c r="AO22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3" s="101">
        <f t="shared" si="7"/>
        <v>0</v>
      </c>
      <c r="AT223">
        <f>IF(Tabla1[[#This Row],[MES ADEUDO DE AÑOS PASADOS ]]&gt;0,1,0)</f>
        <v>0</v>
      </c>
      <c r="AU223" s="9">
        <f t="shared" si="8"/>
        <v>0</v>
      </c>
      <c r="AV223" s="60">
        <f>IF(Tabla1[[#This Row],[MESES DE ADEUDO DEL AÑO EN CURSO ]]&gt;0,1,0)</f>
        <v>0</v>
      </c>
      <c r="AW223" s="42"/>
      <c r="AX223" s="42"/>
      <c r="AY223" s="42"/>
      <c r="AZ223" s="43"/>
    </row>
    <row r="224" spans="1:52" ht="21.75" thickBot="1" x14ac:dyDescent="0.35">
      <c r="A224" s="106">
        <v>218</v>
      </c>
      <c r="B224" s="5" t="s">
        <v>238</v>
      </c>
      <c r="C224" s="2" t="s">
        <v>521</v>
      </c>
      <c r="D224" s="32"/>
      <c r="E224" s="35" t="s">
        <v>455</v>
      </c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24">
        <f>SUM(Tabla1[[#This Row],[ENERO ]:[DICIEMBRE]])</f>
        <v>0</v>
      </c>
      <c r="W224">
        <v>0</v>
      </c>
      <c r="X224" s="21">
        <f>COUNTIF(Tabla1[[#This Row],[ENERO ]:[DICIEMBRE]],0)-(AS224)-IF(Tabla1[[#This Row],[BAJAS]]="BAJA",IF(Tabla1[[#This Row],[ALTAS]]="ALTA",VLOOKUP(Tabla1[[#This Row],[MES DE ALTA ]],$AW$6:$AX$17,2,FALSE),12)-VLOOKUP(Tabla1[[#This Row],[MES DE BAJA ]],$AW$6:$AX$17,2,FALSE),0)</f>
        <v>0</v>
      </c>
      <c r="Y224" s="68">
        <f>SUM(Tabla1[[#This Row],[MES ADEUDO DE AÑOS PASADOS ]:[MESES DE ADEUDO DEL AÑO EN CURSO ]])-Tabla1[[#This Row],[PAGO DE DEUDA ANTERIOR EN MESES]]</f>
        <v>0</v>
      </c>
      <c r="Z224" s="15">
        <f>Tabla1[[#This Row],[MES ADEUDO DE AÑOS PASADOS ]]*$T$2</f>
        <v>0</v>
      </c>
      <c r="AA224" s="15">
        <f>Tabla1[[#This Row],[MESES DE ADEUDO DEL AÑO EN CURSO ]]*$T$2</f>
        <v>0</v>
      </c>
      <c r="AB224" s="69">
        <f>SUM(Tabla1[[#This Row],[DEUDA DE LOS MESES PASADOS EN $$]:[DEUDA DEL AÑO 2013 $$ ]])</f>
        <v>0</v>
      </c>
      <c r="AD224">
        <f>Tabla1[[#This Row],[PAGO DE DEUDA ANTERIOR EN MESES]]*$T$2</f>
        <v>0</v>
      </c>
      <c r="AG224" s="100">
        <f>IF(Tabla1[[#This Row],[TIPO DE CONSUMIDOR]]="MEDIO",IF(Tabla1[[#This Row],[ENERO ]]&gt;22.5,Tabla1[[#This Row],[ENERO ]]/22.5-1,0),IF(Tabla1[[#This Row],[ENERO ]]&gt;45,Tabla1[[#This Row],[ENERO ]]/45-1,0))</f>
        <v>0</v>
      </c>
      <c r="AH22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4" s="100">
        <f>IF(Tabla1[[#This Row],[TIPO DE CONSUMIDOR]]="MEDIO",IF(Tabla1[[#This Row],[MARZO]]&gt;22.5,Tabla1[[#This Row],[MARZO]]/22.5-1,0),IF(Tabla1[[#This Row],[MARZO]]&gt;45,Tabla1[[#This Row],[MARZO]]/45-1,0))</f>
        <v>0</v>
      </c>
      <c r="AJ224" s="100">
        <f>IF(Tabla1[[#This Row],[TIPO DE CONSUMIDOR]]="MEDIO",IF(Tabla1[[#This Row],[ABRIL]]&gt;22.5,Tabla1[[#This Row],[ABRIL]]/22.5-1,0),IF(Tabla1[[#This Row],[ABRIL]]&gt;45,Tabla1[[#This Row],[ABRIL]]/45-1,0))</f>
        <v>0</v>
      </c>
      <c r="AK224" s="100">
        <f>IF(Tabla1[[#This Row],[TIPO DE CONSUMIDOR]]="MEDIO",IF(Tabla1[[#This Row],[MAYO ]]&gt;22.5,Tabla1[[#This Row],[MAYO ]]/22.5-1,0),IF(Tabla1[[#This Row],[MAYO ]]&gt;45,Tabla1[[#This Row],[MAYO ]]/45-1,0))</f>
        <v>0</v>
      </c>
      <c r="AL224" s="100">
        <f>IF(Tabla1[[#This Row],[TIPO DE CONSUMIDOR]]="MEDIO",IF(Tabla1[[#This Row],[JUNIO ]]&gt;22.5,Tabla1[[#This Row],[JUNIO ]]/22.5-1,0),IF(Tabla1[[#This Row],[JUNIO ]]&gt;45,Tabla1[[#This Row],[JUNIO ]]/45-1,0))</f>
        <v>0</v>
      </c>
      <c r="AM224" s="100">
        <f>IF(Tabla1[[#This Row],[TIPO DE CONSUMIDOR]]="MEDIO",IF(Tabla1[[#This Row],[JULIO ]]&gt;22.5,Tabla1[[#This Row],[JULIO ]]/22.5-1,0),IF(Tabla1[[#This Row],[JULIO ]]&gt;45,Tabla1[[#This Row],[JULIO ]]/45-1,0))</f>
        <v>0</v>
      </c>
      <c r="AN224" s="100">
        <f>IF(Tabla1[[#This Row],[TIPO DE CONSUMIDOR]]="MEDIO",IF(Tabla1[[#This Row],[AGOSTO]]&gt;22.5,Tabla1[[#This Row],[AGOSTO]]/22.5-1,0),IF(Tabla1[[#This Row],[AGOSTO]]&gt;45,Tabla1[[#This Row],[AGOSTO]]/45-1,0))</f>
        <v>0</v>
      </c>
      <c r="AO22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4" s="101">
        <f t="shared" si="7"/>
        <v>0</v>
      </c>
      <c r="AT224">
        <f>IF(Tabla1[[#This Row],[MES ADEUDO DE AÑOS PASADOS ]]&gt;0,1,0)</f>
        <v>0</v>
      </c>
      <c r="AU224" s="9">
        <f t="shared" si="8"/>
        <v>0</v>
      </c>
      <c r="AV224" s="60">
        <f>IF(Tabla1[[#This Row],[MESES DE ADEUDO DEL AÑO EN CURSO ]]&gt;0,1,0)</f>
        <v>0</v>
      </c>
      <c r="AW224" s="42"/>
      <c r="AX224" s="42"/>
      <c r="AY224" s="42"/>
      <c r="AZ224" s="43"/>
    </row>
    <row r="225" spans="1:52" ht="21.75" thickBot="1" x14ac:dyDescent="0.35">
      <c r="A225" s="106">
        <v>219</v>
      </c>
      <c r="B225" s="5" t="s">
        <v>373</v>
      </c>
      <c r="C225" s="2" t="s">
        <v>521</v>
      </c>
      <c r="D225" s="32"/>
      <c r="E225" s="35" t="s">
        <v>455</v>
      </c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24">
        <f>SUM(Tabla1[[#This Row],[ENERO ]:[DICIEMBRE]])</f>
        <v>0</v>
      </c>
      <c r="W225">
        <v>0</v>
      </c>
      <c r="X225" s="21">
        <f>COUNTIF(Tabla1[[#This Row],[ENERO ]:[DICIEMBRE]],0)-(AS225)-IF(Tabla1[[#This Row],[BAJAS]]="BAJA",IF(Tabla1[[#This Row],[ALTAS]]="ALTA",VLOOKUP(Tabla1[[#This Row],[MES DE ALTA ]],$AW$6:$AX$17,2,FALSE),12)-VLOOKUP(Tabla1[[#This Row],[MES DE BAJA ]],$AW$6:$AX$17,2,FALSE),0)</f>
        <v>0</v>
      </c>
      <c r="Y225" s="68">
        <f>SUM(Tabla1[[#This Row],[MES ADEUDO DE AÑOS PASADOS ]:[MESES DE ADEUDO DEL AÑO EN CURSO ]])-Tabla1[[#This Row],[PAGO DE DEUDA ANTERIOR EN MESES]]</f>
        <v>0</v>
      </c>
      <c r="Z225" s="15">
        <f>Tabla1[[#This Row],[MES ADEUDO DE AÑOS PASADOS ]]*$T$2</f>
        <v>0</v>
      </c>
      <c r="AA225" s="15">
        <f>Tabla1[[#This Row],[MESES DE ADEUDO DEL AÑO EN CURSO ]]*$T$2</f>
        <v>0</v>
      </c>
      <c r="AB225" s="69">
        <f>SUM(Tabla1[[#This Row],[DEUDA DE LOS MESES PASADOS EN $$]:[DEUDA DEL AÑO 2013 $$ ]])</f>
        <v>0</v>
      </c>
      <c r="AD225">
        <f>Tabla1[[#This Row],[PAGO DE DEUDA ANTERIOR EN MESES]]*$T$2</f>
        <v>0</v>
      </c>
      <c r="AG225" s="100">
        <f>IF(Tabla1[[#This Row],[TIPO DE CONSUMIDOR]]="MEDIO",IF(Tabla1[[#This Row],[ENERO ]]&gt;22.5,Tabla1[[#This Row],[ENERO ]]/22.5-1,0),IF(Tabla1[[#This Row],[ENERO ]]&gt;45,Tabla1[[#This Row],[ENERO ]]/45-1,0))</f>
        <v>0</v>
      </c>
      <c r="AH22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5" s="100">
        <f>IF(Tabla1[[#This Row],[TIPO DE CONSUMIDOR]]="MEDIO",IF(Tabla1[[#This Row],[MARZO]]&gt;22.5,Tabla1[[#This Row],[MARZO]]/22.5-1,0),IF(Tabla1[[#This Row],[MARZO]]&gt;45,Tabla1[[#This Row],[MARZO]]/45-1,0))</f>
        <v>0</v>
      </c>
      <c r="AJ225" s="100">
        <f>IF(Tabla1[[#This Row],[TIPO DE CONSUMIDOR]]="MEDIO",IF(Tabla1[[#This Row],[ABRIL]]&gt;22.5,Tabla1[[#This Row],[ABRIL]]/22.5-1,0),IF(Tabla1[[#This Row],[ABRIL]]&gt;45,Tabla1[[#This Row],[ABRIL]]/45-1,0))</f>
        <v>0</v>
      </c>
      <c r="AK225" s="100">
        <f>IF(Tabla1[[#This Row],[TIPO DE CONSUMIDOR]]="MEDIO",IF(Tabla1[[#This Row],[MAYO ]]&gt;22.5,Tabla1[[#This Row],[MAYO ]]/22.5-1,0),IF(Tabla1[[#This Row],[MAYO ]]&gt;45,Tabla1[[#This Row],[MAYO ]]/45-1,0))</f>
        <v>0</v>
      </c>
      <c r="AL225" s="100">
        <f>IF(Tabla1[[#This Row],[TIPO DE CONSUMIDOR]]="MEDIO",IF(Tabla1[[#This Row],[JUNIO ]]&gt;22.5,Tabla1[[#This Row],[JUNIO ]]/22.5-1,0),IF(Tabla1[[#This Row],[JUNIO ]]&gt;45,Tabla1[[#This Row],[JUNIO ]]/45-1,0))</f>
        <v>0</v>
      </c>
      <c r="AM225" s="100">
        <f>IF(Tabla1[[#This Row],[TIPO DE CONSUMIDOR]]="MEDIO",IF(Tabla1[[#This Row],[JULIO ]]&gt;22.5,Tabla1[[#This Row],[JULIO ]]/22.5-1,0),IF(Tabla1[[#This Row],[JULIO ]]&gt;45,Tabla1[[#This Row],[JULIO ]]/45-1,0))</f>
        <v>0</v>
      </c>
      <c r="AN225" s="100">
        <f>IF(Tabla1[[#This Row],[TIPO DE CONSUMIDOR]]="MEDIO",IF(Tabla1[[#This Row],[AGOSTO]]&gt;22.5,Tabla1[[#This Row],[AGOSTO]]/22.5-1,0),IF(Tabla1[[#This Row],[AGOSTO]]&gt;45,Tabla1[[#This Row],[AGOSTO]]/45-1,0))</f>
        <v>0</v>
      </c>
      <c r="AO22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5" s="101">
        <f t="shared" si="7"/>
        <v>0</v>
      </c>
      <c r="AT225">
        <f>IF(Tabla1[[#This Row],[MES ADEUDO DE AÑOS PASADOS ]]&gt;0,1,0)</f>
        <v>0</v>
      </c>
      <c r="AU225" s="9">
        <f t="shared" si="8"/>
        <v>0</v>
      </c>
      <c r="AV225" s="60">
        <f>IF(Tabla1[[#This Row],[MESES DE ADEUDO DEL AÑO EN CURSO ]]&gt;0,1,0)</f>
        <v>0</v>
      </c>
      <c r="AW225" s="42"/>
      <c r="AX225" s="42"/>
      <c r="AY225" s="42"/>
      <c r="AZ225" s="43"/>
    </row>
    <row r="226" spans="1:52" ht="21.75" thickBot="1" x14ac:dyDescent="0.35">
      <c r="A226" s="106">
        <v>220</v>
      </c>
      <c r="B226" s="5" t="s">
        <v>377</v>
      </c>
      <c r="C226" s="2" t="s">
        <v>521</v>
      </c>
      <c r="D226" s="32"/>
      <c r="E226" s="35" t="s">
        <v>455</v>
      </c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24">
        <f>SUM(Tabla1[[#This Row],[ENERO ]:[DICIEMBRE]])</f>
        <v>0</v>
      </c>
      <c r="W226">
        <v>0</v>
      </c>
      <c r="X226" s="21">
        <f>COUNTIF(Tabla1[[#This Row],[ENERO ]:[DICIEMBRE]],0)-(AS226)-IF(Tabla1[[#This Row],[BAJAS]]="BAJA",IF(Tabla1[[#This Row],[ALTAS]]="ALTA",VLOOKUP(Tabla1[[#This Row],[MES DE ALTA ]],$AW$6:$AX$17,2,FALSE),12)-VLOOKUP(Tabla1[[#This Row],[MES DE BAJA ]],$AW$6:$AX$17,2,FALSE),0)</f>
        <v>0</v>
      </c>
      <c r="Y226" s="68">
        <f>SUM(Tabla1[[#This Row],[MES ADEUDO DE AÑOS PASADOS ]:[MESES DE ADEUDO DEL AÑO EN CURSO ]])-Tabla1[[#This Row],[PAGO DE DEUDA ANTERIOR EN MESES]]</f>
        <v>0</v>
      </c>
      <c r="Z226" s="15">
        <f>Tabla1[[#This Row],[MES ADEUDO DE AÑOS PASADOS ]]*$T$2</f>
        <v>0</v>
      </c>
      <c r="AA226" s="15">
        <f>Tabla1[[#This Row],[MESES DE ADEUDO DEL AÑO EN CURSO ]]*$T$2</f>
        <v>0</v>
      </c>
      <c r="AB226" s="69">
        <f>SUM(Tabla1[[#This Row],[DEUDA DE LOS MESES PASADOS EN $$]:[DEUDA DEL AÑO 2013 $$ ]])</f>
        <v>0</v>
      </c>
      <c r="AD226">
        <f>Tabla1[[#This Row],[PAGO DE DEUDA ANTERIOR EN MESES]]*$T$2</f>
        <v>0</v>
      </c>
      <c r="AG226" s="100">
        <f>IF(Tabla1[[#This Row],[TIPO DE CONSUMIDOR]]="MEDIO",IF(Tabla1[[#This Row],[ENERO ]]&gt;22.5,Tabla1[[#This Row],[ENERO ]]/22.5-1,0),IF(Tabla1[[#This Row],[ENERO ]]&gt;45,Tabla1[[#This Row],[ENERO ]]/45-1,0))</f>
        <v>0</v>
      </c>
      <c r="AH22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6" s="100">
        <f>IF(Tabla1[[#This Row],[TIPO DE CONSUMIDOR]]="MEDIO",IF(Tabla1[[#This Row],[MARZO]]&gt;22.5,Tabla1[[#This Row],[MARZO]]/22.5-1,0),IF(Tabla1[[#This Row],[MARZO]]&gt;45,Tabla1[[#This Row],[MARZO]]/45-1,0))</f>
        <v>0</v>
      </c>
      <c r="AJ226" s="100">
        <f>IF(Tabla1[[#This Row],[TIPO DE CONSUMIDOR]]="MEDIO",IF(Tabla1[[#This Row],[ABRIL]]&gt;22.5,Tabla1[[#This Row],[ABRIL]]/22.5-1,0),IF(Tabla1[[#This Row],[ABRIL]]&gt;45,Tabla1[[#This Row],[ABRIL]]/45-1,0))</f>
        <v>0</v>
      </c>
      <c r="AK226" s="100">
        <f>IF(Tabla1[[#This Row],[TIPO DE CONSUMIDOR]]="MEDIO",IF(Tabla1[[#This Row],[MAYO ]]&gt;22.5,Tabla1[[#This Row],[MAYO ]]/22.5-1,0),IF(Tabla1[[#This Row],[MAYO ]]&gt;45,Tabla1[[#This Row],[MAYO ]]/45-1,0))</f>
        <v>0</v>
      </c>
      <c r="AL226" s="100">
        <f>IF(Tabla1[[#This Row],[TIPO DE CONSUMIDOR]]="MEDIO",IF(Tabla1[[#This Row],[JUNIO ]]&gt;22.5,Tabla1[[#This Row],[JUNIO ]]/22.5-1,0),IF(Tabla1[[#This Row],[JUNIO ]]&gt;45,Tabla1[[#This Row],[JUNIO ]]/45-1,0))</f>
        <v>0</v>
      </c>
      <c r="AM226" s="100">
        <f>IF(Tabla1[[#This Row],[TIPO DE CONSUMIDOR]]="MEDIO",IF(Tabla1[[#This Row],[JULIO ]]&gt;22.5,Tabla1[[#This Row],[JULIO ]]/22.5-1,0),IF(Tabla1[[#This Row],[JULIO ]]&gt;45,Tabla1[[#This Row],[JULIO ]]/45-1,0))</f>
        <v>0</v>
      </c>
      <c r="AN226" s="100">
        <f>IF(Tabla1[[#This Row],[TIPO DE CONSUMIDOR]]="MEDIO",IF(Tabla1[[#This Row],[AGOSTO]]&gt;22.5,Tabla1[[#This Row],[AGOSTO]]/22.5-1,0),IF(Tabla1[[#This Row],[AGOSTO]]&gt;45,Tabla1[[#This Row],[AGOSTO]]/45-1,0))</f>
        <v>0</v>
      </c>
      <c r="AO22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6" s="101">
        <f t="shared" si="7"/>
        <v>0</v>
      </c>
      <c r="AT226">
        <f>IF(Tabla1[[#This Row],[MES ADEUDO DE AÑOS PASADOS ]]&gt;0,1,0)</f>
        <v>0</v>
      </c>
      <c r="AU226" s="9">
        <f t="shared" si="8"/>
        <v>0</v>
      </c>
      <c r="AV226" s="60">
        <f>IF(Tabla1[[#This Row],[MESES DE ADEUDO DEL AÑO EN CURSO ]]&gt;0,1,0)</f>
        <v>0</v>
      </c>
      <c r="AW226" s="42"/>
      <c r="AX226" s="42"/>
      <c r="AY226" s="42"/>
      <c r="AZ226" s="43"/>
    </row>
    <row r="227" spans="1:52" ht="21.75" thickBot="1" x14ac:dyDescent="0.35">
      <c r="A227" s="106">
        <v>221</v>
      </c>
      <c r="B227" s="5" t="s">
        <v>523</v>
      </c>
      <c r="C227" s="2" t="s">
        <v>521</v>
      </c>
      <c r="D227" s="32"/>
      <c r="E227" s="35" t="s">
        <v>455</v>
      </c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24">
        <f>SUM(Tabla1[[#This Row],[ENERO ]:[DICIEMBRE]])</f>
        <v>0</v>
      </c>
      <c r="W227">
        <v>0</v>
      </c>
      <c r="X227" s="21">
        <f>COUNTIF(Tabla1[[#This Row],[ENERO ]:[DICIEMBRE]],0)-(AS227)-IF(Tabla1[[#This Row],[BAJAS]]="BAJA",IF(Tabla1[[#This Row],[ALTAS]]="ALTA",VLOOKUP(Tabla1[[#This Row],[MES DE ALTA ]],$AW$6:$AX$17,2,FALSE),12)-VLOOKUP(Tabla1[[#This Row],[MES DE BAJA ]],$AW$6:$AX$17,2,FALSE),0)</f>
        <v>0</v>
      </c>
      <c r="Y227" s="68">
        <f>SUM(Tabla1[[#This Row],[MES ADEUDO DE AÑOS PASADOS ]:[MESES DE ADEUDO DEL AÑO EN CURSO ]])-Tabla1[[#This Row],[PAGO DE DEUDA ANTERIOR EN MESES]]</f>
        <v>0</v>
      </c>
      <c r="Z227" s="15">
        <f>Tabla1[[#This Row],[MES ADEUDO DE AÑOS PASADOS ]]*$T$2</f>
        <v>0</v>
      </c>
      <c r="AA227" s="15">
        <f>Tabla1[[#This Row],[MESES DE ADEUDO DEL AÑO EN CURSO ]]*$T$2</f>
        <v>0</v>
      </c>
      <c r="AB227" s="69">
        <f>SUM(Tabla1[[#This Row],[DEUDA DE LOS MESES PASADOS EN $$]:[DEUDA DEL AÑO 2013 $$ ]])</f>
        <v>0</v>
      </c>
      <c r="AD227">
        <f>Tabla1[[#This Row],[PAGO DE DEUDA ANTERIOR EN MESES]]*$T$2</f>
        <v>0</v>
      </c>
      <c r="AG227" s="100">
        <f>IF(Tabla1[[#This Row],[TIPO DE CONSUMIDOR]]="MEDIO",IF(Tabla1[[#This Row],[ENERO ]]&gt;22.5,Tabla1[[#This Row],[ENERO ]]/22.5-1,0),IF(Tabla1[[#This Row],[ENERO ]]&gt;45,Tabla1[[#This Row],[ENERO ]]/45-1,0))</f>
        <v>0</v>
      </c>
      <c r="AH22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7" s="100">
        <f>IF(Tabla1[[#This Row],[TIPO DE CONSUMIDOR]]="MEDIO",IF(Tabla1[[#This Row],[MARZO]]&gt;22.5,Tabla1[[#This Row],[MARZO]]/22.5-1,0),IF(Tabla1[[#This Row],[MARZO]]&gt;45,Tabla1[[#This Row],[MARZO]]/45-1,0))</f>
        <v>0</v>
      </c>
      <c r="AJ227" s="100">
        <f>IF(Tabla1[[#This Row],[TIPO DE CONSUMIDOR]]="MEDIO",IF(Tabla1[[#This Row],[ABRIL]]&gt;22.5,Tabla1[[#This Row],[ABRIL]]/22.5-1,0),IF(Tabla1[[#This Row],[ABRIL]]&gt;45,Tabla1[[#This Row],[ABRIL]]/45-1,0))</f>
        <v>0</v>
      </c>
      <c r="AK227" s="100">
        <f>IF(Tabla1[[#This Row],[TIPO DE CONSUMIDOR]]="MEDIO",IF(Tabla1[[#This Row],[MAYO ]]&gt;22.5,Tabla1[[#This Row],[MAYO ]]/22.5-1,0),IF(Tabla1[[#This Row],[MAYO ]]&gt;45,Tabla1[[#This Row],[MAYO ]]/45-1,0))</f>
        <v>0</v>
      </c>
      <c r="AL227" s="100">
        <f>IF(Tabla1[[#This Row],[TIPO DE CONSUMIDOR]]="MEDIO",IF(Tabla1[[#This Row],[JUNIO ]]&gt;22.5,Tabla1[[#This Row],[JUNIO ]]/22.5-1,0),IF(Tabla1[[#This Row],[JUNIO ]]&gt;45,Tabla1[[#This Row],[JUNIO ]]/45-1,0))</f>
        <v>0</v>
      </c>
      <c r="AM227" s="100">
        <f>IF(Tabla1[[#This Row],[TIPO DE CONSUMIDOR]]="MEDIO",IF(Tabla1[[#This Row],[JULIO ]]&gt;22.5,Tabla1[[#This Row],[JULIO ]]/22.5-1,0),IF(Tabla1[[#This Row],[JULIO ]]&gt;45,Tabla1[[#This Row],[JULIO ]]/45-1,0))</f>
        <v>0</v>
      </c>
      <c r="AN227" s="100">
        <f>IF(Tabla1[[#This Row],[TIPO DE CONSUMIDOR]]="MEDIO",IF(Tabla1[[#This Row],[AGOSTO]]&gt;22.5,Tabla1[[#This Row],[AGOSTO]]/22.5-1,0),IF(Tabla1[[#This Row],[AGOSTO]]&gt;45,Tabla1[[#This Row],[AGOSTO]]/45-1,0))</f>
        <v>0</v>
      </c>
      <c r="AO22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7" s="101">
        <f t="shared" si="7"/>
        <v>0</v>
      </c>
      <c r="AT227">
        <f>IF(Tabla1[[#This Row],[MES ADEUDO DE AÑOS PASADOS ]]&gt;0,1,0)</f>
        <v>0</v>
      </c>
      <c r="AU227" s="9">
        <f t="shared" si="8"/>
        <v>0</v>
      </c>
      <c r="AV227" s="60">
        <f>IF(Tabla1[[#This Row],[MESES DE ADEUDO DEL AÑO EN CURSO ]]&gt;0,1,0)</f>
        <v>0</v>
      </c>
      <c r="AW227" s="42"/>
      <c r="AX227" s="42"/>
      <c r="AY227" s="42"/>
      <c r="AZ227" s="43"/>
    </row>
    <row r="228" spans="1:52" ht="21.75" thickBot="1" x14ac:dyDescent="0.35">
      <c r="A228" s="106">
        <v>222</v>
      </c>
      <c r="B228" s="5" t="s">
        <v>526</v>
      </c>
      <c r="C228" s="2" t="s">
        <v>524</v>
      </c>
      <c r="D228" s="32"/>
      <c r="E228" s="35" t="s">
        <v>455</v>
      </c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24">
        <f>SUM(Tabla1[[#This Row],[ENERO ]:[DICIEMBRE]])</f>
        <v>0</v>
      </c>
      <c r="W228">
        <v>0</v>
      </c>
      <c r="X228" s="21">
        <f>COUNTIF(Tabla1[[#This Row],[ENERO ]:[DICIEMBRE]],0)-(AS228)-IF(Tabla1[[#This Row],[BAJAS]]="BAJA",IF(Tabla1[[#This Row],[ALTAS]]="ALTA",VLOOKUP(Tabla1[[#This Row],[MES DE ALTA ]],$AW$6:$AX$17,2,FALSE),12)-VLOOKUP(Tabla1[[#This Row],[MES DE BAJA ]],$AW$6:$AX$17,2,FALSE),0)</f>
        <v>0</v>
      </c>
      <c r="Y228" s="68">
        <f>SUM(Tabla1[[#This Row],[MES ADEUDO DE AÑOS PASADOS ]:[MESES DE ADEUDO DEL AÑO EN CURSO ]])-Tabla1[[#This Row],[PAGO DE DEUDA ANTERIOR EN MESES]]</f>
        <v>0</v>
      </c>
      <c r="Z228" s="15">
        <f>Tabla1[[#This Row],[MES ADEUDO DE AÑOS PASADOS ]]*$T$2</f>
        <v>0</v>
      </c>
      <c r="AA228" s="15">
        <f>Tabla1[[#This Row],[MESES DE ADEUDO DEL AÑO EN CURSO ]]*$T$2</f>
        <v>0</v>
      </c>
      <c r="AB228" s="69">
        <f>SUM(Tabla1[[#This Row],[DEUDA DE LOS MESES PASADOS EN $$]:[DEUDA DEL AÑO 2013 $$ ]])</f>
        <v>0</v>
      </c>
      <c r="AD228">
        <f>Tabla1[[#This Row],[PAGO DE DEUDA ANTERIOR EN MESES]]*$T$2</f>
        <v>0</v>
      </c>
      <c r="AG228" s="100">
        <f>IF(Tabla1[[#This Row],[TIPO DE CONSUMIDOR]]="MEDIO",IF(Tabla1[[#This Row],[ENERO ]]&gt;22.5,Tabla1[[#This Row],[ENERO ]]/22.5-1,0),IF(Tabla1[[#This Row],[ENERO ]]&gt;45,Tabla1[[#This Row],[ENERO ]]/45-1,0))</f>
        <v>0</v>
      </c>
      <c r="AH22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8" s="100">
        <f>IF(Tabla1[[#This Row],[TIPO DE CONSUMIDOR]]="MEDIO",IF(Tabla1[[#This Row],[MARZO]]&gt;22.5,Tabla1[[#This Row],[MARZO]]/22.5-1,0),IF(Tabla1[[#This Row],[MARZO]]&gt;45,Tabla1[[#This Row],[MARZO]]/45-1,0))</f>
        <v>0</v>
      </c>
      <c r="AJ228" s="100">
        <f>IF(Tabla1[[#This Row],[TIPO DE CONSUMIDOR]]="MEDIO",IF(Tabla1[[#This Row],[ABRIL]]&gt;22.5,Tabla1[[#This Row],[ABRIL]]/22.5-1,0),IF(Tabla1[[#This Row],[ABRIL]]&gt;45,Tabla1[[#This Row],[ABRIL]]/45-1,0))</f>
        <v>0</v>
      </c>
      <c r="AK228" s="100">
        <f>IF(Tabla1[[#This Row],[TIPO DE CONSUMIDOR]]="MEDIO",IF(Tabla1[[#This Row],[MAYO ]]&gt;22.5,Tabla1[[#This Row],[MAYO ]]/22.5-1,0),IF(Tabla1[[#This Row],[MAYO ]]&gt;45,Tabla1[[#This Row],[MAYO ]]/45-1,0))</f>
        <v>0</v>
      </c>
      <c r="AL228" s="100">
        <f>IF(Tabla1[[#This Row],[TIPO DE CONSUMIDOR]]="MEDIO",IF(Tabla1[[#This Row],[JUNIO ]]&gt;22.5,Tabla1[[#This Row],[JUNIO ]]/22.5-1,0),IF(Tabla1[[#This Row],[JUNIO ]]&gt;45,Tabla1[[#This Row],[JUNIO ]]/45-1,0))</f>
        <v>0</v>
      </c>
      <c r="AM228" s="100">
        <f>IF(Tabla1[[#This Row],[TIPO DE CONSUMIDOR]]="MEDIO",IF(Tabla1[[#This Row],[JULIO ]]&gt;22.5,Tabla1[[#This Row],[JULIO ]]/22.5-1,0),IF(Tabla1[[#This Row],[JULIO ]]&gt;45,Tabla1[[#This Row],[JULIO ]]/45-1,0))</f>
        <v>0</v>
      </c>
      <c r="AN228" s="100">
        <f>IF(Tabla1[[#This Row],[TIPO DE CONSUMIDOR]]="MEDIO",IF(Tabla1[[#This Row],[AGOSTO]]&gt;22.5,Tabla1[[#This Row],[AGOSTO]]/22.5-1,0),IF(Tabla1[[#This Row],[AGOSTO]]&gt;45,Tabla1[[#This Row],[AGOSTO]]/45-1,0))</f>
        <v>0</v>
      </c>
      <c r="AO22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8" s="101">
        <f t="shared" si="7"/>
        <v>0</v>
      </c>
      <c r="AT228">
        <f>IF(Tabla1[[#This Row],[MES ADEUDO DE AÑOS PASADOS ]]&gt;0,1,0)</f>
        <v>0</v>
      </c>
      <c r="AU228" s="9">
        <f t="shared" si="8"/>
        <v>0</v>
      </c>
      <c r="AV228" s="60">
        <f>IF(Tabla1[[#This Row],[MESES DE ADEUDO DEL AÑO EN CURSO ]]&gt;0,1,0)</f>
        <v>0</v>
      </c>
      <c r="AW228" s="42"/>
      <c r="AX228" s="42"/>
      <c r="AY228" s="42"/>
      <c r="AZ228" s="43"/>
    </row>
    <row r="229" spans="1:52" ht="21.75" thickBot="1" x14ac:dyDescent="0.35">
      <c r="A229" s="106">
        <v>223</v>
      </c>
      <c r="B229" s="5" t="s">
        <v>165</v>
      </c>
      <c r="C229" s="2" t="s">
        <v>524</v>
      </c>
      <c r="D229" s="32"/>
      <c r="E229" s="35" t="s">
        <v>455</v>
      </c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24">
        <f>SUM(Tabla1[[#This Row],[ENERO ]:[DICIEMBRE]])</f>
        <v>0</v>
      </c>
      <c r="W229">
        <v>0</v>
      </c>
      <c r="X229" s="21">
        <f>COUNTIF(Tabla1[[#This Row],[ENERO ]:[DICIEMBRE]],0)-(AS229)-IF(Tabla1[[#This Row],[BAJAS]]="BAJA",IF(Tabla1[[#This Row],[ALTAS]]="ALTA",VLOOKUP(Tabla1[[#This Row],[MES DE ALTA ]],$AW$6:$AX$17,2,FALSE),12)-VLOOKUP(Tabla1[[#This Row],[MES DE BAJA ]],$AW$6:$AX$17,2,FALSE),0)</f>
        <v>0</v>
      </c>
      <c r="Y229" s="68">
        <f>SUM(Tabla1[[#This Row],[MES ADEUDO DE AÑOS PASADOS ]:[MESES DE ADEUDO DEL AÑO EN CURSO ]])-Tabla1[[#This Row],[PAGO DE DEUDA ANTERIOR EN MESES]]</f>
        <v>0</v>
      </c>
      <c r="Z229" s="15">
        <f>Tabla1[[#This Row],[MES ADEUDO DE AÑOS PASADOS ]]*$T$2</f>
        <v>0</v>
      </c>
      <c r="AA229" s="15">
        <f>Tabla1[[#This Row],[MESES DE ADEUDO DEL AÑO EN CURSO ]]*$T$2</f>
        <v>0</v>
      </c>
      <c r="AB229" s="69">
        <f>SUM(Tabla1[[#This Row],[DEUDA DE LOS MESES PASADOS EN $$]:[DEUDA DEL AÑO 2013 $$ ]])</f>
        <v>0</v>
      </c>
      <c r="AD229">
        <f>Tabla1[[#This Row],[PAGO DE DEUDA ANTERIOR EN MESES]]*$T$2</f>
        <v>0</v>
      </c>
      <c r="AG229" s="100">
        <f>IF(Tabla1[[#This Row],[TIPO DE CONSUMIDOR]]="MEDIO",IF(Tabla1[[#This Row],[ENERO ]]&gt;22.5,Tabla1[[#This Row],[ENERO ]]/22.5-1,0),IF(Tabla1[[#This Row],[ENERO ]]&gt;45,Tabla1[[#This Row],[ENERO ]]/45-1,0))</f>
        <v>0</v>
      </c>
      <c r="AH22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29" s="100">
        <f>IF(Tabla1[[#This Row],[TIPO DE CONSUMIDOR]]="MEDIO",IF(Tabla1[[#This Row],[MARZO]]&gt;22.5,Tabla1[[#This Row],[MARZO]]/22.5-1,0),IF(Tabla1[[#This Row],[MARZO]]&gt;45,Tabla1[[#This Row],[MARZO]]/45-1,0))</f>
        <v>0</v>
      </c>
      <c r="AJ229" s="100">
        <f>IF(Tabla1[[#This Row],[TIPO DE CONSUMIDOR]]="MEDIO",IF(Tabla1[[#This Row],[ABRIL]]&gt;22.5,Tabla1[[#This Row],[ABRIL]]/22.5-1,0),IF(Tabla1[[#This Row],[ABRIL]]&gt;45,Tabla1[[#This Row],[ABRIL]]/45-1,0))</f>
        <v>0</v>
      </c>
      <c r="AK229" s="100">
        <f>IF(Tabla1[[#This Row],[TIPO DE CONSUMIDOR]]="MEDIO",IF(Tabla1[[#This Row],[MAYO ]]&gt;22.5,Tabla1[[#This Row],[MAYO ]]/22.5-1,0),IF(Tabla1[[#This Row],[MAYO ]]&gt;45,Tabla1[[#This Row],[MAYO ]]/45-1,0))</f>
        <v>0</v>
      </c>
      <c r="AL229" s="100">
        <f>IF(Tabla1[[#This Row],[TIPO DE CONSUMIDOR]]="MEDIO",IF(Tabla1[[#This Row],[JUNIO ]]&gt;22.5,Tabla1[[#This Row],[JUNIO ]]/22.5-1,0),IF(Tabla1[[#This Row],[JUNIO ]]&gt;45,Tabla1[[#This Row],[JUNIO ]]/45-1,0))</f>
        <v>0</v>
      </c>
      <c r="AM229" s="100">
        <f>IF(Tabla1[[#This Row],[TIPO DE CONSUMIDOR]]="MEDIO",IF(Tabla1[[#This Row],[JULIO ]]&gt;22.5,Tabla1[[#This Row],[JULIO ]]/22.5-1,0),IF(Tabla1[[#This Row],[JULIO ]]&gt;45,Tabla1[[#This Row],[JULIO ]]/45-1,0))</f>
        <v>0</v>
      </c>
      <c r="AN229" s="100">
        <f>IF(Tabla1[[#This Row],[TIPO DE CONSUMIDOR]]="MEDIO",IF(Tabla1[[#This Row],[AGOSTO]]&gt;22.5,Tabla1[[#This Row],[AGOSTO]]/22.5-1,0),IF(Tabla1[[#This Row],[AGOSTO]]&gt;45,Tabla1[[#This Row],[AGOSTO]]/45-1,0))</f>
        <v>0</v>
      </c>
      <c r="AO22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2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2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2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29" s="101">
        <f t="shared" si="7"/>
        <v>0</v>
      </c>
      <c r="AT229">
        <f>IF(Tabla1[[#This Row],[MES ADEUDO DE AÑOS PASADOS ]]&gt;0,1,0)</f>
        <v>0</v>
      </c>
      <c r="AU229" s="9">
        <f t="shared" si="8"/>
        <v>0</v>
      </c>
      <c r="AV229" s="60">
        <f>IF(Tabla1[[#This Row],[MESES DE ADEUDO DEL AÑO EN CURSO ]]&gt;0,1,0)</f>
        <v>0</v>
      </c>
      <c r="AW229" s="42"/>
      <c r="AX229" s="42"/>
      <c r="AY229" s="42"/>
      <c r="AZ229" s="43"/>
    </row>
    <row r="230" spans="1:52" ht="21.75" thickBot="1" x14ac:dyDescent="0.35">
      <c r="A230" s="106">
        <v>224</v>
      </c>
      <c r="B230" s="5" t="s">
        <v>255</v>
      </c>
      <c r="C230" s="2" t="s">
        <v>524</v>
      </c>
      <c r="D230" s="32"/>
      <c r="E230" s="35" t="s">
        <v>455</v>
      </c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24">
        <f>SUM(Tabla1[[#This Row],[ENERO ]:[DICIEMBRE]])</f>
        <v>0</v>
      </c>
      <c r="W230">
        <v>0</v>
      </c>
      <c r="X230" s="21">
        <f>COUNTIF(Tabla1[[#This Row],[ENERO ]:[DICIEMBRE]],0)-(AS230)-IF(Tabla1[[#This Row],[BAJAS]]="BAJA",IF(Tabla1[[#This Row],[ALTAS]]="ALTA",VLOOKUP(Tabla1[[#This Row],[MES DE ALTA ]],$AW$6:$AX$17,2,FALSE),12)-VLOOKUP(Tabla1[[#This Row],[MES DE BAJA ]],$AW$6:$AX$17,2,FALSE),0)</f>
        <v>0</v>
      </c>
      <c r="Y230" s="68">
        <f>SUM(Tabla1[[#This Row],[MES ADEUDO DE AÑOS PASADOS ]:[MESES DE ADEUDO DEL AÑO EN CURSO ]])-Tabla1[[#This Row],[PAGO DE DEUDA ANTERIOR EN MESES]]</f>
        <v>0</v>
      </c>
      <c r="Z230" s="15">
        <f>Tabla1[[#This Row],[MES ADEUDO DE AÑOS PASADOS ]]*$T$2</f>
        <v>0</v>
      </c>
      <c r="AA230" s="15">
        <f>Tabla1[[#This Row],[MESES DE ADEUDO DEL AÑO EN CURSO ]]*$T$2</f>
        <v>0</v>
      </c>
      <c r="AB230" s="69">
        <f>SUM(Tabla1[[#This Row],[DEUDA DE LOS MESES PASADOS EN $$]:[DEUDA DEL AÑO 2013 $$ ]])</f>
        <v>0</v>
      </c>
      <c r="AD230">
        <f>Tabla1[[#This Row],[PAGO DE DEUDA ANTERIOR EN MESES]]*$T$2</f>
        <v>0</v>
      </c>
      <c r="AG230" s="100">
        <f>IF(Tabla1[[#This Row],[TIPO DE CONSUMIDOR]]="MEDIO",IF(Tabla1[[#This Row],[ENERO ]]&gt;22.5,Tabla1[[#This Row],[ENERO ]]/22.5-1,0),IF(Tabla1[[#This Row],[ENERO ]]&gt;45,Tabla1[[#This Row],[ENERO ]]/45-1,0))</f>
        <v>0</v>
      </c>
      <c r="AH23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0" s="100">
        <f>IF(Tabla1[[#This Row],[TIPO DE CONSUMIDOR]]="MEDIO",IF(Tabla1[[#This Row],[MARZO]]&gt;22.5,Tabla1[[#This Row],[MARZO]]/22.5-1,0),IF(Tabla1[[#This Row],[MARZO]]&gt;45,Tabla1[[#This Row],[MARZO]]/45-1,0))</f>
        <v>0</v>
      </c>
      <c r="AJ230" s="100">
        <f>IF(Tabla1[[#This Row],[TIPO DE CONSUMIDOR]]="MEDIO",IF(Tabla1[[#This Row],[ABRIL]]&gt;22.5,Tabla1[[#This Row],[ABRIL]]/22.5-1,0),IF(Tabla1[[#This Row],[ABRIL]]&gt;45,Tabla1[[#This Row],[ABRIL]]/45-1,0))</f>
        <v>0</v>
      </c>
      <c r="AK230" s="100">
        <f>IF(Tabla1[[#This Row],[TIPO DE CONSUMIDOR]]="MEDIO",IF(Tabla1[[#This Row],[MAYO ]]&gt;22.5,Tabla1[[#This Row],[MAYO ]]/22.5-1,0),IF(Tabla1[[#This Row],[MAYO ]]&gt;45,Tabla1[[#This Row],[MAYO ]]/45-1,0))</f>
        <v>0</v>
      </c>
      <c r="AL230" s="100">
        <f>IF(Tabla1[[#This Row],[TIPO DE CONSUMIDOR]]="MEDIO",IF(Tabla1[[#This Row],[JUNIO ]]&gt;22.5,Tabla1[[#This Row],[JUNIO ]]/22.5-1,0),IF(Tabla1[[#This Row],[JUNIO ]]&gt;45,Tabla1[[#This Row],[JUNIO ]]/45-1,0))</f>
        <v>0</v>
      </c>
      <c r="AM230" s="100">
        <f>IF(Tabla1[[#This Row],[TIPO DE CONSUMIDOR]]="MEDIO",IF(Tabla1[[#This Row],[JULIO ]]&gt;22.5,Tabla1[[#This Row],[JULIO ]]/22.5-1,0),IF(Tabla1[[#This Row],[JULIO ]]&gt;45,Tabla1[[#This Row],[JULIO ]]/45-1,0))</f>
        <v>0</v>
      </c>
      <c r="AN230" s="100">
        <f>IF(Tabla1[[#This Row],[TIPO DE CONSUMIDOR]]="MEDIO",IF(Tabla1[[#This Row],[AGOSTO]]&gt;22.5,Tabla1[[#This Row],[AGOSTO]]/22.5-1,0),IF(Tabla1[[#This Row],[AGOSTO]]&gt;45,Tabla1[[#This Row],[AGOSTO]]/45-1,0))</f>
        <v>0</v>
      </c>
      <c r="AO23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0" s="101">
        <f t="shared" si="7"/>
        <v>0</v>
      </c>
      <c r="AT230">
        <f>IF(Tabla1[[#This Row],[MES ADEUDO DE AÑOS PASADOS ]]&gt;0,1,0)</f>
        <v>0</v>
      </c>
      <c r="AU230" s="9">
        <f t="shared" si="8"/>
        <v>0</v>
      </c>
      <c r="AV230" s="60">
        <f>IF(Tabla1[[#This Row],[MESES DE ADEUDO DEL AÑO EN CURSO ]]&gt;0,1,0)</f>
        <v>0</v>
      </c>
      <c r="AW230" s="42"/>
      <c r="AX230" s="42"/>
      <c r="AY230" s="42"/>
      <c r="AZ230" s="43"/>
    </row>
    <row r="231" spans="1:52" ht="21.75" thickBot="1" x14ac:dyDescent="0.35">
      <c r="A231" s="106">
        <v>225</v>
      </c>
      <c r="B231" s="5" t="s">
        <v>274</v>
      </c>
      <c r="C231" s="2" t="s">
        <v>524</v>
      </c>
      <c r="D231" s="32"/>
      <c r="E231" s="35" t="s">
        <v>455</v>
      </c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24">
        <f>SUM(Tabla1[[#This Row],[ENERO ]:[DICIEMBRE]])</f>
        <v>0</v>
      </c>
      <c r="W231">
        <v>0</v>
      </c>
      <c r="X231" s="21">
        <f>COUNTIF(Tabla1[[#This Row],[ENERO ]:[DICIEMBRE]],0)-(AS231)-IF(Tabla1[[#This Row],[BAJAS]]="BAJA",IF(Tabla1[[#This Row],[ALTAS]]="ALTA",VLOOKUP(Tabla1[[#This Row],[MES DE ALTA ]],$AW$6:$AX$17,2,FALSE),12)-VLOOKUP(Tabla1[[#This Row],[MES DE BAJA ]],$AW$6:$AX$17,2,FALSE),0)</f>
        <v>0</v>
      </c>
      <c r="Y231" s="68">
        <f>SUM(Tabla1[[#This Row],[MES ADEUDO DE AÑOS PASADOS ]:[MESES DE ADEUDO DEL AÑO EN CURSO ]])-Tabla1[[#This Row],[PAGO DE DEUDA ANTERIOR EN MESES]]</f>
        <v>0</v>
      </c>
      <c r="Z231" s="15">
        <f>Tabla1[[#This Row],[MES ADEUDO DE AÑOS PASADOS ]]*$T$2</f>
        <v>0</v>
      </c>
      <c r="AA231" s="15">
        <f>Tabla1[[#This Row],[MESES DE ADEUDO DEL AÑO EN CURSO ]]*$T$2</f>
        <v>0</v>
      </c>
      <c r="AB231" s="69">
        <f>SUM(Tabla1[[#This Row],[DEUDA DE LOS MESES PASADOS EN $$]:[DEUDA DEL AÑO 2013 $$ ]])</f>
        <v>0</v>
      </c>
      <c r="AD231">
        <f>Tabla1[[#This Row],[PAGO DE DEUDA ANTERIOR EN MESES]]*$T$2</f>
        <v>0</v>
      </c>
      <c r="AG231" s="100">
        <f>IF(Tabla1[[#This Row],[TIPO DE CONSUMIDOR]]="MEDIO",IF(Tabla1[[#This Row],[ENERO ]]&gt;22.5,Tabla1[[#This Row],[ENERO ]]/22.5-1,0),IF(Tabla1[[#This Row],[ENERO ]]&gt;45,Tabla1[[#This Row],[ENERO ]]/45-1,0))</f>
        <v>0</v>
      </c>
      <c r="AH23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1" s="100">
        <f>IF(Tabla1[[#This Row],[TIPO DE CONSUMIDOR]]="MEDIO",IF(Tabla1[[#This Row],[MARZO]]&gt;22.5,Tabla1[[#This Row],[MARZO]]/22.5-1,0),IF(Tabla1[[#This Row],[MARZO]]&gt;45,Tabla1[[#This Row],[MARZO]]/45-1,0))</f>
        <v>0</v>
      </c>
      <c r="AJ231" s="100">
        <f>IF(Tabla1[[#This Row],[TIPO DE CONSUMIDOR]]="MEDIO",IF(Tabla1[[#This Row],[ABRIL]]&gt;22.5,Tabla1[[#This Row],[ABRIL]]/22.5-1,0),IF(Tabla1[[#This Row],[ABRIL]]&gt;45,Tabla1[[#This Row],[ABRIL]]/45-1,0))</f>
        <v>0</v>
      </c>
      <c r="AK231" s="100">
        <f>IF(Tabla1[[#This Row],[TIPO DE CONSUMIDOR]]="MEDIO",IF(Tabla1[[#This Row],[MAYO ]]&gt;22.5,Tabla1[[#This Row],[MAYO ]]/22.5-1,0),IF(Tabla1[[#This Row],[MAYO ]]&gt;45,Tabla1[[#This Row],[MAYO ]]/45-1,0))</f>
        <v>0</v>
      </c>
      <c r="AL231" s="100">
        <f>IF(Tabla1[[#This Row],[TIPO DE CONSUMIDOR]]="MEDIO",IF(Tabla1[[#This Row],[JUNIO ]]&gt;22.5,Tabla1[[#This Row],[JUNIO ]]/22.5-1,0),IF(Tabla1[[#This Row],[JUNIO ]]&gt;45,Tabla1[[#This Row],[JUNIO ]]/45-1,0))</f>
        <v>0</v>
      </c>
      <c r="AM231" s="100">
        <f>IF(Tabla1[[#This Row],[TIPO DE CONSUMIDOR]]="MEDIO",IF(Tabla1[[#This Row],[JULIO ]]&gt;22.5,Tabla1[[#This Row],[JULIO ]]/22.5-1,0),IF(Tabla1[[#This Row],[JULIO ]]&gt;45,Tabla1[[#This Row],[JULIO ]]/45-1,0))</f>
        <v>0</v>
      </c>
      <c r="AN231" s="100">
        <f>IF(Tabla1[[#This Row],[TIPO DE CONSUMIDOR]]="MEDIO",IF(Tabla1[[#This Row],[AGOSTO]]&gt;22.5,Tabla1[[#This Row],[AGOSTO]]/22.5-1,0),IF(Tabla1[[#This Row],[AGOSTO]]&gt;45,Tabla1[[#This Row],[AGOSTO]]/45-1,0))</f>
        <v>0</v>
      </c>
      <c r="AO23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1" s="101">
        <f t="shared" si="7"/>
        <v>0</v>
      </c>
      <c r="AT231">
        <f>IF(Tabla1[[#This Row],[MES ADEUDO DE AÑOS PASADOS ]]&gt;0,1,0)</f>
        <v>0</v>
      </c>
      <c r="AU231" s="9">
        <f t="shared" si="8"/>
        <v>0</v>
      </c>
      <c r="AV231" s="60">
        <f>IF(Tabla1[[#This Row],[MESES DE ADEUDO DEL AÑO EN CURSO ]]&gt;0,1,0)</f>
        <v>0</v>
      </c>
      <c r="AW231" s="42"/>
      <c r="AX231" s="42"/>
      <c r="AY231" s="42"/>
      <c r="AZ231" s="43"/>
    </row>
    <row r="232" spans="1:52" ht="21.75" thickBot="1" x14ac:dyDescent="0.35">
      <c r="A232" s="106">
        <v>226</v>
      </c>
      <c r="B232" s="5" t="s">
        <v>307</v>
      </c>
      <c r="C232" s="2" t="s">
        <v>524</v>
      </c>
      <c r="D232" s="32"/>
      <c r="E232" s="35" t="s">
        <v>455</v>
      </c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24">
        <f>SUM(Tabla1[[#This Row],[ENERO ]:[DICIEMBRE]])</f>
        <v>0</v>
      </c>
      <c r="W232">
        <v>0</v>
      </c>
      <c r="X232" s="21">
        <f>COUNTIF(Tabla1[[#This Row],[ENERO ]:[DICIEMBRE]],0)-(AS232)-IF(Tabla1[[#This Row],[BAJAS]]="BAJA",IF(Tabla1[[#This Row],[ALTAS]]="ALTA",VLOOKUP(Tabla1[[#This Row],[MES DE ALTA ]],$AW$6:$AX$17,2,FALSE),12)-VLOOKUP(Tabla1[[#This Row],[MES DE BAJA ]],$AW$6:$AX$17,2,FALSE),0)</f>
        <v>0</v>
      </c>
      <c r="Y232" s="68">
        <f>SUM(Tabla1[[#This Row],[MES ADEUDO DE AÑOS PASADOS ]:[MESES DE ADEUDO DEL AÑO EN CURSO ]])-Tabla1[[#This Row],[PAGO DE DEUDA ANTERIOR EN MESES]]</f>
        <v>0</v>
      </c>
      <c r="Z232" s="15">
        <f>Tabla1[[#This Row],[MES ADEUDO DE AÑOS PASADOS ]]*$T$2</f>
        <v>0</v>
      </c>
      <c r="AA232" s="15">
        <f>Tabla1[[#This Row],[MESES DE ADEUDO DEL AÑO EN CURSO ]]*$T$2</f>
        <v>0</v>
      </c>
      <c r="AB232" s="69">
        <f>SUM(Tabla1[[#This Row],[DEUDA DE LOS MESES PASADOS EN $$]:[DEUDA DEL AÑO 2013 $$ ]])</f>
        <v>0</v>
      </c>
      <c r="AD232">
        <f>Tabla1[[#This Row],[PAGO DE DEUDA ANTERIOR EN MESES]]*$T$2</f>
        <v>0</v>
      </c>
      <c r="AG232" s="100">
        <f>IF(Tabla1[[#This Row],[TIPO DE CONSUMIDOR]]="MEDIO",IF(Tabla1[[#This Row],[ENERO ]]&gt;22.5,Tabla1[[#This Row],[ENERO ]]/22.5-1,0),IF(Tabla1[[#This Row],[ENERO ]]&gt;45,Tabla1[[#This Row],[ENERO ]]/45-1,0))</f>
        <v>0</v>
      </c>
      <c r="AH23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2" s="100">
        <f>IF(Tabla1[[#This Row],[TIPO DE CONSUMIDOR]]="MEDIO",IF(Tabla1[[#This Row],[MARZO]]&gt;22.5,Tabla1[[#This Row],[MARZO]]/22.5-1,0),IF(Tabla1[[#This Row],[MARZO]]&gt;45,Tabla1[[#This Row],[MARZO]]/45-1,0))</f>
        <v>0</v>
      </c>
      <c r="AJ232" s="100">
        <f>IF(Tabla1[[#This Row],[TIPO DE CONSUMIDOR]]="MEDIO",IF(Tabla1[[#This Row],[ABRIL]]&gt;22.5,Tabla1[[#This Row],[ABRIL]]/22.5-1,0),IF(Tabla1[[#This Row],[ABRIL]]&gt;45,Tabla1[[#This Row],[ABRIL]]/45-1,0))</f>
        <v>0</v>
      </c>
      <c r="AK232" s="100">
        <f>IF(Tabla1[[#This Row],[TIPO DE CONSUMIDOR]]="MEDIO",IF(Tabla1[[#This Row],[MAYO ]]&gt;22.5,Tabla1[[#This Row],[MAYO ]]/22.5-1,0),IF(Tabla1[[#This Row],[MAYO ]]&gt;45,Tabla1[[#This Row],[MAYO ]]/45-1,0))</f>
        <v>0</v>
      </c>
      <c r="AL232" s="100">
        <f>IF(Tabla1[[#This Row],[TIPO DE CONSUMIDOR]]="MEDIO",IF(Tabla1[[#This Row],[JUNIO ]]&gt;22.5,Tabla1[[#This Row],[JUNIO ]]/22.5-1,0),IF(Tabla1[[#This Row],[JUNIO ]]&gt;45,Tabla1[[#This Row],[JUNIO ]]/45-1,0))</f>
        <v>0</v>
      </c>
      <c r="AM232" s="100">
        <f>IF(Tabla1[[#This Row],[TIPO DE CONSUMIDOR]]="MEDIO",IF(Tabla1[[#This Row],[JULIO ]]&gt;22.5,Tabla1[[#This Row],[JULIO ]]/22.5-1,0),IF(Tabla1[[#This Row],[JULIO ]]&gt;45,Tabla1[[#This Row],[JULIO ]]/45-1,0))</f>
        <v>0</v>
      </c>
      <c r="AN232" s="100">
        <f>IF(Tabla1[[#This Row],[TIPO DE CONSUMIDOR]]="MEDIO",IF(Tabla1[[#This Row],[AGOSTO]]&gt;22.5,Tabla1[[#This Row],[AGOSTO]]/22.5-1,0),IF(Tabla1[[#This Row],[AGOSTO]]&gt;45,Tabla1[[#This Row],[AGOSTO]]/45-1,0))</f>
        <v>0</v>
      </c>
      <c r="AO23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2" s="101">
        <f t="shared" si="7"/>
        <v>0</v>
      </c>
      <c r="AT232">
        <f>IF(Tabla1[[#This Row],[MES ADEUDO DE AÑOS PASADOS ]]&gt;0,1,0)</f>
        <v>0</v>
      </c>
      <c r="AU232" s="9">
        <f t="shared" si="8"/>
        <v>0</v>
      </c>
      <c r="AV232" s="60">
        <f>IF(Tabla1[[#This Row],[MESES DE ADEUDO DEL AÑO EN CURSO ]]&gt;0,1,0)</f>
        <v>0</v>
      </c>
      <c r="AW232" s="42"/>
      <c r="AX232" s="42"/>
      <c r="AY232" s="42"/>
      <c r="AZ232" s="43"/>
    </row>
    <row r="233" spans="1:52" ht="21.75" thickBot="1" x14ac:dyDescent="0.35">
      <c r="A233" s="106">
        <v>227</v>
      </c>
      <c r="B233" s="5" t="s">
        <v>529</v>
      </c>
      <c r="C233" s="2" t="s">
        <v>524</v>
      </c>
      <c r="D233" s="32"/>
      <c r="E233" s="35" t="s">
        <v>455</v>
      </c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24">
        <f>SUM(Tabla1[[#This Row],[ENERO ]:[DICIEMBRE]])</f>
        <v>0</v>
      </c>
      <c r="W233">
        <v>0</v>
      </c>
      <c r="X233" s="21">
        <f>COUNTIF(Tabla1[[#This Row],[ENERO ]:[DICIEMBRE]],0)-(AS233)-IF(Tabla1[[#This Row],[BAJAS]]="BAJA",IF(Tabla1[[#This Row],[ALTAS]]="ALTA",VLOOKUP(Tabla1[[#This Row],[MES DE ALTA ]],$AW$6:$AX$17,2,FALSE),12)-VLOOKUP(Tabla1[[#This Row],[MES DE BAJA ]],$AW$6:$AX$17,2,FALSE),0)</f>
        <v>0</v>
      </c>
      <c r="Y233" s="68">
        <f>SUM(Tabla1[[#This Row],[MES ADEUDO DE AÑOS PASADOS ]:[MESES DE ADEUDO DEL AÑO EN CURSO ]])-Tabla1[[#This Row],[PAGO DE DEUDA ANTERIOR EN MESES]]</f>
        <v>0</v>
      </c>
      <c r="Z233" s="15">
        <f>Tabla1[[#This Row],[MES ADEUDO DE AÑOS PASADOS ]]*$T$2</f>
        <v>0</v>
      </c>
      <c r="AA233" s="15">
        <f>Tabla1[[#This Row],[MESES DE ADEUDO DEL AÑO EN CURSO ]]*$T$2</f>
        <v>0</v>
      </c>
      <c r="AB233" s="69">
        <f>SUM(Tabla1[[#This Row],[DEUDA DE LOS MESES PASADOS EN $$]:[DEUDA DEL AÑO 2013 $$ ]])</f>
        <v>0</v>
      </c>
      <c r="AD233">
        <f>Tabla1[[#This Row],[PAGO DE DEUDA ANTERIOR EN MESES]]*$T$2</f>
        <v>0</v>
      </c>
      <c r="AG233" s="100">
        <f>IF(Tabla1[[#This Row],[TIPO DE CONSUMIDOR]]="MEDIO",IF(Tabla1[[#This Row],[ENERO ]]&gt;22.5,Tabla1[[#This Row],[ENERO ]]/22.5-1,0),IF(Tabla1[[#This Row],[ENERO ]]&gt;45,Tabla1[[#This Row],[ENERO ]]/45-1,0))</f>
        <v>0</v>
      </c>
      <c r="AH23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3" s="100">
        <f>IF(Tabla1[[#This Row],[TIPO DE CONSUMIDOR]]="MEDIO",IF(Tabla1[[#This Row],[MARZO]]&gt;22.5,Tabla1[[#This Row],[MARZO]]/22.5-1,0),IF(Tabla1[[#This Row],[MARZO]]&gt;45,Tabla1[[#This Row],[MARZO]]/45-1,0))</f>
        <v>0</v>
      </c>
      <c r="AJ233" s="100">
        <f>IF(Tabla1[[#This Row],[TIPO DE CONSUMIDOR]]="MEDIO",IF(Tabla1[[#This Row],[ABRIL]]&gt;22.5,Tabla1[[#This Row],[ABRIL]]/22.5-1,0),IF(Tabla1[[#This Row],[ABRIL]]&gt;45,Tabla1[[#This Row],[ABRIL]]/45-1,0))</f>
        <v>0</v>
      </c>
      <c r="AK233" s="100">
        <f>IF(Tabla1[[#This Row],[TIPO DE CONSUMIDOR]]="MEDIO",IF(Tabla1[[#This Row],[MAYO ]]&gt;22.5,Tabla1[[#This Row],[MAYO ]]/22.5-1,0),IF(Tabla1[[#This Row],[MAYO ]]&gt;45,Tabla1[[#This Row],[MAYO ]]/45-1,0))</f>
        <v>0</v>
      </c>
      <c r="AL233" s="100">
        <f>IF(Tabla1[[#This Row],[TIPO DE CONSUMIDOR]]="MEDIO",IF(Tabla1[[#This Row],[JUNIO ]]&gt;22.5,Tabla1[[#This Row],[JUNIO ]]/22.5-1,0),IF(Tabla1[[#This Row],[JUNIO ]]&gt;45,Tabla1[[#This Row],[JUNIO ]]/45-1,0))</f>
        <v>0</v>
      </c>
      <c r="AM233" s="100">
        <f>IF(Tabla1[[#This Row],[TIPO DE CONSUMIDOR]]="MEDIO",IF(Tabla1[[#This Row],[JULIO ]]&gt;22.5,Tabla1[[#This Row],[JULIO ]]/22.5-1,0),IF(Tabla1[[#This Row],[JULIO ]]&gt;45,Tabla1[[#This Row],[JULIO ]]/45-1,0))</f>
        <v>0</v>
      </c>
      <c r="AN233" s="100">
        <f>IF(Tabla1[[#This Row],[TIPO DE CONSUMIDOR]]="MEDIO",IF(Tabla1[[#This Row],[AGOSTO]]&gt;22.5,Tabla1[[#This Row],[AGOSTO]]/22.5-1,0),IF(Tabla1[[#This Row],[AGOSTO]]&gt;45,Tabla1[[#This Row],[AGOSTO]]/45-1,0))</f>
        <v>0</v>
      </c>
      <c r="AO23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3" s="101">
        <f t="shared" si="7"/>
        <v>0</v>
      </c>
      <c r="AT233">
        <f>IF(Tabla1[[#This Row],[MES ADEUDO DE AÑOS PASADOS ]]&gt;0,1,0)</f>
        <v>0</v>
      </c>
      <c r="AU233" s="9">
        <f t="shared" si="8"/>
        <v>0</v>
      </c>
      <c r="AV233" s="60">
        <f>IF(Tabla1[[#This Row],[MESES DE ADEUDO DEL AÑO EN CURSO ]]&gt;0,1,0)</f>
        <v>0</v>
      </c>
      <c r="AW233" s="42"/>
      <c r="AX233" s="42"/>
      <c r="AY233" s="42"/>
      <c r="AZ233" s="43"/>
    </row>
    <row r="234" spans="1:52" ht="21.75" thickBot="1" x14ac:dyDescent="0.35">
      <c r="A234" s="106">
        <v>228</v>
      </c>
      <c r="B234" s="5" t="s">
        <v>348</v>
      </c>
      <c r="C234" s="2" t="s">
        <v>524</v>
      </c>
      <c r="D234" s="32"/>
      <c r="E234" s="35" t="s">
        <v>455</v>
      </c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24">
        <f>SUM(Tabla1[[#This Row],[ENERO ]:[DICIEMBRE]])</f>
        <v>0</v>
      </c>
      <c r="W234">
        <v>0</v>
      </c>
      <c r="X234" s="21">
        <f>COUNTIF(Tabla1[[#This Row],[ENERO ]:[DICIEMBRE]],0)-(AS234)-IF(Tabla1[[#This Row],[BAJAS]]="BAJA",IF(Tabla1[[#This Row],[ALTAS]]="ALTA",VLOOKUP(Tabla1[[#This Row],[MES DE ALTA ]],$AW$6:$AX$17,2,FALSE),12)-VLOOKUP(Tabla1[[#This Row],[MES DE BAJA ]],$AW$6:$AX$17,2,FALSE),0)</f>
        <v>0</v>
      </c>
      <c r="Y234" s="68">
        <f>SUM(Tabla1[[#This Row],[MES ADEUDO DE AÑOS PASADOS ]:[MESES DE ADEUDO DEL AÑO EN CURSO ]])-Tabla1[[#This Row],[PAGO DE DEUDA ANTERIOR EN MESES]]</f>
        <v>0</v>
      </c>
      <c r="Z234" s="15">
        <f>Tabla1[[#This Row],[MES ADEUDO DE AÑOS PASADOS ]]*$T$2</f>
        <v>0</v>
      </c>
      <c r="AA234" s="15">
        <f>Tabla1[[#This Row],[MESES DE ADEUDO DEL AÑO EN CURSO ]]*$T$2</f>
        <v>0</v>
      </c>
      <c r="AB234" s="69">
        <f>SUM(Tabla1[[#This Row],[DEUDA DE LOS MESES PASADOS EN $$]:[DEUDA DEL AÑO 2013 $$ ]])</f>
        <v>0</v>
      </c>
      <c r="AD234">
        <f>Tabla1[[#This Row],[PAGO DE DEUDA ANTERIOR EN MESES]]*$T$2</f>
        <v>0</v>
      </c>
      <c r="AG234" s="100">
        <f>IF(Tabla1[[#This Row],[TIPO DE CONSUMIDOR]]="MEDIO",IF(Tabla1[[#This Row],[ENERO ]]&gt;22.5,Tabla1[[#This Row],[ENERO ]]/22.5-1,0),IF(Tabla1[[#This Row],[ENERO ]]&gt;45,Tabla1[[#This Row],[ENERO ]]/45-1,0))</f>
        <v>0</v>
      </c>
      <c r="AH23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4" s="100">
        <f>IF(Tabla1[[#This Row],[TIPO DE CONSUMIDOR]]="MEDIO",IF(Tabla1[[#This Row],[MARZO]]&gt;22.5,Tabla1[[#This Row],[MARZO]]/22.5-1,0),IF(Tabla1[[#This Row],[MARZO]]&gt;45,Tabla1[[#This Row],[MARZO]]/45-1,0))</f>
        <v>0</v>
      </c>
      <c r="AJ234" s="100">
        <f>IF(Tabla1[[#This Row],[TIPO DE CONSUMIDOR]]="MEDIO",IF(Tabla1[[#This Row],[ABRIL]]&gt;22.5,Tabla1[[#This Row],[ABRIL]]/22.5-1,0),IF(Tabla1[[#This Row],[ABRIL]]&gt;45,Tabla1[[#This Row],[ABRIL]]/45-1,0))</f>
        <v>0</v>
      </c>
      <c r="AK234" s="100">
        <f>IF(Tabla1[[#This Row],[TIPO DE CONSUMIDOR]]="MEDIO",IF(Tabla1[[#This Row],[MAYO ]]&gt;22.5,Tabla1[[#This Row],[MAYO ]]/22.5-1,0),IF(Tabla1[[#This Row],[MAYO ]]&gt;45,Tabla1[[#This Row],[MAYO ]]/45-1,0))</f>
        <v>0</v>
      </c>
      <c r="AL234" s="100">
        <f>IF(Tabla1[[#This Row],[TIPO DE CONSUMIDOR]]="MEDIO",IF(Tabla1[[#This Row],[JUNIO ]]&gt;22.5,Tabla1[[#This Row],[JUNIO ]]/22.5-1,0),IF(Tabla1[[#This Row],[JUNIO ]]&gt;45,Tabla1[[#This Row],[JUNIO ]]/45-1,0))</f>
        <v>0</v>
      </c>
      <c r="AM234" s="100">
        <f>IF(Tabla1[[#This Row],[TIPO DE CONSUMIDOR]]="MEDIO",IF(Tabla1[[#This Row],[JULIO ]]&gt;22.5,Tabla1[[#This Row],[JULIO ]]/22.5-1,0),IF(Tabla1[[#This Row],[JULIO ]]&gt;45,Tabla1[[#This Row],[JULIO ]]/45-1,0))</f>
        <v>0</v>
      </c>
      <c r="AN234" s="100">
        <f>IF(Tabla1[[#This Row],[TIPO DE CONSUMIDOR]]="MEDIO",IF(Tabla1[[#This Row],[AGOSTO]]&gt;22.5,Tabla1[[#This Row],[AGOSTO]]/22.5-1,0),IF(Tabla1[[#This Row],[AGOSTO]]&gt;45,Tabla1[[#This Row],[AGOSTO]]/45-1,0))</f>
        <v>0</v>
      </c>
      <c r="AO23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4" s="101">
        <f t="shared" si="7"/>
        <v>0</v>
      </c>
      <c r="AT234">
        <f>IF(Tabla1[[#This Row],[MES ADEUDO DE AÑOS PASADOS ]]&gt;0,1,0)</f>
        <v>0</v>
      </c>
      <c r="AU234" s="9">
        <f t="shared" si="8"/>
        <v>0</v>
      </c>
      <c r="AV234" s="60">
        <f>IF(Tabla1[[#This Row],[MESES DE ADEUDO DEL AÑO EN CURSO ]]&gt;0,1,0)</f>
        <v>0</v>
      </c>
      <c r="AW234" s="42"/>
      <c r="AX234" s="42"/>
      <c r="AY234" s="42"/>
      <c r="AZ234" s="43"/>
    </row>
    <row r="235" spans="1:52" ht="21.75" thickBot="1" x14ac:dyDescent="0.35">
      <c r="A235" s="106">
        <v>229</v>
      </c>
      <c r="B235" s="5" t="s">
        <v>400</v>
      </c>
      <c r="C235" s="2" t="s">
        <v>524</v>
      </c>
      <c r="D235" s="46"/>
      <c r="E235" s="36" t="s">
        <v>455</v>
      </c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24">
        <f>SUM(Tabla1[[#This Row],[ENERO ]:[DICIEMBRE]])</f>
        <v>0</v>
      </c>
      <c r="W235">
        <v>0</v>
      </c>
      <c r="X235" s="21">
        <f>COUNTIF(Tabla1[[#This Row],[ENERO ]:[DICIEMBRE]],0)-(AS235)-IF(Tabla1[[#This Row],[BAJAS]]="BAJA",IF(Tabla1[[#This Row],[ALTAS]]="ALTA",VLOOKUP(Tabla1[[#This Row],[MES DE ALTA ]],$AW$6:$AX$17,2,FALSE),12)-VLOOKUP(Tabla1[[#This Row],[MES DE BAJA ]],$AW$6:$AX$17,2,FALSE),0)</f>
        <v>0</v>
      </c>
      <c r="Y235" s="68">
        <f>SUM(Tabla1[[#This Row],[MES ADEUDO DE AÑOS PASADOS ]:[MESES DE ADEUDO DEL AÑO EN CURSO ]])-Tabla1[[#This Row],[PAGO DE DEUDA ANTERIOR EN MESES]]</f>
        <v>0</v>
      </c>
      <c r="Z235" s="15">
        <f>Tabla1[[#This Row],[MES ADEUDO DE AÑOS PASADOS ]]*$T$2</f>
        <v>0</v>
      </c>
      <c r="AA235" s="15">
        <f>Tabla1[[#This Row],[MESES DE ADEUDO DEL AÑO EN CURSO ]]*$T$2</f>
        <v>0</v>
      </c>
      <c r="AB235" s="69">
        <f>SUM(Tabla1[[#This Row],[DEUDA DE LOS MESES PASADOS EN $$]:[DEUDA DEL AÑO 2013 $$ ]])</f>
        <v>0</v>
      </c>
      <c r="AD235">
        <f>Tabla1[[#This Row],[PAGO DE DEUDA ANTERIOR EN MESES]]*$T$2</f>
        <v>0</v>
      </c>
      <c r="AG235" s="100">
        <f>IF(Tabla1[[#This Row],[TIPO DE CONSUMIDOR]]="MEDIO",IF(Tabla1[[#This Row],[ENERO ]]&gt;22.5,Tabla1[[#This Row],[ENERO ]]/22.5-1,0),IF(Tabla1[[#This Row],[ENERO ]]&gt;45,Tabla1[[#This Row],[ENERO ]]/45-1,0))</f>
        <v>0</v>
      </c>
      <c r="AH23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5" s="100">
        <f>IF(Tabla1[[#This Row],[TIPO DE CONSUMIDOR]]="MEDIO",IF(Tabla1[[#This Row],[MARZO]]&gt;22.5,Tabla1[[#This Row],[MARZO]]/22.5-1,0),IF(Tabla1[[#This Row],[MARZO]]&gt;45,Tabla1[[#This Row],[MARZO]]/45-1,0))</f>
        <v>0</v>
      </c>
      <c r="AJ235" s="100">
        <f>IF(Tabla1[[#This Row],[TIPO DE CONSUMIDOR]]="MEDIO",IF(Tabla1[[#This Row],[ABRIL]]&gt;22.5,Tabla1[[#This Row],[ABRIL]]/22.5-1,0),IF(Tabla1[[#This Row],[ABRIL]]&gt;45,Tabla1[[#This Row],[ABRIL]]/45-1,0))</f>
        <v>0</v>
      </c>
      <c r="AK235" s="100">
        <f>IF(Tabla1[[#This Row],[TIPO DE CONSUMIDOR]]="MEDIO",IF(Tabla1[[#This Row],[MAYO ]]&gt;22.5,Tabla1[[#This Row],[MAYO ]]/22.5-1,0),IF(Tabla1[[#This Row],[MAYO ]]&gt;45,Tabla1[[#This Row],[MAYO ]]/45-1,0))</f>
        <v>0</v>
      </c>
      <c r="AL235" s="100">
        <f>IF(Tabla1[[#This Row],[TIPO DE CONSUMIDOR]]="MEDIO",IF(Tabla1[[#This Row],[JUNIO ]]&gt;22.5,Tabla1[[#This Row],[JUNIO ]]/22.5-1,0),IF(Tabla1[[#This Row],[JUNIO ]]&gt;45,Tabla1[[#This Row],[JUNIO ]]/45-1,0))</f>
        <v>0</v>
      </c>
      <c r="AM235" s="100">
        <f>IF(Tabla1[[#This Row],[TIPO DE CONSUMIDOR]]="MEDIO",IF(Tabla1[[#This Row],[JULIO ]]&gt;22.5,Tabla1[[#This Row],[JULIO ]]/22.5-1,0),IF(Tabla1[[#This Row],[JULIO ]]&gt;45,Tabla1[[#This Row],[JULIO ]]/45-1,0))</f>
        <v>0</v>
      </c>
      <c r="AN235" s="100">
        <f>IF(Tabla1[[#This Row],[TIPO DE CONSUMIDOR]]="MEDIO",IF(Tabla1[[#This Row],[AGOSTO]]&gt;22.5,Tabla1[[#This Row],[AGOSTO]]/22.5-1,0),IF(Tabla1[[#This Row],[AGOSTO]]&gt;45,Tabla1[[#This Row],[AGOSTO]]/45-1,0))</f>
        <v>0</v>
      </c>
      <c r="AO23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5" s="101">
        <f t="shared" si="7"/>
        <v>0</v>
      </c>
      <c r="AT235">
        <f>IF(Tabla1[[#This Row],[MES ADEUDO DE AÑOS PASADOS ]]&gt;0,1,0)</f>
        <v>0</v>
      </c>
      <c r="AU235" s="9">
        <f t="shared" si="8"/>
        <v>0</v>
      </c>
      <c r="AV235" s="60">
        <f>IF(Tabla1[[#This Row],[MESES DE ADEUDO DEL AÑO EN CURSO ]]&gt;0,1,0)</f>
        <v>0</v>
      </c>
      <c r="AW235" s="42"/>
      <c r="AX235" s="42"/>
      <c r="AY235" s="42"/>
      <c r="AZ235" s="43"/>
    </row>
    <row r="236" spans="1:52" ht="21.75" thickBot="1" x14ac:dyDescent="0.35">
      <c r="A236" s="106">
        <v>230</v>
      </c>
      <c r="B236" s="5" t="s">
        <v>186</v>
      </c>
      <c r="C236" s="2" t="s">
        <v>524</v>
      </c>
      <c r="D236" s="32"/>
      <c r="E236" s="35" t="s">
        <v>455</v>
      </c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24">
        <f>SUM(Tabla1[[#This Row],[ENERO ]:[DICIEMBRE]])</f>
        <v>0</v>
      </c>
      <c r="W236">
        <v>5</v>
      </c>
      <c r="X236" s="21">
        <f>COUNTIF(Tabla1[[#This Row],[ENERO ]:[DICIEMBRE]],0)-(AS236)-IF(Tabla1[[#This Row],[BAJAS]]="BAJA",IF(Tabla1[[#This Row],[ALTAS]]="ALTA",VLOOKUP(Tabla1[[#This Row],[MES DE ALTA ]],$AW$6:$AX$17,2,FALSE),12)-VLOOKUP(Tabla1[[#This Row],[MES DE BAJA ]],$AW$6:$AX$17,2,FALSE),0)</f>
        <v>0</v>
      </c>
      <c r="Y236" s="68">
        <f>SUM(Tabla1[[#This Row],[MES ADEUDO DE AÑOS PASADOS ]:[MESES DE ADEUDO DEL AÑO EN CURSO ]])-Tabla1[[#This Row],[PAGO DE DEUDA ANTERIOR EN MESES]]</f>
        <v>5</v>
      </c>
      <c r="Z236" s="15">
        <f>Tabla1[[#This Row],[MES ADEUDO DE AÑOS PASADOS ]]*$T$2</f>
        <v>225</v>
      </c>
      <c r="AA236" s="15">
        <f>Tabla1[[#This Row],[MESES DE ADEUDO DEL AÑO EN CURSO ]]*$T$2</f>
        <v>0</v>
      </c>
      <c r="AB236" s="69">
        <f>SUM(Tabla1[[#This Row],[DEUDA DE LOS MESES PASADOS EN $$]:[DEUDA DEL AÑO 2013 $$ ]])</f>
        <v>225</v>
      </c>
      <c r="AD236">
        <f>Tabla1[[#This Row],[PAGO DE DEUDA ANTERIOR EN MESES]]*$T$2</f>
        <v>0</v>
      </c>
      <c r="AG236" s="100">
        <f>IF(Tabla1[[#This Row],[TIPO DE CONSUMIDOR]]="MEDIO",IF(Tabla1[[#This Row],[ENERO ]]&gt;22.5,Tabla1[[#This Row],[ENERO ]]/22.5-1,0),IF(Tabla1[[#This Row],[ENERO ]]&gt;45,Tabla1[[#This Row],[ENERO ]]/45-1,0))</f>
        <v>0</v>
      </c>
      <c r="AH23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6" s="100">
        <f>IF(Tabla1[[#This Row],[TIPO DE CONSUMIDOR]]="MEDIO",IF(Tabla1[[#This Row],[MARZO]]&gt;22.5,Tabla1[[#This Row],[MARZO]]/22.5-1,0),IF(Tabla1[[#This Row],[MARZO]]&gt;45,Tabla1[[#This Row],[MARZO]]/45-1,0))</f>
        <v>0</v>
      </c>
      <c r="AJ236" s="100">
        <f>IF(Tabla1[[#This Row],[TIPO DE CONSUMIDOR]]="MEDIO",IF(Tabla1[[#This Row],[ABRIL]]&gt;22.5,Tabla1[[#This Row],[ABRIL]]/22.5-1,0),IF(Tabla1[[#This Row],[ABRIL]]&gt;45,Tabla1[[#This Row],[ABRIL]]/45-1,0))</f>
        <v>0</v>
      </c>
      <c r="AK236" s="100">
        <f>IF(Tabla1[[#This Row],[TIPO DE CONSUMIDOR]]="MEDIO",IF(Tabla1[[#This Row],[MAYO ]]&gt;22.5,Tabla1[[#This Row],[MAYO ]]/22.5-1,0),IF(Tabla1[[#This Row],[MAYO ]]&gt;45,Tabla1[[#This Row],[MAYO ]]/45-1,0))</f>
        <v>0</v>
      </c>
      <c r="AL236" s="100">
        <f>IF(Tabla1[[#This Row],[TIPO DE CONSUMIDOR]]="MEDIO",IF(Tabla1[[#This Row],[JUNIO ]]&gt;22.5,Tabla1[[#This Row],[JUNIO ]]/22.5-1,0),IF(Tabla1[[#This Row],[JUNIO ]]&gt;45,Tabla1[[#This Row],[JUNIO ]]/45-1,0))</f>
        <v>0</v>
      </c>
      <c r="AM236" s="100">
        <f>IF(Tabla1[[#This Row],[TIPO DE CONSUMIDOR]]="MEDIO",IF(Tabla1[[#This Row],[JULIO ]]&gt;22.5,Tabla1[[#This Row],[JULIO ]]/22.5-1,0),IF(Tabla1[[#This Row],[JULIO ]]&gt;45,Tabla1[[#This Row],[JULIO ]]/45-1,0))</f>
        <v>0</v>
      </c>
      <c r="AN236" s="100">
        <f>IF(Tabla1[[#This Row],[TIPO DE CONSUMIDOR]]="MEDIO",IF(Tabla1[[#This Row],[AGOSTO]]&gt;22.5,Tabla1[[#This Row],[AGOSTO]]/22.5-1,0),IF(Tabla1[[#This Row],[AGOSTO]]&gt;45,Tabla1[[#This Row],[AGOSTO]]/45-1,0))</f>
        <v>0</v>
      </c>
      <c r="AO23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6" s="101">
        <f t="shared" si="7"/>
        <v>0</v>
      </c>
      <c r="AT236">
        <f>IF(Tabla1[[#This Row],[MES ADEUDO DE AÑOS PASADOS ]]&gt;0,1,0)</f>
        <v>1</v>
      </c>
      <c r="AU236" s="9">
        <f t="shared" si="8"/>
        <v>1</v>
      </c>
      <c r="AV236" s="60">
        <f>IF(Tabla1[[#This Row],[MESES DE ADEUDO DEL AÑO EN CURSO ]]&gt;0,1,0)</f>
        <v>0</v>
      </c>
      <c r="AW236" s="42"/>
      <c r="AX236" s="42"/>
      <c r="AY236" s="42"/>
      <c r="AZ236" s="43"/>
    </row>
    <row r="237" spans="1:52" ht="21.75" thickBot="1" x14ac:dyDescent="0.35">
      <c r="A237" s="106">
        <v>231</v>
      </c>
      <c r="B237" s="5" t="s">
        <v>525</v>
      </c>
      <c r="C237" s="2" t="s">
        <v>524</v>
      </c>
      <c r="D237" s="32"/>
      <c r="E237" s="35" t="s">
        <v>455</v>
      </c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24">
        <f>SUM(Tabla1[[#This Row],[ENERO ]:[DICIEMBRE]])</f>
        <v>0</v>
      </c>
      <c r="W237">
        <v>6</v>
      </c>
      <c r="X237" s="21">
        <f>COUNTIF(Tabla1[[#This Row],[ENERO ]:[DICIEMBRE]],0)-(AS237)-IF(Tabla1[[#This Row],[BAJAS]]="BAJA",IF(Tabla1[[#This Row],[ALTAS]]="ALTA",VLOOKUP(Tabla1[[#This Row],[MES DE ALTA ]],$AW$6:$AX$17,2,FALSE),12)-VLOOKUP(Tabla1[[#This Row],[MES DE BAJA ]],$AW$6:$AX$17,2,FALSE),0)</f>
        <v>0</v>
      </c>
      <c r="Y237" s="68">
        <f>SUM(Tabla1[[#This Row],[MES ADEUDO DE AÑOS PASADOS ]:[MESES DE ADEUDO DEL AÑO EN CURSO ]])-Tabla1[[#This Row],[PAGO DE DEUDA ANTERIOR EN MESES]]</f>
        <v>6</v>
      </c>
      <c r="Z237" s="15">
        <f>Tabla1[[#This Row],[MES ADEUDO DE AÑOS PASADOS ]]*$T$2</f>
        <v>270</v>
      </c>
      <c r="AA237" s="15">
        <f>Tabla1[[#This Row],[MESES DE ADEUDO DEL AÑO EN CURSO ]]*$T$2</f>
        <v>0</v>
      </c>
      <c r="AB237" s="69">
        <f>SUM(Tabla1[[#This Row],[DEUDA DE LOS MESES PASADOS EN $$]:[DEUDA DEL AÑO 2013 $$ ]])</f>
        <v>270</v>
      </c>
      <c r="AD237">
        <f>Tabla1[[#This Row],[PAGO DE DEUDA ANTERIOR EN MESES]]*$T$2</f>
        <v>0</v>
      </c>
      <c r="AG237" s="100">
        <f>IF(Tabla1[[#This Row],[TIPO DE CONSUMIDOR]]="MEDIO",IF(Tabla1[[#This Row],[ENERO ]]&gt;22.5,Tabla1[[#This Row],[ENERO ]]/22.5-1,0),IF(Tabla1[[#This Row],[ENERO ]]&gt;45,Tabla1[[#This Row],[ENERO ]]/45-1,0))</f>
        <v>0</v>
      </c>
      <c r="AH23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7" s="100">
        <f>IF(Tabla1[[#This Row],[TIPO DE CONSUMIDOR]]="MEDIO",IF(Tabla1[[#This Row],[MARZO]]&gt;22.5,Tabla1[[#This Row],[MARZO]]/22.5-1,0),IF(Tabla1[[#This Row],[MARZO]]&gt;45,Tabla1[[#This Row],[MARZO]]/45-1,0))</f>
        <v>0</v>
      </c>
      <c r="AJ237" s="100">
        <f>IF(Tabla1[[#This Row],[TIPO DE CONSUMIDOR]]="MEDIO",IF(Tabla1[[#This Row],[ABRIL]]&gt;22.5,Tabla1[[#This Row],[ABRIL]]/22.5-1,0),IF(Tabla1[[#This Row],[ABRIL]]&gt;45,Tabla1[[#This Row],[ABRIL]]/45-1,0))</f>
        <v>0</v>
      </c>
      <c r="AK237" s="100">
        <f>IF(Tabla1[[#This Row],[TIPO DE CONSUMIDOR]]="MEDIO",IF(Tabla1[[#This Row],[MAYO ]]&gt;22.5,Tabla1[[#This Row],[MAYO ]]/22.5-1,0),IF(Tabla1[[#This Row],[MAYO ]]&gt;45,Tabla1[[#This Row],[MAYO ]]/45-1,0))</f>
        <v>0</v>
      </c>
      <c r="AL237" s="100">
        <f>IF(Tabla1[[#This Row],[TIPO DE CONSUMIDOR]]="MEDIO",IF(Tabla1[[#This Row],[JUNIO ]]&gt;22.5,Tabla1[[#This Row],[JUNIO ]]/22.5-1,0),IF(Tabla1[[#This Row],[JUNIO ]]&gt;45,Tabla1[[#This Row],[JUNIO ]]/45-1,0))</f>
        <v>0</v>
      </c>
      <c r="AM237" s="100">
        <f>IF(Tabla1[[#This Row],[TIPO DE CONSUMIDOR]]="MEDIO",IF(Tabla1[[#This Row],[JULIO ]]&gt;22.5,Tabla1[[#This Row],[JULIO ]]/22.5-1,0),IF(Tabla1[[#This Row],[JULIO ]]&gt;45,Tabla1[[#This Row],[JULIO ]]/45-1,0))</f>
        <v>0</v>
      </c>
      <c r="AN237" s="100">
        <f>IF(Tabla1[[#This Row],[TIPO DE CONSUMIDOR]]="MEDIO",IF(Tabla1[[#This Row],[AGOSTO]]&gt;22.5,Tabla1[[#This Row],[AGOSTO]]/22.5-1,0),IF(Tabla1[[#This Row],[AGOSTO]]&gt;45,Tabla1[[#This Row],[AGOSTO]]/45-1,0))</f>
        <v>0</v>
      </c>
      <c r="AO23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7" s="101">
        <f t="shared" si="7"/>
        <v>0</v>
      </c>
      <c r="AT237">
        <f>IF(Tabla1[[#This Row],[MES ADEUDO DE AÑOS PASADOS ]]&gt;0,1,0)</f>
        <v>1</v>
      </c>
      <c r="AU237" s="9">
        <f t="shared" si="8"/>
        <v>1</v>
      </c>
      <c r="AV237" s="60">
        <f>IF(Tabla1[[#This Row],[MESES DE ADEUDO DEL AÑO EN CURSO ]]&gt;0,1,0)</f>
        <v>0</v>
      </c>
      <c r="AW237" s="42"/>
      <c r="AX237" s="42"/>
      <c r="AY237" s="42"/>
      <c r="AZ237" s="43"/>
    </row>
    <row r="238" spans="1:52" ht="21.75" thickBot="1" x14ac:dyDescent="0.35">
      <c r="A238" s="106">
        <v>232</v>
      </c>
      <c r="B238" s="5" t="s">
        <v>527</v>
      </c>
      <c r="C238" s="2" t="s">
        <v>524</v>
      </c>
      <c r="D238" s="32"/>
      <c r="E238" s="35" t="s">
        <v>455</v>
      </c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24">
        <f>SUM(Tabla1[[#This Row],[ENERO ]:[DICIEMBRE]])</f>
        <v>0</v>
      </c>
      <c r="W238">
        <v>6</v>
      </c>
      <c r="X238" s="21">
        <f>COUNTIF(Tabla1[[#This Row],[ENERO ]:[DICIEMBRE]],0)-(AS238)-IF(Tabla1[[#This Row],[BAJAS]]="BAJA",IF(Tabla1[[#This Row],[ALTAS]]="ALTA",VLOOKUP(Tabla1[[#This Row],[MES DE ALTA ]],$AW$6:$AX$17,2,FALSE),12)-VLOOKUP(Tabla1[[#This Row],[MES DE BAJA ]],$AW$6:$AX$17,2,FALSE),0)</f>
        <v>0</v>
      </c>
      <c r="Y238" s="68">
        <f>SUM(Tabla1[[#This Row],[MES ADEUDO DE AÑOS PASADOS ]:[MESES DE ADEUDO DEL AÑO EN CURSO ]])-Tabla1[[#This Row],[PAGO DE DEUDA ANTERIOR EN MESES]]</f>
        <v>6</v>
      </c>
      <c r="Z238" s="15">
        <f>Tabla1[[#This Row],[MES ADEUDO DE AÑOS PASADOS ]]*$T$2</f>
        <v>270</v>
      </c>
      <c r="AA238" s="15">
        <f>Tabla1[[#This Row],[MESES DE ADEUDO DEL AÑO EN CURSO ]]*$T$2</f>
        <v>0</v>
      </c>
      <c r="AB238" s="69">
        <f>SUM(Tabla1[[#This Row],[DEUDA DE LOS MESES PASADOS EN $$]:[DEUDA DEL AÑO 2013 $$ ]])</f>
        <v>270</v>
      </c>
      <c r="AD238">
        <f>Tabla1[[#This Row],[PAGO DE DEUDA ANTERIOR EN MESES]]*$T$2</f>
        <v>0</v>
      </c>
      <c r="AG238" s="100">
        <f>IF(Tabla1[[#This Row],[TIPO DE CONSUMIDOR]]="MEDIO",IF(Tabla1[[#This Row],[ENERO ]]&gt;22.5,Tabla1[[#This Row],[ENERO ]]/22.5-1,0),IF(Tabla1[[#This Row],[ENERO ]]&gt;45,Tabla1[[#This Row],[ENERO ]]/45-1,0))</f>
        <v>0</v>
      </c>
      <c r="AH23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8" s="100">
        <f>IF(Tabla1[[#This Row],[TIPO DE CONSUMIDOR]]="MEDIO",IF(Tabla1[[#This Row],[MARZO]]&gt;22.5,Tabla1[[#This Row],[MARZO]]/22.5-1,0),IF(Tabla1[[#This Row],[MARZO]]&gt;45,Tabla1[[#This Row],[MARZO]]/45-1,0))</f>
        <v>0</v>
      </c>
      <c r="AJ238" s="100">
        <f>IF(Tabla1[[#This Row],[TIPO DE CONSUMIDOR]]="MEDIO",IF(Tabla1[[#This Row],[ABRIL]]&gt;22.5,Tabla1[[#This Row],[ABRIL]]/22.5-1,0),IF(Tabla1[[#This Row],[ABRIL]]&gt;45,Tabla1[[#This Row],[ABRIL]]/45-1,0))</f>
        <v>0</v>
      </c>
      <c r="AK238" s="100">
        <f>IF(Tabla1[[#This Row],[TIPO DE CONSUMIDOR]]="MEDIO",IF(Tabla1[[#This Row],[MAYO ]]&gt;22.5,Tabla1[[#This Row],[MAYO ]]/22.5-1,0),IF(Tabla1[[#This Row],[MAYO ]]&gt;45,Tabla1[[#This Row],[MAYO ]]/45-1,0))</f>
        <v>0</v>
      </c>
      <c r="AL238" s="100">
        <f>IF(Tabla1[[#This Row],[TIPO DE CONSUMIDOR]]="MEDIO",IF(Tabla1[[#This Row],[JUNIO ]]&gt;22.5,Tabla1[[#This Row],[JUNIO ]]/22.5-1,0),IF(Tabla1[[#This Row],[JUNIO ]]&gt;45,Tabla1[[#This Row],[JUNIO ]]/45-1,0))</f>
        <v>0</v>
      </c>
      <c r="AM238" s="100">
        <f>IF(Tabla1[[#This Row],[TIPO DE CONSUMIDOR]]="MEDIO",IF(Tabla1[[#This Row],[JULIO ]]&gt;22.5,Tabla1[[#This Row],[JULIO ]]/22.5-1,0),IF(Tabla1[[#This Row],[JULIO ]]&gt;45,Tabla1[[#This Row],[JULIO ]]/45-1,0))</f>
        <v>0</v>
      </c>
      <c r="AN238" s="100">
        <f>IF(Tabla1[[#This Row],[TIPO DE CONSUMIDOR]]="MEDIO",IF(Tabla1[[#This Row],[AGOSTO]]&gt;22.5,Tabla1[[#This Row],[AGOSTO]]/22.5-1,0),IF(Tabla1[[#This Row],[AGOSTO]]&gt;45,Tabla1[[#This Row],[AGOSTO]]/45-1,0))</f>
        <v>0</v>
      </c>
      <c r="AO23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8" s="101">
        <f t="shared" si="7"/>
        <v>0</v>
      </c>
      <c r="AT238">
        <f>IF(Tabla1[[#This Row],[MES ADEUDO DE AÑOS PASADOS ]]&gt;0,1,0)</f>
        <v>1</v>
      </c>
      <c r="AU238" s="9">
        <f t="shared" si="8"/>
        <v>1</v>
      </c>
      <c r="AV238" s="60">
        <f>IF(Tabla1[[#This Row],[MESES DE ADEUDO DEL AÑO EN CURSO ]]&gt;0,1,0)</f>
        <v>0</v>
      </c>
      <c r="AW238" s="42"/>
      <c r="AX238" s="42"/>
      <c r="AY238" s="42"/>
      <c r="AZ238" s="43"/>
    </row>
    <row r="239" spans="1:52" ht="21.75" thickBot="1" x14ac:dyDescent="0.35">
      <c r="A239" s="106">
        <v>233</v>
      </c>
      <c r="B239" s="5" t="s">
        <v>88</v>
      </c>
      <c r="C239" s="2" t="s">
        <v>524</v>
      </c>
      <c r="D239" s="32"/>
      <c r="E239" s="35" t="s">
        <v>455</v>
      </c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24">
        <f>SUM(Tabla1[[#This Row],[ENERO ]:[DICIEMBRE]])</f>
        <v>0</v>
      </c>
      <c r="W239">
        <v>9</v>
      </c>
      <c r="X239" s="21">
        <f>COUNTIF(Tabla1[[#This Row],[ENERO ]:[DICIEMBRE]],0)-(AS239)-IF(Tabla1[[#This Row],[BAJAS]]="BAJA",IF(Tabla1[[#This Row],[ALTAS]]="ALTA",VLOOKUP(Tabla1[[#This Row],[MES DE ALTA ]],$AW$6:$AX$17,2,FALSE),12)-VLOOKUP(Tabla1[[#This Row],[MES DE BAJA ]],$AW$6:$AX$17,2,FALSE),0)</f>
        <v>0</v>
      </c>
      <c r="Y239" s="68">
        <f>SUM(Tabla1[[#This Row],[MES ADEUDO DE AÑOS PASADOS ]:[MESES DE ADEUDO DEL AÑO EN CURSO ]])-Tabla1[[#This Row],[PAGO DE DEUDA ANTERIOR EN MESES]]</f>
        <v>9</v>
      </c>
      <c r="Z239" s="15">
        <f>Tabla1[[#This Row],[MES ADEUDO DE AÑOS PASADOS ]]*$T$2</f>
        <v>405</v>
      </c>
      <c r="AA239" s="15">
        <f>Tabla1[[#This Row],[MESES DE ADEUDO DEL AÑO EN CURSO ]]*$T$2</f>
        <v>0</v>
      </c>
      <c r="AB239" s="69">
        <f>SUM(Tabla1[[#This Row],[DEUDA DE LOS MESES PASADOS EN $$]:[DEUDA DEL AÑO 2013 $$ ]])</f>
        <v>405</v>
      </c>
      <c r="AD239">
        <f>Tabla1[[#This Row],[PAGO DE DEUDA ANTERIOR EN MESES]]*$T$2</f>
        <v>0</v>
      </c>
      <c r="AG239" s="100">
        <f>IF(Tabla1[[#This Row],[TIPO DE CONSUMIDOR]]="MEDIO",IF(Tabla1[[#This Row],[ENERO ]]&gt;22.5,Tabla1[[#This Row],[ENERO ]]/22.5-1,0),IF(Tabla1[[#This Row],[ENERO ]]&gt;45,Tabla1[[#This Row],[ENERO ]]/45-1,0))</f>
        <v>0</v>
      </c>
      <c r="AH23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39" s="100">
        <f>IF(Tabla1[[#This Row],[TIPO DE CONSUMIDOR]]="MEDIO",IF(Tabla1[[#This Row],[MARZO]]&gt;22.5,Tabla1[[#This Row],[MARZO]]/22.5-1,0),IF(Tabla1[[#This Row],[MARZO]]&gt;45,Tabla1[[#This Row],[MARZO]]/45-1,0))</f>
        <v>0</v>
      </c>
      <c r="AJ239" s="100">
        <f>IF(Tabla1[[#This Row],[TIPO DE CONSUMIDOR]]="MEDIO",IF(Tabla1[[#This Row],[ABRIL]]&gt;22.5,Tabla1[[#This Row],[ABRIL]]/22.5-1,0),IF(Tabla1[[#This Row],[ABRIL]]&gt;45,Tabla1[[#This Row],[ABRIL]]/45-1,0))</f>
        <v>0</v>
      </c>
      <c r="AK239" s="100">
        <f>IF(Tabla1[[#This Row],[TIPO DE CONSUMIDOR]]="MEDIO",IF(Tabla1[[#This Row],[MAYO ]]&gt;22.5,Tabla1[[#This Row],[MAYO ]]/22.5-1,0),IF(Tabla1[[#This Row],[MAYO ]]&gt;45,Tabla1[[#This Row],[MAYO ]]/45-1,0))</f>
        <v>0</v>
      </c>
      <c r="AL239" s="100">
        <f>IF(Tabla1[[#This Row],[TIPO DE CONSUMIDOR]]="MEDIO",IF(Tabla1[[#This Row],[JUNIO ]]&gt;22.5,Tabla1[[#This Row],[JUNIO ]]/22.5-1,0),IF(Tabla1[[#This Row],[JUNIO ]]&gt;45,Tabla1[[#This Row],[JUNIO ]]/45-1,0))</f>
        <v>0</v>
      </c>
      <c r="AM239" s="100">
        <f>IF(Tabla1[[#This Row],[TIPO DE CONSUMIDOR]]="MEDIO",IF(Tabla1[[#This Row],[JULIO ]]&gt;22.5,Tabla1[[#This Row],[JULIO ]]/22.5-1,0),IF(Tabla1[[#This Row],[JULIO ]]&gt;45,Tabla1[[#This Row],[JULIO ]]/45-1,0))</f>
        <v>0</v>
      </c>
      <c r="AN239" s="100">
        <f>IF(Tabla1[[#This Row],[TIPO DE CONSUMIDOR]]="MEDIO",IF(Tabla1[[#This Row],[AGOSTO]]&gt;22.5,Tabla1[[#This Row],[AGOSTO]]/22.5-1,0),IF(Tabla1[[#This Row],[AGOSTO]]&gt;45,Tabla1[[#This Row],[AGOSTO]]/45-1,0))</f>
        <v>0</v>
      </c>
      <c r="AO23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3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3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3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39" s="101">
        <f t="shared" si="7"/>
        <v>0</v>
      </c>
      <c r="AT239">
        <f>IF(Tabla1[[#This Row],[MES ADEUDO DE AÑOS PASADOS ]]&gt;0,1,0)</f>
        <v>1</v>
      </c>
      <c r="AU239" s="9">
        <f t="shared" si="8"/>
        <v>1</v>
      </c>
      <c r="AV239" s="60">
        <f>IF(Tabla1[[#This Row],[MESES DE ADEUDO DEL AÑO EN CURSO ]]&gt;0,1,0)</f>
        <v>0</v>
      </c>
      <c r="AW239" s="42"/>
      <c r="AX239" s="42"/>
      <c r="AY239" s="42"/>
      <c r="AZ239" s="43"/>
    </row>
    <row r="240" spans="1:52" ht="21.75" thickBot="1" x14ac:dyDescent="0.35">
      <c r="A240" s="106">
        <v>234</v>
      </c>
      <c r="B240" s="5" t="s">
        <v>528</v>
      </c>
      <c r="C240" s="2" t="s">
        <v>524</v>
      </c>
      <c r="D240" s="32"/>
      <c r="E240" s="35" t="s">
        <v>455</v>
      </c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24">
        <f>SUM(Tabla1[[#This Row],[ENERO ]:[DICIEMBRE]])</f>
        <v>0</v>
      </c>
      <c r="W240">
        <v>10</v>
      </c>
      <c r="X240" s="21">
        <f>COUNTIF(Tabla1[[#This Row],[ENERO ]:[DICIEMBRE]],0)-(AS240)-IF(Tabla1[[#This Row],[BAJAS]]="BAJA",IF(Tabla1[[#This Row],[ALTAS]]="ALTA",VLOOKUP(Tabla1[[#This Row],[MES DE ALTA ]],$AW$6:$AX$17,2,FALSE),12)-VLOOKUP(Tabla1[[#This Row],[MES DE BAJA ]],$AW$6:$AX$17,2,FALSE),0)</f>
        <v>0</v>
      </c>
      <c r="Y240" s="68">
        <f>SUM(Tabla1[[#This Row],[MES ADEUDO DE AÑOS PASADOS ]:[MESES DE ADEUDO DEL AÑO EN CURSO ]])-Tabla1[[#This Row],[PAGO DE DEUDA ANTERIOR EN MESES]]</f>
        <v>10</v>
      </c>
      <c r="Z240" s="15">
        <f>Tabla1[[#This Row],[MES ADEUDO DE AÑOS PASADOS ]]*$T$2</f>
        <v>450</v>
      </c>
      <c r="AA240" s="15">
        <f>Tabla1[[#This Row],[MESES DE ADEUDO DEL AÑO EN CURSO ]]*$T$2</f>
        <v>0</v>
      </c>
      <c r="AB240" s="69">
        <f>SUM(Tabla1[[#This Row],[DEUDA DE LOS MESES PASADOS EN $$]:[DEUDA DEL AÑO 2013 $$ ]])</f>
        <v>450</v>
      </c>
      <c r="AD240">
        <f>Tabla1[[#This Row],[PAGO DE DEUDA ANTERIOR EN MESES]]*$T$2</f>
        <v>0</v>
      </c>
      <c r="AG240" s="100">
        <f>IF(Tabla1[[#This Row],[TIPO DE CONSUMIDOR]]="MEDIO",IF(Tabla1[[#This Row],[ENERO ]]&gt;22.5,Tabla1[[#This Row],[ENERO ]]/22.5-1,0),IF(Tabla1[[#This Row],[ENERO ]]&gt;45,Tabla1[[#This Row],[ENERO ]]/45-1,0))</f>
        <v>0</v>
      </c>
      <c r="AH24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0" s="100">
        <f>IF(Tabla1[[#This Row],[TIPO DE CONSUMIDOR]]="MEDIO",IF(Tabla1[[#This Row],[MARZO]]&gt;22.5,Tabla1[[#This Row],[MARZO]]/22.5-1,0),IF(Tabla1[[#This Row],[MARZO]]&gt;45,Tabla1[[#This Row],[MARZO]]/45-1,0))</f>
        <v>0</v>
      </c>
      <c r="AJ240" s="100">
        <f>IF(Tabla1[[#This Row],[TIPO DE CONSUMIDOR]]="MEDIO",IF(Tabla1[[#This Row],[ABRIL]]&gt;22.5,Tabla1[[#This Row],[ABRIL]]/22.5-1,0),IF(Tabla1[[#This Row],[ABRIL]]&gt;45,Tabla1[[#This Row],[ABRIL]]/45-1,0))</f>
        <v>0</v>
      </c>
      <c r="AK240" s="100">
        <f>IF(Tabla1[[#This Row],[TIPO DE CONSUMIDOR]]="MEDIO",IF(Tabla1[[#This Row],[MAYO ]]&gt;22.5,Tabla1[[#This Row],[MAYO ]]/22.5-1,0),IF(Tabla1[[#This Row],[MAYO ]]&gt;45,Tabla1[[#This Row],[MAYO ]]/45-1,0))</f>
        <v>0</v>
      </c>
      <c r="AL240" s="100">
        <f>IF(Tabla1[[#This Row],[TIPO DE CONSUMIDOR]]="MEDIO",IF(Tabla1[[#This Row],[JUNIO ]]&gt;22.5,Tabla1[[#This Row],[JUNIO ]]/22.5-1,0),IF(Tabla1[[#This Row],[JUNIO ]]&gt;45,Tabla1[[#This Row],[JUNIO ]]/45-1,0))</f>
        <v>0</v>
      </c>
      <c r="AM240" s="100">
        <f>IF(Tabla1[[#This Row],[TIPO DE CONSUMIDOR]]="MEDIO",IF(Tabla1[[#This Row],[JULIO ]]&gt;22.5,Tabla1[[#This Row],[JULIO ]]/22.5-1,0),IF(Tabla1[[#This Row],[JULIO ]]&gt;45,Tabla1[[#This Row],[JULIO ]]/45-1,0))</f>
        <v>0</v>
      </c>
      <c r="AN240" s="100">
        <f>IF(Tabla1[[#This Row],[TIPO DE CONSUMIDOR]]="MEDIO",IF(Tabla1[[#This Row],[AGOSTO]]&gt;22.5,Tabla1[[#This Row],[AGOSTO]]/22.5-1,0),IF(Tabla1[[#This Row],[AGOSTO]]&gt;45,Tabla1[[#This Row],[AGOSTO]]/45-1,0))</f>
        <v>0</v>
      </c>
      <c r="AO24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0" s="101">
        <f t="shared" si="7"/>
        <v>0</v>
      </c>
      <c r="AT240">
        <f>IF(Tabla1[[#This Row],[MES ADEUDO DE AÑOS PASADOS ]]&gt;0,1,0)</f>
        <v>1</v>
      </c>
      <c r="AU240" s="9">
        <f t="shared" si="8"/>
        <v>1</v>
      </c>
      <c r="AV240" s="60">
        <f>IF(Tabla1[[#This Row],[MESES DE ADEUDO DEL AÑO EN CURSO ]]&gt;0,1,0)</f>
        <v>0</v>
      </c>
      <c r="AW240" s="42"/>
      <c r="AX240" s="42"/>
      <c r="AY240" s="42"/>
      <c r="AZ240" s="43"/>
    </row>
    <row r="241" spans="1:52" ht="21.75" thickBot="1" x14ac:dyDescent="0.35">
      <c r="A241" s="106">
        <v>235</v>
      </c>
      <c r="B241" s="5" t="s">
        <v>265</v>
      </c>
      <c r="C241" s="2" t="s">
        <v>524</v>
      </c>
      <c r="D241" s="32"/>
      <c r="E241" s="35" t="s">
        <v>455</v>
      </c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24">
        <f>SUM(Tabla1[[#This Row],[ENERO ]:[DICIEMBRE]])</f>
        <v>0</v>
      </c>
      <c r="W241">
        <v>12</v>
      </c>
      <c r="X241" s="21">
        <f>COUNTIF(Tabla1[[#This Row],[ENERO ]:[DICIEMBRE]],0)-(AS241)-IF(Tabla1[[#This Row],[BAJAS]]="BAJA",IF(Tabla1[[#This Row],[ALTAS]]="ALTA",VLOOKUP(Tabla1[[#This Row],[MES DE ALTA ]],$AW$6:$AX$17,2,FALSE),12)-VLOOKUP(Tabla1[[#This Row],[MES DE BAJA ]],$AW$6:$AX$17,2,FALSE),0)</f>
        <v>0</v>
      </c>
      <c r="Y241" s="68">
        <f>SUM(Tabla1[[#This Row],[MES ADEUDO DE AÑOS PASADOS ]:[MESES DE ADEUDO DEL AÑO EN CURSO ]])-Tabla1[[#This Row],[PAGO DE DEUDA ANTERIOR EN MESES]]</f>
        <v>12</v>
      </c>
      <c r="Z241" s="15">
        <f>Tabla1[[#This Row],[MES ADEUDO DE AÑOS PASADOS ]]*$T$2</f>
        <v>540</v>
      </c>
      <c r="AA241" s="15">
        <f>Tabla1[[#This Row],[MESES DE ADEUDO DEL AÑO EN CURSO ]]*$T$2</f>
        <v>0</v>
      </c>
      <c r="AB241" s="69">
        <f>SUM(Tabla1[[#This Row],[DEUDA DE LOS MESES PASADOS EN $$]:[DEUDA DEL AÑO 2013 $$ ]])</f>
        <v>540</v>
      </c>
      <c r="AD241">
        <f>Tabla1[[#This Row],[PAGO DE DEUDA ANTERIOR EN MESES]]*$T$2</f>
        <v>0</v>
      </c>
      <c r="AG241" s="100">
        <f>IF(Tabla1[[#This Row],[TIPO DE CONSUMIDOR]]="MEDIO",IF(Tabla1[[#This Row],[ENERO ]]&gt;22.5,Tabla1[[#This Row],[ENERO ]]/22.5-1,0),IF(Tabla1[[#This Row],[ENERO ]]&gt;45,Tabla1[[#This Row],[ENERO ]]/45-1,0))</f>
        <v>0</v>
      </c>
      <c r="AH24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1" s="100">
        <f>IF(Tabla1[[#This Row],[TIPO DE CONSUMIDOR]]="MEDIO",IF(Tabla1[[#This Row],[MARZO]]&gt;22.5,Tabla1[[#This Row],[MARZO]]/22.5-1,0),IF(Tabla1[[#This Row],[MARZO]]&gt;45,Tabla1[[#This Row],[MARZO]]/45-1,0))</f>
        <v>0</v>
      </c>
      <c r="AJ241" s="100">
        <f>IF(Tabla1[[#This Row],[TIPO DE CONSUMIDOR]]="MEDIO",IF(Tabla1[[#This Row],[ABRIL]]&gt;22.5,Tabla1[[#This Row],[ABRIL]]/22.5-1,0),IF(Tabla1[[#This Row],[ABRIL]]&gt;45,Tabla1[[#This Row],[ABRIL]]/45-1,0))</f>
        <v>0</v>
      </c>
      <c r="AK241" s="100">
        <f>IF(Tabla1[[#This Row],[TIPO DE CONSUMIDOR]]="MEDIO",IF(Tabla1[[#This Row],[MAYO ]]&gt;22.5,Tabla1[[#This Row],[MAYO ]]/22.5-1,0),IF(Tabla1[[#This Row],[MAYO ]]&gt;45,Tabla1[[#This Row],[MAYO ]]/45-1,0))</f>
        <v>0</v>
      </c>
      <c r="AL241" s="100">
        <f>IF(Tabla1[[#This Row],[TIPO DE CONSUMIDOR]]="MEDIO",IF(Tabla1[[#This Row],[JUNIO ]]&gt;22.5,Tabla1[[#This Row],[JUNIO ]]/22.5-1,0),IF(Tabla1[[#This Row],[JUNIO ]]&gt;45,Tabla1[[#This Row],[JUNIO ]]/45-1,0))</f>
        <v>0</v>
      </c>
      <c r="AM241" s="100">
        <f>IF(Tabla1[[#This Row],[TIPO DE CONSUMIDOR]]="MEDIO",IF(Tabla1[[#This Row],[JULIO ]]&gt;22.5,Tabla1[[#This Row],[JULIO ]]/22.5-1,0),IF(Tabla1[[#This Row],[JULIO ]]&gt;45,Tabla1[[#This Row],[JULIO ]]/45-1,0))</f>
        <v>0</v>
      </c>
      <c r="AN241" s="100">
        <f>IF(Tabla1[[#This Row],[TIPO DE CONSUMIDOR]]="MEDIO",IF(Tabla1[[#This Row],[AGOSTO]]&gt;22.5,Tabla1[[#This Row],[AGOSTO]]/22.5-1,0),IF(Tabla1[[#This Row],[AGOSTO]]&gt;45,Tabla1[[#This Row],[AGOSTO]]/45-1,0))</f>
        <v>0</v>
      </c>
      <c r="AO24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1" s="101">
        <f t="shared" si="7"/>
        <v>0</v>
      </c>
      <c r="AT241">
        <f>IF(Tabla1[[#This Row],[MES ADEUDO DE AÑOS PASADOS ]]&gt;0,1,0)</f>
        <v>1</v>
      </c>
      <c r="AU241" s="9">
        <f t="shared" si="8"/>
        <v>1</v>
      </c>
      <c r="AV241" s="60">
        <f>IF(Tabla1[[#This Row],[MESES DE ADEUDO DEL AÑO EN CURSO ]]&gt;0,1,0)</f>
        <v>0</v>
      </c>
      <c r="AW241" s="42"/>
      <c r="AX241" s="42"/>
      <c r="AY241" s="42"/>
      <c r="AZ241" s="43"/>
    </row>
    <row r="242" spans="1:52" ht="21.75" thickBot="1" x14ac:dyDescent="0.35">
      <c r="A242" s="106">
        <v>236</v>
      </c>
      <c r="B242" s="5" t="s">
        <v>365</v>
      </c>
      <c r="C242" s="2" t="s">
        <v>524</v>
      </c>
      <c r="D242" s="32"/>
      <c r="E242" s="35" t="s">
        <v>455</v>
      </c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24">
        <f>SUM(Tabla1[[#This Row],[ENERO ]:[DICIEMBRE]])</f>
        <v>0</v>
      </c>
      <c r="W242">
        <v>16</v>
      </c>
      <c r="X242" s="21">
        <f>COUNTIF(Tabla1[[#This Row],[ENERO ]:[DICIEMBRE]],0)-(AS242)-IF(Tabla1[[#This Row],[BAJAS]]="BAJA",IF(Tabla1[[#This Row],[ALTAS]]="ALTA",VLOOKUP(Tabla1[[#This Row],[MES DE ALTA ]],$AW$6:$AX$17,2,FALSE),12)-VLOOKUP(Tabla1[[#This Row],[MES DE BAJA ]],$AW$6:$AX$17,2,FALSE),0)</f>
        <v>0</v>
      </c>
      <c r="Y242" s="68">
        <f>SUM(Tabla1[[#This Row],[MES ADEUDO DE AÑOS PASADOS ]:[MESES DE ADEUDO DEL AÑO EN CURSO ]])-Tabla1[[#This Row],[PAGO DE DEUDA ANTERIOR EN MESES]]</f>
        <v>16</v>
      </c>
      <c r="Z242" s="15">
        <f>Tabla1[[#This Row],[MES ADEUDO DE AÑOS PASADOS ]]*$T$2</f>
        <v>720</v>
      </c>
      <c r="AA242" s="15">
        <f>Tabla1[[#This Row],[MESES DE ADEUDO DEL AÑO EN CURSO ]]*$T$2</f>
        <v>0</v>
      </c>
      <c r="AB242" s="69">
        <f>SUM(Tabla1[[#This Row],[DEUDA DE LOS MESES PASADOS EN $$]:[DEUDA DEL AÑO 2013 $$ ]])</f>
        <v>720</v>
      </c>
      <c r="AD242">
        <f>Tabla1[[#This Row],[PAGO DE DEUDA ANTERIOR EN MESES]]*$T$2</f>
        <v>0</v>
      </c>
      <c r="AG242" s="100">
        <f>IF(Tabla1[[#This Row],[TIPO DE CONSUMIDOR]]="MEDIO",IF(Tabla1[[#This Row],[ENERO ]]&gt;22.5,Tabla1[[#This Row],[ENERO ]]/22.5-1,0),IF(Tabla1[[#This Row],[ENERO ]]&gt;45,Tabla1[[#This Row],[ENERO ]]/45-1,0))</f>
        <v>0</v>
      </c>
      <c r="AH24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2" s="100">
        <f>IF(Tabla1[[#This Row],[TIPO DE CONSUMIDOR]]="MEDIO",IF(Tabla1[[#This Row],[MARZO]]&gt;22.5,Tabla1[[#This Row],[MARZO]]/22.5-1,0),IF(Tabla1[[#This Row],[MARZO]]&gt;45,Tabla1[[#This Row],[MARZO]]/45-1,0))</f>
        <v>0</v>
      </c>
      <c r="AJ242" s="100">
        <f>IF(Tabla1[[#This Row],[TIPO DE CONSUMIDOR]]="MEDIO",IF(Tabla1[[#This Row],[ABRIL]]&gt;22.5,Tabla1[[#This Row],[ABRIL]]/22.5-1,0),IF(Tabla1[[#This Row],[ABRIL]]&gt;45,Tabla1[[#This Row],[ABRIL]]/45-1,0))</f>
        <v>0</v>
      </c>
      <c r="AK242" s="100">
        <f>IF(Tabla1[[#This Row],[TIPO DE CONSUMIDOR]]="MEDIO",IF(Tabla1[[#This Row],[MAYO ]]&gt;22.5,Tabla1[[#This Row],[MAYO ]]/22.5-1,0),IF(Tabla1[[#This Row],[MAYO ]]&gt;45,Tabla1[[#This Row],[MAYO ]]/45-1,0))</f>
        <v>0</v>
      </c>
      <c r="AL242" s="100">
        <f>IF(Tabla1[[#This Row],[TIPO DE CONSUMIDOR]]="MEDIO",IF(Tabla1[[#This Row],[JUNIO ]]&gt;22.5,Tabla1[[#This Row],[JUNIO ]]/22.5-1,0),IF(Tabla1[[#This Row],[JUNIO ]]&gt;45,Tabla1[[#This Row],[JUNIO ]]/45-1,0))</f>
        <v>0</v>
      </c>
      <c r="AM242" s="100">
        <f>IF(Tabla1[[#This Row],[TIPO DE CONSUMIDOR]]="MEDIO",IF(Tabla1[[#This Row],[JULIO ]]&gt;22.5,Tabla1[[#This Row],[JULIO ]]/22.5-1,0),IF(Tabla1[[#This Row],[JULIO ]]&gt;45,Tabla1[[#This Row],[JULIO ]]/45-1,0))</f>
        <v>0</v>
      </c>
      <c r="AN242" s="100">
        <f>IF(Tabla1[[#This Row],[TIPO DE CONSUMIDOR]]="MEDIO",IF(Tabla1[[#This Row],[AGOSTO]]&gt;22.5,Tabla1[[#This Row],[AGOSTO]]/22.5-1,0),IF(Tabla1[[#This Row],[AGOSTO]]&gt;45,Tabla1[[#This Row],[AGOSTO]]/45-1,0))</f>
        <v>0</v>
      </c>
      <c r="AO24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2" s="101">
        <f t="shared" si="7"/>
        <v>0</v>
      </c>
      <c r="AT242">
        <f>IF(Tabla1[[#This Row],[MES ADEUDO DE AÑOS PASADOS ]]&gt;0,1,0)</f>
        <v>1</v>
      </c>
      <c r="AU242" s="9">
        <f t="shared" si="8"/>
        <v>1</v>
      </c>
      <c r="AV242" s="60">
        <f>IF(Tabla1[[#This Row],[MESES DE ADEUDO DEL AÑO EN CURSO ]]&gt;0,1,0)</f>
        <v>0</v>
      </c>
      <c r="AW242" s="42"/>
      <c r="AX242" s="42"/>
      <c r="AY242" s="42"/>
      <c r="AZ242" s="43"/>
    </row>
    <row r="243" spans="1:52" ht="21.75" thickBot="1" x14ac:dyDescent="0.35">
      <c r="A243" s="106">
        <v>237</v>
      </c>
      <c r="B243" s="5" t="s">
        <v>123</v>
      </c>
      <c r="C243" s="2" t="s">
        <v>524</v>
      </c>
      <c r="D243" s="32"/>
      <c r="E243" s="35" t="s">
        <v>455</v>
      </c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24">
        <f>SUM(Tabla1[[#This Row],[ENERO ]:[DICIEMBRE]])</f>
        <v>0</v>
      </c>
      <c r="W243">
        <v>17</v>
      </c>
      <c r="X243" s="21">
        <f>COUNTIF(Tabla1[[#This Row],[ENERO ]:[DICIEMBRE]],0)-(AS243)-IF(Tabla1[[#This Row],[BAJAS]]="BAJA",IF(Tabla1[[#This Row],[ALTAS]]="ALTA",VLOOKUP(Tabla1[[#This Row],[MES DE ALTA ]],$AW$6:$AX$17,2,FALSE),12)-VLOOKUP(Tabla1[[#This Row],[MES DE BAJA ]],$AW$6:$AX$17,2,FALSE),0)</f>
        <v>0</v>
      </c>
      <c r="Y243" s="68">
        <f>SUM(Tabla1[[#This Row],[MES ADEUDO DE AÑOS PASADOS ]:[MESES DE ADEUDO DEL AÑO EN CURSO ]])-Tabla1[[#This Row],[PAGO DE DEUDA ANTERIOR EN MESES]]</f>
        <v>17</v>
      </c>
      <c r="Z243" s="15">
        <f>Tabla1[[#This Row],[MES ADEUDO DE AÑOS PASADOS ]]*$T$2</f>
        <v>765</v>
      </c>
      <c r="AA243" s="15">
        <f>Tabla1[[#This Row],[MESES DE ADEUDO DEL AÑO EN CURSO ]]*$T$2</f>
        <v>0</v>
      </c>
      <c r="AB243" s="69">
        <f>SUM(Tabla1[[#This Row],[DEUDA DE LOS MESES PASADOS EN $$]:[DEUDA DEL AÑO 2013 $$ ]])</f>
        <v>765</v>
      </c>
      <c r="AD243">
        <f>Tabla1[[#This Row],[PAGO DE DEUDA ANTERIOR EN MESES]]*$T$2</f>
        <v>0</v>
      </c>
      <c r="AG243" s="100">
        <f>IF(Tabla1[[#This Row],[TIPO DE CONSUMIDOR]]="MEDIO",IF(Tabla1[[#This Row],[ENERO ]]&gt;22.5,Tabla1[[#This Row],[ENERO ]]/22.5-1,0),IF(Tabla1[[#This Row],[ENERO ]]&gt;45,Tabla1[[#This Row],[ENERO ]]/45-1,0))</f>
        <v>0</v>
      </c>
      <c r="AH24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3" s="100">
        <f>IF(Tabla1[[#This Row],[TIPO DE CONSUMIDOR]]="MEDIO",IF(Tabla1[[#This Row],[MARZO]]&gt;22.5,Tabla1[[#This Row],[MARZO]]/22.5-1,0),IF(Tabla1[[#This Row],[MARZO]]&gt;45,Tabla1[[#This Row],[MARZO]]/45-1,0))</f>
        <v>0</v>
      </c>
      <c r="AJ243" s="100">
        <f>IF(Tabla1[[#This Row],[TIPO DE CONSUMIDOR]]="MEDIO",IF(Tabla1[[#This Row],[ABRIL]]&gt;22.5,Tabla1[[#This Row],[ABRIL]]/22.5-1,0),IF(Tabla1[[#This Row],[ABRIL]]&gt;45,Tabla1[[#This Row],[ABRIL]]/45-1,0))</f>
        <v>0</v>
      </c>
      <c r="AK243" s="100">
        <f>IF(Tabla1[[#This Row],[TIPO DE CONSUMIDOR]]="MEDIO",IF(Tabla1[[#This Row],[MAYO ]]&gt;22.5,Tabla1[[#This Row],[MAYO ]]/22.5-1,0),IF(Tabla1[[#This Row],[MAYO ]]&gt;45,Tabla1[[#This Row],[MAYO ]]/45-1,0))</f>
        <v>0</v>
      </c>
      <c r="AL243" s="100">
        <f>IF(Tabla1[[#This Row],[TIPO DE CONSUMIDOR]]="MEDIO",IF(Tabla1[[#This Row],[JUNIO ]]&gt;22.5,Tabla1[[#This Row],[JUNIO ]]/22.5-1,0),IF(Tabla1[[#This Row],[JUNIO ]]&gt;45,Tabla1[[#This Row],[JUNIO ]]/45-1,0))</f>
        <v>0</v>
      </c>
      <c r="AM243" s="100">
        <f>IF(Tabla1[[#This Row],[TIPO DE CONSUMIDOR]]="MEDIO",IF(Tabla1[[#This Row],[JULIO ]]&gt;22.5,Tabla1[[#This Row],[JULIO ]]/22.5-1,0),IF(Tabla1[[#This Row],[JULIO ]]&gt;45,Tabla1[[#This Row],[JULIO ]]/45-1,0))</f>
        <v>0</v>
      </c>
      <c r="AN243" s="100">
        <f>IF(Tabla1[[#This Row],[TIPO DE CONSUMIDOR]]="MEDIO",IF(Tabla1[[#This Row],[AGOSTO]]&gt;22.5,Tabla1[[#This Row],[AGOSTO]]/22.5-1,0),IF(Tabla1[[#This Row],[AGOSTO]]&gt;45,Tabla1[[#This Row],[AGOSTO]]/45-1,0))</f>
        <v>0</v>
      </c>
      <c r="AO24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3" s="101">
        <f t="shared" si="7"/>
        <v>0</v>
      </c>
      <c r="AT243">
        <f>IF(Tabla1[[#This Row],[MES ADEUDO DE AÑOS PASADOS ]]&gt;0,1,0)</f>
        <v>1</v>
      </c>
      <c r="AU243" s="9">
        <f t="shared" si="8"/>
        <v>1</v>
      </c>
      <c r="AV243" s="60">
        <f>IF(Tabla1[[#This Row],[MESES DE ADEUDO DEL AÑO EN CURSO ]]&gt;0,1,0)</f>
        <v>0</v>
      </c>
      <c r="AW243" s="42"/>
      <c r="AX243" s="42"/>
      <c r="AY243" s="42"/>
      <c r="AZ243" s="43"/>
    </row>
    <row r="244" spans="1:52" ht="21.75" thickBot="1" x14ac:dyDescent="0.35">
      <c r="A244" s="106">
        <v>238</v>
      </c>
      <c r="B244" s="5" t="s">
        <v>39</v>
      </c>
      <c r="C244" s="2" t="s">
        <v>530</v>
      </c>
      <c r="D244" s="32"/>
      <c r="E244" s="35" t="s">
        <v>455</v>
      </c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24">
        <f>SUM(Tabla1[[#This Row],[ENERO ]:[DICIEMBRE]])</f>
        <v>0</v>
      </c>
      <c r="W244">
        <v>0</v>
      </c>
      <c r="X244" s="21">
        <f>COUNTIF(Tabla1[[#This Row],[ENERO ]:[DICIEMBRE]],0)-(AS244)-IF(Tabla1[[#This Row],[BAJAS]]="BAJA",IF(Tabla1[[#This Row],[ALTAS]]="ALTA",VLOOKUP(Tabla1[[#This Row],[MES DE ALTA ]],$AW$6:$AX$17,2,FALSE),12)-VLOOKUP(Tabla1[[#This Row],[MES DE BAJA ]],$AW$6:$AX$17,2,FALSE),0)</f>
        <v>0</v>
      </c>
      <c r="Y244" s="68">
        <f>SUM(Tabla1[[#This Row],[MES ADEUDO DE AÑOS PASADOS ]:[MESES DE ADEUDO DEL AÑO EN CURSO ]])-Tabla1[[#This Row],[PAGO DE DEUDA ANTERIOR EN MESES]]</f>
        <v>0</v>
      </c>
      <c r="Z244" s="15">
        <f>Tabla1[[#This Row],[MES ADEUDO DE AÑOS PASADOS ]]*$T$2</f>
        <v>0</v>
      </c>
      <c r="AA244" s="15">
        <f>Tabla1[[#This Row],[MESES DE ADEUDO DEL AÑO EN CURSO ]]*$T$2</f>
        <v>0</v>
      </c>
      <c r="AB244" s="69">
        <f>SUM(Tabla1[[#This Row],[DEUDA DE LOS MESES PASADOS EN $$]:[DEUDA DEL AÑO 2013 $$ ]])</f>
        <v>0</v>
      </c>
      <c r="AD244">
        <f>Tabla1[[#This Row],[PAGO DE DEUDA ANTERIOR EN MESES]]*$T$2</f>
        <v>0</v>
      </c>
      <c r="AG244" s="100">
        <f>IF(Tabla1[[#This Row],[TIPO DE CONSUMIDOR]]="MEDIO",IF(Tabla1[[#This Row],[ENERO ]]&gt;22.5,Tabla1[[#This Row],[ENERO ]]/22.5-1,0),IF(Tabla1[[#This Row],[ENERO ]]&gt;45,Tabla1[[#This Row],[ENERO ]]/45-1,0))</f>
        <v>0</v>
      </c>
      <c r="AH24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4" s="100">
        <f>IF(Tabla1[[#This Row],[TIPO DE CONSUMIDOR]]="MEDIO",IF(Tabla1[[#This Row],[MARZO]]&gt;22.5,Tabla1[[#This Row],[MARZO]]/22.5-1,0),IF(Tabla1[[#This Row],[MARZO]]&gt;45,Tabla1[[#This Row],[MARZO]]/45-1,0))</f>
        <v>0</v>
      </c>
      <c r="AJ244" s="100">
        <f>IF(Tabla1[[#This Row],[TIPO DE CONSUMIDOR]]="MEDIO",IF(Tabla1[[#This Row],[ABRIL]]&gt;22.5,Tabla1[[#This Row],[ABRIL]]/22.5-1,0),IF(Tabla1[[#This Row],[ABRIL]]&gt;45,Tabla1[[#This Row],[ABRIL]]/45-1,0))</f>
        <v>0</v>
      </c>
      <c r="AK244" s="100">
        <f>IF(Tabla1[[#This Row],[TIPO DE CONSUMIDOR]]="MEDIO",IF(Tabla1[[#This Row],[MAYO ]]&gt;22.5,Tabla1[[#This Row],[MAYO ]]/22.5-1,0),IF(Tabla1[[#This Row],[MAYO ]]&gt;45,Tabla1[[#This Row],[MAYO ]]/45-1,0))</f>
        <v>0</v>
      </c>
      <c r="AL244" s="100">
        <f>IF(Tabla1[[#This Row],[TIPO DE CONSUMIDOR]]="MEDIO",IF(Tabla1[[#This Row],[JUNIO ]]&gt;22.5,Tabla1[[#This Row],[JUNIO ]]/22.5-1,0),IF(Tabla1[[#This Row],[JUNIO ]]&gt;45,Tabla1[[#This Row],[JUNIO ]]/45-1,0))</f>
        <v>0</v>
      </c>
      <c r="AM244" s="100">
        <f>IF(Tabla1[[#This Row],[TIPO DE CONSUMIDOR]]="MEDIO",IF(Tabla1[[#This Row],[JULIO ]]&gt;22.5,Tabla1[[#This Row],[JULIO ]]/22.5-1,0),IF(Tabla1[[#This Row],[JULIO ]]&gt;45,Tabla1[[#This Row],[JULIO ]]/45-1,0))</f>
        <v>0</v>
      </c>
      <c r="AN244" s="100">
        <f>IF(Tabla1[[#This Row],[TIPO DE CONSUMIDOR]]="MEDIO",IF(Tabla1[[#This Row],[AGOSTO]]&gt;22.5,Tabla1[[#This Row],[AGOSTO]]/22.5-1,0),IF(Tabla1[[#This Row],[AGOSTO]]&gt;45,Tabla1[[#This Row],[AGOSTO]]/45-1,0))</f>
        <v>0</v>
      </c>
      <c r="AO24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4" s="101">
        <f t="shared" si="7"/>
        <v>0</v>
      </c>
      <c r="AT244">
        <f>IF(Tabla1[[#This Row],[MES ADEUDO DE AÑOS PASADOS ]]&gt;0,1,0)</f>
        <v>0</v>
      </c>
      <c r="AU244" s="9">
        <f t="shared" si="8"/>
        <v>0</v>
      </c>
      <c r="AV244" s="60">
        <f>IF(Tabla1[[#This Row],[MESES DE ADEUDO DEL AÑO EN CURSO ]]&gt;0,1,0)</f>
        <v>0</v>
      </c>
      <c r="AW244" s="42"/>
      <c r="AX244" s="42"/>
      <c r="AY244" s="42"/>
      <c r="AZ244" s="43"/>
    </row>
    <row r="245" spans="1:52" ht="21.75" thickBot="1" x14ac:dyDescent="0.35">
      <c r="A245" s="106">
        <v>239</v>
      </c>
      <c r="B245" s="5" t="s">
        <v>19</v>
      </c>
      <c r="C245" s="2" t="s">
        <v>530</v>
      </c>
      <c r="D245" s="32"/>
      <c r="E245" s="35" t="s">
        <v>455</v>
      </c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24">
        <f>SUM(Tabla1[[#This Row],[ENERO ]:[DICIEMBRE]])</f>
        <v>0</v>
      </c>
      <c r="W245">
        <v>0</v>
      </c>
      <c r="X245" s="21">
        <f>COUNTIF(Tabla1[[#This Row],[ENERO ]:[DICIEMBRE]],0)-(AS245)-IF(Tabla1[[#This Row],[BAJAS]]="BAJA",IF(Tabla1[[#This Row],[ALTAS]]="ALTA",VLOOKUP(Tabla1[[#This Row],[MES DE ALTA ]],$AW$6:$AX$17,2,FALSE),12)-VLOOKUP(Tabla1[[#This Row],[MES DE BAJA ]],$AW$6:$AX$17,2,FALSE),0)</f>
        <v>0</v>
      </c>
      <c r="Y245" s="68">
        <f>SUM(Tabla1[[#This Row],[MES ADEUDO DE AÑOS PASADOS ]:[MESES DE ADEUDO DEL AÑO EN CURSO ]])-Tabla1[[#This Row],[PAGO DE DEUDA ANTERIOR EN MESES]]</f>
        <v>0</v>
      </c>
      <c r="Z245" s="15">
        <f>Tabla1[[#This Row],[MES ADEUDO DE AÑOS PASADOS ]]*$T$2</f>
        <v>0</v>
      </c>
      <c r="AA245" s="15">
        <f>Tabla1[[#This Row],[MESES DE ADEUDO DEL AÑO EN CURSO ]]*$T$2</f>
        <v>0</v>
      </c>
      <c r="AB245" s="69">
        <f>SUM(Tabla1[[#This Row],[DEUDA DE LOS MESES PASADOS EN $$]:[DEUDA DEL AÑO 2013 $$ ]])</f>
        <v>0</v>
      </c>
      <c r="AD245">
        <f>Tabla1[[#This Row],[PAGO DE DEUDA ANTERIOR EN MESES]]*$T$2</f>
        <v>0</v>
      </c>
      <c r="AG245" s="100">
        <f>IF(Tabla1[[#This Row],[TIPO DE CONSUMIDOR]]="MEDIO",IF(Tabla1[[#This Row],[ENERO ]]&gt;22.5,Tabla1[[#This Row],[ENERO ]]/22.5-1,0),IF(Tabla1[[#This Row],[ENERO ]]&gt;45,Tabla1[[#This Row],[ENERO ]]/45-1,0))</f>
        <v>0</v>
      </c>
      <c r="AH24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5" s="100">
        <f>IF(Tabla1[[#This Row],[TIPO DE CONSUMIDOR]]="MEDIO",IF(Tabla1[[#This Row],[MARZO]]&gt;22.5,Tabla1[[#This Row],[MARZO]]/22.5-1,0),IF(Tabla1[[#This Row],[MARZO]]&gt;45,Tabla1[[#This Row],[MARZO]]/45-1,0))</f>
        <v>0</v>
      </c>
      <c r="AJ245" s="100">
        <f>IF(Tabla1[[#This Row],[TIPO DE CONSUMIDOR]]="MEDIO",IF(Tabla1[[#This Row],[ABRIL]]&gt;22.5,Tabla1[[#This Row],[ABRIL]]/22.5-1,0),IF(Tabla1[[#This Row],[ABRIL]]&gt;45,Tabla1[[#This Row],[ABRIL]]/45-1,0))</f>
        <v>0</v>
      </c>
      <c r="AK245" s="100">
        <f>IF(Tabla1[[#This Row],[TIPO DE CONSUMIDOR]]="MEDIO",IF(Tabla1[[#This Row],[MAYO ]]&gt;22.5,Tabla1[[#This Row],[MAYO ]]/22.5-1,0),IF(Tabla1[[#This Row],[MAYO ]]&gt;45,Tabla1[[#This Row],[MAYO ]]/45-1,0))</f>
        <v>0</v>
      </c>
      <c r="AL245" s="100">
        <f>IF(Tabla1[[#This Row],[TIPO DE CONSUMIDOR]]="MEDIO",IF(Tabla1[[#This Row],[JUNIO ]]&gt;22.5,Tabla1[[#This Row],[JUNIO ]]/22.5-1,0),IF(Tabla1[[#This Row],[JUNIO ]]&gt;45,Tabla1[[#This Row],[JUNIO ]]/45-1,0))</f>
        <v>0</v>
      </c>
      <c r="AM245" s="100">
        <f>IF(Tabla1[[#This Row],[TIPO DE CONSUMIDOR]]="MEDIO",IF(Tabla1[[#This Row],[JULIO ]]&gt;22.5,Tabla1[[#This Row],[JULIO ]]/22.5-1,0),IF(Tabla1[[#This Row],[JULIO ]]&gt;45,Tabla1[[#This Row],[JULIO ]]/45-1,0))</f>
        <v>0</v>
      </c>
      <c r="AN245" s="100">
        <f>IF(Tabla1[[#This Row],[TIPO DE CONSUMIDOR]]="MEDIO",IF(Tabla1[[#This Row],[AGOSTO]]&gt;22.5,Tabla1[[#This Row],[AGOSTO]]/22.5-1,0),IF(Tabla1[[#This Row],[AGOSTO]]&gt;45,Tabla1[[#This Row],[AGOSTO]]/45-1,0))</f>
        <v>0</v>
      </c>
      <c r="AO24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5" s="101">
        <f t="shared" si="7"/>
        <v>0</v>
      </c>
      <c r="AT245">
        <f>IF(Tabla1[[#This Row],[MES ADEUDO DE AÑOS PASADOS ]]&gt;0,1,0)</f>
        <v>0</v>
      </c>
      <c r="AU245" s="9">
        <f t="shared" si="8"/>
        <v>0</v>
      </c>
      <c r="AV245" s="60">
        <f>IF(Tabla1[[#This Row],[MESES DE ADEUDO DEL AÑO EN CURSO ]]&gt;0,1,0)</f>
        <v>0</v>
      </c>
      <c r="AW245" s="42"/>
      <c r="AX245" s="42"/>
      <c r="AY245" s="42"/>
      <c r="AZ245" s="43"/>
    </row>
    <row r="246" spans="1:52" ht="21.75" thickBot="1" x14ac:dyDescent="0.35">
      <c r="A246" s="106">
        <v>240</v>
      </c>
      <c r="B246" s="5" t="s">
        <v>28</v>
      </c>
      <c r="C246" s="2" t="s">
        <v>530</v>
      </c>
      <c r="D246" s="32"/>
      <c r="E246" s="35" t="s">
        <v>455</v>
      </c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24">
        <f>SUM(Tabla1[[#This Row],[ENERO ]:[DICIEMBRE]])</f>
        <v>0</v>
      </c>
      <c r="W246">
        <v>0</v>
      </c>
      <c r="X246" s="21">
        <f>COUNTIF(Tabla1[[#This Row],[ENERO ]:[DICIEMBRE]],0)-(AS246)-IF(Tabla1[[#This Row],[BAJAS]]="BAJA",IF(Tabla1[[#This Row],[ALTAS]]="ALTA",VLOOKUP(Tabla1[[#This Row],[MES DE ALTA ]],$AW$6:$AX$17,2,FALSE),12)-VLOOKUP(Tabla1[[#This Row],[MES DE BAJA ]],$AW$6:$AX$17,2,FALSE),0)</f>
        <v>0</v>
      </c>
      <c r="Y246" s="68">
        <f>SUM(Tabla1[[#This Row],[MES ADEUDO DE AÑOS PASADOS ]:[MESES DE ADEUDO DEL AÑO EN CURSO ]])-Tabla1[[#This Row],[PAGO DE DEUDA ANTERIOR EN MESES]]</f>
        <v>0</v>
      </c>
      <c r="Z246" s="15">
        <f>Tabla1[[#This Row],[MES ADEUDO DE AÑOS PASADOS ]]*$T$2</f>
        <v>0</v>
      </c>
      <c r="AA246" s="15">
        <f>Tabla1[[#This Row],[MESES DE ADEUDO DEL AÑO EN CURSO ]]*$T$2</f>
        <v>0</v>
      </c>
      <c r="AB246" s="69">
        <f>SUM(Tabla1[[#This Row],[DEUDA DE LOS MESES PASADOS EN $$]:[DEUDA DEL AÑO 2013 $$ ]])</f>
        <v>0</v>
      </c>
      <c r="AD246">
        <f>Tabla1[[#This Row],[PAGO DE DEUDA ANTERIOR EN MESES]]*$T$2</f>
        <v>0</v>
      </c>
      <c r="AG246" s="100">
        <f>IF(Tabla1[[#This Row],[TIPO DE CONSUMIDOR]]="MEDIO",IF(Tabla1[[#This Row],[ENERO ]]&gt;22.5,Tabla1[[#This Row],[ENERO ]]/22.5-1,0),IF(Tabla1[[#This Row],[ENERO ]]&gt;45,Tabla1[[#This Row],[ENERO ]]/45-1,0))</f>
        <v>0</v>
      </c>
      <c r="AH24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6" s="100">
        <f>IF(Tabla1[[#This Row],[TIPO DE CONSUMIDOR]]="MEDIO",IF(Tabla1[[#This Row],[MARZO]]&gt;22.5,Tabla1[[#This Row],[MARZO]]/22.5-1,0),IF(Tabla1[[#This Row],[MARZO]]&gt;45,Tabla1[[#This Row],[MARZO]]/45-1,0))</f>
        <v>0</v>
      </c>
      <c r="AJ246" s="100">
        <f>IF(Tabla1[[#This Row],[TIPO DE CONSUMIDOR]]="MEDIO",IF(Tabla1[[#This Row],[ABRIL]]&gt;22.5,Tabla1[[#This Row],[ABRIL]]/22.5-1,0),IF(Tabla1[[#This Row],[ABRIL]]&gt;45,Tabla1[[#This Row],[ABRIL]]/45-1,0))</f>
        <v>0</v>
      </c>
      <c r="AK246" s="100">
        <f>IF(Tabla1[[#This Row],[TIPO DE CONSUMIDOR]]="MEDIO",IF(Tabla1[[#This Row],[MAYO ]]&gt;22.5,Tabla1[[#This Row],[MAYO ]]/22.5-1,0),IF(Tabla1[[#This Row],[MAYO ]]&gt;45,Tabla1[[#This Row],[MAYO ]]/45-1,0))</f>
        <v>0</v>
      </c>
      <c r="AL246" s="100">
        <f>IF(Tabla1[[#This Row],[TIPO DE CONSUMIDOR]]="MEDIO",IF(Tabla1[[#This Row],[JUNIO ]]&gt;22.5,Tabla1[[#This Row],[JUNIO ]]/22.5-1,0),IF(Tabla1[[#This Row],[JUNIO ]]&gt;45,Tabla1[[#This Row],[JUNIO ]]/45-1,0))</f>
        <v>0</v>
      </c>
      <c r="AM246" s="100">
        <f>IF(Tabla1[[#This Row],[TIPO DE CONSUMIDOR]]="MEDIO",IF(Tabla1[[#This Row],[JULIO ]]&gt;22.5,Tabla1[[#This Row],[JULIO ]]/22.5-1,0),IF(Tabla1[[#This Row],[JULIO ]]&gt;45,Tabla1[[#This Row],[JULIO ]]/45-1,0))</f>
        <v>0</v>
      </c>
      <c r="AN246" s="100">
        <f>IF(Tabla1[[#This Row],[TIPO DE CONSUMIDOR]]="MEDIO",IF(Tabla1[[#This Row],[AGOSTO]]&gt;22.5,Tabla1[[#This Row],[AGOSTO]]/22.5-1,0),IF(Tabla1[[#This Row],[AGOSTO]]&gt;45,Tabla1[[#This Row],[AGOSTO]]/45-1,0))</f>
        <v>0</v>
      </c>
      <c r="AO24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6" s="101">
        <f t="shared" si="7"/>
        <v>0</v>
      </c>
      <c r="AT246">
        <f>IF(Tabla1[[#This Row],[MES ADEUDO DE AÑOS PASADOS ]]&gt;0,1,0)</f>
        <v>0</v>
      </c>
      <c r="AU246" s="9">
        <f t="shared" si="8"/>
        <v>0</v>
      </c>
      <c r="AV246" s="60">
        <f>IF(Tabla1[[#This Row],[MESES DE ADEUDO DEL AÑO EN CURSO ]]&gt;0,1,0)</f>
        <v>0</v>
      </c>
      <c r="AW246" s="42"/>
      <c r="AX246" s="42"/>
      <c r="AY246" s="42"/>
      <c r="AZ246" s="43"/>
    </row>
    <row r="247" spans="1:52" ht="21.75" thickBot="1" x14ac:dyDescent="0.35">
      <c r="A247" s="106">
        <v>241</v>
      </c>
      <c r="B247" s="47" t="s">
        <v>533</v>
      </c>
      <c r="C247" s="2" t="s">
        <v>530</v>
      </c>
      <c r="D247" s="32"/>
      <c r="E247" s="35" t="s">
        <v>455</v>
      </c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24">
        <f>SUM(Tabla1[[#This Row],[ENERO ]:[DICIEMBRE]])</f>
        <v>0</v>
      </c>
      <c r="W247">
        <v>0</v>
      </c>
      <c r="X247" s="21">
        <f>COUNTIF(Tabla1[[#This Row],[ENERO ]:[DICIEMBRE]],0)-(AS247)-IF(Tabla1[[#This Row],[BAJAS]]="BAJA",IF(Tabla1[[#This Row],[ALTAS]]="ALTA",VLOOKUP(Tabla1[[#This Row],[MES DE ALTA ]],$AW$6:$AX$17,2,FALSE),12)-VLOOKUP(Tabla1[[#This Row],[MES DE BAJA ]],$AW$6:$AX$17,2,FALSE),0)</f>
        <v>0</v>
      </c>
      <c r="Y247" s="68">
        <f>SUM(Tabla1[[#This Row],[MES ADEUDO DE AÑOS PASADOS ]:[MESES DE ADEUDO DEL AÑO EN CURSO ]])-Tabla1[[#This Row],[PAGO DE DEUDA ANTERIOR EN MESES]]</f>
        <v>0</v>
      </c>
      <c r="Z247" s="15">
        <f>Tabla1[[#This Row],[MES ADEUDO DE AÑOS PASADOS ]]*$T$2</f>
        <v>0</v>
      </c>
      <c r="AA247" s="15">
        <f>Tabla1[[#This Row],[MESES DE ADEUDO DEL AÑO EN CURSO ]]*$T$2</f>
        <v>0</v>
      </c>
      <c r="AB247" s="69">
        <f>SUM(Tabla1[[#This Row],[DEUDA DE LOS MESES PASADOS EN $$]:[DEUDA DEL AÑO 2013 $$ ]])</f>
        <v>0</v>
      </c>
      <c r="AD247">
        <f>Tabla1[[#This Row],[PAGO DE DEUDA ANTERIOR EN MESES]]*$T$2</f>
        <v>0</v>
      </c>
      <c r="AG247" s="100">
        <f>IF(Tabla1[[#This Row],[TIPO DE CONSUMIDOR]]="MEDIO",IF(Tabla1[[#This Row],[ENERO ]]&gt;22.5,Tabla1[[#This Row],[ENERO ]]/22.5-1,0),IF(Tabla1[[#This Row],[ENERO ]]&gt;45,Tabla1[[#This Row],[ENERO ]]/45-1,0))</f>
        <v>0</v>
      </c>
      <c r="AH24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7" s="100">
        <f>IF(Tabla1[[#This Row],[TIPO DE CONSUMIDOR]]="MEDIO",IF(Tabla1[[#This Row],[MARZO]]&gt;22.5,Tabla1[[#This Row],[MARZO]]/22.5-1,0),IF(Tabla1[[#This Row],[MARZO]]&gt;45,Tabla1[[#This Row],[MARZO]]/45-1,0))</f>
        <v>0</v>
      </c>
      <c r="AJ247" s="100">
        <f>IF(Tabla1[[#This Row],[TIPO DE CONSUMIDOR]]="MEDIO",IF(Tabla1[[#This Row],[ABRIL]]&gt;22.5,Tabla1[[#This Row],[ABRIL]]/22.5-1,0),IF(Tabla1[[#This Row],[ABRIL]]&gt;45,Tabla1[[#This Row],[ABRIL]]/45-1,0))</f>
        <v>0</v>
      </c>
      <c r="AK247" s="100">
        <f>IF(Tabla1[[#This Row],[TIPO DE CONSUMIDOR]]="MEDIO",IF(Tabla1[[#This Row],[MAYO ]]&gt;22.5,Tabla1[[#This Row],[MAYO ]]/22.5-1,0),IF(Tabla1[[#This Row],[MAYO ]]&gt;45,Tabla1[[#This Row],[MAYO ]]/45-1,0))</f>
        <v>0</v>
      </c>
      <c r="AL247" s="100">
        <f>IF(Tabla1[[#This Row],[TIPO DE CONSUMIDOR]]="MEDIO",IF(Tabla1[[#This Row],[JUNIO ]]&gt;22.5,Tabla1[[#This Row],[JUNIO ]]/22.5-1,0),IF(Tabla1[[#This Row],[JUNIO ]]&gt;45,Tabla1[[#This Row],[JUNIO ]]/45-1,0))</f>
        <v>0</v>
      </c>
      <c r="AM247" s="100">
        <f>IF(Tabla1[[#This Row],[TIPO DE CONSUMIDOR]]="MEDIO",IF(Tabla1[[#This Row],[JULIO ]]&gt;22.5,Tabla1[[#This Row],[JULIO ]]/22.5-1,0),IF(Tabla1[[#This Row],[JULIO ]]&gt;45,Tabla1[[#This Row],[JULIO ]]/45-1,0))</f>
        <v>0</v>
      </c>
      <c r="AN247" s="100">
        <f>IF(Tabla1[[#This Row],[TIPO DE CONSUMIDOR]]="MEDIO",IF(Tabla1[[#This Row],[AGOSTO]]&gt;22.5,Tabla1[[#This Row],[AGOSTO]]/22.5-1,0),IF(Tabla1[[#This Row],[AGOSTO]]&gt;45,Tabla1[[#This Row],[AGOSTO]]/45-1,0))</f>
        <v>0</v>
      </c>
      <c r="AO24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7" s="101">
        <f t="shared" si="7"/>
        <v>0</v>
      </c>
      <c r="AT247">
        <f>IF(Tabla1[[#This Row],[MES ADEUDO DE AÑOS PASADOS ]]&gt;0,1,0)</f>
        <v>0</v>
      </c>
      <c r="AU247" s="9">
        <f t="shared" si="8"/>
        <v>0</v>
      </c>
      <c r="AV247" s="60">
        <f>IF(Tabla1[[#This Row],[MESES DE ADEUDO DEL AÑO EN CURSO ]]&gt;0,1,0)</f>
        <v>0</v>
      </c>
      <c r="AW247" s="42"/>
      <c r="AX247" s="42"/>
      <c r="AY247" s="42"/>
      <c r="AZ247" s="43"/>
    </row>
    <row r="248" spans="1:52" ht="21.75" thickBot="1" x14ac:dyDescent="0.35">
      <c r="A248" s="106">
        <v>242</v>
      </c>
      <c r="B248" s="5" t="s">
        <v>70</v>
      </c>
      <c r="C248" s="2" t="s">
        <v>530</v>
      </c>
      <c r="D248" s="32"/>
      <c r="E248" s="35" t="s">
        <v>455</v>
      </c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24">
        <f>SUM(Tabla1[[#This Row],[ENERO ]:[DICIEMBRE]])</f>
        <v>0</v>
      </c>
      <c r="W248">
        <v>0</v>
      </c>
      <c r="X248" s="21">
        <f>COUNTIF(Tabla1[[#This Row],[ENERO ]:[DICIEMBRE]],0)-(AS248)-IF(Tabla1[[#This Row],[BAJAS]]="BAJA",IF(Tabla1[[#This Row],[ALTAS]]="ALTA",VLOOKUP(Tabla1[[#This Row],[MES DE ALTA ]],$AW$6:$AX$17,2,FALSE),12)-VLOOKUP(Tabla1[[#This Row],[MES DE BAJA ]],$AW$6:$AX$17,2,FALSE),0)</f>
        <v>0</v>
      </c>
      <c r="Y248" s="68">
        <f>SUM(Tabla1[[#This Row],[MES ADEUDO DE AÑOS PASADOS ]:[MESES DE ADEUDO DEL AÑO EN CURSO ]])-Tabla1[[#This Row],[PAGO DE DEUDA ANTERIOR EN MESES]]</f>
        <v>0</v>
      </c>
      <c r="Z248" s="15">
        <f>Tabla1[[#This Row],[MES ADEUDO DE AÑOS PASADOS ]]*$T$2</f>
        <v>0</v>
      </c>
      <c r="AA248" s="15">
        <f>Tabla1[[#This Row],[MESES DE ADEUDO DEL AÑO EN CURSO ]]*$T$2</f>
        <v>0</v>
      </c>
      <c r="AB248" s="69">
        <f>SUM(Tabla1[[#This Row],[DEUDA DE LOS MESES PASADOS EN $$]:[DEUDA DEL AÑO 2013 $$ ]])</f>
        <v>0</v>
      </c>
      <c r="AD248">
        <f>Tabla1[[#This Row],[PAGO DE DEUDA ANTERIOR EN MESES]]*$T$2</f>
        <v>0</v>
      </c>
      <c r="AG248" s="100">
        <f>IF(Tabla1[[#This Row],[TIPO DE CONSUMIDOR]]="MEDIO",IF(Tabla1[[#This Row],[ENERO ]]&gt;22.5,Tabla1[[#This Row],[ENERO ]]/22.5-1,0),IF(Tabla1[[#This Row],[ENERO ]]&gt;45,Tabla1[[#This Row],[ENERO ]]/45-1,0))</f>
        <v>0</v>
      </c>
      <c r="AH24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8" s="100">
        <f>IF(Tabla1[[#This Row],[TIPO DE CONSUMIDOR]]="MEDIO",IF(Tabla1[[#This Row],[MARZO]]&gt;22.5,Tabla1[[#This Row],[MARZO]]/22.5-1,0),IF(Tabla1[[#This Row],[MARZO]]&gt;45,Tabla1[[#This Row],[MARZO]]/45-1,0))</f>
        <v>0</v>
      </c>
      <c r="AJ248" s="100">
        <f>IF(Tabla1[[#This Row],[TIPO DE CONSUMIDOR]]="MEDIO",IF(Tabla1[[#This Row],[ABRIL]]&gt;22.5,Tabla1[[#This Row],[ABRIL]]/22.5-1,0),IF(Tabla1[[#This Row],[ABRIL]]&gt;45,Tabla1[[#This Row],[ABRIL]]/45-1,0))</f>
        <v>0</v>
      </c>
      <c r="AK248" s="100">
        <f>IF(Tabla1[[#This Row],[TIPO DE CONSUMIDOR]]="MEDIO",IF(Tabla1[[#This Row],[MAYO ]]&gt;22.5,Tabla1[[#This Row],[MAYO ]]/22.5-1,0),IF(Tabla1[[#This Row],[MAYO ]]&gt;45,Tabla1[[#This Row],[MAYO ]]/45-1,0))</f>
        <v>0</v>
      </c>
      <c r="AL248" s="100">
        <f>IF(Tabla1[[#This Row],[TIPO DE CONSUMIDOR]]="MEDIO",IF(Tabla1[[#This Row],[JUNIO ]]&gt;22.5,Tabla1[[#This Row],[JUNIO ]]/22.5-1,0),IF(Tabla1[[#This Row],[JUNIO ]]&gt;45,Tabla1[[#This Row],[JUNIO ]]/45-1,0))</f>
        <v>0</v>
      </c>
      <c r="AM248" s="100">
        <f>IF(Tabla1[[#This Row],[TIPO DE CONSUMIDOR]]="MEDIO",IF(Tabla1[[#This Row],[JULIO ]]&gt;22.5,Tabla1[[#This Row],[JULIO ]]/22.5-1,0),IF(Tabla1[[#This Row],[JULIO ]]&gt;45,Tabla1[[#This Row],[JULIO ]]/45-1,0))</f>
        <v>0</v>
      </c>
      <c r="AN248" s="100">
        <f>IF(Tabla1[[#This Row],[TIPO DE CONSUMIDOR]]="MEDIO",IF(Tabla1[[#This Row],[AGOSTO]]&gt;22.5,Tabla1[[#This Row],[AGOSTO]]/22.5-1,0),IF(Tabla1[[#This Row],[AGOSTO]]&gt;45,Tabla1[[#This Row],[AGOSTO]]/45-1,0))</f>
        <v>0</v>
      </c>
      <c r="AO24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8" s="101">
        <f t="shared" si="7"/>
        <v>0</v>
      </c>
      <c r="AT248">
        <f>IF(Tabla1[[#This Row],[MES ADEUDO DE AÑOS PASADOS ]]&gt;0,1,0)</f>
        <v>0</v>
      </c>
      <c r="AU248" s="9">
        <f t="shared" si="8"/>
        <v>0</v>
      </c>
      <c r="AV248" s="60">
        <f>IF(Tabla1[[#This Row],[MESES DE ADEUDO DEL AÑO EN CURSO ]]&gt;0,1,0)</f>
        <v>0</v>
      </c>
      <c r="AW248" s="42"/>
      <c r="AX248" s="42"/>
      <c r="AY248" s="42"/>
      <c r="AZ248" s="43"/>
    </row>
    <row r="249" spans="1:52" ht="21.75" thickBot="1" x14ac:dyDescent="0.35">
      <c r="A249" s="106">
        <v>243</v>
      </c>
      <c r="B249" s="5" t="s">
        <v>61</v>
      </c>
      <c r="C249" s="2" t="s">
        <v>530</v>
      </c>
      <c r="D249" s="32"/>
      <c r="E249" s="35" t="s">
        <v>455</v>
      </c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24">
        <f>SUM(Tabla1[[#This Row],[ENERO ]:[DICIEMBRE]])</f>
        <v>0</v>
      </c>
      <c r="W249">
        <v>0</v>
      </c>
      <c r="X249" s="21">
        <f>COUNTIF(Tabla1[[#This Row],[ENERO ]:[DICIEMBRE]],0)-(AS249)-IF(Tabla1[[#This Row],[BAJAS]]="BAJA",IF(Tabla1[[#This Row],[ALTAS]]="ALTA",VLOOKUP(Tabla1[[#This Row],[MES DE ALTA ]],$AW$6:$AX$17,2,FALSE),12)-VLOOKUP(Tabla1[[#This Row],[MES DE BAJA ]],$AW$6:$AX$17,2,FALSE),0)</f>
        <v>0</v>
      </c>
      <c r="Y249" s="68">
        <f>SUM(Tabla1[[#This Row],[MES ADEUDO DE AÑOS PASADOS ]:[MESES DE ADEUDO DEL AÑO EN CURSO ]])-Tabla1[[#This Row],[PAGO DE DEUDA ANTERIOR EN MESES]]</f>
        <v>0</v>
      </c>
      <c r="Z249" s="15">
        <f>Tabla1[[#This Row],[MES ADEUDO DE AÑOS PASADOS ]]*$T$2</f>
        <v>0</v>
      </c>
      <c r="AA249" s="15">
        <f>Tabla1[[#This Row],[MESES DE ADEUDO DEL AÑO EN CURSO ]]*$T$2</f>
        <v>0</v>
      </c>
      <c r="AB249" s="69">
        <f>SUM(Tabla1[[#This Row],[DEUDA DE LOS MESES PASADOS EN $$]:[DEUDA DEL AÑO 2013 $$ ]])</f>
        <v>0</v>
      </c>
      <c r="AD249">
        <f>Tabla1[[#This Row],[PAGO DE DEUDA ANTERIOR EN MESES]]*$T$2</f>
        <v>0</v>
      </c>
      <c r="AG249" s="100">
        <f>IF(Tabla1[[#This Row],[TIPO DE CONSUMIDOR]]="MEDIO",IF(Tabla1[[#This Row],[ENERO ]]&gt;22.5,Tabla1[[#This Row],[ENERO ]]/22.5-1,0),IF(Tabla1[[#This Row],[ENERO ]]&gt;45,Tabla1[[#This Row],[ENERO ]]/45-1,0))</f>
        <v>0</v>
      </c>
      <c r="AH24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49" s="100">
        <f>IF(Tabla1[[#This Row],[TIPO DE CONSUMIDOR]]="MEDIO",IF(Tabla1[[#This Row],[MARZO]]&gt;22.5,Tabla1[[#This Row],[MARZO]]/22.5-1,0),IF(Tabla1[[#This Row],[MARZO]]&gt;45,Tabla1[[#This Row],[MARZO]]/45-1,0))</f>
        <v>0</v>
      </c>
      <c r="AJ249" s="100">
        <f>IF(Tabla1[[#This Row],[TIPO DE CONSUMIDOR]]="MEDIO",IF(Tabla1[[#This Row],[ABRIL]]&gt;22.5,Tabla1[[#This Row],[ABRIL]]/22.5-1,0),IF(Tabla1[[#This Row],[ABRIL]]&gt;45,Tabla1[[#This Row],[ABRIL]]/45-1,0))</f>
        <v>0</v>
      </c>
      <c r="AK249" s="100">
        <f>IF(Tabla1[[#This Row],[TIPO DE CONSUMIDOR]]="MEDIO",IF(Tabla1[[#This Row],[MAYO ]]&gt;22.5,Tabla1[[#This Row],[MAYO ]]/22.5-1,0),IF(Tabla1[[#This Row],[MAYO ]]&gt;45,Tabla1[[#This Row],[MAYO ]]/45-1,0))</f>
        <v>0</v>
      </c>
      <c r="AL249" s="100">
        <f>IF(Tabla1[[#This Row],[TIPO DE CONSUMIDOR]]="MEDIO",IF(Tabla1[[#This Row],[JUNIO ]]&gt;22.5,Tabla1[[#This Row],[JUNIO ]]/22.5-1,0),IF(Tabla1[[#This Row],[JUNIO ]]&gt;45,Tabla1[[#This Row],[JUNIO ]]/45-1,0))</f>
        <v>0</v>
      </c>
      <c r="AM249" s="100">
        <f>IF(Tabla1[[#This Row],[TIPO DE CONSUMIDOR]]="MEDIO",IF(Tabla1[[#This Row],[JULIO ]]&gt;22.5,Tabla1[[#This Row],[JULIO ]]/22.5-1,0),IF(Tabla1[[#This Row],[JULIO ]]&gt;45,Tabla1[[#This Row],[JULIO ]]/45-1,0))</f>
        <v>0</v>
      </c>
      <c r="AN249" s="100">
        <f>IF(Tabla1[[#This Row],[TIPO DE CONSUMIDOR]]="MEDIO",IF(Tabla1[[#This Row],[AGOSTO]]&gt;22.5,Tabla1[[#This Row],[AGOSTO]]/22.5-1,0),IF(Tabla1[[#This Row],[AGOSTO]]&gt;45,Tabla1[[#This Row],[AGOSTO]]/45-1,0))</f>
        <v>0</v>
      </c>
      <c r="AO24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4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4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4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49" s="101">
        <f t="shared" si="7"/>
        <v>0</v>
      </c>
      <c r="AT249">
        <f>IF(Tabla1[[#This Row],[MES ADEUDO DE AÑOS PASADOS ]]&gt;0,1,0)</f>
        <v>0</v>
      </c>
      <c r="AU249" s="9">
        <f t="shared" si="8"/>
        <v>0</v>
      </c>
      <c r="AV249" s="60">
        <f>IF(Tabla1[[#This Row],[MESES DE ADEUDO DEL AÑO EN CURSO ]]&gt;0,1,0)</f>
        <v>0</v>
      </c>
      <c r="AW249" s="42"/>
      <c r="AX249" s="42"/>
      <c r="AY249" s="42"/>
      <c r="AZ249" s="43"/>
    </row>
    <row r="250" spans="1:52" ht="21.75" thickBot="1" x14ac:dyDescent="0.35">
      <c r="A250" s="106">
        <v>244</v>
      </c>
      <c r="B250" s="5" t="s">
        <v>64</v>
      </c>
      <c r="C250" s="2" t="s">
        <v>530</v>
      </c>
      <c r="D250" s="32"/>
      <c r="E250" s="35" t="s">
        <v>455</v>
      </c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24">
        <f>SUM(Tabla1[[#This Row],[ENERO ]:[DICIEMBRE]])</f>
        <v>0</v>
      </c>
      <c r="W250">
        <v>0</v>
      </c>
      <c r="X250" s="21">
        <f>COUNTIF(Tabla1[[#This Row],[ENERO ]:[DICIEMBRE]],0)-(AS250)-IF(Tabla1[[#This Row],[BAJAS]]="BAJA",IF(Tabla1[[#This Row],[ALTAS]]="ALTA",VLOOKUP(Tabla1[[#This Row],[MES DE ALTA ]],$AW$6:$AX$17,2,FALSE),12)-VLOOKUP(Tabla1[[#This Row],[MES DE BAJA ]],$AW$6:$AX$17,2,FALSE),0)</f>
        <v>0</v>
      </c>
      <c r="Y250" s="68">
        <f>SUM(Tabla1[[#This Row],[MES ADEUDO DE AÑOS PASADOS ]:[MESES DE ADEUDO DEL AÑO EN CURSO ]])-Tabla1[[#This Row],[PAGO DE DEUDA ANTERIOR EN MESES]]</f>
        <v>0</v>
      </c>
      <c r="Z250" s="15">
        <f>Tabla1[[#This Row],[MES ADEUDO DE AÑOS PASADOS ]]*$T$2</f>
        <v>0</v>
      </c>
      <c r="AA250" s="15">
        <f>Tabla1[[#This Row],[MESES DE ADEUDO DEL AÑO EN CURSO ]]*$T$2</f>
        <v>0</v>
      </c>
      <c r="AB250" s="69">
        <f>SUM(Tabla1[[#This Row],[DEUDA DE LOS MESES PASADOS EN $$]:[DEUDA DEL AÑO 2013 $$ ]])</f>
        <v>0</v>
      </c>
      <c r="AD250">
        <f>Tabla1[[#This Row],[PAGO DE DEUDA ANTERIOR EN MESES]]*$T$2</f>
        <v>0</v>
      </c>
      <c r="AG250" s="100">
        <f>IF(Tabla1[[#This Row],[TIPO DE CONSUMIDOR]]="MEDIO",IF(Tabla1[[#This Row],[ENERO ]]&gt;22.5,Tabla1[[#This Row],[ENERO ]]/22.5-1,0),IF(Tabla1[[#This Row],[ENERO ]]&gt;45,Tabla1[[#This Row],[ENERO ]]/45-1,0))</f>
        <v>0</v>
      </c>
      <c r="AH25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0" s="100">
        <f>IF(Tabla1[[#This Row],[TIPO DE CONSUMIDOR]]="MEDIO",IF(Tabla1[[#This Row],[MARZO]]&gt;22.5,Tabla1[[#This Row],[MARZO]]/22.5-1,0),IF(Tabla1[[#This Row],[MARZO]]&gt;45,Tabla1[[#This Row],[MARZO]]/45-1,0))</f>
        <v>0</v>
      </c>
      <c r="AJ250" s="100">
        <f>IF(Tabla1[[#This Row],[TIPO DE CONSUMIDOR]]="MEDIO",IF(Tabla1[[#This Row],[ABRIL]]&gt;22.5,Tabla1[[#This Row],[ABRIL]]/22.5-1,0),IF(Tabla1[[#This Row],[ABRIL]]&gt;45,Tabla1[[#This Row],[ABRIL]]/45-1,0))</f>
        <v>0</v>
      </c>
      <c r="AK250" s="100">
        <f>IF(Tabla1[[#This Row],[TIPO DE CONSUMIDOR]]="MEDIO",IF(Tabla1[[#This Row],[MAYO ]]&gt;22.5,Tabla1[[#This Row],[MAYO ]]/22.5-1,0),IF(Tabla1[[#This Row],[MAYO ]]&gt;45,Tabla1[[#This Row],[MAYO ]]/45-1,0))</f>
        <v>0</v>
      </c>
      <c r="AL250" s="100">
        <f>IF(Tabla1[[#This Row],[TIPO DE CONSUMIDOR]]="MEDIO",IF(Tabla1[[#This Row],[JUNIO ]]&gt;22.5,Tabla1[[#This Row],[JUNIO ]]/22.5-1,0),IF(Tabla1[[#This Row],[JUNIO ]]&gt;45,Tabla1[[#This Row],[JUNIO ]]/45-1,0))</f>
        <v>0</v>
      </c>
      <c r="AM250" s="100">
        <f>IF(Tabla1[[#This Row],[TIPO DE CONSUMIDOR]]="MEDIO",IF(Tabla1[[#This Row],[JULIO ]]&gt;22.5,Tabla1[[#This Row],[JULIO ]]/22.5-1,0),IF(Tabla1[[#This Row],[JULIO ]]&gt;45,Tabla1[[#This Row],[JULIO ]]/45-1,0))</f>
        <v>0</v>
      </c>
      <c r="AN250" s="100">
        <f>IF(Tabla1[[#This Row],[TIPO DE CONSUMIDOR]]="MEDIO",IF(Tabla1[[#This Row],[AGOSTO]]&gt;22.5,Tabla1[[#This Row],[AGOSTO]]/22.5-1,0),IF(Tabla1[[#This Row],[AGOSTO]]&gt;45,Tabla1[[#This Row],[AGOSTO]]/45-1,0))</f>
        <v>0</v>
      </c>
      <c r="AO25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0" s="101">
        <f t="shared" si="7"/>
        <v>0</v>
      </c>
      <c r="AT250">
        <f>IF(Tabla1[[#This Row],[MES ADEUDO DE AÑOS PASADOS ]]&gt;0,1,0)</f>
        <v>0</v>
      </c>
      <c r="AU250" s="9">
        <f t="shared" si="8"/>
        <v>0</v>
      </c>
      <c r="AV250" s="60">
        <f>IF(Tabla1[[#This Row],[MESES DE ADEUDO DEL AÑO EN CURSO ]]&gt;0,1,0)</f>
        <v>0</v>
      </c>
      <c r="AW250" s="42"/>
      <c r="AX250" s="42"/>
      <c r="AY250" s="42"/>
      <c r="AZ250" s="43"/>
    </row>
    <row r="251" spans="1:52" ht="21.75" thickBot="1" x14ac:dyDescent="0.35">
      <c r="A251" s="106">
        <v>245</v>
      </c>
      <c r="B251" s="5" t="s">
        <v>76</v>
      </c>
      <c r="C251" s="2" t="s">
        <v>530</v>
      </c>
      <c r="D251" s="32"/>
      <c r="E251" s="35" t="s">
        <v>489</v>
      </c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24">
        <f>SUM(Tabla1[[#This Row],[ENERO ]:[DICIEMBRE]])</f>
        <v>0</v>
      </c>
      <c r="W251">
        <v>0</v>
      </c>
      <c r="X251" s="21">
        <f>COUNTIF(Tabla1[[#This Row],[ENERO ]:[DICIEMBRE]],0)-(AS251)-IF(Tabla1[[#This Row],[BAJAS]]="BAJA",IF(Tabla1[[#This Row],[ALTAS]]="ALTA",VLOOKUP(Tabla1[[#This Row],[MES DE ALTA ]],$AW$6:$AX$17,2,FALSE),12)-VLOOKUP(Tabla1[[#This Row],[MES DE BAJA ]],$AW$6:$AX$17,2,FALSE),0)</f>
        <v>0</v>
      </c>
      <c r="Y251" s="68">
        <f>SUM(Tabla1[[#This Row],[MES ADEUDO DE AÑOS PASADOS ]:[MESES DE ADEUDO DEL AÑO EN CURSO ]])-Tabla1[[#This Row],[PAGO DE DEUDA ANTERIOR EN MESES]]</f>
        <v>0</v>
      </c>
      <c r="Z251" s="15">
        <f>Tabla1[[#This Row],[MES ADEUDO DE AÑOS PASADOS ]]*$T$2</f>
        <v>0</v>
      </c>
      <c r="AA251" s="15">
        <f>Tabla1[[#This Row],[MESES DE ADEUDO DEL AÑO EN CURSO ]]*$T$2</f>
        <v>0</v>
      </c>
      <c r="AB251" s="69">
        <f>SUM(Tabla1[[#This Row],[DEUDA DE LOS MESES PASADOS EN $$]:[DEUDA DEL AÑO 2013 $$ ]])</f>
        <v>0</v>
      </c>
      <c r="AD251">
        <f>Tabla1[[#This Row],[PAGO DE DEUDA ANTERIOR EN MESES]]*$T$2</f>
        <v>0</v>
      </c>
      <c r="AG251" s="100">
        <f>IF(Tabla1[[#This Row],[TIPO DE CONSUMIDOR]]="MEDIO",IF(Tabla1[[#This Row],[ENERO ]]&gt;22.5,Tabla1[[#This Row],[ENERO ]]/22.5-1,0),IF(Tabla1[[#This Row],[ENERO ]]&gt;45,Tabla1[[#This Row],[ENERO ]]/45-1,0))</f>
        <v>0</v>
      </c>
      <c r="AH25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1" s="100">
        <f>IF(Tabla1[[#This Row],[TIPO DE CONSUMIDOR]]="MEDIO",IF(Tabla1[[#This Row],[MARZO]]&gt;22.5,Tabla1[[#This Row],[MARZO]]/22.5-1,0),IF(Tabla1[[#This Row],[MARZO]]&gt;45,Tabla1[[#This Row],[MARZO]]/45-1,0))</f>
        <v>0</v>
      </c>
      <c r="AJ251" s="100">
        <f>IF(Tabla1[[#This Row],[TIPO DE CONSUMIDOR]]="MEDIO",IF(Tabla1[[#This Row],[ABRIL]]&gt;22.5,Tabla1[[#This Row],[ABRIL]]/22.5-1,0),IF(Tabla1[[#This Row],[ABRIL]]&gt;45,Tabla1[[#This Row],[ABRIL]]/45-1,0))</f>
        <v>0</v>
      </c>
      <c r="AK251" s="100">
        <f>IF(Tabla1[[#This Row],[TIPO DE CONSUMIDOR]]="MEDIO",IF(Tabla1[[#This Row],[MAYO ]]&gt;22.5,Tabla1[[#This Row],[MAYO ]]/22.5-1,0),IF(Tabla1[[#This Row],[MAYO ]]&gt;45,Tabla1[[#This Row],[MAYO ]]/45-1,0))</f>
        <v>0</v>
      </c>
      <c r="AL251" s="100">
        <f>IF(Tabla1[[#This Row],[TIPO DE CONSUMIDOR]]="MEDIO",IF(Tabla1[[#This Row],[JUNIO ]]&gt;22.5,Tabla1[[#This Row],[JUNIO ]]/22.5-1,0),IF(Tabla1[[#This Row],[JUNIO ]]&gt;45,Tabla1[[#This Row],[JUNIO ]]/45-1,0))</f>
        <v>0</v>
      </c>
      <c r="AM251" s="100">
        <f>IF(Tabla1[[#This Row],[TIPO DE CONSUMIDOR]]="MEDIO",IF(Tabla1[[#This Row],[JULIO ]]&gt;22.5,Tabla1[[#This Row],[JULIO ]]/22.5-1,0),IF(Tabla1[[#This Row],[JULIO ]]&gt;45,Tabla1[[#This Row],[JULIO ]]/45-1,0))</f>
        <v>0</v>
      </c>
      <c r="AN251" s="100">
        <f>IF(Tabla1[[#This Row],[TIPO DE CONSUMIDOR]]="MEDIO",IF(Tabla1[[#This Row],[AGOSTO]]&gt;22.5,Tabla1[[#This Row],[AGOSTO]]/22.5-1,0),IF(Tabla1[[#This Row],[AGOSTO]]&gt;45,Tabla1[[#This Row],[AGOSTO]]/45-1,0))</f>
        <v>0</v>
      </c>
      <c r="AO25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1" s="101">
        <f t="shared" si="7"/>
        <v>0</v>
      </c>
      <c r="AT251">
        <f>IF(Tabla1[[#This Row],[MES ADEUDO DE AÑOS PASADOS ]]&gt;0,1,0)</f>
        <v>0</v>
      </c>
      <c r="AU251" s="9">
        <f t="shared" si="8"/>
        <v>0</v>
      </c>
      <c r="AV251" s="60">
        <f>IF(Tabla1[[#This Row],[MESES DE ADEUDO DEL AÑO EN CURSO ]]&gt;0,1,0)</f>
        <v>0</v>
      </c>
      <c r="AW251" s="42"/>
      <c r="AX251" s="42"/>
      <c r="AY251" s="42"/>
      <c r="AZ251" s="43"/>
    </row>
    <row r="252" spans="1:52" ht="21.75" thickBot="1" x14ac:dyDescent="0.35">
      <c r="A252" s="106">
        <v>246</v>
      </c>
      <c r="B252" s="5" t="s">
        <v>81</v>
      </c>
      <c r="C252" s="2" t="s">
        <v>530</v>
      </c>
      <c r="D252" s="32"/>
      <c r="E252" s="35" t="s">
        <v>455</v>
      </c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24">
        <f>SUM(Tabla1[[#This Row],[ENERO ]:[DICIEMBRE]])</f>
        <v>0</v>
      </c>
      <c r="W252">
        <v>0</v>
      </c>
      <c r="X252" s="21">
        <f>COUNTIF(Tabla1[[#This Row],[ENERO ]:[DICIEMBRE]],0)-(AS252)-IF(Tabla1[[#This Row],[BAJAS]]="BAJA",IF(Tabla1[[#This Row],[ALTAS]]="ALTA",VLOOKUP(Tabla1[[#This Row],[MES DE ALTA ]],$AW$6:$AX$17,2,FALSE),12)-VLOOKUP(Tabla1[[#This Row],[MES DE BAJA ]],$AW$6:$AX$17,2,FALSE),0)</f>
        <v>0</v>
      </c>
      <c r="Y252" s="68">
        <f>SUM(Tabla1[[#This Row],[MES ADEUDO DE AÑOS PASADOS ]:[MESES DE ADEUDO DEL AÑO EN CURSO ]])-Tabla1[[#This Row],[PAGO DE DEUDA ANTERIOR EN MESES]]</f>
        <v>0</v>
      </c>
      <c r="Z252" s="15">
        <f>Tabla1[[#This Row],[MES ADEUDO DE AÑOS PASADOS ]]*$T$2</f>
        <v>0</v>
      </c>
      <c r="AA252" s="15">
        <f>Tabla1[[#This Row],[MESES DE ADEUDO DEL AÑO EN CURSO ]]*$T$2</f>
        <v>0</v>
      </c>
      <c r="AB252" s="69">
        <f>SUM(Tabla1[[#This Row],[DEUDA DE LOS MESES PASADOS EN $$]:[DEUDA DEL AÑO 2013 $$ ]])</f>
        <v>0</v>
      </c>
      <c r="AD252">
        <f>Tabla1[[#This Row],[PAGO DE DEUDA ANTERIOR EN MESES]]*$T$2</f>
        <v>0</v>
      </c>
      <c r="AG252" s="100">
        <f>IF(Tabla1[[#This Row],[TIPO DE CONSUMIDOR]]="MEDIO",IF(Tabla1[[#This Row],[ENERO ]]&gt;22.5,Tabla1[[#This Row],[ENERO ]]/22.5-1,0),IF(Tabla1[[#This Row],[ENERO ]]&gt;45,Tabla1[[#This Row],[ENERO ]]/45-1,0))</f>
        <v>0</v>
      </c>
      <c r="AH25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2" s="100">
        <f>IF(Tabla1[[#This Row],[TIPO DE CONSUMIDOR]]="MEDIO",IF(Tabla1[[#This Row],[MARZO]]&gt;22.5,Tabla1[[#This Row],[MARZO]]/22.5-1,0),IF(Tabla1[[#This Row],[MARZO]]&gt;45,Tabla1[[#This Row],[MARZO]]/45-1,0))</f>
        <v>0</v>
      </c>
      <c r="AJ252" s="100">
        <f>IF(Tabla1[[#This Row],[TIPO DE CONSUMIDOR]]="MEDIO",IF(Tabla1[[#This Row],[ABRIL]]&gt;22.5,Tabla1[[#This Row],[ABRIL]]/22.5-1,0),IF(Tabla1[[#This Row],[ABRIL]]&gt;45,Tabla1[[#This Row],[ABRIL]]/45-1,0))</f>
        <v>0</v>
      </c>
      <c r="AK252" s="100">
        <f>IF(Tabla1[[#This Row],[TIPO DE CONSUMIDOR]]="MEDIO",IF(Tabla1[[#This Row],[MAYO ]]&gt;22.5,Tabla1[[#This Row],[MAYO ]]/22.5-1,0),IF(Tabla1[[#This Row],[MAYO ]]&gt;45,Tabla1[[#This Row],[MAYO ]]/45-1,0))</f>
        <v>0</v>
      </c>
      <c r="AL252" s="100">
        <f>IF(Tabla1[[#This Row],[TIPO DE CONSUMIDOR]]="MEDIO",IF(Tabla1[[#This Row],[JUNIO ]]&gt;22.5,Tabla1[[#This Row],[JUNIO ]]/22.5-1,0),IF(Tabla1[[#This Row],[JUNIO ]]&gt;45,Tabla1[[#This Row],[JUNIO ]]/45-1,0))</f>
        <v>0</v>
      </c>
      <c r="AM252" s="100">
        <f>IF(Tabla1[[#This Row],[TIPO DE CONSUMIDOR]]="MEDIO",IF(Tabla1[[#This Row],[JULIO ]]&gt;22.5,Tabla1[[#This Row],[JULIO ]]/22.5-1,0),IF(Tabla1[[#This Row],[JULIO ]]&gt;45,Tabla1[[#This Row],[JULIO ]]/45-1,0))</f>
        <v>0</v>
      </c>
      <c r="AN252" s="100">
        <f>IF(Tabla1[[#This Row],[TIPO DE CONSUMIDOR]]="MEDIO",IF(Tabla1[[#This Row],[AGOSTO]]&gt;22.5,Tabla1[[#This Row],[AGOSTO]]/22.5-1,0),IF(Tabla1[[#This Row],[AGOSTO]]&gt;45,Tabla1[[#This Row],[AGOSTO]]/45-1,0))</f>
        <v>0</v>
      </c>
      <c r="AO25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2" s="101">
        <f t="shared" si="7"/>
        <v>0</v>
      </c>
      <c r="AT252">
        <f>IF(Tabla1[[#This Row],[MES ADEUDO DE AÑOS PASADOS ]]&gt;0,1,0)</f>
        <v>0</v>
      </c>
      <c r="AU252" s="9">
        <f t="shared" si="8"/>
        <v>0</v>
      </c>
      <c r="AV252" s="60">
        <f>IF(Tabla1[[#This Row],[MESES DE ADEUDO DEL AÑO EN CURSO ]]&gt;0,1,0)</f>
        <v>0</v>
      </c>
      <c r="AW252" s="42"/>
      <c r="AX252" s="42"/>
      <c r="AY252" s="42"/>
      <c r="AZ252" s="43"/>
    </row>
    <row r="253" spans="1:52" ht="21.75" thickBot="1" x14ac:dyDescent="0.35">
      <c r="A253" s="106">
        <v>247</v>
      </c>
      <c r="B253" s="5" t="s">
        <v>535</v>
      </c>
      <c r="C253" s="2" t="s">
        <v>530</v>
      </c>
      <c r="D253" s="32"/>
      <c r="E253" s="35" t="s">
        <v>489</v>
      </c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24">
        <f>SUM(Tabla1[[#This Row],[ENERO ]:[DICIEMBRE]])</f>
        <v>0</v>
      </c>
      <c r="W253">
        <v>0</v>
      </c>
      <c r="X253" s="21">
        <f>COUNTIF(Tabla1[[#This Row],[ENERO ]:[DICIEMBRE]],0)-(AS253)-IF(Tabla1[[#This Row],[BAJAS]]="BAJA",IF(Tabla1[[#This Row],[ALTAS]]="ALTA",VLOOKUP(Tabla1[[#This Row],[MES DE ALTA ]],$AW$6:$AX$17,2,FALSE),12)-VLOOKUP(Tabla1[[#This Row],[MES DE BAJA ]],$AW$6:$AX$17,2,FALSE),0)</f>
        <v>0</v>
      </c>
      <c r="Y253" s="68">
        <f>SUM(Tabla1[[#This Row],[MES ADEUDO DE AÑOS PASADOS ]:[MESES DE ADEUDO DEL AÑO EN CURSO ]])-Tabla1[[#This Row],[PAGO DE DEUDA ANTERIOR EN MESES]]</f>
        <v>0</v>
      </c>
      <c r="Z253" s="15">
        <f>Tabla1[[#This Row],[MES ADEUDO DE AÑOS PASADOS ]]*$T$2</f>
        <v>0</v>
      </c>
      <c r="AA253" s="15">
        <f>Tabla1[[#This Row],[MESES DE ADEUDO DEL AÑO EN CURSO ]]*$T$2</f>
        <v>0</v>
      </c>
      <c r="AB253" s="69">
        <f>SUM(Tabla1[[#This Row],[DEUDA DE LOS MESES PASADOS EN $$]:[DEUDA DEL AÑO 2013 $$ ]])</f>
        <v>0</v>
      </c>
      <c r="AD253">
        <f>Tabla1[[#This Row],[PAGO DE DEUDA ANTERIOR EN MESES]]*$T$2</f>
        <v>0</v>
      </c>
      <c r="AG253" s="100">
        <f>IF(Tabla1[[#This Row],[TIPO DE CONSUMIDOR]]="MEDIO",IF(Tabla1[[#This Row],[ENERO ]]&gt;22.5,Tabla1[[#This Row],[ENERO ]]/22.5-1,0),IF(Tabla1[[#This Row],[ENERO ]]&gt;45,Tabla1[[#This Row],[ENERO ]]/45-1,0))</f>
        <v>0</v>
      </c>
      <c r="AH25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3" s="100">
        <f>IF(Tabla1[[#This Row],[TIPO DE CONSUMIDOR]]="MEDIO",IF(Tabla1[[#This Row],[MARZO]]&gt;22.5,Tabla1[[#This Row],[MARZO]]/22.5-1,0),IF(Tabla1[[#This Row],[MARZO]]&gt;45,Tabla1[[#This Row],[MARZO]]/45-1,0))</f>
        <v>0</v>
      </c>
      <c r="AJ253" s="100">
        <f>IF(Tabla1[[#This Row],[TIPO DE CONSUMIDOR]]="MEDIO",IF(Tabla1[[#This Row],[ABRIL]]&gt;22.5,Tabla1[[#This Row],[ABRIL]]/22.5-1,0),IF(Tabla1[[#This Row],[ABRIL]]&gt;45,Tabla1[[#This Row],[ABRIL]]/45-1,0))</f>
        <v>0</v>
      </c>
      <c r="AK253" s="100">
        <f>IF(Tabla1[[#This Row],[TIPO DE CONSUMIDOR]]="MEDIO",IF(Tabla1[[#This Row],[MAYO ]]&gt;22.5,Tabla1[[#This Row],[MAYO ]]/22.5-1,0),IF(Tabla1[[#This Row],[MAYO ]]&gt;45,Tabla1[[#This Row],[MAYO ]]/45-1,0))</f>
        <v>0</v>
      </c>
      <c r="AL253" s="100">
        <f>IF(Tabla1[[#This Row],[TIPO DE CONSUMIDOR]]="MEDIO",IF(Tabla1[[#This Row],[JUNIO ]]&gt;22.5,Tabla1[[#This Row],[JUNIO ]]/22.5-1,0),IF(Tabla1[[#This Row],[JUNIO ]]&gt;45,Tabla1[[#This Row],[JUNIO ]]/45-1,0))</f>
        <v>0</v>
      </c>
      <c r="AM253" s="100">
        <f>IF(Tabla1[[#This Row],[TIPO DE CONSUMIDOR]]="MEDIO",IF(Tabla1[[#This Row],[JULIO ]]&gt;22.5,Tabla1[[#This Row],[JULIO ]]/22.5-1,0),IF(Tabla1[[#This Row],[JULIO ]]&gt;45,Tabla1[[#This Row],[JULIO ]]/45-1,0))</f>
        <v>0</v>
      </c>
      <c r="AN253" s="100">
        <f>IF(Tabla1[[#This Row],[TIPO DE CONSUMIDOR]]="MEDIO",IF(Tabla1[[#This Row],[AGOSTO]]&gt;22.5,Tabla1[[#This Row],[AGOSTO]]/22.5-1,0),IF(Tabla1[[#This Row],[AGOSTO]]&gt;45,Tabla1[[#This Row],[AGOSTO]]/45-1,0))</f>
        <v>0</v>
      </c>
      <c r="AO25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3" s="101">
        <f t="shared" si="7"/>
        <v>0</v>
      </c>
      <c r="AT253">
        <f>IF(Tabla1[[#This Row],[MES ADEUDO DE AÑOS PASADOS ]]&gt;0,1,0)</f>
        <v>0</v>
      </c>
      <c r="AU253" s="9">
        <f t="shared" si="8"/>
        <v>0</v>
      </c>
      <c r="AV253" s="60">
        <f>IF(Tabla1[[#This Row],[MESES DE ADEUDO DEL AÑO EN CURSO ]]&gt;0,1,0)</f>
        <v>0</v>
      </c>
      <c r="AW253" s="42"/>
      <c r="AX253" s="42"/>
      <c r="AY253" s="42"/>
      <c r="AZ253" s="43"/>
    </row>
    <row r="254" spans="1:52" ht="21.75" thickBot="1" x14ac:dyDescent="0.35">
      <c r="A254" s="106">
        <v>248</v>
      </c>
      <c r="B254" s="5" t="s">
        <v>108</v>
      </c>
      <c r="C254" s="2" t="s">
        <v>530</v>
      </c>
      <c r="D254" s="32"/>
      <c r="E254" s="35" t="s">
        <v>455</v>
      </c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24">
        <f>SUM(Tabla1[[#This Row],[ENERO ]:[DICIEMBRE]])</f>
        <v>0</v>
      </c>
      <c r="W254">
        <v>0</v>
      </c>
      <c r="X254" s="21">
        <f>COUNTIF(Tabla1[[#This Row],[ENERO ]:[DICIEMBRE]],0)-(AS254)-IF(Tabla1[[#This Row],[BAJAS]]="BAJA",IF(Tabla1[[#This Row],[ALTAS]]="ALTA",VLOOKUP(Tabla1[[#This Row],[MES DE ALTA ]],$AW$6:$AX$17,2,FALSE),12)-VLOOKUP(Tabla1[[#This Row],[MES DE BAJA ]],$AW$6:$AX$17,2,FALSE),0)</f>
        <v>0</v>
      </c>
      <c r="Y254" s="68">
        <f>SUM(Tabla1[[#This Row],[MES ADEUDO DE AÑOS PASADOS ]:[MESES DE ADEUDO DEL AÑO EN CURSO ]])-Tabla1[[#This Row],[PAGO DE DEUDA ANTERIOR EN MESES]]</f>
        <v>0</v>
      </c>
      <c r="Z254" s="15">
        <f>Tabla1[[#This Row],[MES ADEUDO DE AÑOS PASADOS ]]*$T$2</f>
        <v>0</v>
      </c>
      <c r="AA254" s="15">
        <f>Tabla1[[#This Row],[MESES DE ADEUDO DEL AÑO EN CURSO ]]*$T$2</f>
        <v>0</v>
      </c>
      <c r="AB254" s="69">
        <f>SUM(Tabla1[[#This Row],[DEUDA DE LOS MESES PASADOS EN $$]:[DEUDA DEL AÑO 2013 $$ ]])</f>
        <v>0</v>
      </c>
      <c r="AD254">
        <f>Tabla1[[#This Row],[PAGO DE DEUDA ANTERIOR EN MESES]]*$T$2</f>
        <v>0</v>
      </c>
      <c r="AG254" s="100">
        <f>IF(Tabla1[[#This Row],[TIPO DE CONSUMIDOR]]="MEDIO",IF(Tabla1[[#This Row],[ENERO ]]&gt;22.5,Tabla1[[#This Row],[ENERO ]]/22.5-1,0),IF(Tabla1[[#This Row],[ENERO ]]&gt;45,Tabla1[[#This Row],[ENERO ]]/45-1,0))</f>
        <v>0</v>
      </c>
      <c r="AH25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4" s="100">
        <f>IF(Tabla1[[#This Row],[TIPO DE CONSUMIDOR]]="MEDIO",IF(Tabla1[[#This Row],[MARZO]]&gt;22.5,Tabla1[[#This Row],[MARZO]]/22.5-1,0),IF(Tabla1[[#This Row],[MARZO]]&gt;45,Tabla1[[#This Row],[MARZO]]/45-1,0))</f>
        <v>0</v>
      </c>
      <c r="AJ254" s="100">
        <f>IF(Tabla1[[#This Row],[TIPO DE CONSUMIDOR]]="MEDIO",IF(Tabla1[[#This Row],[ABRIL]]&gt;22.5,Tabla1[[#This Row],[ABRIL]]/22.5-1,0),IF(Tabla1[[#This Row],[ABRIL]]&gt;45,Tabla1[[#This Row],[ABRIL]]/45-1,0))</f>
        <v>0</v>
      </c>
      <c r="AK254" s="100">
        <f>IF(Tabla1[[#This Row],[TIPO DE CONSUMIDOR]]="MEDIO",IF(Tabla1[[#This Row],[MAYO ]]&gt;22.5,Tabla1[[#This Row],[MAYO ]]/22.5-1,0),IF(Tabla1[[#This Row],[MAYO ]]&gt;45,Tabla1[[#This Row],[MAYO ]]/45-1,0))</f>
        <v>0</v>
      </c>
      <c r="AL254" s="100">
        <f>IF(Tabla1[[#This Row],[TIPO DE CONSUMIDOR]]="MEDIO",IF(Tabla1[[#This Row],[JUNIO ]]&gt;22.5,Tabla1[[#This Row],[JUNIO ]]/22.5-1,0),IF(Tabla1[[#This Row],[JUNIO ]]&gt;45,Tabla1[[#This Row],[JUNIO ]]/45-1,0))</f>
        <v>0</v>
      </c>
      <c r="AM254" s="100">
        <f>IF(Tabla1[[#This Row],[TIPO DE CONSUMIDOR]]="MEDIO",IF(Tabla1[[#This Row],[JULIO ]]&gt;22.5,Tabla1[[#This Row],[JULIO ]]/22.5-1,0),IF(Tabla1[[#This Row],[JULIO ]]&gt;45,Tabla1[[#This Row],[JULIO ]]/45-1,0))</f>
        <v>0</v>
      </c>
      <c r="AN254" s="100">
        <f>IF(Tabla1[[#This Row],[TIPO DE CONSUMIDOR]]="MEDIO",IF(Tabla1[[#This Row],[AGOSTO]]&gt;22.5,Tabla1[[#This Row],[AGOSTO]]/22.5-1,0),IF(Tabla1[[#This Row],[AGOSTO]]&gt;45,Tabla1[[#This Row],[AGOSTO]]/45-1,0))</f>
        <v>0</v>
      </c>
      <c r="AO25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4" s="101">
        <f t="shared" si="7"/>
        <v>0</v>
      </c>
      <c r="AT254">
        <f>IF(Tabla1[[#This Row],[MES ADEUDO DE AÑOS PASADOS ]]&gt;0,1,0)</f>
        <v>0</v>
      </c>
      <c r="AU254" s="9">
        <f t="shared" si="8"/>
        <v>0</v>
      </c>
      <c r="AV254" s="60">
        <f>IF(Tabla1[[#This Row],[MESES DE ADEUDO DEL AÑO EN CURSO ]]&gt;0,1,0)</f>
        <v>0</v>
      </c>
      <c r="AW254" s="42"/>
      <c r="AX254" s="42"/>
      <c r="AY254" s="42"/>
      <c r="AZ254" s="43"/>
    </row>
    <row r="255" spans="1:52" ht="21.75" thickBot="1" x14ac:dyDescent="0.35">
      <c r="A255" s="106">
        <v>249</v>
      </c>
      <c r="B255" s="5" t="s">
        <v>105</v>
      </c>
      <c r="C255" s="2" t="s">
        <v>530</v>
      </c>
      <c r="D255" s="32"/>
      <c r="E255" s="35" t="s">
        <v>455</v>
      </c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24">
        <f>SUM(Tabla1[[#This Row],[ENERO ]:[DICIEMBRE]])</f>
        <v>0</v>
      </c>
      <c r="W255">
        <v>0</v>
      </c>
      <c r="X255" s="21">
        <f>COUNTIF(Tabla1[[#This Row],[ENERO ]:[DICIEMBRE]],0)-(AS255)-IF(Tabla1[[#This Row],[BAJAS]]="BAJA",IF(Tabla1[[#This Row],[ALTAS]]="ALTA",VLOOKUP(Tabla1[[#This Row],[MES DE ALTA ]],$AW$6:$AX$17,2,FALSE),12)-VLOOKUP(Tabla1[[#This Row],[MES DE BAJA ]],$AW$6:$AX$17,2,FALSE),0)</f>
        <v>0</v>
      </c>
      <c r="Y255" s="68">
        <f>SUM(Tabla1[[#This Row],[MES ADEUDO DE AÑOS PASADOS ]:[MESES DE ADEUDO DEL AÑO EN CURSO ]])-Tabla1[[#This Row],[PAGO DE DEUDA ANTERIOR EN MESES]]</f>
        <v>0</v>
      </c>
      <c r="Z255" s="15">
        <f>Tabla1[[#This Row],[MES ADEUDO DE AÑOS PASADOS ]]*$T$2</f>
        <v>0</v>
      </c>
      <c r="AA255" s="15">
        <f>Tabla1[[#This Row],[MESES DE ADEUDO DEL AÑO EN CURSO ]]*$T$2</f>
        <v>0</v>
      </c>
      <c r="AB255" s="69">
        <f>SUM(Tabla1[[#This Row],[DEUDA DE LOS MESES PASADOS EN $$]:[DEUDA DEL AÑO 2013 $$ ]])</f>
        <v>0</v>
      </c>
      <c r="AD255">
        <f>Tabla1[[#This Row],[PAGO DE DEUDA ANTERIOR EN MESES]]*$T$2</f>
        <v>0</v>
      </c>
      <c r="AG255" s="100">
        <f>IF(Tabla1[[#This Row],[TIPO DE CONSUMIDOR]]="MEDIO",IF(Tabla1[[#This Row],[ENERO ]]&gt;22.5,Tabla1[[#This Row],[ENERO ]]/22.5-1,0),IF(Tabla1[[#This Row],[ENERO ]]&gt;45,Tabla1[[#This Row],[ENERO ]]/45-1,0))</f>
        <v>0</v>
      </c>
      <c r="AH25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5" s="100">
        <f>IF(Tabla1[[#This Row],[TIPO DE CONSUMIDOR]]="MEDIO",IF(Tabla1[[#This Row],[MARZO]]&gt;22.5,Tabla1[[#This Row],[MARZO]]/22.5-1,0),IF(Tabla1[[#This Row],[MARZO]]&gt;45,Tabla1[[#This Row],[MARZO]]/45-1,0))</f>
        <v>0</v>
      </c>
      <c r="AJ255" s="100">
        <f>IF(Tabla1[[#This Row],[TIPO DE CONSUMIDOR]]="MEDIO",IF(Tabla1[[#This Row],[ABRIL]]&gt;22.5,Tabla1[[#This Row],[ABRIL]]/22.5-1,0),IF(Tabla1[[#This Row],[ABRIL]]&gt;45,Tabla1[[#This Row],[ABRIL]]/45-1,0))</f>
        <v>0</v>
      </c>
      <c r="AK255" s="100">
        <f>IF(Tabla1[[#This Row],[TIPO DE CONSUMIDOR]]="MEDIO",IF(Tabla1[[#This Row],[MAYO ]]&gt;22.5,Tabla1[[#This Row],[MAYO ]]/22.5-1,0),IF(Tabla1[[#This Row],[MAYO ]]&gt;45,Tabla1[[#This Row],[MAYO ]]/45-1,0))</f>
        <v>0</v>
      </c>
      <c r="AL255" s="100">
        <f>IF(Tabla1[[#This Row],[TIPO DE CONSUMIDOR]]="MEDIO",IF(Tabla1[[#This Row],[JUNIO ]]&gt;22.5,Tabla1[[#This Row],[JUNIO ]]/22.5-1,0),IF(Tabla1[[#This Row],[JUNIO ]]&gt;45,Tabla1[[#This Row],[JUNIO ]]/45-1,0))</f>
        <v>0</v>
      </c>
      <c r="AM255" s="100">
        <f>IF(Tabla1[[#This Row],[TIPO DE CONSUMIDOR]]="MEDIO",IF(Tabla1[[#This Row],[JULIO ]]&gt;22.5,Tabla1[[#This Row],[JULIO ]]/22.5-1,0),IF(Tabla1[[#This Row],[JULIO ]]&gt;45,Tabla1[[#This Row],[JULIO ]]/45-1,0))</f>
        <v>0</v>
      </c>
      <c r="AN255" s="100">
        <f>IF(Tabla1[[#This Row],[TIPO DE CONSUMIDOR]]="MEDIO",IF(Tabla1[[#This Row],[AGOSTO]]&gt;22.5,Tabla1[[#This Row],[AGOSTO]]/22.5-1,0),IF(Tabla1[[#This Row],[AGOSTO]]&gt;45,Tabla1[[#This Row],[AGOSTO]]/45-1,0))</f>
        <v>0</v>
      </c>
      <c r="AO25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5" s="101">
        <f t="shared" si="7"/>
        <v>0</v>
      </c>
      <c r="AT255">
        <f>IF(Tabla1[[#This Row],[MES ADEUDO DE AÑOS PASADOS ]]&gt;0,1,0)</f>
        <v>0</v>
      </c>
      <c r="AU255" s="9">
        <f t="shared" si="8"/>
        <v>0</v>
      </c>
      <c r="AV255" s="60">
        <f>IF(Tabla1[[#This Row],[MESES DE ADEUDO DEL AÑO EN CURSO ]]&gt;0,1,0)</f>
        <v>0</v>
      </c>
      <c r="AW255" s="42"/>
      <c r="AX255" s="42"/>
      <c r="AY255" s="42"/>
      <c r="AZ255" s="43"/>
    </row>
    <row r="256" spans="1:52" ht="21.75" thickBot="1" x14ac:dyDescent="0.35">
      <c r="A256" s="106">
        <v>250</v>
      </c>
      <c r="B256" s="5" t="s">
        <v>101</v>
      </c>
      <c r="C256" s="2" t="s">
        <v>530</v>
      </c>
      <c r="D256" s="32"/>
      <c r="E256" s="35" t="s">
        <v>455</v>
      </c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24">
        <f>SUM(Tabla1[[#This Row],[ENERO ]:[DICIEMBRE]])</f>
        <v>0</v>
      </c>
      <c r="W256">
        <v>0</v>
      </c>
      <c r="X256" s="21">
        <f>COUNTIF(Tabla1[[#This Row],[ENERO ]:[DICIEMBRE]],0)-(AS256)-IF(Tabla1[[#This Row],[BAJAS]]="BAJA",IF(Tabla1[[#This Row],[ALTAS]]="ALTA",VLOOKUP(Tabla1[[#This Row],[MES DE ALTA ]],$AW$6:$AX$17,2,FALSE),12)-VLOOKUP(Tabla1[[#This Row],[MES DE BAJA ]],$AW$6:$AX$17,2,FALSE),0)</f>
        <v>0</v>
      </c>
      <c r="Y256" s="68">
        <f>SUM(Tabla1[[#This Row],[MES ADEUDO DE AÑOS PASADOS ]:[MESES DE ADEUDO DEL AÑO EN CURSO ]])-Tabla1[[#This Row],[PAGO DE DEUDA ANTERIOR EN MESES]]</f>
        <v>0</v>
      </c>
      <c r="Z256" s="15">
        <f>Tabla1[[#This Row],[MES ADEUDO DE AÑOS PASADOS ]]*$T$2</f>
        <v>0</v>
      </c>
      <c r="AA256" s="15">
        <f>Tabla1[[#This Row],[MESES DE ADEUDO DEL AÑO EN CURSO ]]*$T$2</f>
        <v>0</v>
      </c>
      <c r="AB256" s="69">
        <f>SUM(Tabla1[[#This Row],[DEUDA DE LOS MESES PASADOS EN $$]:[DEUDA DEL AÑO 2013 $$ ]])</f>
        <v>0</v>
      </c>
      <c r="AD256">
        <f>Tabla1[[#This Row],[PAGO DE DEUDA ANTERIOR EN MESES]]*$T$2</f>
        <v>0</v>
      </c>
      <c r="AG256" s="100">
        <f>IF(Tabla1[[#This Row],[TIPO DE CONSUMIDOR]]="MEDIO",IF(Tabla1[[#This Row],[ENERO ]]&gt;22.5,Tabla1[[#This Row],[ENERO ]]/22.5-1,0),IF(Tabla1[[#This Row],[ENERO ]]&gt;45,Tabla1[[#This Row],[ENERO ]]/45-1,0))</f>
        <v>0</v>
      </c>
      <c r="AH25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6" s="100">
        <f>IF(Tabla1[[#This Row],[TIPO DE CONSUMIDOR]]="MEDIO",IF(Tabla1[[#This Row],[MARZO]]&gt;22.5,Tabla1[[#This Row],[MARZO]]/22.5-1,0),IF(Tabla1[[#This Row],[MARZO]]&gt;45,Tabla1[[#This Row],[MARZO]]/45-1,0))</f>
        <v>0</v>
      </c>
      <c r="AJ256" s="100">
        <f>IF(Tabla1[[#This Row],[TIPO DE CONSUMIDOR]]="MEDIO",IF(Tabla1[[#This Row],[ABRIL]]&gt;22.5,Tabla1[[#This Row],[ABRIL]]/22.5-1,0),IF(Tabla1[[#This Row],[ABRIL]]&gt;45,Tabla1[[#This Row],[ABRIL]]/45-1,0))</f>
        <v>0</v>
      </c>
      <c r="AK256" s="100">
        <f>IF(Tabla1[[#This Row],[TIPO DE CONSUMIDOR]]="MEDIO",IF(Tabla1[[#This Row],[MAYO ]]&gt;22.5,Tabla1[[#This Row],[MAYO ]]/22.5-1,0),IF(Tabla1[[#This Row],[MAYO ]]&gt;45,Tabla1[[#This Row],[MAYO ]]/45-1,0))</f>
        <v>0</v>
      </c>
      <c r="AL256" s="100">
        <f>IF(Tabla1[[#This Row],[TIPO DE CONSUMIDOR]]="MEDIO",IF(Tabla1[[#This Row],[JUNIO ]]&gt;22.5,Tabla1[[#This Row],[JUNIO ]]/22.5-1,0),IF(Tabla1[[#This Row],[JUNIO ]]&gt;45,Tabla1[[#This Row],[JUNIO ]]/45-1,0))</f>
        <v>0</v>
      </c>
      <c r="AM256" s="100">
        <f>IF(Tabla1[[#This Row],[TIPO DE CONSUMIDOR]]="MEDIO",IF(Tabla1[[#This Row],[JULIO ]]&gt;22.5,Tabla1[[#This Row],[JULIO ]]/22.5-1,0),IF(Tabla1[[#This Row],[JULIO ]]&gt;45,Tabla1[[#This Row],[JULIO ]]/45-1,0))</f>
        <v>0</v>
      </c>
      <c r="AN256" s="100">
        <f>IF(Tabla1[[#This Row],[TIPO DE CONSUMIDOR]]="MEDIO",IF(Tabla1[[#This Row],[AGOSTO]]&gt;22.5,Tabla1[[#This Row],[AGOSTO]]/22.5-1,0),IF(Tabla1[[#This Row],[AGOSTO]]&gt;45,Tabla1[[#This Row],[AGOSTO]]/45-1,0))</f>
        <v>0</v>
      </c>
      <c r="AO25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6" s="101">
        <f t="shared" si="7"/>
        <v>0</v>
      </c>
      <c r="AT256">
        <f>IF(Tabla1[[#This Row],[MES ADEUDO DE AÑOS PASADOS ]]&gt;0,1,0)</f>
        <v>0</v>
      </c>
      <c r="AU256" s="9">
        <f t="shared" si="8"/>
        <v>0</v>
      </c>
      <c r="AV256" s="60">
        <f>IF(Tabla1[[#This Row],[MESES DE ADEUDO DEL AÑO EN CURSO ]]&gt;0,1,0)</f>
        <v>0</v>
      </c>
      <c r="AW256" s="42"/>
      <c r="AX256" s="42"/>
      <c r="AY256" s="42"/>
      <c r="AZ256" s="43"/>
    </row>
    <row r="257" spans="1:52" ht="21.75" thickBot="1" x14ac:dyDescent="0.35">
      <c r="A257" s="106">
        <v>251</v>
      </c>
      <c r="B257" s="5" t="s">
        <v>605</v>
      </c>
      <c r="C257" s="2" t="s">
        <v>530</v>
      </c>
      <c r="D257" s="32"/>
      <c r="E257" s="35" t="s">
        <v>455</v>
      </c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24">
        <f>SUM(Tabla1[[#This Row],[ENERO ]:[DICIEMBRE]])</f>
        <v>0</v>
      </c>
      <c r="W257">
        <v>0</v>
      </c>
      <c r="X257" s="21">
        <f>COUNTIF(Tabla1[[#This Row],[ENERO ]:[DICIEMBRE]],0)-(AS257)-IF(Tabla1[[#This Row],[BAJAS]]="BAJA",IF(Tabla1[[#This Row],[ALTAS]]="ALTA",VLOOKUP(Tabla1[[#This Row],[MES DE ALTA ]],$AW$6:$AX$17,2,FALSE),12)-VLOOKUP(Tabla1[[#This Row],[MES DE BAJA ]],$AW$6:$AX$17,2,FALSE),0)</f>
        <v>0</v>
      </c>
      <c r="Y257" s="68">
        <f>SUM(Tabla1[[#This Row],[MES ADEUDO DE AÑOS PASADOS ]:[MESES DE ADEUDO DEL AÑO EN CURSO ]])-Tabla1[[#This Row],[PAGO DE DEUDA ANTERIOR EN MESES]]</f>
        <v>0</v>
      </c>
      <c r="Z257" s="15">
        <f>Tabla1[[#This Row],[MES ADEUDO DE AÑOS PASADOS ]]*$T$2</f>
        <v>0</v>
      </c>
      <c r="AA257" s="15">
        <f>Tabla1[[#This Row],[MESES DE ADEUDO DEL AÑO EN CURSO ]]*$T$2</f>
        <v>0</v>
      </c>
      <c r="AB257" s="69">
        <f>SUM(Tabla1[[#This Row],[DEUDA DE LOS MESES PASADOS EN $$]:[DEUDA DEL AÑO 2013 $$ ]])</f>
        <v>0</v>
      </c>
      <c r="AD257">
        <f>Tabla1[[#This Row],[PAGO DE DEUDA ANTERIOR EN MESES]]*$T$2</f>
        <v>0</v>
      </c>
      <c r="AG257" s="100">
        <f>IF(Tabla1[[#This Row],[TIPO DE CONSUMIDOR]]="MEDIO",IF(Tabla1[[#This Row],[ENERO ]]&gt;22.5,Tabla1[[#This Row],[ENERO ]]/22.5-1,0),IF(Tabla1[[#This Row],[ENERO ]]&gt;45,Tabla1[[#This Row],[ENERO ]]/45-1,0))</f>
        <v>0</v>
      </c>
      <c r="AH25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7" s="100">
        <f>IF(Tabla1[[#This Row],[TIPO DE CONSUMIDOR]]="MEDIO",IF(Tabla1[[#This Row],[MARZO]]&gt;22.5,Tabla1[[#This Row],[MARZO]]/22.5-1,0),IF(Tabla1[[#This Row],[MARZO]]&gt;45,Tabla1[[#This Row],[MARZO]]/45-1,0))</f>
        <v>0</v>
      </c>
      <c r="AJ257" s="100">
        <f>IF(Tabla1[[#This Row],[TIPO DE CONSUMIDOR]]="MEDIO",IF(Tabla1[[#This Row],[ABRIL]]&gt;22.5,Tabla1[[#This Row],[ABRIL]]/22.5-1,0),IF(Tabla1[[#This Row],[ABRIL]]&gt;45,Tabla1[[#This Row],[ABRIL]]/45-1,0))</f>
        <v>0</v>
      </c>
      <c r="AK257" s="100">
        <f>IF(Tabla1[[#This Row],[TIPO DE CONSUMIDOR]]="MEDIO",IF(Tabla1[[#This Row],[MAYO ]]&gt;22.5,Tabla1[[#This Row],[MAYO ]]/22.5-1,0),IF(Tabla1[[#This Row],[MAYO ]]&gt;45,Tabla1[[#This Row],[MAYO ]]/45-1,0))</f>
        <v>0</v>
      </c>
      <c r="AL257" s="100">
        <f>IF(Tabla1[[#This Row],[TIPO DE CONSUMIDOR]]="MEDIO",IF(Tabla1[[#This Row],[JUNIO ]]&gt;22.5,Tabla1[[#This Row],[JUNIO ]]/22.5-1,0),IF(Tabla1[[#This Row],[JUNIO ]]&gt;45,Tabla1[[#This Row],[JUNIO ]]/45-1,0))</f>
        <v>0</v>
      </c>
      <c r="AM257" s="100">
        <f>IF(Tabla1[[#This Row],[TIPO DE CONSUMIDOR]]="MEDIO",IF(Tabla1[[#This Row],[JULIO ]]&gt;22.5,Tabla1[[#This Row],[JULIO ]]/22.5-1,0),IF(Tabla1[[#This Row],[JULIO ]]&gt;45,Tabla1[[#This Row],[JULIO ]]/45-1,0))</f>
        <v>0</v>
      </c>
      <c r="AN257" s="100">
        <f>IF(Tabla1[[#This Row],[TIPO DE CONSUMIDOR]]="MEDIO",IF(Tabla1[[#This Row],[AGOSTO]]&gt;22.5,Tabla1[[#This Row],[AGOSTO]]/22.5-1,0),IF(Tabla1[[#This Row],[AGOSTO]]&gt;45,Tabla1[[#This Row],[AGOSTO]]/45-1,0))</f>
        <v>0</v>
      </c>
      <c r="AO25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7" s="101">
        <f t="shared" si="7"/>
        <v>0</v>
      </c>
      <c r="AT257">
        <f>IF(Tabla1[[#This Row],[MES ADEUDO DE AÑOS PASADOS ]]&gt;0,1,0)</f>
        <v>0</v>
      </c>
      <c r="AU257" s="9">
        <f t="shared" si="8"/>
        <v>0</v>
      </c>
      <c r="AV257" s="60">
        <f>IF(Tabla1[[#This Row],[MESES DE ADEUDO DEL AÑO EN CURSO ]]&gt;0,1,0)</f>
        <v>0</v>
      </c>
      <c r="AW257" s="42"/>
      <c r="AX257" s="42"/>
      <c r="AY257" s="42"/>
      <c r="AZ257" s="43"/>
    </row>
    <row r="258" spans="1:52" ht="21.75" thickBot="1" x14ac:dyDescent="0.35">
      <c r="A258" s="106">
        <v>252</v>
      </c>
      <c r="B258" s="5" t="s">
        <v>537</v>
      </c>
      <c r="C258" s="2" t="s">
        <v>530</v>
      </c>
      <c r="D258" s="32"/>
      <c r="E258" s="35" t="s">
        <v>455</v>
      </c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24">
        <f>SUM(Tabla1[[#This Row],[ENERO ]:[DICIEMBRE]])</f>
        <v>0</v>
      </c>
      <c r="W258">
        <v>0</v>
      </c>
      <c r="X258" s="21">
        <f>COUNTIF(Tabla1[[#This Row],[ENERO ]:[DICIEMBRE]],0)-(AS258)-IF(Tabla1[[#This Row],[BAJAS]]="BAJA",IF(Tabla1[[#This Row],[ALTAS]]="ALTA",VLOOKUP(Tabla1[[#This Row],[MES DE ALTA ]],$AW$6:$AX$17,2,FALSE),12)-VLOOKUP(Tabla1[[#This Row],[MES DE BAJA ]],$AW$6:$AX$17,2,FALSE),0)</f>
        <v>0</v>
      </c>
      <c r="Y258" s="68">
        <f>SUM(Tabla1[[#This Row],[MES ADEUDO DE AÑOS PASADOS ]:[MESES DE ADEUDO DEL AÑO EN CURSO ]])-Tabla1[[#This Row],[PAGO DE DEUDA ANTERIOR EN MESES]]</f>
        <v>0</v>
      </c>
      <c r="Z258" s="15">
        <f>Tabla1[[#This Row],[MES ADEUDO DE AÑOS PASADOS ]]*$T$2</f>
        <v>0</v>
      </c>
      <c r="AA258" s="15">
        <f>Tabla1[[#This Row],[MESES DE ADEUDO DEL AÑO EN CURSO ]]*$T$2</f>
        <v>0</v>
      </c>
      <c r="AB258" s="69">
        <f>SUM(Tabla1[[#This Row],[DEUDA DE LOS MESES PASADOS EN $$]:[DEUDA DEL AÑO 2013 $$ ]])</f>
        <v>0</v>
      </c>
      <c r="AD258">
        <f>Tabla1[[#This Row],[PAGO DE DEUDA ANTERIOR EN MESES]]*$T$2</f>
        <v>0</v>
      </c>
      <c r="AG258" s="100">
        <f>IF(Tabla1[[#This Row],[TIPO DE CONSUMIDOR]]="MEDIO",IF(Tabla1[[#This Row],[ENERO ]]&gt;22.5,Tabla1[[#This Row],[ENERO ]]/22.5-1,0),IF(Tabla1[[#This Row],[ENERO ]]&gt;45,Tabla1[[#This Row],[ENERO ]]/45-1,0))</f>
        <v>0</v>
      </c>
      <c r="AH25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8" s="100">
        <f>IF(Tabla1[[#This Row],[TIPO DE CONSUMIDOR]]="MEDIO",IF(Tabla1[[#This Row],[MARZO]]&gt;22.5,Tabla1[[#This Row],[MARZO]]/22.5-1,0),IF(Tabla1[[#This Row],[MARZO]]&gt;45,Tabla1[[#This Row],[MARZO]]/45-1,0))</f>
        <v>0</v>
      </c>
      <c r="AJ258" s="100">
        <f>IF(Tabla1[[#This Row],[TIPO DE CONSUMIDOR]]="MEDIO",IF(Tabla1[[#This Row],[ABRIL]]&gt;22.5,Tabla1[[#This Row],[ABRIL]]/22.5-1,0),IF(Tabla1[[#This Row],[ABRIL]]&gt;45,Tabla1[[#This Row],[ABRIL]]/45-1,0))</f>
        <v>0</v>
      </c>
      <c r="AK258" s="100">
        <f>IF(Tabla1[[#This Row],[TIPO DE CONSUMIDOR]]="MEDIO",IF(Tabla1[[#This Row],[MAYO ]]&gt;22.5,Tabla1[[#This Row],[MAYO ]]/22.5-1,0),IF(Tabla1[[#This Row],[MAYO ]]&gt;45,Tabla1[[#This Row],[MAYO ]]/45-1,0))</f>
        <v>0</v>
      </c>
      <c r="AL258" s="100">
        <f>IF(Tabla1[[#This Row],[TIPO DE CONSUMIDOR]]="MEDIO",IF(Tabla1[[#This Row],[JUNIO ]]&gt;22.5,Tabla1[[#This Row],[JUNIO ]]/22.5-1,0),IF(Tabla1[[#This Row],[JUNIO ]]&gt;45,Tabla1[[#This Row],[JUNIO ]]/45-1,0))</f>
        <v>0</v>
      </c>
      <c r="AM258" s="100">
        <f>IF(Tabla1[[#This Row],[TIPO DE CONSUMIDOR]]="MEDIO",IF(Tabla1[[#This Row],[JULIO ]]&gt;22.5,Tabla1[[#This Row],[JULIO ]]/22.5-1,0),IF(Tabla1[[#This Row],[JULIO ]]&gt;45,Tabla1[[#This Row],[JULIO ]]/45-1,0))</f>
        <v>0</v>
      </c>
      <c r="AN258" s="100">
        <f>IF(Tabla1[[#This Row],[TIPO DE CONSUMIDOR]]="MEDIO",IF(Tabla1[[#This Row],[AGOSTO]]&gt;22.5,Tabla1[[#This Row],[AGOSTO]]/22.5-1,0),IF(Tabla1[[#This Row],[AGOSTO]]&gt;45,Tabla1[[#This Row],[AGOSTO]]/45-1,0))</f>
        <v>0</v>
      </c>
      <c r="AO25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8" s="101">
        <f t="shared" si="7"/>
        <v>0</v>
      </c>
      <c r="AT258">
        <f>IF(Tabla1[[#This Row],[MES ADEUDO DE AÑOS PASADOS ]]&gt;0,1,0)</f>
        <v>0</v>
      </c>
      <c r="AU258" s="9">
        <f t="shared" si="8"/>
        <v>0</v>
      </c>
      <c r="AV258" s="60">
        <f>IF(Tabla1[[#This Row],[MESES DE ADEUDO DEL AÑO EN CURSO ]]&gt;0,1,0)</f>
        <v>0</v>
      </c>
      <c r="AW258" s="42"/>
      <c r="AX258" s="42"/>
      <c r="AY258" s="42"/>
      <c r="AZ258" s="43"/>
    </row>
    <row r="259" spans="1:52" ht="21.75" thickBot="1" x14ac:dyDescent="0.35">
      <c r="A259" s="106">
        <v>253</v>
      </c>
      <c r="B259" s="5" t="s">
        <v>115</v>
      </c>
      <c r="C259" s="2" t="s">
        <v>530</v>
      </c>
      <c r="D259" s="32"/>
      <c r="E259" s="35" t="s">
        <v>455</v>
      </c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24">
        <f>SUM(Tabla1[[#This Row],[ENERO ]:[DICIEMBRE]])</f>
        <v>0</v>
      </c>
      <c r="W259">
        <v>0</v>
      </c>
      <c r="X259" s="21">
        <f>COUNTIF(Tabla1[[#This Row],[ENERO ]:[DICIEMBRE]],0)-(AS259)-IF(Tabla1[[#This Row],[BAJAS]]="BAJA",IF(Tabla1[[#This Row],[ALTAS]]="ALTA",VLOOKUP(Tabla1[[#This Row],[MES DE ALTA ]],$AW$6:$AX$17,2,FALSE),12)-VLOOKUP(Tabla1[[#This Row],[MES DE BAJA ]],$AW$6:$AX$17,2,FALSE),0)</f>
        <v>0</v>
      </c>
      <c r="Y259" s="68">
        <f>SUM(Tabla1[[#This Row],[MES ADEUDO DE AÑOS PASADOS ]:[MESES DE ADEUDO DEL AÑO EN CURSO ]])-Tabla1[[#This Row],[PAGO DE DEUDA ANTERIOR EN MESES]]</f>
        <v>0</v>
      </c>
      <c r="Z259" s="15">
        <f>Tabla1[[#This Row],[MES ADEUDO DE AÑOS PASADOS ]]*$T$2</f>
        <v>0</v>
      </c>
      <c r="AA259" s="15">
        <f>Tabla1[[#This Row],[MESES DE ADEUDO DEL AÑO EN CURSO ]]*$T$2</f>
        <v>0</v>
      </c>
      <c r="AB259" s="69">
        <f>SUM(Tabla1[[#This Row],[DEUDA DE LOS MESES PASADOS EN $$]:[DEUDA DEL AÑO 2013 $$ ]])</f>
        <v>0</v>
      </c>
      <c r="AD259">
        <f>Tabla1[[#This Row],[PAGO DE DEUDA ANTERIOR EN MESES]]*$T$2</f>
        <v>0</v>
      </c>
      <c r="AG259" s="100">
        <f>IF(Tabla1[[#This Row],[TIPO DE CONSUMIDOR]]="MEDIO",IF(Tabla1[[#This Row],[ENERO ]]&gt;22.5,Tabla1[[#This Row],[ENERO ]]/22.5-1,0),IF(Tabla1[[#This Row],[ENERO ]]&gt;45,Tabla1[[#This Row],[ENERO ]]/45-1,0))</f>
        <v>0</v>
      </c>
      <c r="AH25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59" s="100">
        <f>IF(Tabla1[[#This Row],[TIPO DE CONSUMIDOR]]="MEDIO",IF(Tabla1[[#This Row],[MARZO]]&gt;22.5,Tabla1[[#This Row],[MARZO]]/22.5-1,0),IF(Tabla1[[#This Row],[MARZO]]&gt;45,Tabla1[[#This Row],[MARZO]]/45-1,0))</f>
        <v>0</v>
      </c>
      <c r="AJ259" s="100">
        <f>IF(Tabla1[[#This Row],[TIPO DE CONSUMIDOR]]="MEDIO",IF(Tabla1[[#This Row],[ABRIL]]&gt;22.5,Tabla1[[#This Row],[ABRIL]]/22.5-1,0),IF(Tabla1[[#This Row],[ABRIL]]&gt;45,Tabla1[[#This Row],[ABRIL]]/45-1,0))</f>
        <v>0</v>
      </c>
      <c r="AK259" s="100">
        <f>IF(Tabla1[[#This Row],[TIPO DE CONSUMIDOR]]="MEDIO",IF(Tabla1[[#This Row],[MAYO ]]&gt;22.5,Tabla1[[#This Row],[MAYO ]]/22.5-1,0),IF(Tabla1[[#This Row],[MAYO ]]&gt;45,Tabla1[[#This Row],[MAYO ]]/45-1,0))</f>
        <v>0</v>
      </c>
      <c r="AL259" s="100">
        <f>IF(Tabla1[[#This Row],[TIPO DE CONSUMIDOR]]="MEDIO",IF(Tabla1[[#This Row],[JUNIO ]]&gt;22.5,Tabla1[[#This Row],[JUNIO ]]/22.5-1,0),IF(Tabla1[[#This Row],[JUNIO ]]&gt;45,Tabla1[[#This Row],[JUNIO ]]/45-1,0))</f>
        <v>0</v>
      </c>
      <c r="AM259" s="100">
        <f>IF(Tabla1[[#This Row],[TIPO DE CONSUMIDOR]]="MEDIO",IF(Tabla1[[#This Row],[JULIO ]]&gt;22.5,Tabla1[[#This Row],[JULIO ]]/22.5-1,0),IF(Tabla1[[#This Row],[JULIO ]]&gt;45,Tabla1[[#This Row],[JULIO ]]/45-1,0))</f>
        <v>0</v>
      </c>
      <c r="AN259" s="100">
        <f>IF(Tabla1[[#This Row],[TIPO DE CONSUMIDOR]]="MEDIO",IF(Tabla1[[#This Row],[AGOSTO]]&gt;22.5,Tabla1[[#This Row],[AGOSTO]]/22.5-1,0),IF(Tabla1[[#This Row],[AGOSTO]]&gt;45,Tabla1[[#This Row],[AGOSTO]]/45-1,0))</f>
        <v>0</v>
      </c>
      <c r="AO25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5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5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5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59" s="101">
        <f t="shared" si="7"/>
        <v>0</v>
      </c>
      <c r="AT259">
        <f>IF(Tabla1[[#This Row],[MES ADEUDO DE AÑOS PASADOS ]]&gt;0,1,0)</f>
        <v>0</v>
      </c>
      <c r="AU259" s="9">
        <f t="shared" si="8"/>
        <v>0</v>
      </c>
      <c r="AV259" s="60">
        <f>IF(Tabla1[[#This Row],[MESES DE ADEUDO DEL AÑO EN CURSO ]]&gt;0,1,0)</f>
        <v>0</v>
      </c>
      <c r="AW259" s="42"/>
      <c r="AX259" s="42"/>
      <c r="AY259" s="42"/>
      <c r="AZ259" s="43"/>
    </row>
    <row r="260" spans="1:52" ht="21.75" thickBot="1" x14ac:dyDescent="0.35">
      <c r="A260" s="106">
        <v>254</v>
      </c>
      <c r="B260" s="5" t="s">
        <v>132</v>
      </c>
      <c r="C260" s="2" t="s">
        <v>530</v>
      </c>
      <c r="D260" s="32"/>
      <c r="E260" s="35" t="s">
        <v>455</v>
      </c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24">
        <f>SUM(Tabla1[[#This Row],[ENERO ]:[DICIEMBRE]])</f>
        <v>0</v>
      </c>
      <c r="W260">
        <v>0</v>
      </c>
      <c r="X260" s="21">
        <f>COUNTIF(Tabla1[[#This Row],[ENERO ]:[DICIEMBRE]],0)-(AS260)-IF(Tabla1[[#This Row],[BAJAS]]="BAJA",IF(Tabla1[[#This Row],[ALTAS]]="ALTA",VLOOKUP(Tabla1[[#This Row],[MES DE ALTA ]],$AW$6:$AX$17,2,FALSE),12)-VLOOKUP(Tabla1[[#This Row],[MES DE BAJA ]],$AW$6:$AX$17,2,FALSE),0)</f>
        <v>0</v>
      </c>
      <c r="Y260" s="68">
        <f>SUM(Tabla1[[#This Row],[MES ADEUDO DE AÑOS PASADOS ]:[MESES DE ADEUDO DEL AÑO EN CURSO ]])-Tabla1[[#This Row],[PAGO DE DEUDA ANTERIOR EN MESES]]</f>
        <v>0</v>
      </c>
      <c r="Z260" s="15">
        <f>Tabla1[[#This Row],[MES ADEUDO DE AÑOS PASADOS ]]*$T$2</f>
        <v>0</v>
      </c>
      <c r="AA260" s="15">
        <f>Tabla1[[#This Row],[MESES DE ADEUDO DEL AÑO EN CURSO ]]*$T$2</f>
        <v>0</v>
      </c>
      <c r="AB260" s="69">
        <f>SUM(Tabla1[[#This Row],[DEUDA DE LOS MESES PASADOS EN $$]:[DEUDA DEL AÑO 2013 $$ ]])</f>
        <v>0</v>
      </c>
      <c r="AD260">
        <f>Tabla1[[#This Row],[PAGO DE DEUDA ANTERIOR EN MESES]]*$T$2</f>
        <v>0</v>
      </c>
      <c r="AG260" s="100">
        <f>IF(Tabla1[[#This Row],[TIPO DE CONSUMIDOR]]="MEDIO",IF(Tabla1[[#This Row],[ENERO ]]&gt;22.5,Tabla1[[#This Row],[ENERO ]]/22.5-1,0),IF(Tabla1[[#This Row],[ENERO ]]&gt;45,Tabla1[[#This Row],[ENERO ]]/45-1,0))</f>
        <v>0</v>
      </c>
      <c r="AH26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0" s="100">
        <f>IF(Tabla1[[#This Row],[TIPO DE CONSUMIDOR]]="MEDIO",IF(Tabla1[[#This Row],[MARZO]]&gt;22.5,Tabla1[[#This Row],[MARZO]]/22.5-1,0),IF(Tabla1[[#This Row],[MARZO]]&gt;45,Tabla1[[#This Row],[MARZO]]/45-1,0))</f>
        <v>0</v>
      </c>
      <c r="AJ260" s="100">
        <f>IF(Tabla1[[#This Row],[TIPO DE CONSUMIDOR]]="MEDIO",IF(Tabla1[[#This Row],[ABRIL]]&gt;22.5,Tabla1[[#This Row],[ABRIL]]/22.5-1,0),IF(Tabla1[[#This Row],[ABRIL]]&gt;45,Tabla1[[#This Row],[ABRIL]]/45-1,0))</f>
        <v>0</v>
      </c>
      <c r="AK260" s="100">
        <f>IF(Tabla1[[#This Row],[TIPO DE CONSUMIDOR]]="MEDIO",IF(Tabla1[[#This Row],[MAYO ]]&gt;22.5,Tabla1[[#This Row],[MAYO ]]/22.5-1,0),IF(Tabla1[[#This Row],[MAYO ]]&gt;45,Tabla1[[#This Row],[MAYO ]]/45-1,0))</f>
        <v>0</v>
      </c>
      <c r="AL260" s="100">
        <f>IF(Tabla1[[#This Row],[TIPO DE CONSUMIDOR]]="MEDIO",IF(Tabla1[[#This Row],[JUNIO ]]&gt;22.5,Tabla1[[#This Row],[JUNIO ]]/22.5-1,0),IF(Tabla1[[#This Row],[JUNIO ]]&gt;45,Tabla1[[#This Row],[JUNIO ]]/45-1,0))</f>
        <v>0</v>
      </c>
      <c r="AM260" s="100">
        <f>IF(Tabla1[[#This Row],[TIPO DE CONSUMIDOR]]="MEDIO",IF(Tabla1[[#This Row],[JULIO ]]&gt;22.5,Tabla1[[#This Row],[JULIO ]]/22.5-1,0),IF(Tabla1[[#This Row],[JULIO ]]&gt;45,Tabla1[[#This Row],[JULIO ]]/45-1,0))</f>
        <v>0</v>
      </c>
      <c r="AN260" s="100">
        <f>IF(Tabla1[[#This Row],[TIPO DE CONSUMIDOR]]="MEDIO",IF(Tabla1[[#This Row],[AGOSTO]]&gt;22.5,Tabla1[[#This Row],[AGOSTO]]/22.5-1,0),IF(Tabla1[[#This Row],[AGOSTO]]&gt;45,Tabla1[[#This Row],[AGOSTO]]/45-1,0))</f>
        <v>0</v>
      </c>
      <c r="AO26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0" s="101">
        <f t="shared" si="7"/>
        <v>0</v>
      </c>
      <c r="AT260">
        <f>IF(Tabla1[[#This Row],[MES ADEUDO DE AÑOS PASADOS ]]&gt;0,1,0)</f>
        <v>0</v>
      </c>
      <c r="AU260" s="9">
        <f t="shared" si="8"/>
        <v>0</v>
      </c>
      <c r="AV260" s="60">
        <f>IF(Tabla1[[#This Row],[MESES DE ADEUDO DEL AÑO EN CURSO ]]&gt;0,1,0)</f>
        <v>0</v>
      </c>
      <c r="AW260" s="42"/>
      <c r="AX260" s="42"/>
      <c r="AY260" s="42"/>
      <c r="AZ260" s="43"/>
    </row>
    <row r="261" spans="1:52" ht="21.75" thickBot="1" x14ac:dyDescent="0.35">
      <c r="A261" s="106">
        <v>255</v>
      </c>
      <c r="B261" s="5" t="s">
        <v>130</v>
      </c>
      <c r="C261" s="2" t="s">
        <v>530</v>
      </c>
      <c r="D261" s="32"/>
      <c r="E261" s="35" t="s">
        <v>455</v>
      </c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24">
        <f>SUM(Tabla1[[#This Row],[ENERO ]:[DICIEMBRE]])</f>
        <v>0</v>
      </c>
      <c r="W261">
        <v>0</v>
      </c>
      <c r="X261" s="21">
        <f>COUNTIF(Tabla1[[#This Row],[ENERO ]:[DICIEMBRE]],0)-(AS261)-IF(Tabla1[[#This Row],[BAJAS]]="BAJA",IF(Tabla1[[#This Row],[ALTAS]]="ALTA",VLOOKUP(Tabla1[[#This Row],[MES DE ALTA ]],$AW$6:$AX$17,2,FALSE),12)-VLOOKUP(Tabla1[[#This Row],[MES DE BAJA ]],$AW$6:$AX$17,2,FALSE),0)</f>
        <v>0</v>
      </c>
      <c r="Y261" s="68">
        <f>SUM(Tabla1[[#This Row],[MES ADEUDO DE AÑOS PASADOS ]:[MESES DE ADEUDO DEL AÑO EN CURSO ]])-Tabla1[[#This Row],[PAGO DE DEUDA ANTERIOR EN MESES]]</f>
        <v>0</v>
      </c>
      <c r="Z261" s="15">
        <f>Tabla1[[#This Row],[MES ADEUDO DE AÑOS PASADOS ]]*$T$2</f>
        <v>0</v>
      </c>
      <c r="AA261" s="15">
        <f>Tabla1[[#This Row],[MESES DE ADEUDO DEL AÑO EN CURSO ]]*$T$2</f>
        <v>0</v>
      </c>
      <c r="AB261" s="69">
        <f>SUM(Tabla1[[#This Row],[DEUDA DE LOS MESES PASADOS EN $$]:[DEUDA DEL AÑO 2013 $$ ]])</f>
        <v>0</v>
      </c>
      <c r="AD261">
        <f>Tabla1[[#This Row],[PAGO DE DEUDA ANTERIOR EN MESES]]*$T$2</f>
        <v>0</v>
      </c>
      <c r="AG261" s="100">
        <f>IF(Tabla1[[#This Row],[TIPO DE CONSUMIDOR]]="MEDIO",IF(Tabla1[[#This Row],[ENERO ]]&gt;22.5,Tabla1[[#This Row],[ENERO ]]/22.5-1,0),IF(Tabla1[[#This Row],[ENERO ]]&gt;45,Tabla1[[#This Row],[ENERO ]]/45-1,0))</f>
        <v>0</v>
      </c>
      <c r="AH26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1" s="100">
        <f>IF(Tabla1[[#This Row],[TIPO DE CONSUMIDOR]]="MEDIO",IF(Tabla1[[#This Row],[MARZO]]&gt;22.5,Tabla1[[#This Row],[MARZO]]/22.5-1,0),IF(Tabla1[[#This Row],[MARZO]]&gt;45,Tabla1[[#This Row],[MARZO]]/45-1,0))</f>
        <v>0</v>
      </c>
      <c r="AJ261" s="100">
        <f>IF(Tabla1[[#This Row],[TIPO DE CONSUMIDOR]]="MEDIO",IF(Tabla1[[#This Row],[ABRIL]]&gt;22.5,Tabla1[[#This Row],[ABRIL]]/22.5-1,0),IF(Tabla1[[#This Row],[ABRIL]]&gt;45,Tabla1[[#This Row],[ABRIL]]/45-1,0))</f>
        <v>0</v>
      </c>
      <c r="AK261" s="100">
        <f>IF(Tabla1[[#This Row],[TIPO DE CONSUMIDOR]]="MEDIO",IF(Tabla1[[#This Row],[MAYO ]]&gt;22.5,Tabla1[[#This Row],[MAYO ]]/22.5-1,0),IF(Tabla1[[#This Row],[MAYO ]]&gt;45,Tabla1[[#This Row],[MAYO ]]/45-1,0))</f>
        <v>0</v>
      </c>
      <c r="AL261" s="100">
        <f>IF(Tabla1[[#This Row],[TIPO DE CONSUMIDOR]]="MEDIO",IF(Tabla1[[#This Row],[JUNIO ]]&gt;22.5,Tabla1[[#This Row],[JUNIO ]]/22.5-1,0),IF(Tabla1[[#This Row],[JUNIO ]]&gt;45,Tabla1[[#This Row],[JUNIO ]]/45-1,0))</f>
        <v>0</v>
      </c>
      <c r="AM261" s="100">
        <f>IF(Tabla1[[#This Row],[TIPO DE CONSUMIDOR]]="MEDIO",IF(Tabla1[[#This Row],[JULIO ]]&gt;22.5,Tabla1[[#This Row],[JULIO ]]/22.5-1,0),IF(Tabla1[[#This Row],[JULIO ]]&gt;45,Tabla1[[#This Row],[JULIO ]]/45-1,0))</f>
        <v>0</v>
      </c>
      <c r="AN261" s="100">
        <f>IF(Tabla1[[#This Row],[TIPO DE CONSUMIDOR]]="MEDIO",IF(Tabla1[[#This Row],[AGOSTO]]&gt;22.5,Tabla1[[#This Row],[AGOSTO]]/22.5-1,0),IF(Tabla1[[#This Row],[AGOSTO]]&gt;45,Tabla1[[#This Row],[AGOSTO]]/45-1,0))</f>
        <v>0</v>
      </c>
      <c r="AO26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1" s="101">
        <f t="shared" si="7"/>
        <v>0</v>
      </c>
      <c r="AT261">
        <f>IF(Tabla1[[#This Row],[MES ADEUDO DE AÑOS PASADOS ]]&gt;0,1,0)</f>
        <v>0</v>
      </c>
      <c r="AU261" s="9">
        <f t="shared" si="8"/>
        <v>0</v>
      </c>
      <c r="AV261" s="60">
        <f>IF(Tabla1[[#This Row],[MESES DE ADEUDO DEL AÑO EN CURSO ]]&gt;0,1,0)</f>
        <v>0</v>
      </c>
      <c r="AW261" s="42"/>
      <c r="AX261" s="42"/>
      <c r="AY261" s="42"/>
      <c r="AZ261" s="43"/>
    </row>
    <row r="262" spans="1:52" ht="21.75" thickBot="1" x14ac:dyDescent="0.35">
      <c r="A262" s="106">
        <v>256</v>
      </c>
      <c r="B262" s="5" t="s">
        <v>135</v>
      </c>
      <c r="C262" s="2" t="s">
        <v>530</v>
      </c>
      <c r="D262" s="32"/>
      <c r="E262" s="35" t="s">
        <v>455</v>
      </c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24">
        <f>SUM(Tabla1[[#This Row],[ENERO ]:[DICIEMBRE]])</f>
        <v>0</v>
      </c>
      <c r="W262">
        <v>0</v>
      </c>
      <c r="X262" s="21">
        <f>COUNTIF(Tabla1[[#This Row],[ENERO ]:[DICIEMBRE]],0)-(AS262)-IF(Tabla1[[#This Row],[BAJAS]]="BAJA",IF(Tabla1[[#This Row],[ALTAS]]="ALTA",VLOOKUP(Tabla1[[#This Row],[MES DE ALTA ]],$AW$6:$AX$17,2,FALSE),12)-VLOOKUP(Tabla1[[#This Row],[MES DE BAJA ]],$AW$6:$AX$17,2,FALSE),0)</f>
        <v>0</v>
      </c>
      <c r="Y262" s="68">
        <f>SUM(Tabla1[[#This Row],[MES ADEUDO DE AÑOS PASADOS ]:[MESES DE ADEUDO DEL AÑO EN CURSO ]])-Tabla1[[#This Row],[PAGO DE DEUDA ANTERIOR EN MESES]]</f>
        <v>0</v>
      </c>
      <c r="Z262" s="15">
        <f>Tabla1[[#This Row],[MES ADEUDO DE AÑOS PASADOS ]]*$T$2</f>
        <v>0</v>
      </c>
      <c r="AA262" s="15">
        <f>Tabla1[[#This Row],[MESES DE ADEUDO DEL AÑO EN CURSO ]]*$T$2</f>
        <v>0</v>
      </c>
      <c r="AB262" s="69">
        <f>SUM(Tabla1[[#This Row],[DEUDA DE LOS MESES PASADOS EN $$]:[DEUDA DEL AÑO 2013 $$ ]])</f>
        <v>0</v>
      </c>
      <c r="AD262">
        <f>Tabla1[[#This Row],[PAGO DE DEUDA ANTERIOR EN MESES]]*$T$2</f>
        <v>0</v>
      </c>
      <c r="AG262" s="100">
        <f>IF(Tabla1[[#This Row],[TIPO DE CONSUMIDOR]]="MEDIO",IF(Tabla1[[#This Row],[ENERO ]]&gt;22.5,Tabla1[[#This Row],[ENERO ]]/22.5-1,0),IF(Tabla1[[#This Row],[ENERO ]]&gt;45,Tabla1[[#This Row],[ENERO ]]/45-1,0))</f>
        <v>0</v>
      </c>
      <c r="AH26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2" s="100">
        <f>IF(Tabla1[[#This Row],[TIPO DE CONSUMIDOR]]="MEDIO",IF(Tabla1[[#This Row],[MARZO]]&gt;22.5,Tabla1[[#This Row],[MARZO]]/22.5-1,0),IF(Tabla1[[#This Row],[MARZO]]&gt;45,Tabla1[[#This Row],[MARZO]]/45-1,0))</f>
        <v>0</v>
      </c>
      <c r="AJ262" s="100">
        <f>IF(Tabla1[[#This Row],[TIPO DE CONSUMIDOR]]="MEDIO",IF(Tabla1[[#This Row],[ABRIL]]&gt;22.5,Tabla1[[#This Row],[ABRIL]]/22.5-1,0),IF(Tabla1[[#This Row],[ABRIL]]&gt;45,Tabla1[[#This Row],[ABRIL]]/45-1,0))</f>
        <v>0</v>
      </c>
      <c r="AK262" s="100">
        <f>IF(Tabla1[[#This Row],[TIPO DE CONSUMIDOR]]="MEDIO",IF(Tabla1[[#This Row],[MAYO ]]&gt;22.5,Tabla1[[#This Row],[MAYO ]]/22.5-1,0),IF(Tabla1[[#This Row],[MAYO ]]&gt;45,Tabla1[[#This Row],[MAYO ]]/45-1,0))</f>
        <v>0</v>
      </c>
      <c r="AL262" s="100">
        <f>IF(Tabla1[[#This Row],[TIPO DE CONSUMIDOR]]="MEDIO",IF(Tabla1[[#This Row],[JUNIO ]]&gt;22.5,Tabla1[[#This Row],[JUNIO ]]/22.5-1,0),IF(Tabla1[[#This Row],[JUNIO ]]&gt;45,Tabla1[[#This Row],[JUNIO ]]/45-1,0))</f>
        <v>0</v>
      </c>
      <c r="AM262" s="100">
        <f>IF(Tabla1[[#This Row],[TIPO DE CONSUMIDOR]]="MEDIO",IF(Tabla1[[#This Row],[JULIO ]]&gt;22.5,Tabla1[[#This Row],[JULIO ]]/22.5-1,0),IF(Tabla1[[#This Row],[JULIO ]]&gt;45,Tabla1[[#This Row],[JULIO ]]/45-1,0))</f>
        <v>0</v>
      </c>
      <c r="AN262" s="100">
        <f>IF(Tabla1[[#This Row],[TIPO DE CONSUMIDOR]]="MEDIO",IF(Tabla1[[#This Row],[AGOSTO]]&gt;22.5,Tabla1[[#This Row],[AGOSTO]]/22.5-1,0),IF(Tabla1[[#This Row],[AGOSTO]]&gt;45,Tabla1[[#This Row],[AGOSTO]]/45-1,0))</f>
        <v>0</v>
      </c>
      <c r="AO26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2" s="101">
        <f t="shared" si="7"/>
        <v>0</v>
      </c>
      <c r="AT262">
        <f>IF(Tabla1[[#This Row],[MES ADEUDO DE AÑOS PASADOS ]]&gt;0,1,0)</f>
        <v>0</v>
      </c>
      <c r="AU262" s="9">
        <f t="shared" si="8"/>
        <v>0</v>
      </c>
      <c r="AV262" s="60">
        <f>IF(Tabla1[[#This Row],[MESES DE ADEUDO DEL AÑO EN CURSO ]]&gt;0,1,0)</f>
        <v>0</v>
      </c>
      <c r="AW262" s="42"/>
      <c r="AX262" s="42"/>
      <c r="AY262" s="42"/>
      <c r="AZ262" s="43"/>
    </row>
    <row r="263" spans="1:52" ht="21.75" thickBot="1" x14ac:dyDescent="0.35">
      <c r="A263" s="106">
        <v>257</v>
      </c>
      <c r="B263" s="5" t="s">
        <v>606</v>
      </c>
      <c r="C263" s="2" t="s">
        <v>530</v>
      </c>
      <c r="D263" s="32"/>
      <c r="E263" s="35" t="s">
        <v>455</v>
      </c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24">
        <f>SUM(Tabla1[[#This Row],[ENERO ]:[DICIEMBRE]])</f>
        <v>0</v>
      </c>
      <c r="W263">
        <v>0</v>
      </c>
      <c r="X263" s="21">
        <f>COUNTIF(Tabla1[[#This Row],[ENERO ]:[DICIEMBRE]],0)-(AS263)-IF(Tabla1[[#This Row],[BAJAS]]="BAJA",IF(Tabla1[[#This Row],[ALTAS]]="ALTA",VLOOKUP(Tabla1[[#This Row],[MES DE ALTA ]],$AW$6:$AX$17,2,FALSE),12)-VLOOKUP(Tabla1[[#This Row],[MES DE BAJA ]],$AW$6:$AX$17,2,FALSE),0)</f>
        <v>0</v>
      </c>
      <c r="Y263" s="68">
        <f>SUM(Tabla1[[#This Row],[MES ADEUDO DE AÑOS PASADOS ]:[MESES DE ADEUDO DEL AÑO EN CURSO ]])-Tabla1[[#This Row],[PAGO DE DEUDA ANTERIOR EN MESES]]</f>
        <v>0</v>
      </c>
      <c r="Z263" s="15">
        <f>Tabla1[[#This Row],[MES ADEUDO DE AÑOS PASADOS ]]*$T$2</f>
        <v>0</v>
      </c>
      <c r="AA263" s="15">
        <f>Tabla1[[#This Row],[MESES DE ADEUDO DEL AÑO EN CURSO ]]*$T$2</f>
        <v>0</v>
      </c>
      <c r="AB263" s="69">
        <f>SUM(Tabla1[[#This Row],[DEUDA DE LOS MESES PASADOS EN $$]:[DEUDA DEL AÑO 2013 $$ ]])</f>
        <v>0</v>
      </c>
      <c r="AD263">
        <f>Tabla1[[#This Row],[PAGO DE DEUDA ANTERIOR EN MESES]]*$T$2</f>
        <v>0</v>
      </c>
      <c r="AG263" s="100">
        <f>IF(Tabla1[[#This Row],[TIPO DE CONSUMIDOR]]="MEDIO",IF(Tabla1[[#This Row],[ENERO ]]&gt;22.5,Tabla1[[#This Row],[ENERO ]]/22.5-1,0),IF(Tabla1[[#This Row],[ENERO ]]&gt;45,Tabla1[[#This Row],[ENERO ]]/45-1,0))</f>
        <v>0</v>
      </c>
      <c r="AH26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3" s="100">
        <f>IF(Tabla1[[#This Row],[TIPO DE CONSUMIDOR]]="MEDIO",IF(Tabla1[[#This Row],[MARZO]]&gt;22.5,Tabla1[[#This Row],[MARZO]]/22.5-1,0),IF(Tabla1[[#This Row],[MARZO]]&gt;45,Tabla1[[#This Row],[MARZO]]/45-1,0))</f>
        <v>0</v>
      </c>
      <c r="AJ263" s="100">
        <f>IF(Tabla1[[#This Row],[TIPO DE CONSUMIDOR]]="MEDIO",IF(Tabla1[[#This Row],[ABRIL]]&gt;22.5,Tabla1[[#This Row],[ABRIL]]/22.5-1,0),IF(Tabla1[[#This Row],[ABRIL]]&gt;45,Tabla1[[#This Row],[ABRIL]]/45-1,0))</f>
        <v>0</v>
      </c>
      <c r="AK263" s="100">
        <f>IF(Tabla1[[#This Row],[TIPO DE CONSUMIDOR]]="MEDIO",IF(Tabla1[[#This Row],[MAYO ]]&gt;22.5,Tabla1[[#This Row],[MAYO ]]/22.5-1,0),IF(Tabla1[[#This Row],[MAYO ]]&gt;45,Tabla1[[#This Row],[MAYO ]]/45-1,0))</f>
        <v>0</v>
      </c>
      <c r="AL263" s="100">
        <f>IF(Tabla1[[#This Row],[TIPO DE CONSUMIDOR]]="MEDIO",IF(Tabla1[[#This Row],[JUNIO ]]&gt;22.5,Tabla1[[#This Row],[JUNIO ]]/22.5-1,0),IF(Tabla1[[#This Row],[JUNIO ]]&gt;45,Tabla1[[#This Row],[JUNIO ]]/45-1,0))</f>
        <v>0</v>
      </c>
      <c r="AM263" s="100">
        <f>IF(Tabla1[[#This Row],[TIPO DE CONSUMIDOR]]="MEDIO",IF(Tabla1[[#This Row],[JULIO ]]&gt;22.5,Tabla1[[#This Row],[JULIO ]]/22.5-1,0),IF(Tabla1[[#This Row],[JULIO ]]&gt;45,Tabla1[[#This Row],[JULIO ]]/45-1,0))</f>
        <v>0</v>
      </c>
      <c r="AN263" s="100">
        <f>IF(Tabla1[[#This Row],[TIPO DE CONSUMIDOR]]="MEDIO",IF(Tabla1[[#This Row],[AGOSTO]]&gt;22.5,Tabla1[[#This Row],[AGOSTO]]/22.5-1,0),IF(Tabla1[[#This Row],[AGOSTO]]&gt;45,Tabla1[[#This Row],[AGOSTO]]/45-1,0))</f>
        <v>0</v>
      </c>
      <c r="AO26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3" s="101">
        <f t="shared" ref="AS263:AS326" si="9">SUM(AG263:AR263)</f>
        <v>0</v>
      </c>
      <c r="AT263">
        <f>IF(Tabla1[[#This Row],[MES ADEUDO DE AÑOS PASADOS ]]&gt;0,1,0)</f>
        <v>0</v>
      </c>
      <c r="AU263" s="9">
        <f t="shared" ref="AU263:AU326" si="10">IF(Y263&gt;0,1,0)</f>
        <v>0</v>
      </c>
      <c r="AV263" s="60">
        <f>IF(Tabla1[[#This Row],[MESES DE ADEUDO DEL AÑO EN CURSO ]]&gt;0,1,0)</f>
        <v>0</v>
      </c>
      <c r="AW263" s="42"/>
      <c r="AX263" s="42"/>
      <c r="AY263" s="42"/>
      <c r="AZ263" s="43"/>
    </row>
    <row r="264" spans="1:52" ht="21.75" thickBot="1" x14ac:dyDescent="0.35">
      <c r="A264" s="106">
        <v>258</v>
      </c>
      <c r="B264" s="5" t="s">
        <v>167</v>
      </c>
      <c r="C264" s="2" t="s">
        <v>530</v>
      </c>
      <c r="D264" s="32"/>
      <c r="E264" s="35" t="s">
        <v>455</v>
      </c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24">
        <f>SUM(Tabla1[[#This Row],[ENERO ]:[DICIEMBRE]])</f>
        <v>0</v>
      </c>
      <c r="W264">
        <v>0</v>
      </c>
      <c r="X264" s="21">
        <f>COUNTIF(Tabla1[[#This Row],[ENERO ]:[DICIEMBRE]],0)-(AS264)-IF(Tabla1[[#This Row],[BAJAS]]="BAJA",IF(Tabla1[[#This Row],[ALTAS]]="ALTA",VLOOKUP(Tabla1[[#This Row],[MES DE ALTA ]],$AW$6:$AX$17,2,FALSE),12)-VLOOKUP(Tabla1[[#This Row],[MES DE BAJA ]],$AW$6:$AX$17,2,FALSE),0)</f>
        <v>0</v>
      </c>
      <c r="Y264" s="68">
        <f>SUM(Tabla1[[#This Row],[MES ADEUDO DE AÑOS PASADOS ]:[MESES DE ADEUDO DEL AÑO EN CURSO ]])-Tabla1[[#This Row],[PAGO DE DEUDA ANTERIOR EN MESES]]</f>
        <v>0</v>
      </c>
      <c r="Z264" s="15">
        <f>Tabla1[[#This Row],[MES ADEUDO DE AÑOS PASADOS ]]*$T$2</f>
        <v>0</v>
      </c>
      <c r="AA264" s="15">
        <f>Tabla1[[#This Row],[MESES DE ADEUDO DEL AÑO EN CURSO ]]*$T$2</f>
        <v>0</v>
      </c>
      <c r="AB264" s="69">
        <f>SUM(Tabla1[[#This Row],[DEUDA DE LOS MESES PASADOS EN $$]:[DEUDA DEL AÑO 2013 $$ ]])</f>
        <v>0</v>
      </c>
      <c r="AD264">
        <f>Tabla1[[#This Row],[PAGO DE DEUDA ANTERIOR EN MESES]]*$T$2</f>
        <v>0</v>
      </c>
      <c r="AG264" s="100">
        <f>IF(Tabla1[[#This Row],[TIPO DE CONSUMIDOR]]="MEDIO",IF(Tabla1[[#This Row],[ENERO ]]&gt;22.5,Tabla1[[#This Row],[ENERO ]]/22.5-1,0),IF(Tabla1[[#This Row],[ENERO ]]&gt;45,Tabla1[[#This Row],[ENERO ]]/45-1,0))</f>
        <v>0</v>
      </c>
      <c r="AH26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4" s="100">
        <f>IF(Tabla1[[#This Row],[TIPO DE CONSUMIDOR]]="MEDIO",IF(Tabla1[[#This Row],[MARZO]]&gt;22.5,Tabla1[[#This Row],[MARZO]]/22.5-1,0),IF(Tabla1[[#This Row],[MARZO]]&gt;45,Tabla1[[#This Row],[MARZO]]/45-1,0))</f>
        <v>0</v>
      </c>
      <c r="AJ264" s="100">
        <f>IF(Tabla1[[#This Row],[TIPO DE CONSUMIDOR]]="MEDIO",IF(Tabla1[[#This Row],[ABRIL]]&gt;22.5,Tabla1[[#This Row],[ABRIL]]/22.5-1,0),IF(Tabla1[[#This Row],[ABRIL]]&gt;45,Tabla1[[#This Row],[ABRIL]]/45-1,0))</f>
        <v>0</v>
      </c>
      <c r="AK264" s="100">
        <f>IF(Tabla1[[#This Row],[TIPO DE CONSUMIDOR]]="MEDIO",IF(Tabla1[[#This Row],[MAYO ]]&gt;22.5,Tabla1[[#This Row],[MAYO ]]/22.5-1,0),IF(Tabla1[[#This Row],[MAYO ]]&gt;45,Tabla1[[#This Row],[MAYO ]]/45-1,0))</f>
        <v>0</v>
      </c>
      <c r="AL264" s="100">
        <f>IF(Tabla1[[#This Row],[TIPO DE CONSUMIDOR]]="MEDIO",IF(Tabla1[[#This Row],[JUNIO ]]&gt;22.5,Tabla1[[#This Row],[JUNIO ]]/22.5-1,0),IF(Tabla1[[#This Row],[JUNIO ]]&gt;45,Tabla1[[#This Row],[JUNIO ]]/45-1,0))</f>
        <v>0</v>
      </c>
      <c r="AM264" s="100">
        <f>IF(Tabla1[[#This Row],[TIPO DE CONSUMIDOR]]="MEDIO",IF(Tabla1[[#This Row],[JULIO ]]&gt;22.5,Tabla1[[#This Row],[JULIO ]]/22.5-1,0),IF(Tabla1[[#This Row],[JULIO ]]&gt;45,Tabla1[[#This Row],[JULIO ]]/45-1,0))</f>
        <v>0</v>
      </c>
      <c r="AN264" s="100">
        <f>IF(Tabla1[[#This Row],[TIPO DE CONSUMIDOR]]="MEDIO",IF(Tabla1[[#This Row],[AGOSTO]]&gt;22.5,Tabla1[[#This Row],[AGOSTO]]/22.5-1,0),IF(Tabla1[[#This Row],[AGOSTO]]&gt;45,Tabla1[[#This Row],[AGOSTO]]/45-1,0))</f>
        <v>0</v>
      </c>
      <c r="AO26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4" s="101">
        <f t="shared" si="9"/>
        <v>0</v>
      </c>
      <c r="AT264">
        <f>IF(Tabla1[[#This Row],[MES ADEUDO DE AÑOS PASADOS ]]&gt;0,1,0)</f>
        <v>0</v>
      </c>
      <c r="AU264" s="9">
        <f t="shared" si="10"/>
        <v>0</v>
      </c>
      <c r="AV264" s="60">
        <f>IF(Tabla1[[#This Row],[MESES DE ADEUDO DEL AÑO EN CURSO ]]&gt;0,1,0)</f>
        <v>0</v>
      </c>
      <c r="AW264" s="42"/>
      <c r="AX264" s="42"/>
      <c r="AY264" s="42"/>
      <c r="AZ264" s="43"/>
    </row>
    <row r="265" spans="1:52" ht="21.75" thickBot="1" x14ac:dyDescent="0.35">
      <c r="A265" s="106">
        <v>259</v>
      </c>
      <c r="B265" s="5" t="s">
        <v>607</v>
      </c>
      <c r="C265" s="2" t="s">
        <v>530</v>
      </c>
      <c r="D265" s="32"/>
      <c r="E265" s="35" t="s">
        <v>455</v>
      </c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24">
        <f>SUM(Tabla1[[#This Row],[ENERO ]:[DICIEMBRE]])</f>
        <v>0</v>
      </c>
      <c r="W265">
        <v>0</v>
      </c>
      <c r="X265" s="21">
        <f>COUNTIF(Tabla1[[#This Row],[ENERO ]:[DICIEMBRE]],0)-(AS265)-IF(Tabla1[[#This Row],[BAJAS]]="BAJA",IF(Tabla1[[#This Row],[ALTAS]]="ALTA",VLOOKUP(Tabla1[[#This Row],[MES DE ALTA ]],$AW$6:$AX$17,2,FALSE),12)-VLOOKUP(Tabla1[[#This Row],[MES DE BAJA ]],$AW$6:$AX$17,2,FALSE),0)</f>
        <v>0</v>
      </c>
      <c r="Y265" s="68">
        <f>SUM(Tabla1[[#This Row],[MES ADEUDO DE AÑOS PASADOS ]:[MESES DE ADEUDO DEL AÑO EN CURSO ]])-Tabla1[[#This Row],[PAGO DE DEUDA ANTERIOR EN MESES]]</f>
        <v>0</v>
      </c>
      <c r="Z265" s="15">
        <f>Tabla1[[#This Row],[MES ADEUDO DE AÑOS PASADOS ]]*$T$2</f>
        <v>0</v>
      </c>
      <c r="AA265" s="15">
        <f>Tabla1[[#This Row],[MESES DE ADEUDO DEL AÑO EN CURSO ]]*$T$2</f>
        <v>0</v>
      </c>
      <c r="AB265" s="69">
        <f>SUM(Tabla1[[#This Row],[DEUDA DE LOS MESES PASADOS EN $$]:[DEUDA DEL AÑO 2013 $$ ]])</f>
        <v>0</v>
      </c>
      <c r="AD265">
        <f>Tabla1[[#This Row],[PAGO DE DEUDA ANTERIOR EN MESES]]*$T$2</f>
        <v>0</v>
      </c>
      <c r="AG265" s="100">
        <f>IF(Tabla1[[#This Row],[TIPO DE CONSUMIDOR]]="MEDIO",IF(Tabla1[[#This Row],[ENERO ]]&gt;22.5,Tabla1[[#This Row],[ENERO ]]/22.5-1,0),IF(Tabla1[[#This Row],[ENERO ]]&gt;45,Tabla1[[#This Row],[ENERO ]]/45-1,0))</f>
        <v>0</v>
      </c>
      <c r="AH26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5" s="100">
        <f>IF(Tabla1[[#This Row],[TIPO DE CONSUMIDOR]]="MEDIO",IF(Tabla1[[#This Row],[MARZO]]&gt;22.5,Tabla1[[#This Row],[MARZO]]/22.5-1,0),IF(Tabla1[[#This Row],[MARZO]]&gt;45,Tabla1[[#This Row],[MARZO]]/45-1,0))</f>
        <v>0</v>
      </c>
      <c r="AJ265" s="100">
        <f>IF(Tabla1[[#This Row],[TIPO DE CONSUMIDOR]]="MEDIO",IF(Tabla1[[#This Row],[ABRIL]]&gt;22.5,Tabla1[[#This Row],[ABRIL]]/22.5-1,0),IF(Tabla1[[#This Row],[ABRIL]]&gt;45,Tabla1[[#This Row],[ABRIL]]/45-1,0))</f>
        <v>0</v>
      </c>
      <c r="AK265" s="100">
        <f>IF(Tabla1[[#This Row],[TIPO DE CONSUMIDOR]]="MEDIO",IF(Tabla1[[#This Row],[MAYO ]]&gt;22.5,Tabla1[[#This Row],[MAYO ]]/22.5-1,0),IF(Tabla1[[#This Row],[MAYO ]]&gt;45,Tabla1[[#This Row],[MAYO ]]/45-1,0))</f>
        <v>0</v>
      </c>
      <c r="AL265" s="100">
        <f>IF(Tabla1[[#This Row],[TIPO DE CONSUMIDOR]]="MEDIO",IF(Tabla1[[#This Row],[JUNIO ]]&gt;22.5,Tabla1[[#This Row],[JUNIO ]]/22.5-1,0),IF(Tabla1[[#This Row],[JUNIO ]]&gt;45,Tabla1[[#This Row],[JUNIO ]]/45-1,0))</f>
        <v>0</v>
      </c>
      <c r="AM265" s="100">
        <f>IF(Tabla1[[#This Row],[TIPO DE CONSUMIDOR]]="MEDIO",IF(Tabla1[[#This Row],[JULIO ]]&gt;22.5,Tabla1[[#This Row],[JULIO ]]/22.5-1,0),IF(Tabla1[[#This Row],[JULIO ]]&gt;45,Tabla1[[#This Row],[JULIO ]]/45-1,0))</f>
        <v>0</v>
      </c>
      <c r="AN265" s="100">
        <f>IF(Tabla1[[#This Row],[TIPO DE CONSUMIDOR]]="MEDIO",IF(Tabla1[[#This Row],[AGOSTO]]&gt;22.5,Tabla1[[#This Row],[AGOSTO]]/22.5-1,0),IF(Tabla1[[#This Row],[AGOSTO]]&gt;45,Tabla1[[#This Row],[AGOSTO]]/45-1,0))</f>
        <v>0</v>
      </c>
      <c r="AO26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5" s="101">
        <f t="shared" si="9"/>
        <v>0</v>
      </c>
      <c r="AT265">
        <f>IF(Tabla1[[#This Row],[MES ADEUDO DE AÑOS PASADOS ]]&gt;0,1,0)</f>
        <v>0</v>
      </c>
      <c r="AU265" s="9">
        <f t="shared" si="10"/>
        <v>0</v>
      </c>
      <c r="AV265" s="60">
        <f>IF(Tabla1[[#This Row],[MESES DE ADEUDO DEL AÑO EN CURSO ]]&gt;0,1,0)</f>
        <v>0</v>
      </c>
      <c r="AW265" s="42"/>
      <c r="AX265" s="42"/>
      <c r="AY265" s="42"/>
      <c r="AZ265" s="43"/>
    </row>
    <row r="266" spans="1:52" ht="21.75" thickBot="1" x14ac:dyDescent="0.35">
      <c r="A266" s="106">
        <v>260</v>
      </c>
      <c r="B266" s="5" t="s">
        <v>184</v>
      </c>
      <c r="C266" s="2" t="s">
        <v>530</v>
      </c>
      <c r="D266" s="32"/>
      <c r="E266" s="35" t="s">
        <v>455</v>
      </c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24">
        <f>SUM(Tabla1[[#This Row],[ENERO ]:[DICIEMBRE]])</f>
        <v>0</v>
      </c>
      <c r="W266">
        <v>0</v>
      </c>
      <c r="X266" s="21">
        <f>COUNTIF(Tabla1[[#This Row],[ENERO ]:[DICIEMBRE]],0)-(AS266)-IF(Tabla1[[#This Row],[BAJAS]]="BAJA",IF(Tabla1[[#This Row],[ALTAS]]="ALTA",VLOOKUP(Tabla1[[#This Row],[MES DE ALTA ]],$AW$6:$AX$17,2,FALSE),12)-VLOOKUP(Tabla1[[#This Row],[MES DE BAJA ]],$AW$6:$AX$17,2,FALSE),0)</f>
        <v>0</v>
      </c>
      <c r="Y266" s="68">
        <f>SUM(Tabla1[[#This Row],[MES ADEUDO DE AÑOS PASADOS ]:[MESES DE ADEUDO DEL AÑO EN CURSO ]])-Tabla1[[#This Row],[PAGO DE DEUDA ANTERIOR EN MESES]]</f>
        <v>0</v>
      </c>
      <c r="Z266" s="15">
        <f>Tabla1[[#This Row],[MES ADEUDO DE AÑOS PASADOS ]]*$T$2</f>
        <v>0</v>
      </c>
      <c r="AA266" s="15">
        <f>Tabla1[[#This Row],[MESES DE ADEUDO DEL AÑO EN CURSO ]]*$T$2</f>
        <v>0</v>
      </c>
      <c r="AB266" s="69">
        <f>SUM(Tabla1[[#This Row],[DEUDA DE LOS MESES PASADOS EN $$]:[DEUDA DEL AÑO 2013 $$ ]])</f>
        <v>0</v>
      </c>
      <c r="AD266">
        <f>Tabla1[[#This Row],[PAGO DE DEUDA ANTERIOR EN MESES]]*$T$2</f>
        <v>0</v>
      </c>
      <c r="AG266" s="100">
        <f>IF(Tabla1[[#This Row],[TIPO DE CONSUMIDOR]]="MEDIO",IF(Tabla1[[#This Row],[ENERO ]]&gt;22.5,Tabla1[[#This Row],[ENERO ]]/22.5-1,0),IF(Tabla1[[#This Row],[ENERO ]]&gt;45,Tabla1[[#This Row],[ENERO ]]/45-1,0))</f>
        <v>0</v>
      </c>
      <c r="AH26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6" s="100">
        <f>IF(Tabla1[[#This Row],[TIPO DE CONSUMIDOR]]="MEDIO",IF(Tabla1[[#This Row],[MARZO]]&gt;22.5,Tabla1[[#This Row],[MARZO]]/22.5-1,0),IF(Tabla1[[#This Row],[MARZO]]&gt;45,Tabla1[[#This Row],[MARZO]]/45-1,0))</f>
        <v>0</v>
      </c>
      <c r="AJ266" s="100">
        <f>IF(Tabla1[[#This Row],[TIPO DE CONSUMIDOR]]="MEDIO",IF(Tabla1[[#This Row],[ABRIL]]&gt;22.5,Tabla1[[#This Row],[ABRIL]]/22.5-1,0),IF(Tabla1[[#This Row],[ABRIL]]&gt;45,Tabla1[[#This Row],[ABRIL]]/45-1,0))</f>
        <v>0</v>
      </c>
      <c r="AK266" s="100">
        <f>IF(Tabla1[[#This Row],[TIPO DE CONSUMIDOR]]="MEDIO",IF(Tabla1[[#This Row],[MAYO ]]&gt;22.5,Tabla1[[#This Row],[MAYO ]]/22.5-1,0),IF(Tabla1[[#This Row],[MAYO ]]&gt;45,Tabla1[[#This Row],[MAYO ]]/45-1,0))</f>
        <v>0</v>
      </c>
      <c r="AL266" s="100">
        <f>IF(Tabla1[[#This Row],[TIPO DE CONSUMIDOR]]="MEDIO",IF(Tabla1[[#This Row],[JUNIO ]]&gt;22.5,Tabla1[[#This Row],[JUNIO ]]/22.5-1,0),IF(Tabla1[[#This Row],[JUNIO ]]&gt;45,Tabla1[[#This Row],[JUNIO ]]/45-1,0))</f>
        <v>0</v>
      </c>
      <c r="AM266" s="100">
        <f>IF(Tabla1[[#This Row],[TIPO DE CONSUMIDOR]]="MEDIO",IF(Tabla1[[#This Row],[JULIO ]]&gt;22.5,Tabla1[[#This Row],[JULIO ]]/22.5-1,0),IF(Tabla1[[#This Row],[JULIO ]]&gt;45,Tabla1[[#This Row],[JULIO ]]/45-1,0))</f>
        <v>0</v>
      </c>
      <c r="AN266" s="100">
        <f>IF(Tabla1[[#This Row],[TIPO DE CONSUMIDOR]]="MEDIO",IF(Tabla1[[#This Row],[AGOSTO]]&gt;22.5,Tabla1[[#This Row],[AGOSTO]]/22.5-1,0),IF(Tabla1[[#This Row],[AGOSTO]]&gt;45,Tabla1[[#This Row],[AGOSTO]]/45-1,0))</f>
        <v>0</v>
      </c>
      <c r="AO26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6" s="101">
        <f t="shared" si="9"/>
        <v>0</v>
      </c>
      <c r="AT266">
        <f>IF(Tabla1[[#This Row],[MES ADEUDO DE AÑOS PASADOS ]]&gt;0,1,0)</f>
        <v>0</v>
      </c>
      <c r="AU266" s="9">
        <f t="shared" si="10"/>
        <v>0</v>
      </c>
      <c r="AV266" s="60">
        <f>IF(Tabla1[[#This Row],[MESES DE ADEUDO DEL AÑO EN CURSO ]]&gt;0,1,0)</f>
        <v>0</v>
      </c>
      <c r="AW266" s="42"/>
      <c r="AX266" s="42"/>
      <c r="AY266" s="42"/>
      <c r="AZ266" s="43"/>
    </row>
    <row r="267" spans="1:52" ht="21.75" thickBot="1" x14ac:dyDescent="0.35">
      <c r="A267" s="106">
        <v>261</v>
      </c>
      <c r="B267" s="5" t="s">
        <v>164</v>
      </c>
      <c r="C267" s="2" t="s">
        <v>530</v>
      </c>
      <c r="D267" s="32"/>
      <c r="E267" s="35" t="s">
        <v>455</v>
      </c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24">
        <f>SUM(Tabla1[[#This Row],[ENERO ]:[DICIEMBRE]])</f>
        <v>0</v>
      </c>
      <c r="W267">
        <v>0</v>
      </c>
      <c r="X267" s="21">
        <f>COUNTIF(Tabla1[[#This Row],[ENERO ]:[DICIEMBRE]],0)-(AS267)-IF(Tabla1[[#This Row],[BAJAS]]="BAJA",IF(Tabla1[[#This Row],[ALTAS]]="ALTA",VLOOKUP(Tabla1[[#This Row],[MES DE ALTA ]],$AW$6:$AX$17,2,FALSE),12)-VLOOKUP(Tabla1[[#This Row],[MES DE BAJA ]],$AW$6:$AX$17,2,FALSE),0)</f>
        <v>0</v>
      </c>
      <c r="Y267" s="68">
        <f>SUM(Tabla1[[#This Row],[MES ADEUDO DE AÑOS PASADOS ]:[MESES DE ADEUDO DEL AÑO EN CURSO ]])-Tabla1[[#This Row],[PAGO DE DEUDA ANTERIOR EN MESES]]</f>
        <v>0</v>
      </c>
      <c r="Z267" s="15">
        <f>Tabla1[[#This Row],[MES ADEUDO DE AÑOS PASADOS ]]*$T$2</f>
        <v>0</v>
      </c>
      <c r="AA267" s="15">
        <f>Tabla1[[#This Row],[MESES DE ADEUDO DEL AÑO EN CURSO ]]*$T$2</f>
        <v>0</v>
      </c>
      <c r="AB267" s="69">
        <f>SUM(Tabla1[[#This Row],[DEUDA DE LOS MESES PASADOS EN $$]:[DEUDA DEL AÑO 2013 $$ ]])</f>
        <v>0</v>
      </c>
      <c r="AD267">
        <f>Tabla1[[#This Row],[PAGO DE DEUDA ANTERIOR EN MESES]]*$T$2</f>
        <v>0</v>
      </c>
      <c r="AG267" s="100">
        <f>IF(Tabla1[[#This Row],[TIPO DE CONSUMIDOR]]="MEDIO",IF(Tabla1[[#This Row],[ENERO ]]&gt;22.5,Tabla1[[#This Row],[ENERO ]]/22.5-1,0),IF(Tabla1[[#This Row],[ENERO ]]&gt;45,Tabla1[[#This Row],[ENERO ]]/45-1,0))</f>
        <v>0</v>
      </c>
      <c r="AH26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7" s="100">
        <f>IF(Tabla1[[#This Row],[TIPO DE CONSUMIDOR]]="MEDIO",IF(Tabla1[[#This Row],[MARZO]]&gt;22.5,Tabla1[[#This Row],[MARZO]]/22.5-1,0),IF(Tabla1[[#This Row],[MARZO]]&gt;45,Tabla1[[#This Row],[MARZO]]/45-1,0))</f>
        <v>0</v>
      </c>
      <c r="AJ267" s="100">
        <f>IF(Tabla1[[#This Row],[TIPO DE CONSUMIDOR]]="MEDIO",IF(Tabla1[[#This Row],[ABRIL]]&gt;22.5,Tabla1[[#This Row],[ABRIL]]/22.5-1,0),IF(Tabla1[[#This Row],[ABRIL]]&gt;45,Tabla1[[#This Row],[ABRIL]]/45-1,0))</f>
        <v>0</v>
      </c>
      <c r="AK267" s="100">
        <f>IF(Tabla1[[#This Row],[TIPO DE CONSUMIDOR]]="MEDIO",IF(Tabla1[[#This Row],[MAYO ]]&gt;22.5,Tabla1[[#This Row],[MAYO ]]/22.5-1,0),IF(Tabla1[[#This Row],[MAYO ]]&gt;45,Tabla1[[#This Row],[MAYO ]]/45-1,0))</f>
        <v>0</v>
      </c>
      <c r="AL267" s="100">
        <f>IF(Tabla1[[#This Row],[TIPO DE CONSUMIDOR]]="MEDIO",IF(Tabla1[[#This Row],[JUNIO ]]&gt;22.5,Tabla1[[#This Row],[JUNIO ]]/22.5-1,0),IF(Tabla1[[#This Row],[JUNIO ]]&gt;45,Tabla1[[#This Row],[JUNIO ]]/45-1,0))</f>
        <v>0</v>
      </c>
      <c r="AM267" s="100">
        <f>IF(Tabla1[[#This Row],[TIPO DE CONSUMIDOR]]="MEDIO",IF(Tabla1[[#This Row],[JULIO ]]&gt;22.5,Tabla1[[#This Row],[JULIO ]]/22.5-1,0),IF(Tabla1[[#This Row],[JULIO ]]&gt;45,Tabla1[[#This Row],[JULIO ]]/45-1,0))</f>
        <v>0</v>
      </c>
      <c r="AN267" s="100">
        <f>IF(Tabla1[[#This Row],[TIPO DE CONSUMIDOR]]="MEDIO",IF(Tabla1[[#This Row],[AGOSTO]]&gt;22.5,Tabla1[[#This Row],[AGOSTO]]/22.5-1,0),IF(Tabla1[[#This Row],[AGOSTO]]&gt;45,Tabla1[[#This Row],[AGOSTO]]/45-1,0))</f>
        <v>0</v>
      </c>
      <c r="AO26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7" s="101">
        <f t="shared" si="9"/>
        <v>0</v>
      </c>
      <c r="AT267">
        <f>IF(Tabla1[[#This Row],[MES ADEUDO DE AÑOS PASADOS ]]&gt;0,1,0)</f>
        <v>0</v>
      </c>
      <c r="AU267" s="9">
        <f t="shared" si="10"/>
        <v>0</v>
      </c>
      <c r="AV267" s="60">
        <f>IF(Tabla1[[#This Row],[MESES DE ADEUDO DEL AÑO EN CURSO ]]&gt;0,1,0)</f>
        <v>0</v>
      </c>
      <c r="AW267" s="42"/>
      <c r="AX267" s="42"/>
      <c r="AY267" s="42"/>
      <c r="AZ267" s="43"/>
    </row>
    <row r="268" spans="1:52" ht="21.75" thickBot="1" x14ac:dyDescent="0.35">
      <c r="A268" s="106">
        <v>262</v>
      </c>
      <c r="B268" s="5" t="s">
        <v>193</v>
      </c>
      <c r="C268" s="2" t="s">
        <v>530</v>
      </c>
      <c r="D268" s="32"/>
      <c r="E268" s="35" t="s">
        <v>455</v>
      </c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24">
        <f>SUM(Tabla1[[#This Row],[ENERO ]:[DICIEMBRE]])</f>
        <v>0</v>
      </c>
      <c r="W268">
        <v>0</v>
      </c>
      <c r="X268" s="21">
        <f>COUNTIF(Tabla1[[#This Row],[ENERO ]:[DICIEMBRE]],0)-(AS268)-IF(Tabla1[[#This Row],[BAJAS]]="BAJA",IF(Tabla1[[#This Row],[ALTAS]]="ALTA",VLOOKUP(Tabla1[[#This Row],[MES DE ALTA ]],$AW$6:$AX$17,2,FALSE),12)-VLOOKUP(Tabla1[[#This Row],[MES DE BAJA ]],$AW$6:$AX$17,2,FALSE),0)</f>
        <v>0</v>
      </c>
      <c r="Y268" s="68">
        <f>SUM(Tabla1[[#This Row],[MES ADEUDO DE AÑOS PASADOS ]:[MESES DE ADEUDO DEL AÑO EN CURSO ]])-Tabla1[[#This Row],[PAGO DE DEUDA ANTERIOR EN MESES]]</f>
        <v>0</v>
      </c>
      <c r="Z268" s="15">
        <f>Tabla1[[#This Row],[MES ADEUDO DE AÑOS PASADOS ]]*$T$2</f>
        <v>0</v>
      </c>
      <c r="AA268" s="15">
        <f>Tabla1[[#This Row],[MESES DE ADEUDO DEL AÑO EN CURSO ]]*$T$2</f>
        <v>0</v>
      </c>
      <c r="AB268" s="69">
        <f>SUM(Tabla1[[#This Row],[DEUDA DE LOS MESES PASADOS EN $$]:[DEUDA DEL AÑO 2013 $$ ]])</f>
        <v>0</v>
      </c>
      <c r="AD268">
        <f>Tabla1[[#This Row],[PAGO DE DEUDA ANTERIOR EN MESES]]*$T$2</f>
        <v>0</v>
      </c>
      <c r="AG268" s="100">
        <f>IF(Tabla1[[#This Row],[TIPO DE CONSUMIDOR]]="MEDIO",IF(Tabla1[[#This Row],[ENERO ]]&gt;22.5,Tabla1[[#This Row],[ENERO ]]/22.5-1,0),IF(Tabla1[[#This Row],[ENERO ]]&gt;45,Tabla1[[#This Row],[ENERO ]]/45-1,0))</f>
        <v>0</v>
      </c>
      <c r="AH26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8" s="100">
        <f>IF(Tabla1[[#This Row],[TIPO DE CONSUMIDOR]]="MEDIO",IF(Tabla1[[#This Row],[MARZO]]&gt;22.5,Tabla1[[#This Row],[MARZO]]/22.5-1,0),IF(Tabla1[[#This Row],[MARZO]]&gt;45,Tabla1[[#This Row],[MARZO]]/45-1,0))</f>
        <v>0</v>
      </c>
      <c r="AJ268" s="100">
        <f>IF(Tabla1[[#This Row],[TIPO DE CONSUMIDOR]]="MEDIO",IF(Tabla1[[#This Row],[ABRIL]]&gt;22.5,Tabla1[[#This Row],[ABRIL]]/22.5-1,0),IF(Tabla1[[#This Row],[ABRIL]]&gt;45,Tabla1[[#This Row],[ABRIL]]/45-1,0))</f>
        <v>0</v>
      </c>
      <c r="AK268" s="100">
        <f>IF(Tabla1[[#This Row],[TIPO DE CONSUMIDOR]]="MEDIO",IF(Tabla1[[#This Row],[MAYO ]]&gt;22.5,Tabla1[[#This Row],[MAYO ]]/22.5-1,0),IF(Tabla1[[#This Row],[MAYO ]]&gt;45,Tabla1[[#This Row],[MAYO ]]/45-1,0))</f>
        <v>0</v>
      </c>
      <c r="AL268" s="100">
        <f>IF(Tabla1[[#This Row],[TIPO DE CONSUMIDOR]]="MEDIO",IF(Tabla1[[#This Row],[JUNIO ]]&gt;22.5,Tabla1[[#This Row],[JUNIO ]]/22.5-1,0),IF(Tabla1[[#This Row],[JUNIO ]]&gt;45,Tabla1[[#This Row],[JUNIO ]]/45-1,0))</f>
        <v>0</v>
      </c>
      <c r="AM268" s="100">
        <f>IF(Tabla1[[#This Row],[TIPO DE CONSUMIDOR]]="MEDIO",IF(Tabla1[[#This Row],[JULIO ]]&gt;22.5,Tabla1[[#This Row],[JULIO ]]/22.5-1,0),IF(Tabla1[[#This Row],[JULIO ]]&gt;45,Tabla1[[#This Row],[JULIO ]]/45-1,0))</f>
        <v>0</v>
      </c>
      <c r="AN268" s="100">
        <f>IF(Tabla1[[#This Row],[TIPO DE CONSUMIDOR]]="MEDIO",IF(Tabla1[[#This Row],[AGOSTO]]&gt;22.5,Tabla1[[#This Row],[AGOSTO]]/22.5-1,0),IF(Tabla1[[#This Row],[AGOSTO]]&gt;45,Tabla1[[#This Row],[AGOSTO]]/45-1,0))</f>
        <v>0</v>
      </c>
      <c r="AO26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8" s="101">
        <f t="shared" si="9"/>
        <v>0</v>
      </c>
      <c r="AT268">
        <f>IF(Tabla1[[#This Row],[MES ADEUDO DE AÑOS PASADOS ]]&gt;0,1,0)</f>
        <v>0</v>
      </c>
      <c r="AU268" s="9">
        <f t="shared" si="10"/>
        <v>0</v>
      </c>
      <c r="AV268" s="60">
        <f>IF(Tabla1[[#This Row],[MESES DE ADEUDO DEL AÑO EN CURSO ]]&gt;0,1,0)</f>
        <v>0</v>
      </c>
      <c r="AW268" s="42"/>
      <c r="AX268" s="42"/>
      <c r="AY268" s="42"/>
      <c r="AZ268" s="43"/>
    </row>
    <row r="269" spans="1:52" ht="21.75" thickBot="1" x14ac:dyDescent="0.35">
      <c r="A269" s="106">
        <v>263</v>
      </c>
      <c r="B269" s="5" t="s">
        <v>582</v>
      </c>
      <c r="C269" s="2" t="s">
        <v>530</v>
      </c>
      <c r="D269" s="32"/>
      <c r="E269" s="35" t="s">
        <v>455</v>
      </c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24">
        <f>SUM(Tabla1[[#This Row],[ENERO ]:[DICIEMBRE]])</f>
        <v>0</v>
      </c>
      <c r="W269">
        <v>0</v>
      </c>
      <c r="X269" s="21">
        <f>COUNTIF(Tabla1[[#This Row],[ENERO ]:[DICIEMBRE]],0)-(AS269)-IF(Tabla1[[#This Row],[BAJAS]]="BAJA",IF(Tabla1[[#This Row],[ALTAS]]="ALTA",VLOOKUP(Tabla1[[#This Row],[MES DE ALTA ]],$AW$6:$AX$17,2,FALSE),12)-VLOOKUP(Tabla1[[#This Row],[MES DE BAJA ]],$AW$6:$AX$17,2,FALSE),0)</f>
        <v>0</v>
      </c>
      <c r="Y269" s="68">
        <f>SUM(Tabla1[[#This Row],[MES ADEUDO DE AÑOS PASADOS ]:[MESES DE ADEUDO DEL AÑO EN CURSO ]])-Tabla1[[#This Row],[PAGO DE DEUDA ANTERIOR EN MESES]]</f>
        <v>0</v>
      </c>
      <c r="Z269" s="15">
        <f>Tabla1[[#This Row],[MES ADEUDO DE AÑOS PASADOS ]]*$T$2</f>
        <v>0</v>
      </c>
      <c r="AA269" s="15">
        <f>Tabla1[[#This Row],[MESES DE ADEUDO DEL AÑO EN CURSO ]]*$T$2</f>
        <v>0</v>
      </c>
      <c r="AB269" s="69">
        <f>SUM(Tabla1[[#This Row],[DEUDA DE LOS MESES PASADOS EN $$]:[DEUDA DEL AÑO 2013 $$ ]])</f>
        <v>0</v>
      </c>
      <c r="AD269">
        <f>Tabla1[[#This Row],[PAGO DE DEUDA ANTERIOR EN MESES]]*$T$2</f>
        <v>0</v>
      </c>
      <c r="AG269" s="100">
        <f>IF(Tabla1[[#This Row],[TIPO DE CONSUMIDOR]]="MEDIO",IF(Tabla1[[#This Row],[ENERO ]]&gt;22.5,Tabla1[[#This Row],[ENERO ]]/22.5-1,0),IF(Tabla1[[#This Row],[ENERO ]]&gt;45,Tabla1[[#This Row],[ENERO ]]/45-1,0))</f>
        <v>0</v>
      </c>
      <c r="AH26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69" s="100">
        <f>IF(Tabla1[[#This Row],[TIPO DE CONSUMIDOR]]="MEDIO",IF(Tabla1[[#This Row],[MARZO]]&gt;22.5,Tabla1[[#This Row],[MARZO]]/22.5-1,0),IF(Tabla1[[#This Row],[MARZO]]&gt;45,Tabla1[[#This Row],[MARZO]]/45-1,0))</f>
        <v>0</v>
      </c>
      <c r="AJ269" s="100">
        <f>IF(Tabla1[[#This Row],[TIPO DE CONSUMIDOR]]="MEDIO",IF(Tabla1[[#This Row],[ABRIL]]&gt;22.5,Tabla1[[#This Row],[ABRIL]]/22.5-1,0),IF(Tabla1[[#This Row],[ABRIL]]&gt;45,Tabla1[[#This Row],[ABRIL]]/45-1,0))</f>
        <v>0</v>
      </c>
      <c r="AK269" s="100">
        <f>IF(Tabla1[[#This Row],[TIPO DE CONSUMIDOR]]="MEDIO",IF(Tabla1[[#This Row],[MAYO ]]&gt;22.5,Tabla1[[#This Row],[MAYO ]]/22.5-1,0),IF(Tabla1[[#This Row],[MAYO ]]&gt;45,Tabla1[[#This Row],[MAYO ]]/45-1,0))</f>
        <v>0</v>
      </c>
      <c r="AL269" s="100">
        <f>IF(Tabla1[[#This Row],[TIPO DE CONSUMIDOR]]="MEDIO",IF(Tabla1[[#This Row],[JUNIO ]]&gt;22.5,Tabla1[[#This Row],[JUNIO ]]/22.5-1,0),IF(Tabla1[[#This Row],[JUNIO ]]&gt;45,Tabla1[[#This Row],[JUNIO ]]/45-1,0))</f>
        <v>0</v>
      </c>
      <c r="AM269" s="100">
        <f>IF(Tabla1[[#This Row],[TIPO DE CONSUMIDOR]]="MEDIO",IF(Tabla1[[#This Row],[JULIO ]]&gt;22.5,Tabla1[[#This Row],[JULIO ]]/22.5-1,0),IF(Tabla1[[#This Row],[JULIO ]]&gt;45,Tabla1[[#This Row],[JULIO ]]/45-1,0))</f>
        <v>0</v>
      </c>
      <c r="AN269" s="100">
        <f>IF(Tabla1[[#This Row],[TIPO DE CONSUMIDOR]]="MEDIO",IF(Tabla1[[#This Row],[AGOSTO]]&gt;22.5,Tabla1[[#This Row],[AGOSTO]]/22.5-1,0),IF(Tabla1[[#This Row],[AGOSTO]]&gt;45,Tabla1[[#This Row],[AGOSTO]]/45-1,0))</f>
        <v>0</v>
      </c>
      <c r="AO26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6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6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6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69" s="101">
        <f t="shared" si="9"/>
        <v>0</v>
      </c>
      <c r="AT269">
        <f>IF(Tabla1[[#This Row],[MES ADEUDO DE AÑOS PASADOS ]]&gt;0,1,0)</f>
        <v>0</v>
      </c>
      <c r="AU269" s="9">
        <f t="shared" si="10"/>
        <v>0</v>
      </c>
      <c r="AV269" s="60">
        <f>IF(Tabla1[[#This Row],[MESES DE ADEUDO DEL AÑO EN CURSO ]]&gt;0,1,0)</f>
        <v>0</v>
      </c>
      <c r="AW269" s="42"/>
      <c r="AX269" s="42"/>
      <c r="AY269" s="42"/>
      <c r="AZ269" s="43"/>
    </row>
    <row r="270" spans="1:52" ht="21.75" thickBot="1" x14ac:dyDescent="0.35">
      <c r="A270" s="106">
        <v>264</v>
      </c>
      <c r="B270" s="5" t="s">
        <v>211</v>
      </c>
      <c r="C270" s="2" t="s">
        <v>530</v>
      </c>
      <c r="D270" s="32"/>
      <c r="E270" s="35" t="s">
        <v>455</v>
      </c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24">
        <f>SUM(Tabla1[[#This Row],[ENERO ]:[DICIEMBRE]])</f>
        <v>0</v>
      </c>
      <c r="W270">
        <v>0</v>
      </c>
      <c r="X270" s="21">
        <f>COUNTIF(Tabla1[[#This Row],[ENERO ]:[DICIEMBRE]],0)-(AS270)-IF(Tabla1[[#This Row],[BAJAS]]="BAJA",IF(Tabla1[[#This Row],[ALTAS]]="ALTA",VLOOKUP(Tabla1[[#This Row],[MES DE ALTA ]],$AW$6:$AX$17,2,FALSE),12)-VLOOKUP(Tabla1[[#This Row],[MES DE BAJA ]],$AW$6:$AX$17,2,FALSE),0)</f>
        <v>0</v>
      </c>
      <c r="Y270" s="68">
        <f>SUM(Tabla1[[#This Row],[MES ADEUDO DE AÑOS PASADOS ]:[MESES DE ADEUDO DEL AÑO EN CURSO ]])-Tabla1[[#This Row],[PAGO DE DEUDA ANTERIOR EN MESES]]</f>
        <v>0</v>
      </c>
      <c r="Z270" s="15">
        <f>Tabla1[[#This Row],[MES ADEUDO DE AÑOS PASADOS ]]*$T$2</f>
        <v>0</v>
      </c>
      <c r="AA270" s="15">
        <f>Tabla1[[#This Row],[MESES DE ADEUDO DEL AÑO EN CURSO ]]*$T$2</f>
        <v>0</v>
      </c>
      <c r="AB270" s="69">
        <f>SUM(Tabla1[[#This Row],[DEUDA DE LOS MESES PASADOS EN $$]:[DEUDA DEL AÑO 2013 $$ ]])</f>
        <v>0</v>
      </c>
      <c r="AD270">
        <f>Tabla1[[#This Row],[PAGO DE DEUDA ANTERIOR EN MESES]]*$T$2</f>
        <v>0</v>
      </c>
      <c r="AG270" s="100">
        <f>IF(Tabla1[[#This Row],[TIPO DE CONSUMIDOR]]="MEDIO",IF(Tabla1[[#This Row],[ENERO ]]&gt;22.5,Tabla1[[#This Row],[ENERO ]]/22.5-1,0),IF(Tabla1[[#This Row],[ENERO ]]&gt;45,Tabla1[[#This Row],[ENERO ]]/45-1,0))</f>
        <v>0</v>
      </c>
      <c r="AH27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0" s="100">
        <f>IF(Tabla1[[#This Row],[TIPO DE CONSUMIDOR]]="MEDIO",IF(Tabla1[[#This Row],[MARZO]]&gt;22.5,Tabla1[[#This Row],[MARZO]]/22.5-1,0),IF(Tabla1[[#This Row],[MARZO]]&gt;45,Tabla1[[#This Row],[MARZO]]/45-1,0))</f>
        <v>0</v>
      </c>
      <c r="AJ270" s="100">
        <f>IF(Tabla1[[#This Row],[TIPO DE CONSUMIDOR]]="MEDIO",IF(Tabla1[[#This Row],[ABRIL]]&gt;22.5,Tabla1[[#This Row],[ABRIL]]/22.5-1,0),IF(Tabla1[[#This Row],[ABRIL]]&gt;45,Tabla1[[#This Row],[ABRIL]]/45-1,0))</f>
        <v>0</v>
      </c>
      <c r="AK270" s="100">
        <f>IF(Tabla1[[#This Row],[TIPO DE CONSUMIDOR]]="MEDIO",IF(Tabla1[[#This Row],[MAYO ]]&gt;22.5,Tabla1[[#This Row],[MAYO ]]/22.5-1,0),IF(Tabla1[[#This Row],[MAYO ]]&gt;45,Tabla1[[#This Row],[MAYO ]]/45-1,0))</f>
        <v>0</v>
      </c>
      <c r="AL270" s="100">
        <f>IF(Tabla1[[#This Row],[TIPO DE CONSUMIDOR]]="MEDIO",IF(Tabla1[[#This Row],[JUNIO ]]&gt;22.5,Tabla1[[#This Row],[JUNIO ]]/22.5-1,0),IF(Tabla1[[#This Row],[JUNIO ]]&gt;45,Tabla1[[#This Row],[JUNIO ]]/45-1,0))</f>
        <v>0</v>
      </c>
      <c r="AM270" s="100">
        <f>IF(Tabla1[[#This Row],[TIPO DE CONSUMIDOR]]="MEDIO",IF(Tabla1[[#This Row],[JULIO ]]&gt;22.5,Tabla1[[#This Row],[JULIO ]]/22.5-1,0),IF(Tabla1[[#This Row],[JULIO ]]&gt;45,Tabla1[[#This Row],[JULIO ]]/45-1,0))</f>
        <v>0</v>
      </c>
      <c r="AN270" s="100">
        <f>IF(Tabla1[[#This Row],[TIPO DE CONSUMIDOR]]="MEDIO",IF(Tabla1[[#This Row],[AGOSTO]]&gt;22.5,Tabla1[[#This Row],[AGOSTO]]/22.5-1,0),IF(Tabla1[[#This Row],[AGOSTO]]&gt;45,Tabla1[[#This Row],[AGOSTO]]/45-1,0))</f>
        <v>0</v>
      </c>
      <c r="AO27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0" s="101">
        <f t="shared" si="9"/>
        <v>0</v>
      </c>
      <c r="AT270">
        <f>IF(Tabla1[[#This Row],[MES ADEUDO DE AÑOS PASADOS ]]&gt;0,1,0)</f>
        <v>0</v>
      </c>
      <c r="AU270" s="9">
        <f t="shared" si="10"/>
        <v>0</v>
      </c>
      <c r="AV270" s="60">
        <f>IF(Tabla1[[#This Row],[MESES DE ADEUDO DEL AÑO EN CURSO ]]&gt;0,1,0)</f>
        <v>0</v>
      </c>
      <c r="AW270" s="42"/>
      <c r="AX270" s="42"/>
      <c r="AY270" s="42"/>
      <c r="AZ270" s="43"/>
    </row>
    <row r="271" spans="1:52" ht="21.75" thickBot="1" x14ac:dyDescent="0.35">
      <c r="A271" s="106">
        <v>265</v>
      </c>
      <c r="B271" s="5" t="s">
        <v>253</v>
      </c>
      <c r="C271" s="2" t="s">
        <v>530</v>
      </c>
      <c r="D271" s="32"/>
      <c r="E271" s="35" t="s">
        <v>455</v>
      </c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24">
        <f>SUM(Tabla1[[#This Row],[ENERO ]:[DICIEMBRE]])</f>
        <v>0</v>
      </c>
      <c r="W271">
        <v>0</v>
      </c>
      <c r="X271" s="21">
        <f>COUNTIF(Tabla1[[#This Row],[ENERO ]:[DICIEMBRE]],0)-(AS271)-IF(Tabla1[[#This Row],[BAJAS]]="BAJA",IF(Tabla1[[#This Row],[ALTAS]]="ALTA",VLOOKUP(Tabla1[[#This Row],[MES DE ALTA ]],$AW$6:$AX$17,2,FALSE),12)-VLOOKUP(Tabla1[[#This Row],[MES DE BAJA ]],$AW$6:$AX$17,2,FALSE),0)</f>
        <v>0</v>
      </c>
      <c r="Y271" s="68">
        <f>SUM(Tabla1[[#This Row],[MES ADEUDO DE AÑOS PASADOS ]:[MESES DE ADEUDO DEL AÑO EN CURSO ]])-Tabla1[[#This Row],[PAGO DE DEUDA ANTERIOR EN MESES]]</f>
        <v>0</v>
      </c>
      <c r="Z271" s="15">
        <f>Tabla1[[#This Row],[MES ADEUDO DE AÑOS PASADOS ]]*$T$2</f>
        <v>0</v>
      </c>
      <c r="AA271" s="15">
        <f>Tabla1[[#This Row],[MESES DE ADEUDO DEL AÑO EN CURSO ]]*$T$2</f>
        <v>0</v>
      </c>
      <c r="AB271" s="69">
        <f>SUM(Tabla1[[#This Row],[DEUDA DE LOS MESES PASADOS EN $$]:[DEUDA DEL AÑO 2013 $$ ]])</f>
        <v>0</v>
      </c>
      <c r="AD271">
        <f>Tabla1[[#This Row],[PAGO DE DEUDA ANTERIOR EN MESES]]*$T$2</f>
        <v>0</v>
      </c>
      <c r="AG271" s="100">
        <f>IF(Tabla1[[#This Row],[TIPO DE CONSUMIDOR]]="MEDIO",IF(Tabla1[[#This Row],[ENERO ]]&gt;22.5,Tabla1[[#This Row],[ENERO ]]/22.5-1,0),IF(Tabla1[[#This Row],[ENERO ]]&gt;45,Tabla1[[#This Row],[ENERO ]]/45-1,0))</f>
        <v>0</v>
      </c>
      <c r="AH27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1" s="100">
        <f>IF(Tabla1[[#This Row],[TIPO DE CONSUMIDOR]]="MEDIO",IF(Tabla1[[#This Row],[MARZO]]&gt;22.5,Tabla1[[#This Row],[MARZO]]/22.5-1,0),IF(Tabla1[[#This Row],[MARZO]]&gt;45,Tabla1[[#This Row],[MARZO]]/45-1,0))</f>
        <v>0</v>
      </c>
      <c r="AJ271" s="100">
        <f>IF(Tabla1[[#This Row],[TIPO DE CONSUMIDOR]]="MEDIO",IF(Tabla1[[#This Row],[ABRIL]]&gt;22.5,Tabla1[[#This Row],[ABRIL]]/22.5-1,0),IF(Tabla1[[#This Row],[ABRIL]]&gt;45,Tabla1[[#This Row],[ABRIL]]/45-1,0))</f>
        <v>0</v>
      </c>
      <c r="AK271" s="100">
        <f>IF(Tabla1[[#This Row],[TIPO DE CONSUMIDOR]]="MEDIO",IF(Tabla1[[#This Row],[MAYO ]]&gt;22.5,Tabla1[[#This Row],[MAYO ]]/22.5-1,0),IF(Tabla1[[#This Row],[MAYO ]]&gt;45,Tabla1[[#This Row],[MAYO ]]/45-1,0))</f>
        <v>0</v>
      </c>
      <c r="AL271" s="100">
        <f>IF(Tabla1[[#This Row],[TIPO DE CONSUMIDOR]]="MEDIO",IF(Tabla1[[#This Row],[JUNIO ]]&gt;22.5,Tabla1[[#This Row],[JUNIO ]]/22.5-1,0),IF(Tabla1[[#This Row],[JUNIO ]]&gt;45,Tabla1[[#This Row],[JUNIO ]]/45-1,0))</f>
        <v>0</v>
      </c>
      <c r="AM271" s="100">
        <f>IF(Tabla1[[#This Row],[TIPO DE CONSUMIDOR]]="MEDIO",IF(Tabla1[[#This Row],[JULIO ]]&gt;22.5,Tabla1[[#This Row],[JULIO ]]/22.5-1,0),IF(Tabla1[[#This Row],[JULIO ]]&gt;45,Tabla1[[#This Row],[JULIO ]]/45-1,0))</f>
        <v>0</v>
      </c>
      <c r="AN271" s="100">
        <f>IF(Tabla1[[#This Row],[TIPO DE CONSUMIDOR]]="MEDIO",IF(Tabla1[[#This Row],[AGOSTO]]&gt;22.5,Tabla1[[#This Row],[AGOSTO]]/22.5-1,0),IF(Tabla1[[#This Row],[AGOSTO]]&gt;45,Tabla1[[#This Row],[AGOSTO]]/45-1,0))</f>
        <v>0</v>
      </c>
      <c r="AO27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1" s="101">
        <f t="shared" si="9"/>
        <v>0</v>
      </c>
      <c r="AT271">
        <f>IF(Tabla1[[#This Row],[MES ADEUDO DE AÑOS PASADOS ]]&gt;0,1,0)</f>
        <v>0</v>
      </c>
      <c r="AU271" s="9">
        <f t="shared" si="10"/>
        <v>0</v>
      </c>
      <c r="AV271" s="60">
        <f>IF(Tabla1[[#This Row],[MESES DE ADEUDO DEL AÑO EN CURSO ]]&gt;0,1,0)</f>
        <v>0</v>
      </c>
      <c r="AW271" s="42"/>
      <c r="AX271" s="42"/>
      <c r="AY271" s="42"/>
      <c r="AZ271" s="43"/>
    </row>
    <row r="272" spans="1:52" ht="21.75" thickBot="1" x14ac:dyDescent="0.35">
      <c r="A272" s="106">
        <v>266</v>
      </c>
      <c r="B272" s="5" t="s">
        <v>245</v>
      </c>
      <c r="C272" s="2" t="s">
        <v>530</v>
      </c>
      <c r="D272" s="32"/>
      <c r="E272" s="35" t="s">
        <v>455</v>
      </c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24">
        <f>SUM(Tabla1[[#This Row],[ENERO ]:[DICIEMBRE]])</f>
        <v>0</v>
      </c>
      <c r="W272">
        <v>0</v>
      </c>
      <c r="X272" s="21">
        <f>COUNTIF(Tabla1[[#This Row],[ENERO ]:[DICIEMBRE]],0)-(AS272)-IF(Tabla1[[#This Row],[BAJAS]]="BAJA",IF(Tabla1[[#This Row],[ALTAS]]="ALTA",VLOOKUP(Tabla1[[#This Row],[MES DE ALTA ]],$AW$6:$AX$17,2,FALSE),12)-VLOOKUP(Tabla1[[#This Row],[MES DE BAJA ]],$AW$6:$AX$17,2,FALSE),0)</f>
        <v>0</v>
      </c>
      <c r="Y272" s="68">
        <f>SUM(Tabla1[[#This Row],[MES ADEUDO DE AÑOS PASADOS ]:[MESES DE ADEUDO DEL AÑO EN CURSO ]])-Tabla1[[#This Row],[PAGO DE DEUDA ANTERIOR EN MESES]]</f>
        <v>0</v>
      </c>
      <c r="Z272" s="15">
        <f>Tabla1[[#This Row],[MES ADEUDO DE AÑOS PASADOS ]]*$T$2</f>
        <v>0</v>
      </c>
      <c r="AA272" s="15">
        <f>Tabla1[[#This Row],[MESES DE ADEUDO DEL AÑO EN CURSO ]]*$T$2</f>
        <v>0</v>
      </c>
      <c r="AB272" s="69">
        <f>SUM(Tabla1[[#This Row],[DEUDA DE LOS MESES PASADOS EN $$]:[DEUDA DEL AÑO 2013 $$ ]])</f>
        <v>0</v>
      </c>
      <c r="AD272">
        <f>Tabla1[[#This Row],[PAGO DE DEUDA ANTERIOR EN MESES]]*$T$2</f>
        <v>0</v>
      </c>
      <c r="AG272" s="100">
        <f>IF(Tabla1[[#This Row],[TIPO DE CONSUMIDOR]]="MEDIO",IF(Tabla1[[#This Row],[ENERO ]]&gt;22.5,Tabla1[[#This Row],[ENERO ]]/22.5-1,0),IF(Tabla1[[#This Row],[ENERO ]]&gt;45,Tabla1[[#This Row],[ENERO ]]/45-1,0))</f>
        <v>0</v>
      </c>
      <c r="AH27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2" s="100">
        <f>IF(Tabla1[[#This Row],[TIPO DE CONSUMIDOR]]="MEDIO",IF(Tabla1[[#This Row],[MARZO]]&gt;22.5,Tabla1[[#This Row],[MARZO]]/22.5-1,0),IF(Tabla1[[#This Row],[MARZO]]&gt;45,Tabla1[[#This Row],[MARZO]]/45-1,0))</f>
        <v>0</v>
      </c>
      <c r="AJ272" s="100">
        <f>IF(Tabla1[[#This Row],[TIPO DE CONSUMIDOR]]="MEDIO",IF(Tabla1[[#This Row],[ABRIL]]&gt;22.5,Tabla1[[#This Row],[ABRIL]]/22.5-1,0),IF(Tabla1[[#This Row],[ABRIL]]&gt;45,Tabla1[[#This Row],[ABRIL]]/45-1,0))</f>
        <v>0</v>
      </c>
      <c r="AK272" s="100">
        <f>IF(Tabla1[[#This Row],[TIPO DE CONSUMIDOR]]="MEDIO",IF(Tabla1[[#This Row],[MAYO ]]&gt;22.5,Tabla1[[#This Row],[MAYO ]]/22.5-1,0),IF(Tabla1[[#This Row],[MAYO ]]&gt;45,Tabla1[[#This Row],[MAYO ]]/45-1,0))</f>
        <v>0</v>
      </c>
      <c r="AL272" s="100">
        <f>IF(Tabla1[[#This Row],[TIPO DE CONSUMIDOR]]="MEDIO",IF(Tabla1[[#This Row],[JUNIO ]]&gt;22.5,Tabla1[[#This Row],[JUNIO ]]/22.5-1,0),IF(Tabla1[[#This Row],[JUNIO ]]&gt;45,Tabla1[[#This Row],[JUNIO ]]/45-1,0))</f>
        <v>0</v>
      </c>
      <c r="AM272" s="100">
        <f>IF(Tabla1[[#This Row],[TIPO DE CONSUMIDOR]]="MEDIO",IF(Tabla1[[#This Row],[JULIO ]]&gt;22.5,Tabla1[[#This Row],[JULIO ]]/22.5-1,0),IF(Tabla1[[#This Row],[JULIO ]]&gt;45,Tabla1[[#This Row],[JULIO ]]/45-1,0))</f>
        <v>0</v>
      </c>
      <c r="AN272" s="100">
        <f>IF(Tabla1[[#This Row],[TIPO DE CONSUMIDOR]]="MEDIO",IF(Tabla1[[#This Row],[AGOSTO]]&gt;22.5,Tabla1[[#This Row],[AGOSTO]]/22.5-1,0),IF(Tabla1[[#This Row],[AGOSTO]]&gt;45,Tabla1[[#This Row],[AGOSTO]]/45-1,0))</f>
        <v>0</v>
      </c>
      <c r="AO27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2" s="101">
        <f t="shared" si="9"/>
        <v>0</v>
      </c>
      <c r="AT272">
        <f>IF(Tabla1[[#This Row],[MES ADEUDO DE AÑOS PASADOS ]]&gt;0,1,0)</f>
        <v>0</v>
      </c>
      <c r="AU272" s="9">
        <f t="shared" si="10"/>
        <v>0</v>
      </c>
      <c r="AV272" s="60">
        <f>IF(Tabla1[[#This Row],[MESES DE ADEUDO DEL AÑO EN CURSO ]]&gt;0,1,0)</f>
        <v>0</v>
      </c>
      <c r="AW272" s="42"/>
      <c r="AX272" s="42"/>
      <c r="AY272" s="42"/>
      <c r="AZ272" s="43"/>
    </row>
    <row r="273" spans="1:52" ht="21.75" thickBot="1" x14ac:dyDescent="0.35">
      <c r="A273" s="106">
        <v>267</v>
      </c>
      <c r="B273" s="5" t="s">
        <v>217</v>
      </c>
      <c r="C273" s="2" t="s">
        <v>530</v>
      </c>
      <c r="D273" s="32"/>
      <c r="E273" s="35" t="s">
        <v>455</v>
      </c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24">
        <f>SUM(Tabla1[[#This Row],[ENERO ]:[DICIEMBRE]])</f>
        <v>0</v>
      </c>
      <c r="W273">
        <v>0</v>
      </c>
      <c r="X273" s="21">
        <f>COUNTIF(Tabla1[[#This Row],[ENERO ]:[DICIEMBRE]],0)-(AS273)-IF(Tabla1[[#This Row],[BAJAS]]="BAJA",IF(Tabla1[[#This Row],[ALTAS]]="ALTA",VLOOKUP(Tabla1[[#This Row],[MES DE ALTA ]],$AW$6:$AX$17,2,FALSE),12)-VLOOKUP(Tabla1[[#This Row],[MES DE BAJA ]],$AW$6:$AX$17,2,FALSE),0)</f>
        <v>0</v>
      </c>
      <c r="Y273" s="68">
        <f>SUM(Tabla1[[#This Row],[MES ADEUDO DE AÑOS PASADOS ]:[MESES DE ADEUDO DEL AÑO EN CURSO ]])-Tabla1[[#This Row],[PAGO DE DEUDA ANTERIOR EN MESES]]</f>
        <v>0</v>
      </c>
      <c r="Z273" s="15">
        <f>Tabla1[[#This Row],[MES ADEUDO DE AÑOS PASADOS ]]*$T$2</f>
        <v>0</v>
      </c>
      <c r="AA273" s="15">
        <f>Tabla1[[#This Row],[MESES DE ADEUDO DEL AÑO EN CURSO ]]*$T$2</f>
        <v>0</v>
      </c>
      <c r="AB273" s="69">
        <f>SUM(Tabla1[[#This Row],[DEUDA DE LOS MESES PASADOS EN $$]:[DEUDA DEL AÑO 2013 $$ ]])</f>
        <v>0</v>
      </c>
      <c r="AD273">
        <f>Tabla1[[#This Row],[PAGO DE DEUDA ANTERIOR EN MESES]]*$T$2</f>
        <v>0</v>
      </c>
      <c r="AG273" s="100">
        <f>IF(Tabla1[[#This Row],[TIPO DE CONSUMIDOR]]="MEDIO",IF(Tabla1[[#This Row],[ENERO ]]&gt;22.5,Tabla1[[#This Row],[ENERO ]]/22.5-1,0),IF(Tabla1[[#This Row],[ENERO ]]&gt;45,Tabla1[[#This Row],[ENERO ]]/45-1,0))</f>
        <v>0</v>
      </c>
      <c r="AH27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3" s="100">
        <f>IF(Tabla1[[#This Row],[TIPO DE CONSUMIDOR]]="MEDIO",IF(Tabla1[[#This Row],[MARZO]]&gt;22.5,Tabla1[[#This Row],[MARZO]]/22.5-1,0),IF(Tabla1[[#This Row],[MARZO]]&gt;45,Tabla1[[#This Row],[MARZO]]/45-1,0))</f>
        <v>0</v>
      </c>
      <c r="AJ273" s="100">
        <f>IF(Tabla1[[#This Row],[TIPO DE CONSUMIDOR]]="MEDIO",IF(Tabla1[[#This Row],[ABRIL]]&gt;22.5,Tabla1[[#This Row],[ABRIL]]/22.5-1,0),IF(Tabla1[[#This Row],[ABRIL]]&gt;45,Tabla1[[#This Row],[ABRIL]]/45-1,0))</f>
        <v>0</v>
      </c>
      <c r="AK273" s="100">
        <f>IF(Tabla1[[#This Row],[TIPO DE CONSUMIDOR]]="MEDIO",IF(Tabla1[[#This Row],[MAYO ]]&gt;22.5,Tabla1[[#This Row],[MAYO ]]/22.5-1,0),IF(Tabla1[[#This Row],[MAYO ]]&gt;45,Tabla1[[#This Row],[MAYO ]]/45-1,0))</f>
        <v>0</v>
      </c>
      <c r="AL273" s="100">
        <f>IF(Tabla1[[#This Row],[TIPO DE CONSUMIDOR]]="MEDIO",IF(Tabla1[[#This Row],[JUNIO ]]&gt;22.5,Tabla1[[#This Row],[JUNIO ]]/22.5-1,0),IF(Tabla1[[#This Row],[JUNIO ]]&gt;45,Tabla1[[#This Row],[JUNIO ]]/45-1,0))</f>
        <v>0</v>
      </c>
      <c r="AM273" s="100">
        <f>IF(Tabla1[[#This Row],[TIPO DE CONSUMIDOR]]="MEDIO",IF(Tabla1[[#This Row],[JULIO ]]&gt;22.5,Tabla1[[#This Row],[JULIO ]]/22.5-1,0),IF(Tabla1[[#This Row],[JULIO ]]&gt;45,Tabla1[[#This Row],[JULIO ]]/45-1,0))</f>
        <v>0</v>
      </c>
      <c r="AN273" s="100">
        <f>IF(Tabla1[[#This Row],[TIPO DE CONSUMIDOR]]="MEDIO",IF(Tabla1[[#This Row],[AGOSTO]]&gt;22.5,Tabla1[[#This Row],[AGOSTO]]/22.5-1,0),IF(Tabla1[[#This Row],[AGOSTO]]&gt;45,Tabla1[[#This Row],[AGOSTO]]/45-1,0))</f>
        <v>0</v>
      </c>
      <c r="AO27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3" s="101">
        <f t="shared" si="9"/>
        <v>0</v>
      </c>
      <c r="AT273">
        <f>IF(Tabla1[[#This Row],[MES ADEUDO DE AÑOS PASADOS ]]&gt;0,1,0)</f>
        <v>0</v>
      </c>
      <c r="AU273" s="9">
        <f t="shared" si="10"/>
        <v>0</v>
      </c>
      <c r="AV273" s="60">
        <f>IF(Tabla1[[#This Row],[MESES DE ADEUDO DEL AÑO EN CURSO ]]&gt;0,1,0)</f>
        <v>0</v>
      </c>
      <c r="AW273" s="42"/>
      <c r="AX273" s="42"/>
      <c r="AY273" s="42"/>
      <c r="AZ273" s="43"/>
    </row>
    <row r="274" spans="1:52" ht="21.75" thickBot="1" x14ac:dyDescent="0.35">
      <c r="A274" s="106">
        <v>268</v>
      </c>
      <c r="B274" s="5" t="s">
        <v>609</v>
      </c>
      <c r="C274" s="2" t="s">
        <v>530</v>
      </c>
      <c r="D274" s="32"/>
      <c r="E274" s="35" t="s">
        <v>455</v>
      </c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24">
        <f>SUM(Tabla1[[#This Row],[ENERO ]:[DICIEMBRE]])</f>
        <v>0</v>
      </c>
      <c r="W274">
        <v>0</v>
      </c>
      <c r="X274" s="21">
        <f>COUNTIF(Tabla1[[#This Row],[ENERO ]:[DICIEMBRE]],0)-(AS274)-IF(Tabla1[[#This Row],[BAJAS]]="BAJA",IF(Tabla1[[#This Row],[ALTAS]]="ALTA",VLOOKUP(Tabla1[[#This Row],[MES DE ALTA ]],$AW$6:$AX$17,2,FALSE),12)-VLOOKUP(Tabla1[[#This Row],[MES DE BAJA ]],$AW$6:$AX$17,2,FALSE),0)</f>
        <v>0</v>
      </c>
      <c r="Y274" s="68">
        <f>SUM(Tabla1[[#This Row],[MES ADEUDO DE AÑOS PASADOS ]:[MESES DE ADEUDO DEL AÑO EN CURSO ]])-Tabla1[[#This Row],[PAGO DE DEUDA ANTERIOR EN MESES]]</f>
        <v>0</v>
      </c>
      <c r="Z274" s="15">
        <f>Tabla1[[#This Row],[MES ADEUDO DE AÑOS PASADOS ]]*$T$2</f>
        <v>0</v>
      </c>
      <c r="AA274" s="15">
        <f>Tabla1[[#This Row],[MESES DE ADEUDO DEL AÑO EN CURSO ]]*$T$2</f>
        <v>0</v>
      </c>
      <c r="AB274" s="69">
        <f>SUM(Tabla1[[#This Row],[DEUDA DE LOS MESES PASADOS EN $$]:[DEUDA DEL AÑO 2013 $$ ]])</f>
        <v>0</v>
      </c>
      <c r="AD274">
        <f>Tabla1[[#This Row],[PAGO DE DEUDA ANTERIOR EN MESES]]*$T$2</f>
        <v>0</v>
      </c>
      <c r="AG274" s="100">
        <f>IF(Tabla1[[#This Row],[TIPO DE CONSUMIDOR]]="MEDIO",IF(Tabla1[[#This Row],[ENERO ]]&gt;22.5,Tabla1[[#This Row],[ENERO ]]/22.5-1,0),IF(Tabla1[[#This Row],[ENERO ]]&gt;45,Tabla1[[#This Row],[ENERO ]]/45-1,0))</f>
        <v>0</v>
      </c>
      <c r="AH27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4" s="100">
        <f>IF(Tabla1[[#This Row],[TIPO DE CONSUMIDOR]]="MEDIO",IF(Tabla1[[#This Row],[MARZO]]&gt;22.5,Tabla1[[#This Row],[MARZO]]/22.5-1,0),IF(Tabla1[[#This Row],[MARZO]]&gt;45,Tabla1[[#This Row],[MARZO]]/45-1,0))</f>
        <v>0</v>
      </c>
      <c r="AJ274" s="100">
        <f>IF(Tabla1[[#This Row],[TIPO DE CONSUMIDOR]]="MEDIO",IF(Tabla1[[#This Row],[ABRIL]]&gt;22.5,Tabla1[[#This Row],[ABRIL]]/22.5-1,0),IF(Tabla1[[#This Row],[ABRIL]]&gt;45,Tabla1[[#This Row],[ABRIL]]/45-1,0))</f>
        <v>0</v>
      </c>
      <c r="AK274" s="100">
        <f>IF(Tabla1[[#This Row],[TIPO DE CONSUMIDOR]]="MEDIO",IF(Tabla1[[#This Row],[MAYO ]]&gt;22.5,Tabla1[[#This Row],[MAYO ]]/22.5-1,0),IF(Tabla1[[#This Row],[MAYO ]]&gt;45,Tabla1[[#This Row],[MAYO ]]/45-1,0))</f>
        <v>0</v>
      </c>
      <c r="AL274" s="100">
        <f>IF(Tabla1[[#This Row],[TIPO DE CONSUMIDOR]]="MEDIO",IF(Tabla1[[#This Row],[JUNIO ]]&gt;22.5,Tabla1[[#This Row],[JUNIO ]]/22.5-1,0),IF(Tabla1[[#This Row],[JUNIO ]]&gt;45,Tabla1[[#This Row],[JUNIO ]]/45-1,0))</f>
        <v>0</v>
      </c>
      <c r="AM274" s="100">
        <f>IF(Tabla1[[#This Row],[TIPO DE CONSUMIDOR]]="MEDIO",IF(Tabla1[[#This Row],[JULIO ]]&gt;22.5,Tabla1[[#This Row],[JULIO ]]/22.5-1,0),IF(Tabla1[[#This Row],[JULIO ]]&gt;45,Tabla1[[#This Row],[JULIO ]]/45-1,0))</f>
        <v>0</v>
      </c>
      <c r="AN274" s="100">
        <f>IF(Tabla1[[#This Row],[TIPO DE CONSUMIDOR]]="MEDIO",IF(Tabla1[[#This Row],[AGOSTO]]&gt;22.5,Tabla1[[#This Row],[AGOSTO]]/22.5-1,0),IF(Tabla1[[#This Row],[AGOSTO]]&gt;45,Tabla1[[#This Row],[AGOSTO]]/45-1,0))</f>
        <v>0</v>
      </c>
      <c r="AO27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4" s="101">
        <f t="shared" si="9"/>
        <v>0</v>
      </c>
      <c r="AT274">
        <f>IF(Tabla1[[#This Row],[MES ADEUDO DE AÑOS PASADOS ]]&gt;0,1,0)</f>
        <v>0</v>
      </c>
      <c r="AU274" s="9">
        <f t="shared" si="10"/>
        <v>0</v>
      </c>
      <c r="AV274" s="60">
        <f>IF(Tabla1[[#This Row],[MESES DE ADEUDO DEL AÑO EN CURSO ]]&gt;0,1,0)</f>
        <v>0</v>
      </c>
      <c r="AW274" s="42"/>
      <c r="AX274" s="42"/>
      <c r="AY274" s="42"/>
      <c r="AZ274" s="43"/>
    </row>
    <row r="275" spans="1:52" ht="21.75" thickBot="1" x14ac:dyDescent="0.35">
      <c r="A275" s="106">
        <v>269</v>
      </c>
      <c r="B275" s="5" t="s">
        <v>283</v>
      </c>
      <c r="C275" s="2" t="s">
        <v>530</v>
      </c>
      <c r="D275" s="32"/>
      <c r="E275" s="35" t="s">
        <v>455</v>
      </c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24">
        <f>SUM(Tabla1[[#This Row],[ENERO ]:[DICIEMBRE]])</f>
        <v>0</v>
      </c>
      <c r="W275">
        <v>0</v>
      </c>
      <c r="X275" s="21">
        <f>COUNTIF(Tabla1[[#This Row],[ENERO ]:[DICIEMBRE]],0)-(AS275)-IF(Tabla1[[#This Row],[BAJAS]]="BAJA",IF(Tabla1[[#This Row],[ALTAS]]="ALTA",VLOOKUP(Tabla1[[#This Row],[MES DE ALTA ]],$AW$6:$AX$17,2,FALSE),12)-VLOOKUP(Tabla1[[#This Row],[MES DE BAJA ]],$AW$6:$AX$17,2,FALSE),0)</f>
        <v>0</v>
      </c>
      <c r="Y275" s="68">
        <f>SUM(Tabla1[[#This Row],[MES ADEUDO DE AÑOS PASADOS ]:[MESES DE ADEUDO DEL AÑO EN CURSO ]])-Tabla1[[#This Row],[PAGO DE DEUDA ANTERIOR EN MESES]]</f>
        <v>0</v>
      </c>
      <c r="Z275" s="15">
        <f>Tabla1[[#This Row],[MES ADEUDO DE AÑOS PASADOS ]]*$T$2</f>
        <v>0</v>
      </c>
      <c r="AA275" s="15">
        <f>Tabla1[[#This Row],[MESES DE ADEUDO DEL AÑO EN CURSO ]]*$T$2</f>
        <v>0</v>
      </c>
      <c r="AB275" s="69">
        <f>SUM(Tabla1[[#This Row],[DEUDA DE LOS MESES PASADOS EN $$]:[DEUDA DEL AÑO 2013 $$ ]])</f>
        <v>0</v>
      </c>
      <c r="AD275">
        <f>Tabla1[[#This Row],[PAGO DE DEUDA ANTERIOR EN MESES]]*$T$2</f>
        <v>0</v>
      </c>
      <c r="AG275" s="100">
        <f>IF(Tabla1[[#This Row],[TIPO DE CONSUMIDOR]]="MEDIO",IF(Tabla1[[#This Row],[ENERO ]]&gt;22.5,Tabla1[[#This Row],[ENERO ]]/22.5-1,0),IF(Tabla1[[#This Row],[ENERO ]]&gt;45,Tabla1[[#This Row],[ENERO ]]/45-1,0))</f>
        <v>0</v>
      </c>
      <c r="AH27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5" s="100">
        <f>IF(Tabla1[[#This Row],[TIPO DE CONSUMIDOR]]="MEDIO",IF(Tabla1[[#This Row],[MARZO]]&gt;22.5,Tabla1[[#This Row],[MARZO]]/22.5-1,0),IF(Tabla1[[#This Row],[MARZO]]&gt;45,Tabla1[[#This Row],[MARZO]]/45-1,0))</f>
        <v>0</v>
      </c>
      <c r="AJ275" s="100">
        <f>IF(Tabla1[[#This Row],[TIPO DE CONSUMIDOR]]="MEDIO",IF(Tabla1[[#This Row],[ABRIL]]&gt;22.5,Tabla1[[#This Row],[ABRIL]]/22.5-1,0),IF(Tabla1[[#This Row],[ABRIL]]&gt;45,Tabla1[[#This Row],[ABRIL]]/45-1,0))</f>
        <v>0</v>
      </c>
      <c r="AK275" s="100">
        <f>IF(Tabla1[[#This Row],[TIPO DE CONSUMIDOR]]="MEDIO",IF(Tabla1[[#This Row],[MAYO ]]&gt;22.5,Tabla1[[#This Row],[MAYO ]]/22.5-1,0),IF(Tabla1[[#This Row],[MAYO ]]&gt;45,Tabla1[[#This Row],[MAYO ]]/45-1,0))</f>
        <v>0</v>
      </c>
      <c r="AL275" s="100">
        <f>IF(Tabla1[[#This Row],[TIPO DE CONSUMIDOR]]="MEDIO",IF(Tabla1[[#This Row],[JUNIO ]]&gt;22.5,Tabla1[[#This Row],[JUNIO ]]/22.5-1,0),IF(Tabla1[[#This Row],[JUNIO ]]&gt;45,Tabla1[[#This Row],[JUNIO ]]/45-1,0))</f>
        <v>0</v>
      </c>
      <c r="AM275" s="100">
        <f>IF(Tabla1[[#This Row],[TIPO DE CONSUMIDOR]]="MEDIO",IF(Tabla1[[#This Row],[JULIO ]]&gt;22.5,Tabla1[[#This Row],[JULIO ]]/22.5-1,0),IF(Tabla1[[#This Row],[JULIO ]]&gt;45,Tabla1[[#This Row],[JULIO ]]/45-1,0))</f>
        <v>0</v>
      </c>
      <c r="AN275" s="100">
        <f>IF(Tabla1[[#This Row],[TIPO DE CONSUMIDOR]]="MEDIO",IF(Tabla1[[#This Row],[AGOSTO]]&gt;22.5,Tabla1[[#This Row],[AGOSTO]]/22.5-1,0),IF(Tabla1[[#This Row],[AGOSTO]]&gt;45,Tabla1[[#This Row],[AGOSTO]]/45-1,0))</f>
        <v>0</v>
      </c>
      <c r="AO27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5" s="101">
        <f t="shared" si="9"/>
        <v>0</v>
      </c>
      <c r="AT275">
        <f>IF(Tabla1[[#This Row],[MES ADEUDO DE AÑOS PASADOS ]]&gt;0,1,0)</f>
        <v>0</v>
      </c>
      <c r="AU275" s="9">
        <f t="shared" si="10"/>
        <v>0</v>
      </c>
      <c r="AV275" s="60">
        <f>IF(Tabla1[[#This Row],[MESES DE ADEUDO DEL AÑO EN CURSO ]]&gt;0,1,0)</f>
        <v>0</v>
      </c>
      <c r="AW275" s="42"/>
      <c r="AX275" s="42"/>
      <c r="AY275" s="42"/>
      <c r="AZ275" s="43"/>
    </row>
    <row r="276" spans="1:52" ht="21.75" thickBot="1" x14ac:dyDescent="0.35">
      <c r="A276" s="106">
        <v>270</v>
      </c>
      <c r="B276" s="5" t="s">
        <v>611</v>
      </c>
      <c r="C276" s="2" t="s">
        <v>530</v>
      </c>
      <c r="D276" s="32"/>
      <c r="E276" s="35" t="s">
        <v>455</v>
      </c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24">
        <f>SUM(Tabla1[[#This Row],[ENERO ]:[DICIEMBRE]])</f>
        <v>0</v>
      </c>
      <c r="W276">
        <v>0</v>
      </c>
      <c r="X276" s="21">
        <f>COUNTIF(Tabla1[[#This Row],[ENERO ]:[DICIEMBRE]],0)-(AS276)-IF(Tabla1[[#This Row],[BAJAS]]="BAJA",IF(Tabla1[[#This Row],[ALTAS]]="ALTA",VLOOKUP(Tabla1[[#This Row],[MES DE ALTA ]],$AW$6:$AX$17,2,FALSE),12)-VLOOKUP(Tabla1[[#This Row],[MES DE BAJA ]],$AW$6:$AX$17,2,FALSE),0)</f>
        <v>0</v>
      </c>
      <c r="Y276" s="68">
        <f>SUM(Tabla1[[#This Row],[MES ADEUDO DE AÑOS PASADOS ]:[MESES DE ADEUDO DEL AÑO EN CURSO ]])-Tabla1[[#This Row],[PAGO DE DEUDA ANTERIOR EN MESES]]</f>
        <v>0</v>
      </c>
      <c r="Z276" s="15">
        <f>Tabla1[[#This Row],[MES ADEUDO DE AÑOS PASADOS ]]*$T$2</f>
        <v>0</v>
      </c>
      <c r="AA276" s="15">
        <f>Tabla1[[#This Row],[MESES DE ADEUDO DEL AÑO EN CURSO ]]*$T$2</f>
        <v>0</v>
      </c>
      <c r="AB276" s="69">
        <f>SUM(Tabla1[[#This Row],[DEUDA DE LOS MESES PASADOS EN $$]:[DEUDA DEL AÑO 2013 $$ ]])</f>
        <v>0</v>
      </c>
      <c r="AD276">
        <f>Tabla1[[#This Row],[PAGO DE DEUDA ANTERIOR EN MESES]]*$T$2</f>
        <v>0</v>
      </c>
      <c r="AG276" s="100">
        <f>IF(Tabla1[[#This Row],[TIPO DE CONSUMIDOR]]="MEDIO",IF(Tabla1[[#This Row],[ENERO ]]&gt;22.5,Tabla1[[#This Row],[ENERO ]]/22.5-1,0),IF(Tabla1[[#This Row],[ENERO ]]&gt;45,Tabla1[[#This Row],[ENERO ]]/45-1,0))</f>
        <v>0</v>
      </c>
      <c r="AH27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6" s="100">
        <f>IF(Tabla1[[#This Row],[TIPO DE CONSUMIDOR]]="MEDIO",IF(Tabla1[[#This Row],[MARZO]]&gt;22.5,Tabla1[[#This Row],[MARZO]]/22.5-1,0),IF(Tabla1[[#This Row],[MARZO]]&gt;45,Tabla1[[#This Row],[MARZO]]/45-1,0))</f>
        <v>0</v>
      </c>
      <c r="AJ276" s="100">
        <f>IF(Tabla1[[#This Row],[TIPO DE CONSUMIDOR]]="MEDIO",IF(Tabla1[[#This Row],[ABRIL]]&gt;22.5,Tabla1[[#This Row],[ABRIL]]/22.5-1,0),IF(Tabla1[[#This Row],[ABRIL]]&gt;45,Tabla1[[#This Row],[ABRIL]]/45-1,0))</f>
        <v>0</v>
      </c>
      <c r="AK276" s="100">
        <f>IF(Tabla1[[#This Row],[TIPO DE CONSUMIDOR]]="MEDIO",IF(Tabla1[[#This Row],[MAYO ]]&gt;22.5,Tabla1[[#This Row],[MAYO ]]/22.5-1,0),IF(Tabla1[[#This Row],[MAYO ]]&gt;45,Tabla1[[#This Row],[MAYO ]]/45-1,0))</f>
        <v>0</v>
      </c>
      <c r="AL276" s="100">
        <f>IF(Tabla1[[#This Row],[TIPO DE CONSUMIDOR]]="MEDIO",IF(Tabla1[[#This Row],[JUNIO ]]&gt;22.5,Tabla1[[#This Row],[JUNIO ]]/22.5-1,0),IF(Tabla1[[#This Row],[JUNIO ]]&gt;45,Tabla1[[#This Row],[JUNIO ]]/45-1,0))</f>
        <v>0</v>
      </c>
      <c r="AM276" s="100">
        <f>IF(Tabla1[[#This Row],[TIPO DE CONSUMIDOR]]="MEDIO",IF(Tabla1[[#This Row],[JULIO ]]&gt;22.5,Tabla1[[#This Row],[JULIO ]]/22.5-1,0),IF(Tabla1[[#This Row],[JULIO ]]&gt;45,Tabla1[[#This Row],[JULIO ]]/45-1,0))</f>
        <v>0</v>
      </c>
      <c r="AN276" s="100">
        <f>IF(Tabla1[[#This Row],[TIPO DE CONSUMIDOR]]="MEDIO",IF(Tabla1[[#This Row],[AGOSTO]]&gt;22.5,Tabla1[[#This Row],[AGOSTO]]/22.5-1,0),IF(Tabla1[[#This Row],[AGOSTO]]&gt;45,Tabla1[[#This Row],[AGOSTO]]/45-1,0))</f>
        <v>0</v>
      </c>
      <c r="AO27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6" s="101">
        <f t="shared" si="9"/>
        <v>0</v>
      </c>
      <c r="AT276">
        <f>IF(Tabla1[[#This Row],[MES ADEUDO DE AÑOS PASADOS ]]&gt;0,1,0)</f>
        <v>0</v>
      </c>
      <c r="AU276" s="9">
        <f t="shared" si="10"/>
        <v>0</v>
      </c>
      <c r="AV276" s="60">
        <f>IF(Tabla1[[#This Row],[MESES DE ADEUDO DEL AÑO EN CURSO ]]&gt;0,1,0)</f>
        <v>0</v>
      </c>
      <c r="AW276" s="42"/>
      <c r="AX276" s="42"/>
      <c r="AY276" s="42"/>
      <c r="AZ276" s="43"/>
    </row>
    <row r="277" spans="1:52" ht="21.75" thickBot="1" x14ac:dyDescent="0.35">
      <c r="A277" s="106">
        <v>271</v>
      </c>
      <c r="B277" s="5" t="s">
        <v>612</v>
      </c>
      <c r="C277" s="2" t="s">
        <v>530</v>
      </c>
      <c r="D277" s="32"/>
      <c r="E277" s="35" t="s">
        <v>489</v>
      </c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24">
        <f>SUM(Tabla1[[#This Row],[ENERO ]:[DICIEMBRE]])</f>
        <v>0</v>
      </c>
      <c r="W277">
        <v>0</v>
      </c>
      <c r="X277" s="21">
        <f>COUNTIF(Tabla1[[#This Row],[ENERO ]:[DICIEMBRE]],0)-(AS277)-IF(Tabla1[[#This Row],[BAJAS]]="BAJA",IF(Tabla1[[#This Row],[ALTAS]]="ALTA",VLOOKUP(Tabla1[[#This Row],[MES DE ALTA ]],$AW$6:$AX$17,2,FALSE),12)-VLOOKUP(Tabla1[[#This Row],[MES DE BAJA ]],$AW$6:$AX$17,2,FALSE),0)</f>
        <v>0</v>
      </c>
      <c r="Y277" s="68">
        <f>SUM(Tabla1[[#This Row],[MES ADEUDO DE AÑOS PASADOS ]:[MESES DE ADEUDO DEL AÑO EN CURSO ]])-Tabla1[[#This Row],[PAGO DE DEUDA ANTERIOR EN MESES]]</f>
        <v>0</v>
      </c>
      <c r="Z277" s="15">
        <f>Tabla1[[#This Row],[MES ADEUDO DE AÑOS PASADOS ]]*$T$2</f>
        <v>0</v>
      </c>
      <c r="AA277" s="15">
        <f>Tabla1[[#This Row],[MESES DE ADEUDO DEL AÑO EN CURSO ]]*$T$2</f>
        <v>0</v>
      </c>
      <c r="AB277" s="69">
        <f>SUM(Tabla1[[#This Row],[DEUDA DE LOS MESES PASADOS EN $$]:[DEUDA DEL AÑO 2013 $$ ]])</f>
        <v>0</v>
      </c>
      <c r="AD277">
        <f>Tabla1[[#This Row],[PAGO DE DEUDA ANTERIOR EN MESES]]*$T$2</f>
        <v>0</v>
      </c>
      <c r="AG277" s="100">
        <f>IF(Tabla1[[#This Row],[TIPO DE CONSUMIDOR]]="MEDIO",IF(Tabla1[[#This Row],[ENERO ]]&gt;22.5,Tabla1[[#This Row],[ENERO ]]/22.5-1,0),IF(Tabla1[[#This Row],[ENERO ]]&gt;45,Tabla1[[#This Row],[ENERO ]]/45-1,0))</f>
        <v>0</v>
      </c>
      <c r="AH27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7" s="100">
        <f>IF(Tabla1[[#This Row],[TIPO DE CONSUMIDOR]]="MEDIO",IF(Tabla1[[#This Row],[MARZO]]&gt;22.5,Tabla1[[#This Row],[MARZO]]/22.5-1,0),IF(Tabla1[[#This Row],[MARZO]]&gt;45,Tabla1[[#This Row],[MARZO]]/45-1,0))</f>
        <v>0</v>
      </c>
      <c r="AJ277" s="100">
        <f>IF(Tabla1[[#This Row],[TIPO DE CONSUMIDOR]]="MEDIO",IF(Tabla1[[#This Row],[ABRIL]]&gt;22.5,Tabla1[[#This Row],[ABRIL]]/22.5-1,0),IF(Tabla1[[#This Row],[ABRIL]]&gt;45,Tabla1[[#This Row],[ABRIL]]/45-1,0))</f>
        <v>0</v>
      </c>
      <c r="AK277" s="100">
        <f>IF(Tabla1[[#This Row],[TIPO DE CONSUMIDOR]]="MEDIO",IF(Tabla1[[#This Row],[MAYO ]]&gt;22.5,Tabla1[[#This Row],[MAYO ]]/22.5-1,0),IF(Tabla1[[#This Row],[MAYO ]]&gt;45,Tabla1[[#This Row],[MAYO ]]/45-1,0))</f>
        <v>0</v>
      </c>
      <c r="AL277" s="100">
        <f>IF(Tabla1[[#This Row],[TIPO DE CONSUMIDOR]]="MEDIO",IF(Tabla1[[#This Row],[JUNIO ]]&gt;22.5,Tabla1[[#This Row],[JUNIO ]]/22.5-1,0),IF(Tabla1[[#This Row],[JUNIO ]]&gt;45,Tabla1[[#This Row],[JUNIO ]]/45-1,0))</f>
        <v>0</v>
      </c>
      <c r="AM277" s="100">
        <f>IF(Tabla1[[#This Row],[TIPO DE CONSUMIDOR]]="MEDIO",IF(Tabla1[[#This Row],[JULIO ]]&gt;22.5,Tabla1[[#This Row],[JULIO ]]/22.5-1,0),IF(Tabla1[[#This Row],[JULIO ]]&gt;45,Tabla1[[#This Row],[JULIO ]]/45-1,0))</f>
        <v>0</v>
      </c>
      <c r="AN277" s="100">
        <f>IF(Tabla1[[#This Row],[TIPO DE CONSUMIDOR]]="MEDIO",IF(Tabla1[[#This Row],[AGOSTO]]&gt;22.5,Tabla1[[#This Row],[AGOSTO]]/22.5-1,0),IF(Tabla1[[#This Row],[AGOSTO]]&gt;45,Tabla1[[#This Row],[AGOSTO]]/45-1,0))</f>
        <v>0</v>
      </c>
      <c r="AO27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7" s="101">
        <f t="shared" si="9"/>
        <v>0</v>
      </c>
      <c r="AT277">
        <f>IF(Tabla1[[#This Row],[MES ADEUDO DE AÑOS PASADOS ]]&gt;0,1,0)</f>
        <v>0</v>
      </c>
      <c r="AU277" s="9">
        <f t="shared" si="10"/>
        <v>0</v>
      </c>
      <c r="AV277" s="60">
        <f>IF(Tabla1[[#This Row],[MESES DE ADEUDO DEL AÑO EN CURSO ]]&gt;0,1,0)</f>
        <v>0</v>
      </c>
      <c r="AW277" s="42"/>
      <c r="AX277" s="42"/>
      <c r="AY277" s="42"/>
      <c r="AZ277" s="43"/>
    </row>
    <row r="278" spans="1:52" ht="21.75" thickBot="1" x14ac:dyDescent="0.35">
      <c r="A278" s="106">
        <v>272</v>
      </c>
      <c r="B278" s="5" t="s">
        <v>299</v>
      </c>
      <c r="C278" s="2" t="s">
        <v>530</v>
      </c>
      <c r="D278" s="32"/>
      <c r="E278" s="35" t="s">
        <v>455</v>
      </c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24">
        <f>SUM(Tabla1[[#This Row],[ENERO ]:[DICIEMBRE]])</f>
        <v>0</v>
      </c>
      <c r="W278">
        <v>0</v>
      </c>
      <c r="X278" s="21">
        <f>COUNTIF(Tabla1[[#This Row],[ENERO ]:[DICIEMBRE]],0)-(AS278)-IF(Tabla1[[#This Row],[BAJAS]]="BAJA",IF(Tabla1[[#This Row],[ALTAS]]="ALTA",VLOOKUP(Tabla1[[#This Row],[MES DE ALTA ]],$AW$6:$AX$17,2,FALSE),12)-VLOOKUP(Tabla1[[#This Row],[MES DE BAJA ]],$AW$6:$AX$17,2,FALSE),0)</f>
        <v>0</v>
      </c>
      <c r="Y278" s="68">
        <f>SUM(Tabla1[[#This Row],[MES ADEUDO DE AÑOS PASADOS ]:[MESES DE ADEUDO DEL AÑO EN CURSO ]])-Tabla1[[#This Row],[PAGO DE DEUDA ANTERIOR EN MESES]]</f>
        <v>0</v>
      </c>
      <c r="Z278" s="15">
        <f>Tabla1[[#This Row],[MES ADEUDO DE AÑOS PASADOS ]]*$T$2</f>
        <v>0</v>
      </c>
      <c r="AA278" s="15">
        <f>Tabla1[[#This Row],[MESES DE ADEUDO DEL AÑO EN CURSO ]]*$T$2</f>
        <v>0</v>
      </c>
      <c r="AB278" s="69">
        <f>SUM(Tabla1[[#This Row],[DEUDA DE LOS MESES PASADOS EN $$]:[DEUDA DEL AÑO 2013 $$ ]])</f>
        <v>0</v>
      </c>
      <c r="AD278">
        <f>Tabla1[[#This Row],[PAGO DE DEUDA ANTERIOR EN MESES]]*$T$2</f>
        <v>0</v>
      </c>
      <c r="AG278" s="100">
        <f>IF(Tabla1[[#This Row],[TIPO DE CONSUMIDOR]]="MEDIO",IF(Tabla1[[#This Row],[ENERO ]]&gt;22.5,Tabla1[[#This Row],[ENERO ]]/22.5-1,0),IF(Tabla1[[#This Row],[ENERO ]]&gt;45,Tabla1[[#This Row],[ENERO ]]/45-1,0))</f>
        <v>0</v>
      </c>
      <c r="AH27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8" s="100">
        <f>IF(Tabla1[[#This Row],[TIPO DE CONSUMIDOR]]="MEDIO",IF(Tabla1[[#This Row],[MARZO]]&gt;22.5,Tabla1[[#This Row],[MARZO]]/22.5-1,0),IF(Tabla1[[#This Row],[MARZO]]&gt;45,Tabla1[[#This Row],[MARZO]]/45-1,0))</f>
        <v>0</v>
      </c>
      <c r="AJ278" s="100">
        <f>IF(Tabla1[[#This Row],[TIPO DE CONSUMIDOR]]="MEDIO",IF(Tabla1[[#This Row],[ABRIL]]&gt;22.5,Tabla1[[#This Row],[ABRIL]]/22.5-1,0),IF(Tabla1[[#This Row],[ABRIL]]&gt;45,Tabla1[[#This Row],[ABRIL]]/45-1,0))</f>
        <v>0</v>
      </c>
      <c r="AK278" s="100">
        <f>IF(Tabla1[[#This Row],[TIPO DE CONSUMIDOR]]="MEDIO",IF(Tabla1[[#This Row],[MAYO ]]&gt;22.5,Tabla1[[#This Row],[MAYO ]]/22.5-1,0),IF(Tabla1[[#This Row],[MAYO ]]&gt;45,Tabla1[[#This Row],[MAYO ]]/45-1,0))</f>
        <v>0</v>
      </c>
      <c r="AL278" s="100">
        <f>IF(Tabla1[[#This Row],[TIPO DE CONSUMIDOR]]="MEDIO",IF(Tabla1[[#This Row],[JUNIO ]]&gt;22.5,Tabla1[[#This Row],[JUNIO ]]/22.5-1,0),IF(Tabla1[[#This Row],[JUNIO ]]&gt;45,Tabla1[[#This Row],[JUNIO ]]/45-1,0))</f>
        <v>0</v>
      </c>
      <c r="AM278" s="100">
        <f>IF(Tabla1[[#This Row],[TIPO DE CONSUMIDOR]]="MEDIO",IF(Tabla1[[#This Row],[JULIO ]]&gt;22.5,Tabla1[[#This Row],[JULIO ]]/22.5-1,0),IF(Tabla1[[#This Row],[JULIO ]]&gt;45,Tabla1[[#This Row],[JULIO ]]/45-1,0))</f>
        <v>0</v>
      </c>
      <c r="AN278" s="100">
        <f>IF(Tabla1[[#This Row],[TIPO DE CONSUMIDOR]]="MEDIO",IF(Tabla1[[#This Row],[AGOSTO]]&gt;22.5,Tabla1[[#This Row],[AGOSTO]]/22.5-1,0),IF(Tabla1[[#This Row],[AGOSTO]]&gt;45,Tabla1[[#This Row],[AGOSTO]]/45-1,0))</f>
        <v>0</v>
      </c>
      <c r="AO27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8" s="101">
        <f t="shared" si="9"/>
        <v>0</v>
      </c>
      <c r="AT278">
        <f>IF(Tabla1[[#This Row],[MES ADEUDO DE AÑOS PASADOS ]]&gt;0,1,0)</f>
        <v>0</v>
      </c>
      <c r="AU278" s="9">
        <f t="shared" si="10"/>
        <v>0</v>
      </c>
      <c r="AV278" s="60">
        <f>IF(Tabla1[[#This Row],[MESES DE ADEUDO DEL AÑO EN CURSO ]]&gt;0,1,0)</f>
        <v>0</v>
      </c>
      <c r="AW278" s="42"/>
      <c r="AX278" s="42"/>
      <c r="AY278" s="42"/>
      <c r="AZ278" s="43"/>
    </row>
    <row r="279" spans="1:52" ht="21.75" thickBot="1" x14ac:dyDescent="0.35">
      <c r="A279" s="106">
        <v>273</v>
      </c>
      <c r="B279" s="5" t="s">
        <v>539</v>
      </c>
      <c r="C279" s="2" t="s">
        <v>530</v>
      </c>
      <c r="D279" s="32"/>
      <c r="E279" s="35" t="s">
        <v>455</v>
      </c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24">
        <f>SUM(Tabla1[[#This Row],[ENERO ]:[DICIEMBRE]])</f>
        <v>0</v>
      </c>
      <c r="W279">
        <v>0</v>
      </c>
      <c r="X279" s="21">
        <f>COUNTIF(Tabla1[[#This Row],[ENERO ]:[DICIEMBRE]],0)-(AS279)-IF(Tabla1[[#This Row],[BAJAS]]="BAJA",IF(Tabla1[[#This Row],[ALTAS]]="ALTA",VLOOKUP(Tabla1[[#This Row],[MES DE ALTA ]],$AW$6:$AX$17,2,FALSE),12)-VLOOKUP(Tabla1[[#This Row],[MES DE BAJA ]],$AW$6:$AX$17,2,FALSE),0)</f>
        <v>0</v>
      </c>
      <c r="Y279" s="68">
        <f>SUM(Tabla1[[#This Row],[MES ADEUDO DE AÑOS PASADOS ]:[MESES DE ADEUDO DEL AÑO EN CURSO ]])-Tabla1[[#This Row],[PAGO DE DEUDA ANTERIOR EN MESES]]</f>
        <v>0</v>
      </c>
      <c r="Z279" s="15">
        <f>Tabla1[[#This Row],[MES ADEUDO DE AÑOS PASADOS ]]*$T$2</f>
        <v>0</v>
      </c>
      <c r="AA279" s="15">
        <f>Tabla1[[#This Row],[MESES DE ADEUDO DEL AÑO EN CURSO ]]*$T$2</f>
        <v>0</v>
      </c>
      <c r="AB279" s="69">
        <f>SUM(Tabla1[[#This Row],[DEUDA DE LOS MESES PASADOS EN $$]:[DEUDA DEL AÑO 2013 $$ ]])</f>
        <v>0</v>
      </c>
      <c r="AD279">
        <f>Tabla1[[#This Row],[PAGO DE DEUDA ANTERIOR EN MESES]]*$T$2</f>
        <v>0</v>
      </c>
      <c r="AG279" s="100">
        <f>IF(Tabla1[[#This Row],[TIPO DE CONSUMIDOR]]="MEDIO",IF(Tabla1[[#This Row],[ENERO ]]&gt;22.5,Tabla1[[#This Row],[ENERO ]]/22.5-1,0),IF(Tabla1[[#This Row],[ENERO ]]&gt;45,Tabla1[[#This Row],[ENERO ]]/45-1,0))</f>
        <v>0</v>
      </c>
      <c r="AH27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79" s="100">
        <f>IF(Tabla1[[#This Row],[TIPO DE CONSUMIDOR]]="MEDIO",IF(Tabla1[[#This Row],[MARZO]]&gt;22.5,Tabla1[[#This Row],[MARZO]]/22.5-1,0),IF(Tabla1[[#This Row],[MARZO]]&gt;45,Tabla1[[#This Row],[MARZO]]/45-1,0))</f>
        <v>0</v>
      </c>
      <c r="AJ279" s="100">
        <f>IF(Tabla1[[#This Row],[TIPO DE CONSUMIDOR]]="MEDIO",IF(Tabla1[[#This Row],[ABRIL]]&gt;22.5,Tabla1[[#This Row],[ABRIL]]/22.5-1,0),IF(Tabla1[[#This Row],[ABRIL]]&gt;45,Tabla1[[#This Row],[ABRIL]]/45-1,0))</f>
        <v>0</v>
      </c>
      <c r="AK279" s="100">
        <f>IF(Tabla1[[#This Row],[TIPO DE CONSUMIDOR]]="MEDIO",IF(Tabla1[[#This Row],[MAYO ]]&gt;22.5,Tabla1[[#This Row],[MAYO ]]/22.5-1,0),IF(Tabla1[[#This Row],[MAYO ]]&gt;45,Tabla1[[#This Row],[MAYO ]]/45-1,0))</f>
        <v>0</v>
      </c>
      <c r="AL279" s="100">
        <f>IF(Tabla1[[#This Row],[TIPO DE CONSUMIDOR]]="MEDIO",IF(Tabla1[[#This Row],[JUNIO ]]&gt;22.5,Tabla1[[#This Row],[JUNIO ]]/22.5-1,0),IF(Tabla1[[#This Row],[JUNIO ]]&gt;45,Tabla1[[#This Row],[JUNIO ]]/45-1,0))</f>
        <v>0</v>
      </c>
      <c r="AM279" s="100">
        <f>IF(Tabla1[[#This Row],[TIPO DE CONSUMIDOR]]="MEDIO",IF(Tabla1[[#This Row],[JULIO ]]&gt;22.5,Tabla1[[#This Row],[JULIO ]]/22.5-1,0),IF(Tabla1[[#This Row],[JULIO ]]&gt;45,Tabla1[[#This Row],[JULIO ]]/45-1,0))</f>
        <v>0</v>
      </c>
      <c r="AN279" s="100">
        <f>IF(Tabla1[[#This Row],[TIPO DE CONSUMIDOR]]="MEDIO",IF(Tabla1[[#This Row],[AGOSTO]]&gt;22.5,Tabla1[[#This Row],[AGOSTO]]/22.5-1,0),IF(Tabla1[[#This Row],[AGOSTO]]&gt;45,Tabla1[[#This Row],[AGOSTO]]/45-1,0))</f>
        <v>0</v>
      </c>
      <c r="AO27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7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7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7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79" s="101">
        <f t="shared" si="9"/>
        <v>0</v>
      </c>
      <c r="AT279">
        <f>IF(Tabla1[[#This Row],[MES ADEUDO DE AÑOS PASADOS ]]&gt;0,1,0)</f>
        <v>0</v>
      </c>
      <c r="AU279" s="9">
        <f t="shared" si="10"/>
        <v>0</v>
      </c>
      <c r="AV279" s="60">
        <f>IF(Tabla1[[#This Row],[MESES DE ADEUDO DEL AÑO EN CURSO ]]&gt;0,1,0)</f>
        <v>0</v>
      </c>
      <c r="AW279" s="42"/>
      <c r="AX279" s="42"/>
      <c r="AY279" s="42"/>
      <c r="AZ279" s="43"/>
    </row>
    <row r="280" spans="1:52" ht="21.75" thickBot="1" x14ac:dyDescent="0.35">
      <c r="A280" s="106">
        <v>274</v>
      </c>
      <c r="B280" s="5" t="s">
        <v>292</v>
      </c>
      <c r="C280" s="2" t="s">
        <v>530</v>
      </c>
      <c r="D280" s="32"/>
      <c r="E280" s="35" t="s">
        <v>455</v>
      </c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24">
        <f>SUM(Tabla1[[#This Row],[ENERO ]:[DICIEMBRE]])</f>
        <v>0</v>
      </c>
      <c r="W280">
        <v>0</v>
      </c>
      <c r="X280" s="21">
        <f>COUNTIF(Tabla1[[#This Row],[ENERO ]:[DICIEMBRE]],0)-(AS280)-IF(Tabla1[[#This Row],[BAJAS]]="BAJA",IF(Tabla1[[#This Row],[ALTAS]]="ALTA",VLOOKUP(Tabla1[[#This Row],[MES DE ALTA ]],$AW$6:$AX$17,2,FALSE),12)-VLOOKUP(Tabla1[[#This Row],[MES DE BAJA ]],$AW$6:$AX$17,2,FALSE),0)</f>
        <v>0</v>
      </c>
      <c r="Y280" s="68">
        <f>SUM(Tabla1[[#This Row],[MES ADEUDO DE AÑOS PASADOS ]:[MESES DE ADEUDO DEL AÑO EN CURSO ]])-Tabla1[[#This Row],[PAGO DE DEUDA ANTERIOR EN MESES]]</f>
        <v>0</v>
      </c>
      <c r="Z280" s="15">
        <f>Tabla1[[#This Row],[MES ADEUDO DE AÑOS PASADOS ]]*$T$2</f>
        <v>0</v>
      </c>
      <c r="AA280" s="15">
        <f>Tabla1[[#This Row],[MESES DE ADEUDO DEL AÑO EN CURSO ]]*$T$2</f>
        <v>0</v>
      </c>
      <c r="AB280" s="69">
        <f>SUM(Tabla1[[#This Row],[DEUDA DE LOS MESES PASADOS EN $$]:[DEUDA DEL AÑO 2013 $$ ]])</f>
        <v>0</v>
      </c>
      <c r="AD280">
        <f>Tabla1[[#This Row],[PAGO DE DEUDA ANTERIOR EN MESES]]*$T$2</f>
        <v>0</v>
      </c>
      <c r="AG280" s="100">
        <f>IF(Tabla1[[#This Row],[TIPO DE CONSUMIDOR]]="MEDIO",IF(Tabla1[[#This Row],[ENERO ]]&gt;22.5,Tabla1[[#This Row],[ENERO ]]/22.5-1,0),IF(Tabla1[[#This Row],[ENERO ]]&gt;45,Tabla1[[#This Row],[ENERO ]]/45-1,0))</f>
        <v>0</v>
      </c>
      <c r="AH28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0" s="100">
        <f>IF(Tabla1[[#This Row],[TIPO DE CONSUMIDOR]]="MEDIO",IF(Tabla1[[#This Row],[MARZO]]&gt;22.5,Tabla1[[#This Row],[MARZO]]/22.5-1,0),IF(Tabla1[[#This Row],[MARZO]]&gt;45,Tabla1[[#This Row],[MARZO]]/45-1,0))</f>
        <v>0</v>
      </c>
      <c r="AJ280" s="100">
        <f>IF(Tabla1[[#This Row],[TIPO DE CONSUMIDOR]]="MEDIO",IF(Tabla1[[#This Row],[ABRIL]]&gt;22.5,Tabla1[[#This Row],[ABRIL]]/22.5-1,0),IF(Tabla1[[#This Row],[ABRIL]]&gt;45,Tabla1[[#This Row],[ABRIL]]/45-1,0))</f>
        <v>0</v>
      </c>
      <c r="AK280" s="100">
        <f>IF(Tabla1[[#This Row],[TIPO DE CONSUMIDOR]]="MEDIO",IF(Tabla1[[#This Row],[MAYO ]]&gt;22.5,Tabla1[[#This Row],[MAYO ]]/22.5-1,0),IF(Tabla1[[#This Row],[MAYO ]]&gt;45,Tabla1[[#This Row],[MAYO ]]/45-1,0))</f>
        <v>0</v>
      </c>
      <c r="AL280" s="100">
        <f>IF(Tabla1[[#This Row],[TIPO DE CONSUMIDOR]]="MEDIO",IF(Tabla1[[#This Row],[JUNIO ]]&gt;22.5,Tabla1[[#This Row],[JUNIO ]]/22.5-1,0),IF(Tabla1[[#This Row],[JUNIO ]]&gt;45,Tabla1[[#This Row],[JUNIO ]]/45-1,0))</f>
        <v>0</v>
      </c>
      <c r="AM280" s="100">
        <f>IF(Tabla1[[#This Row],[TIPO DE CONSUMIDOR]]="MEDIO",IF(Tabla1[[#This Row],[JULIO ]]&gt;22.5,Tabla1[[#This Row],[JULIO ]]/22.5-1,0),IF(Tabla1[[#This Row],[JULIO ]]&gt;45,Tabla1[[#This Row],[JULIO ]]/45-1,0))</f>
        <v>0</v>
      </c>
      <c r="AN280" s="100">
        <f>IF(Tabla1[[#This Row],[TIPO DE CONSUMIDOR]]="MEDIO",IF(Tabla1[[#This Row],[AGOSTO]]&gt;22.5,Tabla1[[#This Row],[AGOSTO]]/22.5-1,0),IF(Tabla1[[#This Row],[AGOSTO]]&gt;45,Tabla1[[#This Row],[AGOSTO]]/45-1,0))</f>
        <v>0</v>
      </c>
      <c r="AO28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0" s="101">
        <f t="shared" si="9"/>
        <v>0</v>
      </c>
      <c r="AT280">
        <f>IF(Tabla1[[#This Row],[MES ADEUDO DE AÑOS PASADOS ]]&gt;0,1,0)</f>
        <v>0</v>
      </c>
      <c r="AU280" s="9">
        <f t="shared" si="10"/>
        <v>0</v>
      </c>
      <c r="AV280" s="60">
        <f>IF(Tabla1[[#This Row],[MESES DE ADEUDO DEL AÑO EN CURSO ]]&gt;0,1,0)</f>
        <v>0</v>
      </c>
      <c r="AW280" s="42"/>
      <c r="AX280" s="42"/>
      <c r="AY280" s="42"/>
      <c r="AZ280" s="43"/>
    </row>
    <row r="281" spans="1:52" ht="21.75" thickBot="1" x14ac:dyDescent="0.35">
      <c r="A281" s="106">
        <v>275</v>
      </c>
      <c r="B281" s="5" t="s">
        <v>289</v>
      </c>
      <c r="C281" s="2" t="s">
        <v>530</v>
      </c>
      <c r="D281" s="32"/>
      <c r="E281" s="35" t="s">
        <v>455</v>
      </c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24">
        <f>SUM(Tabla1[[#This Row],[ENERO ]:[DICIEMBRE]])</f>
        <v>0</v>
      </c>
      <c r="W281">
        <v>0</v>
      </c>
      <c r="X281" s="21">
        <f>COUNTIF(Tabla1[[#This Row],[ENERO ]:[DICIEMBRE]],0)-(AS281)-IF(Tabla1[[#This Row],[BAJAS]]="BAJA",IF(Tabla1[[#This Row],[ALTAS]]="ALTA",VLOOKUP(Tabla1[[#This Row],[MES DE ALTA ]],$AW$6:$AX$17,2,FALSE),12)-VLOOKUP(Tabla1[[#This Row],[MES DE BAJA ]],$AW$6:$AX$17,2,FALSE),0)</f>
        <v>0</v>
      </c>
      <c r="Y281" s="68">
        <f>SUM(Tabla1[[#This Row],[MES ADEUDO DE AÑOS PASADOS ]:[MESES DE ADEUDO DEL AÑO EN CURSO ]])-Tabla1[[#This Row],[PAGO DE DEUDA ANTERIOR EN MESES]]</f>
        <v>0</v>
      </c>
      <c r="Z281" s="15">
        <f>Tabla1[[#This Row],[MES ADEUDO DE AÑOS PASADOS ]]*$T$2</f>
        <v>0</v>
      </c>
      <c r="AA281" s="15">
        <f>Tabla1[[#This Row],[MESES DE ADEUDO DEL AÑO EN CURSO ]]*$T$2</f>
        <v>0</v>
      </c>
      <c r="AB281" s="69">
        <f>SUM(Tabla1[[#This Row],[DEUDA DE LOS MESES PASADOS EN $$]:[DEUDA DEL AÑO 2013 $$ ]])</f>
        <v>0</v>
      </c>
      <c r="AD281">
        <f>Tabla1[[#This Row],[PAGO DE DEUDA ANTERIOR EN MESES]]*$T$2</f>
        <v>0</v>
      </c>
      <c r="AG281" s="100">
        <f>IF(Tabla1[[#This Row],[TIPO DE CONSUMIDOR]]="MEDIO",IF(Tabla1[[#This Row],[ENERO ]]&gt;22.5,Tabla1[[#This Row],[ENERO ]]/22.5-1,0),IF(Tabla1[[#This Row],[ENERO ]]&gt;45,Tabla1[[#This Row],[ENERO ]]/45-1,0))</f>
        <v>0</v>
      </c>
      <c r="AH28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1" s="100">
        <f>IF(Tabla1[[#This Row],[TIPO DE CONSUMIDOR]]="MEDIO",IF(Tabla1[[#This Row],[MARZO]]&gt;22.5,Tabla1[[#This Row],[MARZO]]/22.5-1,0),IF(Tabla1[[#This Row],[MARZO]]&gt;45,Tabla1[[#This Row],[MARZO]]/45-1,0))</f>
        <v>0</v>
      </c>
      <c r="AJ281" s="100">
        <f>IF(Tabla1[[#This Row],[TIPO DE CONSUMIDOR]]="MEDIO",IF(Tabla1[[#This Row],[ABRIL]]&gt;22.5,Tabla1[[#This Row],[ABRIL]]/22.5-1,0),IF(Tabla1[[#This Row],[ABRIL]]&gt;45,Tabla1[[#This Row],[ABRIL]]/45-1,0))</f>
        <v>0</v>
      </c>
      <c r="AK281" s="100">
        <f>IF(Tabla1[[#This Row],[TIPO DE CONSUMIDOR]]="MEDIO",IF(Tabla1[[#This Row],[MAYO ]]&gt;22.5,Tabla1[[#This Row],[MAYO ]]/22.5-1,0),IF(Tabla1[[#This Row],[MAYO ]]&gt;45,Tabla1[[#This Row],[MAYO ]]/45-1,0))</f>
        <v>0</v>
      </c>
      <c r="AL281" s="100">
        <f>IF(Tabla1[[#This Row],[TIPO DE CONSUMIDOR]]="MEDIO",IF(Tabla1[[#This Row],[JUNIO ]]&gt;22.5,Tabla1[[#This Row],[JUNIO ]]/22.5-1,0),IF(Tabla1[[#This Row],[JUNIO ]]&gt;45,Tabla1[[#This Row],[JUNIO ]]/45-1,0))</f>
        <v>0</v>
      </c>
      <c r="AM281" s="100">
        <f>IF(Tabla1[[#This Row],[TIPO DE CONSUMIDOR]]="MEDIO",IF(Tabla1[[#This Row],[JULIO ]]&gt;22.5,Tabla1[[#This Row],[JULIO ]]/22.5-1,0),IF(Tabla1[[#This Row],[JULIO ]]&gt;45,Tabla1[[#This Row],[JULIO ]]/45-1,0))</f>
        <v>0</v>
      </c>
      <c r="AN281" s="100">
        <f>IF(Tabla1[[#This Row],[TIPO DE CONSUMIDOR]]="MEDIO",IF(Tabla1[[#This Row],[AGOSTO]]&gt;22.5,Tabla1[[#This Row],[AGOSTO]]/22.5-1,0),IF(Tabla1[[#This Row],[AGOSTO]]&gt;45,Tabla1[[#This Row],[AGOSTO]]/45-1,0))</f>
        <v>0</v>
      </c>
      <c r="AO28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1" s="101">
        <f t="shared" si="9"/>
        <v>0</v>
      </c>
      <c r="AT281">
        <f>IF(Tabla1[[#This Row],[MES ADEUDO DE AÑOS PASADOS ]]&gt;0,1,0)</f>
        <v>0</v>
      </c>
      <c r="AU281" s="9">
        <f t="shared" si="10"/>
        <v>0</v>
      </c>
      <c r="AV281" s="60">
        <f>IF(Tabla1[[#This Row],[MESES DE ADEUDO DEL AÑO EN CURSO ]]&gt;0,1,0)</f>
        <v>0</v>
      </c>
      <c r="AW281" s="42"/>
      <c r="AX281" s="42"/>
      <c r="AY281" s="42"/>
      <c r="AZ281" s="43"/>
    </row>
    <row r="282" spans="1:52" ht="21.75" thickBot="1" x14ac:dyDescent="0.35">
      <c r="A282" s="106">
        <v>276</v>
      </c>
      <c r="B282" s="5" t="s">
        <v>317</v>
      </c>
      <c r="C282" s="2" t="s">
        <v>530</v>
      </c>
      <c r="D282" s="32"/>
      <c r="E282" s="35" t="s">
        <v>455</v>
      </c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24">
        <f>SUM(Tabla1[[#This Row],[ENERO ]:[DICIEMBRE]])</f>
        <v>0</v>
      </c>
      <c r="W282">
        <v>0</v>
      </c>
      <c r="X282" s="21">
        <f>COUNTIF(Tabla1[[#This Row],[ENERO ]:[DICIEMBRE]],0)-(AS282)-IF(Tabla1[[#This Row],[BAJAS]]="BAJA",IF(Tabla1[[#This Row],[ALTAS]]="ALTA",VLOOKUP(Tabla1[[#This Row],[MES DE ALTA ]],$AW$6:$AX$17,2,FALSE),12)-VLOOKUP(Tabla1[[#This Row],[MES DE BAJA ]],$AW$6:$AX$17,2,FALSE),0)</f>
        <v>0</v>
      </c>
      <c r="Y282" s="68">
        <f>SUM(Tabla1[[#This Row],[MES ADEUDO DE AÑOS PASADOS ]:[MESES DE ADEUDO DEL AÑO EN CURSO ]])-Tabla1[[#This Row],[PAGO DE DEUDA ANTERIOR EN MESES]]</f>
        <v>0</v>
      </c>
      <c r="Z282" s="15">
        <f>Tabla1[[#This Row],[MES ADEUDO DE AÑOS PASADOS ]]*$T$2</f>
        <v>0</v>
      </c>
      <c r="AA282" s="15">
        <f>Tabla1[[#This Row],[MESES DE ADEUDO DEL AÑO EN CURSO ]]*$T$2</f>
        <v>0</v>
      </c>
      <c r="AB282" s="69">
        <f>SUM(Tabla1[[#This Row],[DEUDA DE LOS MESES PASADOS EN $$]:[DEUDA DEL AÑO 2013 $$ ]])</f>
        <v>0</v>
      </c>
      <c r="AD282">
        <f>Tabla1[[#This Row],[PAGO DE DEUDA ANTERIOR EN MESES]]*$T$2</f>
        <v>0</v>
      </c>
      <c r="AG282" s="100">
        <f>IF(Tabla1[[#This Row],[TIPO DE CONSUMIDOR]]="MEDIO",IF(Tabla1[[#This Row],[ENERO ]]&gt;22.5,Tabla1[[#This Row],[ENERO ]]/22.5-1,0),IF(Tabla1[[#This Row],[ENERO ]]&gt;45,Tabla1[[#This Row],[ENERO ]]/45-1,0))</f>
        <v>0</v>
      </c>
      <c r="AH28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2" s="100">
        <f>IF(Tabla1[[#This Row],[TIPO DE CONSUMIDOR]]="MEDIO",IF(Tabla1[[#This Row],[MARZO]]&gt;22.5,Tabla1[[#This Row],[MARZO]]/22.5-1,0),IF(Tabla1[[#This Row],[MARZO]]&gt;45,Tabla1[[#This Row],[MARZO]]/45-1,0))</f>
        <v>0</v>
      </c>
      <c r="AJ282" s="100">
        <f>IF(Tabla1[[#This Row],[TIPO DE CONSUMIDOR]]="MEDIO",IF(Tabla1[[#This Row],[ABRIL]]&gt;22.5,Tabla1[[#This Row],[ABRIL]]/22.5-1,0),IF(Tabla1[[#This Row],[ABRIL]]&gt;45,Tabla1[[#This Row],[ABRIL]]/45-1,0))</f>
        <v>0</v>
      </c>
      <c r="AK282" s="100">
        <f>IF(Tabla1[[#This Row],[TIPO DE CONSUMIDOR]]="MEDIO",IF(Tabla1[[#This Row],[MAYO ]]&gt;22.5,Tabla1[[#This Row],[MAYO ]]/22.5-1,0),IF(Tabla1[[#This Row],[MAYO ]]&gt;45,Tabla1[[#This Row],[MAYO ]]/45-1,0))</f>
        <v>0</v>
      </c>
      <c r="AL282" s="100">
        <f>IF(Tabla1[[#This Row],[TIPO DE CONSUMIDOR]]="MEDIO",IF(Tabla1[[#This Row],[JUNIO ]]&gt;22.5,Tabla1[[#This Row],[JUNIO ]]/22.5-1,0),IF(Tabla1[[#This Row],[JUNIO ]]&gt;45,Tabla1[[#This Row],[JUNIO ]]/45-1,0))</f>
        <v>0</v>
      </c>
      <c r="AM282" s="100">
        <f>IF(Tabla1[[#This Row],[TIPO DE CONSUMIDOR]]="MEDIO",IF(Tabla1[[#This Row],[JULIO ]]&gt;22.5,Tabla1[[#This Row],[JULIO ]]/22.5-1,0),IF(Tabla1[[#This Row],[JULIO ]]&gt;45,Tabla1[[#This Row],[JULIO ]]/45-1,0))</f>
        <v>0</v>
      </c>
      <c r="AN282" s="100">
        <f>IF(Tabla1[[#This Row],[TIPO DE CONSUMIDOR]]="MEDIO",IF(Tabla1[[#This Row],[AGOSTO]]&gt;22.5,Tabla1[[#This Row],[AGOSTO]]/22.5-1,0),IF(Tabla1[[#This Row],[AGOSTO]]&gt;45,Tabla1[[#This Row],[AGOSTO]]/45-1,0))</f>
        <v>0</v>
      </c>
      <c r="AO28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2" s="101">
        <f t="shared" si="9"/>
        <v>0</v>
      </c>
      <c r="AT282">
        <f>IF(Tabla1[[#This Row],[MES ADEUDO DE AÑOS PASADOS ]]&gt;0,1,0)</f>
        <v>0</v>
      </c>
      <c r="AU282" s="9">
        <f t="shared" si="10"/>
        <v>0</v>
      </c>
      <c r="AV282" s="60">
        <f>IF(Tabla1[[#This Row],[MESES DE ADEUDO DEL AÑO EN CURSO ]]&gt;0,1,0)</f>
        <v>0</v>
      </c>
      <c r="AW282" s="42"/>
      <c r="AX282" s="42"/>
      <c r="AY282" s="42"/>
      <c r="AZ282" s="43"/>
    </row>
    <row r="283" spans="1:52" ht="21.75" thickBot="1" x14ac:dyDescent="0.35">
      <c r="A283" s="106">
        <v>277</v>
      </c>
      <c r="B283" s="5" t="s">
        <v>315</v>
      </c>
      <c r="C283" s="2" t="s">
        <v>530</v>
      </c>
      <c r="D283" s="32"/>
      <c r="E283" s="35" t="s">
        <v>455</v>
      </c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58">
        <f>SUM(Tabla1[[#This Row],[ENERO ]:[DICIEMBRE]])</f>
        <v>0</v>
      </c>
      <c r="W283">
        <v>0</v>
      </c>
      <c r="X283" s="21">
        <f>COUNTIF(Tabla1[[#This Row],[ENERO ]:[DICIEMBRE]],0)-(AS283)-IF(Tabla1[[#This Row],[BAJAS]]="BAJA",IF(Tabla1[[#This Row],[ALTAS]]="ALTA",VLOOKUP(Tabla1[[#This Row],[MES DE ALTA ]],$AW$6:$AX$17,2,FALSE),12)-VLOOKUP(Tabla1[[#This Row],[MES DE BAJA ]],$AW$6:$AX$17,2,FALSE),0)</f>
        <v>0</v>
      </c>
      <c r="Y283" s="68">
        <f>SUM(Tabla1[[#This Row],[MES ADEUDO DE AÑOS PASADOS ]:[MESES DE ADEUDO DEL AÑO EN CURSO ]])-Tabla1[[#This Row],[PAGO DE DEUDA ANTERIOR EN MESES]]</f>
        <v>0</v>
      </c>
      <c r="Z283" s="15">
        <f>Tabla1[[#This Row],[MES ADEUDO DE AÑOS PASADOS ]]*$T$2</f>
        <v>0</v>
      </c>
      <c r="AA283" s="15">
        <f>Tabla1[[#This Row],[MESES DE ADEUDO DEL AÑO EN CURSO ]]*$T$2</f>
        <v>0</v>
      </c>
      <c r="AB283" s="69">
        <f>SUM(Tabla1[[#This Row],[DEUDA DE LOS MESES PASADOS EN $$]:[DEUDA DEL AÑO 2013 $$ ]])</f>
        <v>0</v>
      </c>
      <c r="AD283">
        <f>Tabla1[[#This Row],[PAGO DE DEUDA ANTERIOR EN MESES]]*$T$2</f>
        <v>0</v>
      </c>
      <c r="AG283" s="100">
        <f>IF(Tabla1[[#This Row],[TIPO DE CONSUMIDOR]]="MEDIO",IF(Tabla1[[#This Row],[ENERO ]]&gt;22.5,Tabla1[[#This Row],[ENERO ]]/22.5-1,0),IF(Tabla1[[#This Row],[ENERO ]]&gt;45,Tabla1[[#This Row],[ENERO ]]/45-1,0))</f>
        <v>0</v>
      </c>
      <c r="AH28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3" s="100">
        <f>IF(Tabla1[[#This Row],[TIPO DE CONSUMIDOR]]="MEDIO",IF(Tabla1[[#This Row],[MARZO]]&gt;22.5,Tabla1[[#This Row],[MARZO]]/22.5-1,0),IF(Tabla1[[#This Row],[MARZO]]&gt;45,Tabla1[[#This Row],[MARZO]]/45-1,0))</f>
        <v>0</v>
      </c>
      <c r="AJ283" s="100">
        <f>IF(Tabla1[[#This Row],[TIPO DE CONSUMIDOR]]="MEDIO",IF(Tabla1[[#This Row],[ABRIL]]&gt;22.5,Tabla1[[#This Row],[ABRIL]]/22.5-1,0),IF(Tabla1[[#This Row],[ABRIL]]&gt;45,Tabla1[[#This Row],[ABRIL]]/45-1,0))</f>
        <v>0</v>
      </c>
      <c r="AK283" s="100">
        <f>IF(Tabla1[[#This Row],[TIPO DE CONSUMIDOR]]="MEDIO",IF(Tabla1[[#This Row],[MAYO ]]&gt;22.5,Tabla1[[#This Row],[MAYO ]]/22.5-1,0),IF(Tabla1[[#This Row],[MAYO ]]&gt;45,Tabla1[[#This Row],[MAYO ]]/45-1,0))</f>
        <v>0</v>
      </c>
      <c r="AL283" s="100">
        <f>IF(Tabla1[[#This Row],[TIPO DE CONSUMIDOR]]="MEDIO",IF(Tabla1[[#This Row],[JUNIO ]]&gt;22.5,Tabla1[[#This Row],[JUNIO ]]/22.5-1,0),IF(Tabla1[[#This Row],[JUNIO ]]&gt;45,Tabla1[[#This Row],[JUNIO ]]/45-1,0))</f>
        <v>0</v>
      </c>
      <c r="AM283" s="100">
        <f>IF(Tabla1[[#This Row],[TIPO DE CONSUMIDOR]]="MEDIO",IF(Tabla1[[#This Row],[JULIO ]]&gt;22.5,Tabla1[[#This Row],[JULIO ]]/22.5-1,0),IF(Tabla1[[#This Row],[JULIO ]]&gt;45,Tabla1[[#This Row],[JULIO ]]/45-1,0))</f>
        <v>0</v>
      </c>
      <c r="AN283" s="100">
        <f>IF(Tabla1[[#This Row],[TIPO DE CONSUMIDOR]]="MEDIO",IF(Tabla1[[#This Row],[AGOSTO]]&gt;22.5,Tabla1[[#This Row],[AGOSTO]]/22.5-1,0),IF(Tabla1[[#This Row],[AGOSTO]]&gt;45,Tabla1[[#This Row],[AGOSTO]]/45-1,0))</f>
        <v>0</v>
      </c>
      <c r="AO28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3" s="101">
        <f t="shared" si="9"/>
        <v>0</v>
      </c>
      <c r="AT283">
        <f>IF(Tabla1[[#This Row],[MES ADEUDO DE AÑOS PASADOS ]]&gt;0,1,0)</f>
        <v>0</v>
      </c>
      <c r="AU283" s="9">
        <f t="shared" si="10"/>
        <v>0</v>
      </c>
      <c r="AV283" s="60">
        <f>IF(Tabla1[[#This Row],[MESES DE ADEUDO DEL AÑO EN CURSO ]]&gt;0,1,0)</f>
        <v>0</v>
      </c>
      <c r="AW283" s="42"/>
      <c r="AX283" s="42"/>
      <c r="AY283" s="42"/>
      <c r="AZ283" s="43"/>
    </row>
    <row r="284" spans="1:52" ht="21.75" thickBot="1" x14ac:dyDescent="0.35">
      <c r="A284" s="106">
        <v>278</v>
      </c>
      <c r="B284" s="5" t="s">
        <v>300</v>
      </c>
      <c r="C284" s="2" t="s">
        <v>530</v>
      </c>
      <c r="D284" s="32"/>
      <c r="E284" s="35" t="s">
        <v>455</v>
      </c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24">
        <f>SUM(Tabla1[[#This Row],[ENERO ]:[DICIEMBRE]])</f>
        <v>0</v>
      </c>
      <c r="W284">
        <v>0</v>
      </c>
      <c r="X284" s="21">
        <f>COUNTIF(Tabla1[[#This Row],[ENERO ]:[DICIEMBRE]],0)-(AS284)-IF(Tabla1[[#This Row],[BAJAS]]="BAJA",IF(Tabla1[[#This Row],[ALTAS]]="ALTA",VLOOKUP(Tabla1[[#This Row],[MES DE ALTA ]],$AW$6:$AX$17,2,FALSE),12)-VLOOKUP(Tabla1[[#This Row],[MES DE BAJA ]],$AW$6:$AX$17,2,FALSE),0)</f>
        <v>0</v>
      </c>
      <c r="Y284" s="68">
        <f>SUM(Tabla1[[#This Row],[MES ADEUDO DE AÑOS PASADOS ]:[MESES DE ADEUDO DEL AÑO EN CURSO ]])-Tabla1[[#This Row],[PAGO DE DEUDA ANTERIOR EN MESES]]</f>
        <v>0</v>
      </c>
      <c r="Z284" s="15">
        <f>Tabla1[[#This Row],[MES ADEUDO DE AÑOS PASADOS ]]*$T$2</f>
        <v>0</v>
      </c>
      <c r="AA284" s="15">
        <f>Tabla1[[#This Row],[MESES DE ADEUDO DEL AÑO EN CURSO ]]*$T$2</f>
        <v>0</v>
      </c>
      <c r="AB284" s="69">
        <f>SUM(Tabla1[[#This Row],[DEUDA DE LOS MESES PASADOS EN $$]:[DEUDA DEL AÑO 2013 $$ ]])</f>
        <v>0</v>
      </c>
      <c r="AD284">
        <f>Tabla1[[#This Row],[PAGO DE DEUDA ANTERIOR EN MESES]]*$T$2</f>
        <v>0</v>
      </c>
      <c r="AG284" s="100">
        <f>IF(Tabla1[[#This Row],[TIPO DE CONSUMIDOR]]="MEDIO",IF(Tabla1[[#This Row],[ENERO ]]&gt;22.5,Tabla1[[#This Row],[ENERO ]]/22.5-1,0),IF(Tabla1[[#This Row],[ENERO ]]&gt;45,Tabla1[[#This Row],[ENERO ]]/45-1,0))</f>
        <v>0</v>
      </c>
      <c r="AH28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4" s="100">
        <f>IF(Tabla1[[#This Row],[TIPO DE CONSUMIDOR]]="MEDIO",IF(Tabla1[[#This Row],[MARZO]]&gt;22.5,Tabla1[[#This Row],[MARZO]]/22.5-1,0),IF(Tabla1[[#This Row],[MARZO]]&gt;45,Tabla1[[#This Row],[MARZO]]/45-1,0))</f>
        <v>0</v>
      </c>
      <c r="AJ284" s="100">
        <f>IF(Tabla1[[#This Row],[TIPO DE CONSUMIDOR]]="MEDIO",IF(Tabla1[[#This Row],[ABRIL]]&gt;22.5,Tabla1[[#This Row],[ABRIL]]/22.5-1,0),IF(Tabla1[[#This Row],[ABRIL]]&gt;45,Tabla1[[#This Row],[ABRIL]]/45-1,0))</f>
        <v>0</v>
      </c>
      <c r="AK284" s="100">
        <f>IF(Tabla1[[#This Row],[TIPO DE CONSUMIDOR]]="MEDIO",IF(Tabla1[[#This Row],[MAYO ]]&gt;22.5,Tabla1[[#This Row],[MAYO ]]/22.5-1,0),IF(Tabla1[[#This Row],[MAYO ]]&gt;45,Tabla1[[#This Row],[MAYO ]]/45-1,0))</f>
        <v>0</v>
      </c>
      <c r="AL284" s="100">
        <f>IF(Tabla1[[#This Row],[TIPO DE CONSUMIDOR]]="MEDIO",IF(Tabla1[[#This Row],[JUNIO ]]&gt;22.5,Tabla1[[#This Row],[JUNIO ]]/22.5-1,0),IF(Tabla1[[#This Row],[JUNIO ]]&gt;45,Tabla1[[#This Row],[JUNIO ]]/45-1,0))</f>
        <v>0</v>
      </c>
      <c r="AM284" s="100">
        <f>IF(Tabla1[[#This Row],[TIPO DE CONSUMIDOR]]="MEDIO",IF(Tabla1[[#This Row],[JULIO ]]&gt;22.5,Tabla1[[#This Row],[JULIO ]]/22.5-1,0),IF(Tabla1[[#This Row],[JULIO ]]&gt;45,Tabla1[[#This Row],[JULIO ]]/45-1,0))</f>
        <v>0</v>
      </c>
      <c r="AN284" s="100">
        <f>IF(Tabla1[[#This Row],[TIPO DE CONSUMIDOR]]="MEDIO",IF(Tabla1[[#This Row],[AGOSTO]]&gt;22.5,Tabla1[[#This Row],[AGOSTO]]/22.5-1,0),IF(Tabla1[[#This Row],[AGOSTO]]&gt;45,Tabla1[[#This Row],[AGOSTO]]/45-1,0))</f>
        <v>0</v>
      </c>
      <c r="AO28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4" s="101">
        <f t="shared" si="9"/>
        <v>0</v>
      </c>
      <c r="AT284">
        <f>IF(Tabla1[[#This Row],[MES ADEUDO DE AÑOS PASADOS ]]&gt;0,1,0)</f>
        <v>0</v>
      </c>
      <c r="AU284" s="9">
        <f t="shared" si="10"/>
        <v>0</v>
      </c>
      <c r="AV284" s="60">
        <f>IF(Tabla1[[#This Row],[MESES DE ADEUDO DEL AÑO EN CURSO ]]&gt;0,1,0)</f>
        <v>0</v>
      </c>
      <c r="AW284" s="42"/>
      <c r="AX284" s="42"/>
      <c r="AY284" s="42"/>
      <c r="AZ284" s="43"/>
    </row>
    <row r="285" spans="1:52" ht="21.75" thickBot="1" x14ac:dyDescent="0.35">
      <c r="A285" s="106">
        <v>279</v>
      </c>
      <c r="B285" s="5" t="s">
        <v>347</v>
      </c>
      <c r="C285" s="2" t="s">
        <v>530</v>
      </c>
      <c r="D285" s="32"/>
      <c r="E285" s="35" t="s">
        <v>455</v>
      </c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58">
        <f>SUM(Tabla1[[#This Row],[ENERO ]:[DICIEMBRE]])</f>
        <v>0</v>
      </c>
      <c r="W285">
        <v>0</v>
      </c>
      <c r="X285" s="21">
        <f>COUNTIF(Tabla1[[#This Row],[ENERO ]:[DICIEMBRE]],0)-(AS285)-IF(Tabla1[[#This Row],[BAJAS]]="BAJA",IF(Tabla1[[#This Row],[ALTAS]]="ALTA",VLOOKUP(Tabla1[[#This Row],[MES DE ALTA ]],$AW$6:$AX$17,2,FALSE),12)-VLOOKUP(Tabla1[[#This Row],[MES DE BAJA ]],$AW$6:$AX$17,2,FALSE),0)</f>
        <v>0</v>
      </c>
      <c r="Y285" s="68">
        <f>SUM(Tabla1[[#This Row],[MES ADEUDO DE AÑOS PASADOS ]:[MESES DE ADEUDO DEL AÑO EN CURSO ]])-Tabla1[[#This Row],[PAGO DE DEUDA ANTERIOR EN MESES]]</f>
        <v>0</v>
      </c>
      <c r="Z285" s="15">
        <f>Tabla1[[#This Row],[MES ADEUDO DE AÑOS PASADOS ]]*$T$2</f>
        <v>0</v>
      </c>
      <c r="AA285" s="15">
        <f>Tabla1[[#This Row],[MESES DE ADEUDO DEL AÑO EN CURSO ]]*$T$2</f>
        <v>0</v>
      </c>
      <c r="AB285" s="69">
        <f>SUM(Tabla1[[#This Row],[DEUDA DE LOS MESES PASADOS EN $$]:[DEUDA DEL AÑO 2013 $$ ]])</f>
        <v>0</v>
      </c>
      <c r="AD285">
        <f>Tabla1[[#This Row],[PAGO DE DEUDA ANTERIOR EN MESES]]*$T$2</f>
        <v>0</v>
      </c>
      <c r="AG285" s="100">
        <f>IF(Tabla1[[#This Row],[TIPO DE CONSUMIDOR]]="MEDIO",IF(Tabla1[[#This Row],[ENERO ]]&gt;22.5,Tabla1[[#This Row],[ENERO ]]/22.5-1,0),IF(Tabla1[[#This Row],[ENERO ]]&gt;45,Tabla1[[#This Row],[ENERO ]]/45-1,0))</f>
        <v>0</v>
      </c>
      <c r="AH28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5" s="100">
        <f>IF(Tabla1[[#This Row],[TIPO DE CONSUMIDOR]]="MEDIO",IF(Tabla1[[#This Row],[MARZO]]&gt;22.5,Tabla1[[#This Row],[MARZO]]/22.5-1,0),IF(Tabla1[[#This Row],[MARZO]]&gt;45,Tabla1[[#This Row],[MARZO]]/45-1,0))</f>
        <v>0</v>
      </c>
      <c r="AJ285" s="100">
        <f>IF(Tabla1[[#This Row],[TIPO DE CONSUMIDOR]]="MEDIO",IF(Tabla1[[#This Row],[ABRIL]]&gt;22.5,Tabla1[[#This Row],[ABRIL]]/22.5-1,0),IF(Tabla1[[#This Row],[ABRIL]]&gt;45,Tabla1[[#This Row],[ABRIL]]/45-1,0))</f>
        <v>0</v>
      </c>
      <c r="AK285" s="100">
        <f>IF(Tabla1[[#This Row],[TIPO DE CONSUMIDOR]]="MEDIO",IF(Tabla1[[#This Row],[MAYO ]]&gt;22.5,Tabla1[[#This Row],[MAYO ]]/22.5-1,0),IF(Tabla1[[#This Row],[MAYO ]]&gt;45,Tabla1[[#This Row],[MAYO ]]/45-1,0))</f>
        <v>0</v>
      </c>
      <c r="AL285" s="100">
        <f>IF(Tabla1[[#This Row],[TIPO DE CONSUMIDOR]]="MEDIO",IF(Tabla1[[#This Row],[JUNIO ]]&gt;22.5,Tabla1[[#This Row],[JUNIO ]]/22.5-1,0),IF(Tabla1[[#This Row],[JUNIO ]]&gt;45,Tabla1[[#This Row],[JUNIO ]]/45-1,0))</f>
        <v>0</v>
      </c>
      <c r="AM285" s="100">
        <f>IF(Tabla1[[#This Row],[TIPO DE CONSUMIDOR]]="MEDIO",IF(Tabla1[[#This Row],[JULIO ]]&gt;22.5,Tabla1[[#This Row],[JULIO ]]/22.5-1,0),IF(Tabla1[[#This Row],[JULIO ]]&gt;45,Tabla1[[#This Row],[JULIO ]]/45-1,0))</f>
        <v>0</v>
      </c>
      <c r="AN285" s="100">
        <f>IF(Tabla1[[#This Row],[TIPO DE CONSUMIDOR]]="MEDIO",IF(Tabla1[[#This Row],[AGOSTO]]&gt;22.5,Tabla1[[#This Row],[AGOSTO]]/22.5-1,0),IF(Tabla1[[#This Row],[AGOSTO]]&gt;45,Tabla1[[#This Row],[AGOSTO]]/45-1,0))</f>
        <v>0</v>
      </c>
      <c r="AO28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5" s="101">
        <f t="shared" si="9"/>
        <v>0</v>
      </c>
      <c r="AT285">
        <f>IF(Tabla1[[#This Row],[MES ADEUDO DE AÑOS PASADOS ]]&gt;0,1,0)</f>
        <v>0</v>
      </c>
      <c r="AU285" s="9">
        <f t="shared" si="10"/>
        <v>0</v>
      </c>
      <c r="AV285" s="60">
        <f>IF(Tabla1[[#This Row],[MESES DE ADEUDO DEL AÑO EN CURSO ]]&gt;0,1,0)</f>
        <v>0</v>
      </c>
      <c r="AW285" s="42"/>
      <c r="AX285" s="42"/>
      <c r="AY285" s="42"/>
      <c r="AZ285" s="43"/>
    </row>
    <row r="286" spans="1:52" ht="21.75" thickBot="1" x14ac:dyDescent="0.35">
      <c r="A286" s="106">
        <v>280</v>
      </c>
      <c r="B286" s="5" t="s">
        <v>356</v>
      </c>
      <c r="C286" s="2" t="s">
        <v>530</v>
      </c>
      <c r="D286" s="32"/>
      <c r="E286" s="35" t="s">
        <v>455</v>
      </c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24">
        <f>SUM(Tabla1[[#This Row],[ENERO ]:[DICIEMBRE]])</f>
        <v>0</v>
      </c>
      <c r="W286">
        <v>0</v>
      </c>
      <c r="X286" s="21">
        <f>COUNTIF(Tabla1[[#This Row],[ENERO ]:[DICIEMBRE]],0)-(AS286)-IF(Tabla1[[#This Row],[BAJAS]]="BAJA",IF(Tabla1[[#This Row],[ALTAS]]="ALTA",VLOOKUP(Tabla1[[#This Row],[MES DE ALTA ]],$AW$6:$AX$17,2,FALSE),12)-VLOOKUP(Tabla1[[#This Row],[MES DE BAJA ]],$AW$6:$AX$17,2,FALSE),0)</f>
        <v>0</v>
      </c>
      <c r="Y286" s="68">
        <f>SUM(Tabla1[[#This Row],[MES ADEUDO DE AÑOS PASADOS ]:[MESES DE ADEUDO DEL AÑO EN CURSO ]])-Tabla1[[#This Row],[PAGO DE DEUDA ANTERIOR EN MESES]]</f>
        <v>0</v>
      </c>
      <c r="Z286" s="15">
        <f>Tabla1[[#This Row],[MES ADEUDO DE AÑOS PASADOS ]]*$T$2</f>
        <v>0</v>
      </c>
      <c r="AA286" s="15">
        <f>Tabla1[[#This Row],[MESES DE ADEUDO DEL AÑO EN CURSO ]]*$T$2</f>
        <v>0</v>
      </c>
      <c r="AB286" s="69">
        <f>SUM(Tabla1[[#This Row],[DEUDA DE LOS MESES PASADOS EN $$]:[DEUDA DEL AÑO 2013 $$ ]])</f>
        <v>0</v>
      </c>
      <c r="AD286">
        <f>Tabla1[[#This Row],[PAGO DE DEUDA ANTERIOR EN MESES]]*$T$2</f>
        <v>0</v>
      </c>
      <c r="AG286" s="100">
        <f>IF(Tabla1[[#This Row],[TIPO DE CONSUMIDOR]]="MEDIO",IF(Tabla1[[#This Row],[ENERO ]]&gt;22.5,Tabla1[[#This Row],[ENERO ]]/22.5-1,0),IF(Tabla1[[#This Row],[ENERO ]]&gt;45,Tabla1[[#This Row],[ENERO ]]/45-1,0))</f>
        <v>0</v>
      </c>
      <c r="AH28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6" s="100">
        <f>IF(Tabla1[[#This Row],[TIPO DE CONSUMIDOR]]="MEDIO",IF(Tabla1[[#This Row],[MARZO]]&gt;22.5,Tabla1[[#This Row],[MARZO]]/22.5-1,0),IF(Tabla1[[#This Row],[MARZO]]&gt;45,Tabla1[[#This Row],[MARZO]]/45-1,0))</f>
        <v>0</v>
      </c>
      <c r="AJ286" s="100">
        <f>IF(Tabla1[[#This Row],[TIPO DE CONSUMIDOR]]="MEDIO",IF(Tabla1[[#This Row],[ABRIL]]&gt;22.5,Tabla1[[#This Row],[ABRIL]]/22.5-1,0),IF(Tabla1[[#This Row],[ABRIL]]&gt;45,Tabla1[[#This Row],[ABRIL]]/45-1,0))</f>
        <v>0</v>
      </c>
      <c r="AK286" s="100">
        <f>IF(Tabla1[[#This Row],[TIPO DE CONSUMIDOR]]="MEDIO",IF(Tabla1[[#This Row],[MAYO ]]&gt;22.5,Tabla1[[#This Row],[MAYO ]]/22.5-1,0),IF(Tabla1[[#This Row],[MAYO ]]&gt;45,Tabla1[[#This Row],[MAYO ]]/45-1,0))</f>
        <v>0</v>
      </c>
      <c r="AL286" s="100">
        <f>IF(Tabla1[[#This Row],[TIPO DE CONSUMIDOR]]="MEDIO",IF(Tabla1[[#This Row],[JUNIO ]]&gt;22.5,Tabla1[[#This Row],[JUNIO ]]/22.5-1,0),IF(Tabla1[[#This Row],[JUNIO ]]&gt;45,Tabla1[[#This Row],[JUNIO ]]/45-1,0))</f>
        <v>0</v>
      </c>
      <c r="AM286" s="100">
        <f>IF(Tabla1[[#This Row],[TIPO DE CONSUMIDOR]]="MEDIO",IF(Tabla1[[#This Row],[JULIO ]]&gt;22.5,Tabla1[[#This Row],[JULIO ]]/22.5-1,0),IF(Tabla1[[#This Row],[JULIO ]]&gt;45,Tabla1[[#This Row],[JULIO ]]/45-1,0))</f>
        <v>0</v>
      </c>
      <c r="AN286" s="100">
        <f>IF(Tabla1[[#This Row],[TIPO DE CONSUMIDOR]]="MEDIO",IF(Tabla1[[#This Row],[AGOSTO]]&gt;22.5,Tabla1[[#This Row],[AGOSTO]]/22.5-1,0),IF(Tabla1[[#This Row],[AGOSTO]]&gt;45,Tabla1[[#This Row],[AGOSTO]]/45-1,0))</f>
        <v>0</v>
      </c>
      <c r="AO28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6" s="101">
        <f t="shared" si="9"/>
        <v>0</v>
      </c>
      <c r="AT286">
        <f>IF(Tabla1[[#This Row],[MES ADEUDO DE AÑOS PASADOS ]]&gt;0,1,0)</f>
        <v>0</v>
      </c>
      <c r="AU286" s="9">
        <f t="shared" si="10"/>
        <v>0</v>
      </c>
      <c r="AV286" s="60">
        <f>IF(Tabla1[[#This Row],[MESES DE ADEUDO DEL AÑO EN CURSO ]]&gt;0,1,0)</f>
        <v>0</v>
      </c>
      <c r="AW286" s="42"/>
      <c r="AX286" s="42"/>
      <c r="AY286" s="42"/>
      <c r="AZ286" s="43"/>
    </row>
    <row r="287" spans="1:52" ht="21.75" thickBot="1" x14ac:dyDescent="0.35">
      <c r="A287" s="106">
        <v>281</v>
      </c>
      <c r="B287" s="5" t="s">
        <v>371</v>
      </c>
      <c r="C287" s="2" t="s">
        <v>530</v>
      </c>
      <c r="D287" s="32"/>
      <c r="E287" s="35" t="s">
        <v>455</v>
      </c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24">
        <f>SUM(Tabla1[[#This Row],[ENERO ]:[DICIEMBRE]])</f>
        <v>0</v>
      </c>
      <c r="W287">
        <v>0</v>
      </c>
      <c r="X287" s="21">
        <f>COUNTIF(Tabla1[[#This Row],[ENERO ]:[DICIEMBRE]],0)-(AS287)-IF(Tabla1[[#This Row],[BAJAS]]="BAJA",IF(Tabla1[[#This Row],[ALTAS]]="ALTA",VLOOKUP(Tabla1[[#This Row],[MES DE ALTA ]],$AW$6:$AX$17,2,FALSE),12)-VLOOKUP(Tabla1[[#This Row],[MES DE BAJA ]],$AW$6:$AX$17,2,FALSE),0)</f>
        <v>0</v>
      </c>
      <c r="Y287" s="68">
        <f>SUM(Tabla1[[#This Row],[MES ADEUDO DE AÑOS PASADOS ]:[MESES DE ADEUDO DEL AÑO EN CURSO ]])-Tabla1[[#This Row],[PAGO DE DEUDA ANTERIOR EN MESES]]</f>
        <v>0</v>
      </c>
      <c r="Z287" s="15">
        <f>Tabla1[[#This Row],[MES ADEUDO DE AÑOS PASADOS ]]*$T$2</f>
        <v>0</v>
      </c>
      <c r="AA287" s="15">
        <f>Tabla1[[#This Row],[MESES DE ADEUDO DEL AÑO EN CURSO ]]*$T$2</f>
        <v>0</v>
      </c>
      <c r="AB287" s="69">
        <f>SUM(Tabla1[[#This Row],[DEUDA DE LOS MESES PASADOS EN $$]:[DEUDA DEL AÑO 2013 $$ ]])</f>
        <v>0</v>
      </c>
      <c r="AD287">
        <f>Tabla1[[#This Row],[PAGO DE DEUDA ANTERIOR EN MESES]]*$T$2</f>
        <v>0</v>
      </c>
      <c r="AG287" s="100">
        <f>IF(Tabla1[[#This Row],[TIPO DE CONSUMIDOR]]="MEDIO",IF(Tabla1[[#This Row],[ENERO ]]&gt;22.5,Tabla1[[#This Row],[ENERO ]]/22.5-1,0),IF(Tabla1[[#This Row],[ENERO ]]&gt;45,Tabla1[[#This Row],[ENERO ]]/45-1,0))</f>
        <v>0</v>
      </c>
      <c r="AH28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7" s="100">
        <f>IF(Tabla1[[#This Row],[TIPO DE CONSUMIDOR]]="MEDIO",IF(Tabla1[[#This Row],[MARZO]]&gt;22.5,Tabla1[[#This Row],[MARZO]]/22.5-1,0),IF(Tabla1[[#This Row],[MARZO]]&gt;45,Tabla1[[#This Row],[MARZO]]/45-1,0))</f>
        <v>0</v>
      </c>
      <c r="AJ287" s="100">
        <f>IF(Tabla1[[#This Row],[TIPO DE CONSUMIDOR]]="MEDIO",IF(Tabla1[[#This Row],[ABRIL]]&gt;22.5,Tabla1[[#This Row],[ABRIL]]/22.5-1,0),IF(Tabla1[[#This Row],[ABRIL]]&gt;45,Tabla1[[#This Row],[ABRIL]]/45-1,0))</f>
        <v>0</v>
      </c>
      <c r="AK287" s="100">
        <f>IF(Tabla1[[#This Row],[TIPO DE CONSUMIDOR]]="MEDIO",IF(Tabla1[[#This Row],[MAYO ]]&gt;22.5,Tabla1[[#This Row],[MAYO ]]/22.5-1,0),IF(Tabla1[[#This Row],[MAYO ]]&gt;45,Tabla1[[#This Row],[MAYO ]]/45-1,0))</f>
        <v>0</v>
      </c>
      <c r="AL287" s="100">
        <f>IF(Tabla1[[#This Row],[TIPO DE CONSUMIDOR]]="MEDIO",IF(Tabla1[[#This Row],[JUNIO ]]&gt;22.5,Tabla1[[#This Row],[JUNIO ]]/22.5-1,0),IF(Tabla1[[#This Row],[JUNIO ]]&gt;45,Tabla1[[#This Row],[JUNIO ]]/45-1,0))</f>
        <v>0</v>
      </c>
      <c r="AM287" s="100">
        <f>IF(Tabla1[[#This Row],[TIPO DE CONSUMIDOR]]="MEDIO",IF(Tabla1[[#This Row],[JULIO ]]&gt;22.5,Tabla1[[#This Row],[JULIO ]]/22.5-1,0),IF(Tabla1[[#This Row],[JULIO ]]&gt;45,Tabla1[[#This Row],[JULIO ]]/45-1,0))</f>
        <v>0</v>
      </c>
      <c r="AN287" s="100">
        <f>IF(Tabla1[[#This Row],[TIPO DE CONSUMIDOR]]="MEDIO",IF(Tabla1[[#This Row],[AGOSTO]]&gt;22.5,Tabla1[[#This Row],[AGOSTO]]/22.5-1,0),IF(Tabla1[[#This Row],[AGOSTO]]&gt;45,Tabla1[[#This Row],[AGOSTO]]/45-1,0))</f>
        <v>0</v>
      </c>
      <c r="AO28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7" s="101">
        <f t="shared" si="9"/>
        <v>0</v>
      </c>
      <c r="AT287">
        <f>IF(Tabla1[[#This Row],[MES ADEUDO DE AÑOS PASADOS ]]&gt;0,1,0)</f>
        <v>0</v>
      </c>
      <c r="AU287" s="9">
        <f t="shared" si="10"/>
        <v>0</v>
      </c>
      <c r="AV287" s="60">
        <f>IF(Tabla1[[#This Row],[MESES DE ADEUDO DEL AÑO EN CURSO ]]&gt;0,1,0)</f>
        <v>0</v>
      </c>
      <c r="AW287" s="42"/>
      <c r="AX287" s="42"/>
      <c r="AY287" s="42"/>
      <c r="AZ287" s="43"/>
    </row>
    <row r="288" spans="1:52" ht="21.75" thickBot="1" x14ac:dyDescent="0.35">
      <c r="A288" s="106">
        <v>282</v>
      </c>
      <c r="B288" s="5" t="s">
        <v>542</v>
      </c>
      <c r="C288" s="2" t="s">
        <v>530</v>
      </c>
      <c r="D288" s="32"/>
      <c r="E288" s="35" t="s">
        <v>455</v>
      </c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24">
        <f>SUM(Tabla1[[#This Row],[ENERO ]:[DICIEMBRE]])</f>
        <v>0</v>
      </c>
      <c r="W288">
        <v>0</v>
      </c>
      <c r="X288" s="21">
        <f>COUNTIF(Tabla1[[#This Row],[ENERO ]:[DICIEMBRE]],0)-(AS288)-IF(Tabla1[[#This Row],[BAJAS]]="BAJA",IF(Tabla1[[#This Row],[ALTAS]]="ALTA",VLOOKUP(Tabla1[[#This Row],[MES DE ALTA ]],$AW$6:$AX$17,2,FALSE),12)-VLOOKUP(Tabla1[[#This Row],[MES DE BAJA ]],$AW$6:$AX$17,2,FALSE),0)</f>
        <v>0</v>
      </c>
      <c r="Y288" s="68">
        <f>SUM(Tabla1[[#This Row],[MES ADEUDO DE AÑOS PASADOS ]:[MESES DE ADEUDO DEL AÑO EN CURSO ]])-Tabla1[[#This Row],[PAGO DE DEUDA ANTERIOR EN MESES]]</f>
        <v>0</v>
      </c>
      <c r="Z288" s="15">
        <f>Tabla1[[#This Row],[MES ADEUDO DE AÑOS PASADOS ]]*$T$2</f>
        <v>0</v>
      </c>
      <c r="AA288" s="15">
        <f>Tabla1[[#This Row],[MESES DE ADEUDO DEL AÑO EN CURSO ]]*$T$2</f>
        <v>0</v>
      </c>
      <c r="AB288" s="69">
        <f>SUM(Tabla1[[#This Row],[DEUDA DE LOS MESES PASADOS EN $$]:[DEUDA DEL AÑO 2013 $$ ]])</f>
        <v>0</v>
      </c>
      <c r="AD288">
        <f>Tabla1[[#This Row],[PAGO DE DEUDA ANTERIOR EN MESES]]*$T$2</f>
        <v>0</v>
      </c>
      <c r="AG288" s="100">
        <f>IF(Tabla1[[#This Row],[TIPO DE CONSUMIDOR]]="MEDIO",IF(Tabla1[[#This Row],[ENERO ]]&gt;22.5,Tabla1[[#This Row],[ENERO ]]/22.5-1,0),IF(Tabla1[[#This Row],[ENERO ]]&gt;45,Tabla1[[#This Row],[ENERO ]]/45-1,0))</f>
        <v>0</v>
      </c>
      <c r="AH28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8" s="100">
        <f>IF(Tabla1[[#This Row],[TIPO DE CONSUMIDOR]]="MEDIO",IF(Tabla1[[#This Row],[MARZO]]&gt;22.5,Tabla1[[#This Row],[MARZO]]/22.5-1,0),IF(Tabla1[[#This Row],[MARZO]]&gt;45,Tabla1[[#This Row],[MARZO]]/45-1,0))</f>
        <v>0</v>
      </c>
      <c r="AJ288" s="100">
        <f>IF(Tabla1[[#This Row],[TIPO DE CONSUMIDOR]]="MEDIO",IF(Tabla1[[#This Row],[ABRIL]]&gt;22.5,Tabla1[[#This Row],[ABRIL]]/22.5-1,0),IF(Tabla1[[#This Row],[ABRIL]]&gt;45,Tabla1[[#This Row],[ABRIL]]/45-1,0))</f>
        <v>0</v>
      </c>
      <c r="AK288" s="100">
        <f>IF(Tabla1[[#This Row],[TIPO DE CONSUMIDOR]]="MEDIO",IF(Tabla1[[#This Row],[MAYO ]]&gt;22.5,Tabla1[[#This Row],[MAYO ]]/22.5-1,0),IF(Tabla1[[#This Row],[MAYO ]]&gt;45,Tabla1[[#This Row],[MAYO ]]/45-1,0))</f>
        <v>0</v>
      </c>
      <c r="AL288" s="100">
        <f>IF(Tabla1[[#This Row],[TIPO DE CONSUMIDOR]]="MEDIO",IF(Tabla1[[#This Row],[JUNIO ]]&gt;22.5,Tabla1[[#This Row],[JUNIO ]]/22.5-1,0),IF(Tabla1[[#This Row],[JUNIO ]]&gt;45,Tabla1[[#This Row],[JUNIO ]]/45-1,0))</f>
        <v>0</v>
      </c>
      <c r="AM288" s="100">
        <f>IF(Tabla1[[#This Row],[TIPO DE CONSUMIDOR]]="MEDIO",IF(Tabla1[[#This Row],[JULIO ]]&gt;22.5,Tabla1[[#This Row],[JULIO ]]/22.5-1,0),IF(Tabla1[[#This Row],[JULIO ]]&gt;45,Tabla1[[#This Row],[JULIO ]]/45-1,0))</f>
        <v>0</v>
      </c>
      <c r="AN288" s="100">
        <f>IF(Tabla1[[#This Row],[TIPO DE CONSUMIDOR]]="MEDIO",IF(Tabla1[[#This Row],[AGOSTO]]&gt;22.5,Tabla1[[#This Row],[AGOSTO]]/22.5-1,0),IF(Tabla1[[#This Row],[AGOSTO]]&gt;45,Tabla1[[#This Row],[AGOSTO]]/45-1,0))</f>
        <v>0</v>
      </c>
      <c r="AO28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8" s="101">
        <f t="shared" si="9"/>
        <v>0</v>
      </c>
      <c r="AT288">
        <f>IF(Tabla1[[#This Row],[MES ADEUDO DE AÑOS PASADOS ]]&gt;0,1,0)</f>
        <v>0</v>
      </c>
      <c r="AU288" s="9">
        <f t="shared" si="10"/>
        <v>0</v>
      </c>
      <c r="AV288" s="60">
        <f>IF(Tabla1[[#This Row],[MESES DE ADEUDO DEL AÑO EN CURSO ]]&gt;0,1,0)</f>
        <v>0</v>
      </c>
      <c r="AW288" s="42"/>
      <c r="AX288" s="42"/>
      <c r="AY288" s="42"/>
      <c r="AZ288" s="43"/>
    </row>
    <row r="289" spans="1:52" ht="21.75" thickBot="1" x14ac:dyDescent="0.35">
      <c r="A289" s="106">
        <v>283</v>
      </c>
      <c r="B289" s="5" t="s">
        <v>372</v>
      </c>
      <c r="C289" s="2" t="s">
        <v>530</v>
      </c>
      <c r="D289" s="32"/>
      <c r="E289" s="35" t="s">
        <v>455</v>
      </c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24">
        <f>SUM(Tabla1[[#This Row],[ENERO ]:[DICIEMBRE]])</f>
        <v>0</v>
      </c>
      <c r="W289">
        <v>0</v>
      </c>
      <c r="X289" s="21">
        <f>COUNTIF(Tabla1[[#This Row],[ENERO ]:[DICIEMBRE]],0)-(AS289)-IF(Tabla1[[#This Row],[BAJAS]]="BAJA",IF(Tabla1[[#This Row],[ALTAS]]="ALTA",VLOOKUP(Tabla1[[#This Row],[MES DE ALTA ]],$AW$6:$AX$17,2,FALSE),12)-VLOOKUP(Tabla1[[#This Row],[MES DE BAJA ]],$AW$6:$AX$17,2,FALSE),0)</f>
        <v>0</v>
      </c>
      <c r="Y289" s="68">
        <f>SUM(Tabla1[[#This Row],[MES ADEUDO DE AÑOS PASADOS ]:[MESES DE ADEUDO DEL AÑO EN CURSO ]])-Tabla1[[#This Row],[PAGO DE DEUDA ANTERIOR EN MESES]]</f>
        <v>0</v>
      </c>
      <c r="Z289" s="15">
        <f>Tabla1[[#This Row],[MES ADEUDO DE AÑOS PASADOS ]]*$T$2</f>
        <v>0</v>
      </c>
      <c r="AA289" s="15">
        <f>Tabla1[[#This Row],[MESES DE ADEUDO DEL AÑO EN CURSO ]]*$T$2</f>
        <v>0</v>
      </c>
      <c r="AB289" s="69">
        <f>SUM(Tabla1[[#This Row],[DEUDA DE LOS MESES PASADOS EN $$]:[DEUDA DEL AÑO 2013 $$ ]])</f>
        <v>0</v>
      </c>
      <c r="AD289">
        <f>Tabla1[[#This Row],[PAGO DE DEUDA ANTERIOR EN MESES]]*$T$2</f>
        <v>0</v>
      </c>
      <c r="AG289" s="100">
        <f>IF(Tabla1[[#This Row],[TIPO DE CONSUMIDOR]]="MEDIO",IF(Tabla1[[#This Row],[ENERO ]]&gt;22.5,Tabla1[[#This Row],[ENERO ]]/22.5-1,0),IF(Tabla1[[#This Row],[ENERO ]]&gt;45,Tabla1[[#This Row],[ENERO ]]/45-1,0))</f>
        <v>0</v>
      </c>
      <c r="AH28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89" s="100">
        <f>IF(Tabla1[[#This Row],[TIPO DE CONSUMIDOR]]="MEDIO",IF(Tabla1[[#This Row],[MARZO]]&gt;22.5,Tabla1[[#This Row],[MARZO]]/22.5-1,0),IF(Tabla1[[#This Row],[MARZO]]&gt;45,Tabla1[[#This Row],[MARZO]]/45-1,0))</f>
        <v>0</v>
      </c>
      <c r="AJ289" s="100">
        <f>IF(Tabla1[[#This Row],[TIPO DE CONSUMIDOR]]="MEDIO",IF(Tabla1[[#This Row],[ABRIL]]&gt;22.5,Tabla1[[#This Row],[ABRIL]]/22.5-1,0),IF(Tabla1[[#This Row],[ABRIL]]&gt;45,Tabla1[[#This Row],[ABRIL]]/45-1,0))</f>
        <v>0</v>
      </c>
      <c r="AK289" s="100">
        <f>IF(Tabla1[[#This Row],[TIPO DE CONSUMIDOR]]="MEDIO",IF(Tabla1[[#This Row],[MAYO ]]&gt;22.5,Tabla1[[#This Row],[MAYO ]]/22.5-1,0),IF(Tabla1[[#This Row],[MAYO ]]&gt;45,Tabla1[[#This Row],[MAYO ]]/45-1,0))</f>
        <v>0</v>
      </c>
      <c r="AL289" s="100">
        <f>IF(Tabla1[[#This Row],[TIPO DE CONSUMIDOR]]="MEDIO",IF(Tabla1[[#This Row],[JUNIO ]]&gt;22.5,Tabla1[[#This Row],[JUNIO ]]/22.5-1,0),IF(Tabla1[[#This Row],[JUNIO ]]&gt;45,Tabla1[[#This Row],[JUNIO ]]/45-1,0))</f>
        <v>0</v>
      </c>
      <c r="AM289" s="100">
        <f>IF(Tabla1[[#This Row],[TIPO DE CONSUMIDOR]]="MEDIO",IF(Tabla1[[#This Row],[JULIO ]]&gt;22.5,Tabla1[[#This Row],[JULIO ]]/22.5-1,0),IF(Tabla1[[#This Row],[JULIO ]]&gt;45,Tabla1[[#This Row],[JULIO ]]/45-1,0))</f>
        <v>0</v>
      </c>
      <c r="AN289" s="100">
        <f>IF(Tabla1[[#This Row],[TIPO DE CONSUMIDOR]]="MEDIO",IF(Tabla1[[#This Row],[AGOSTO]]&gt;22.5,Tabla1[[#This Row],[AGOSTO]]/22.5-1,0),IF(Tabla1[[#This Row],[AGOSTO]]&gt;45,Tabla1[[#This Row],[AGOSTO]]/45-1,0))</f>
        <v>0</v>
      </c>
      <c r="AO28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8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8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8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89" s="101">
        <f t="shared" si="9"/>
        <v>0</v>
      </c>
      <c r="AT289">
        <f>IF(Tabla1[[#This Row],[MES ADEUDO DE AÑOS PASADOS ]]&gt;0,1,0)</f>
        <v>0</v>
      </c>
      <c r="AU289" s="9">
        <f t="shared" si="10"/>
        <v>0</v>
      </c>
      <c r="AV289" s="60">
        <f>IF(Tabla1[[#This Row],[MESES DE ADEUDO DEL AÑO EN CURSO ]]&gt;0,1,0)</f>
        <v>0</v>
      </c>
      <c r="AW289" s="42"/>
      <c r="AX289" s="42"/>
      <c r="AY289" s="42"/>
      <c r="AZ289" s="43"/>
    </row>
    <row r="290" spans="1:52" ht="21.75" thickBot="1" x14ac:dyDescent="0.35">
      <c r="A290" s="106">
        <v>284</v>
      </c>
      <c r="B290" s="5" t="s">
        <v>385</v>
      </c>
      <c r="C290" s="2" t="s">
        <v>530</v>
      </c>
      <c r="D290" s="32"/>
      <c r="E290" s="35" t="s">
        <v>455</v>
      </c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24">
        <f>SUM(Tabla1[[#This Row],[ENERO ]:[DICIEMBRE]])</f>
        <v>0</v>
      </c>
      <c r="W290">
        <v>0</v>
      </c>
      <c r="X290" s="21">
        <f>COUNTIF(Tabla1[[#This Row],[ENERO ]:[DICIEMBRE]],0)-(AS290)-IF(Tabla1[[#This Row],[BAJAS]]="BAJA",IF(Tabla1[[#This Row],[ALTAS]]="ALTA",VLOOKUP(Tabla1[[#This Row],[MES DE ALTA ]],$AW$6:$AX$17,2,FALSE),12)-VLOOKUP(Tabla1[[#This Row],[MES DE BAJA ]],$AW$6:$AX$17,2,FALSE),0)</f>
        <v>0</v>
      </c>
      <c r="Y290" s="68">
        <f>SUM(Tabla1[[#This Row],[MES ADEUDO DE AÑOS PASADOS ]:[MESES DE ADEUDO DEL AÑO EN CURSO ]])-Tabla1[[#This Row],[PAGO DE DEUDA ANTERIOR EN MESES]]</f>
        <v>0</v>
      </c>
      <c r="Z290" s="15">
        <f>Tabla1[[#This Row],[MES ADEUDO DE AÑOS PASADOS ]]*$T$2</f>
        <v>0</v>
      </c>
      <c r="AA290" s="15">
        <f>Tabla1[[#This Row],[MESES DE ADEUDO DEL AÑO EN CURSO ]]*$T$2</f>
        <v>0</v>
      </c>
      <c r="AB290" s="69">
        <f>SUM(Tabla1[[#This Row],[DEUDA DE LOS MESES PASADOS EN $$]:[DEUDA DEL AÑO 2013 $$ ]])</f>
        <v>0</v>
      </c>
      <c r="AD290">
        <f>Tabla1[[#This Row],[PAGO DE DEUDA ANTERIOR EN MESES]]*$T$2</f>
        <v>0</v>
      </c>
      <c r="AG290" s="100">
        <f>IF(Tabla1[[#This Row],[TIPO DE CONSUMIDOR]]="MEDIO",IF(Tabla1[[#This Row],[ENERO ]]&gt;22.5,Tabla1[[#This Row],[ENERO ]]/22.5-1,0),IF(Tabla1[[#This Row],[ENERO ]]&gt;45,Tabla1[[#This Row],[ENERO ]]/45-1,0))</f>
        <v>0</v>
      </c>
      <c r="AH29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0" s="100">
        <f>IF(Tabla1[[#This Row],[TIPO DE CONSUMIDOR]]="MEDIO",IF(Tabla1[[#This Row],[MARZO]]&gt;22.5,Tabla1[[#This Row],[MARZO]]/22.5-1,0),IF(Tabla1[[#This Row],[MARZO]]&gt;45,Tabla1[[#This Row],[MARZO]]/45-1,0))</f>
        <v>0</v>
      </c>
      <c r="AJ290" s="100">
        <f>IF(Tabla1[[#This Row],[TIPO DE CONSUMIDOR]]="MEDIO",IF(Tabla1[[#This Row],[ABRIL]]&gt;22.5,Tabla1[[#This Row],[ABRIL]]/22.5-1,0),IF(Tabla1[[#This Row],[ABRIL]]&gt;45,Tabla1[[#This Row],[ABRIL]]/45-1,0))</f>
        <v>0</v>
      </c>
      <c r="AK290" s="100">
        <f>IF(Tabla1[[#This Row],[TIPO DE CONSUMIDOR]]="MEDIO",IF(Tabla1[[#This Row],[MAYO ]]&gt;22.5,Tabla1[[#This Row],[MAYO ]]/22.5-1,0),IF(Tabla1[[#This Row],[MAYO ]]&gt;45,Tabla1[[#This Row],[MAYO ]]/45-1,0))</f>
        <v>0</v>
      </c>
      <c r="AL290" s="100">
        <f>IF(Tabla1[[#This Row],[TIPO DE CONSUMIDOR]]="MEDIO",IF(Tabla1[[#This Row],[JUNIO ]]&gt;22.5,Tabla1[[#This Row],[JUNIO ]]/22.5-1,0),IF(Tabla1[[#This Row],[JUNIO ]]&gt;45,Tabla1[[#This Row],[JUNIO ]]/45-1,0))</f>
        <v>0</v>
      </c>
      <c r="AM290" s="100">
        <f>IF(Tabla1[[#This Row],[TIPO DE CONSUMIDOR]]="MEDIO",IF(Tabla1[[#This Row],[JULIO ]]&gt;22.5,Tabla1[[#This Row],[JULIO ]]/22.5-1,0),IF(Tabla1[[#This Row],[JULIO ]]&gt;45,Tabla1[[#This Row],[JULIO ]]/45-1,0))</f>
        <v>0</v>
      </c>
      <c r="AN290" s="100">
        <f>IF(Tabla1[[#This Row],[TIPO DE CONSUMIDOR]]="MEDIO",IF(Tabla1[[#This Row],[AGOSTO]]&gt;22.5,Tabla1[[#This Row],[AGOSTO]]/22.5-1,0),IF(Tabla1[[#This Row],[AGOSTO]]&gt;45,Tabla1[[#This Row],[AGOSTO]]/45-1,0))</f>
        <v>0</v>
      </c>
      <c r="AO29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0" s="101">
        <f t="shared" si="9"/>
        <v>0</v>
      </c>
      <c r="AT290">
        <f>IF(Tabla1[[#This Row],[MES ADEUDO DE AÑOS PASADOS ]]&gt;0,1,0)</f>
        <v>0</v>
      </c>
      <c r="AU290" s="9">
        <f t="shared" si="10"/>
        <v>0</v>
      </c>
      <c r="AV290" s="60">
        <f>IF(Tabla1[[#This Row],[MESES DE ADEUDO DEL AÑO EN CURSO ]]&gt;0,1,0)</f>
        <v>0</v>
      </c>
      <c r="AW290" s="42"/>
      <c r="AX290" s="42"/>
      <c r="AY290" s="42"/>
      <c r="AZ290" s="43"/>
    </row>
    <row r="291" spans="1:52" ht="21.75" thickBot="1" x14ac:dyDescent="0.35">
      <c r="A291" s="106">
        <v>285</v>
      </c>
      <c r="B291" s="5" t="s">
        <v>367</v>
      </c>
      <c r="C291" s="2" t="s">
        <v>530</v>
      </c>
      <c r="D291" s="32"/>
      <c r="E291" s="35" t="s">
        <v>455</v>
      </c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58">
        <f>SUM(Tabla1[[#This Row],[ENERO ]:[DICIEMBRE]])</f>
        <v>0</v>
      </c>
      <c r="W291">
        <v>0</v>
      </c>
      <c r="X291" s="21">
        <f>COUNTIF(Tabla1[[#This Row],[ENERO ]:[DICIEMBRE]],0)-(AS291)-IF(Tabla1[[#This Row],[BAJAS]]="BAJA",IF(Tabla1[[#This Row],[ALTAS]]="ALTA",VLOOKUP(Tabla1[[#This Row],[MES DE ALTA ]],$AW$6:$AX$17,2,FALSE),12)-VLOOKUP(Tabla1[[#This Row],[MES DE BAJA ]],$AW$6:$AX$17,2,FALSE),0)</f>
        <v>0</v>
      </c>
      <c r="Y291" s="68">
        <f>SUM(Tabla1[[#This Row],[MES ADEUDO DE AÑOS PASADOS ]:[MESES DE ADEUDO DEL AÑO EN CURSO ]])-Tabla1[[#This Row],[PAGO DE DEUDA ANTERIOR EN MESES]]</f>
        <v>0</v>
      </c>
      <c r="Z291" s="15">
        <f>Tabla1[[#This Row],[MES ADEUDO DE AÑOS PASADOS ]]*$T$2</f>
        <v>0</v>
      </c>
      <c r="AA291" s="15">
        <f>Tabla1[[#This Row],[MESES DE ADEUDO DEL AÑO EN CURSO ]]*$T$2</f>
        <v>0</v>
      </c>
      <c r="AB291" s="69">
        <f>SUM(Tabla1[[#This Row],[DEUDA DE LOS MESES PASADOS EN $$]:[DEUDA DEL AÑO 2013 $$ ]])</f>
        <v>0</v>
      </c>
      <c r="AD291">
        <f>Tabla1[[#This Row],[PAGO DE DEUDA ANTERIOR EN MESES]]*$T$2</f>
        <v>0</v>
      </c>
      <c r="AG291" s="100">
        <f>IF(Tabla1[[#This Row],[TIPO DE CONSUMIDOR]]="MEDIO",IF(Tabla1[[#This Row],[ENERO ]]&gt;22.5,Tabla1[[#This Row],[ENERO ]]/22.5-1,0),IF(Tabla1[[#This Row],[ENERO ]]&gt;45,Tabla1[[#This Row],[ENERO ]]/45-1,0))</f>
        <v>0</v>
      </c>
      <c r="AH29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1" s="100">
        <f>IF(Tabla1[[#This Row],[TIPO DE CONSUMIDOR]]="MEDIO",IF(Tabla1[[#This Row],[MARZO]]&gt;22.5,Tabla1[[#This Row],[MARZO]]/22.5-1,0),IF(Tabla1[[#This Row],[MARZO]]&gt;45,Tabla1[[#This Row],[MARZO]]/45-1,0))</f>
        <v>0</v>
      </c>
      <c r="AJ291" s="100">
        <f>IF(Tabla1[[#This Row],[TIPO DE CONSUMIDOR]]="MEDIO",IF(Tabla1[[#This Row],[ABRIL]]&gt;22.5,Tabla1[[#This Row],[ABRIL]]/22.5-1,0),IF(Tabla1[[#This Row],[ABRIL]]&gt;45,Tabla1[[#This Row],[ABRIL]]/45-1,0))</f>
        <v>0</v>
      </c>
      <c r="AK291" s="100">
        <f>IF(Tabla1[[#This Row],[TIPO DE CONSUMIDOR]]="MEDIO",IF(Tabla1[[#This Row],[MAYO ]]&gt;22.5,Tabla1[[#This Row],[MAYO ]]/22.5-1,0),IF(Tabla1[[#This Row],[MAYO ]]&gt;45,Tabla1[[#This Row],[MAYO ]]/45-1,0))</f>
        <v>0</v>
      </c>
      <c r="AL291" s="100">
        <f>IF(Tabla1[[#This Row],[TIPO DE CONSUMIDOR]]="MEDIO",IF(Tabla1[[#This Row],[JUNIO ]]&gt;22.5,Tabla1[[#This Row],[JUNIO ]]/22.5-1,0),IF(Tabla1[[#This Row],[JUNIO ]]&gt;45,Tabla1[[#This Row],[JUNIO ]]/45-1,0))</f>
        <v>0</v>
      </c>
      <c r="AM291" s="100">
        <f>IF(Tabla1[[#This Row],[TIPO DE CONSUMIDOR]]="MEDIO",IF(Tabla1[[#This Row],[JULIO ]]&gt;22.5,Tabla1[[#This Row],[JULIO ]]/22.5-1,0),IF(Tabla1[[#This Row],[JULIO ]]&gt;45,Tabla1[[#This Row],[JULIO ]]/45-1,0))</f>
        <v>0</v>
      </c>
      <c r="AN291" s="100">
        <f>IF(Tabla1[[#This Row],[TIPO DE CONSUMIDOR]]="MEDIO",IF(Tabla1[[#This Row],[AGOSTO]]&gt;22.5,Tabla1[[#This Row],[AGOSTO]]/22.5-1,0),IF(Tabla1[[#This Row],[AGOSTO]]&gt;45,Tabla1[[#This Row],[AGOSTO]]/45-1,0))</f>
        <v>0</v>
      </c>
      <c r="AO29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1" s="101">
        <f t="shared" si="9"/>
        <v>0</v>
      </c>
      <c r="AT291">
        <f>IF(Tabla1[[#This Row],[MES ADEUDO DE AÑOS PASADOS ]]&gt;0,1,0)</f>
        <v>0</v>
      </c>
      <c r="AU291" s="9">
        <f t="shared" si="10"/>
        <v>0</v>
      </c>
      <c r="AV291" s="60">
        <f>IF(Tabla1[[#This Row],[MESES DE ADEUDO DEL AÑO EN CURSO ]]&gt;0,1,0)</f>
        <v>0</v>
      </c>
      <c r="AW291" s="42"/>
      <c r="AX291" s="42"/>
      <c r="AY291" s="42"/>
      <c r="AZ291" s="43"/>
    </row>
    <row r="292" spans="1:52" ht="21.75" thickBot="1" x14ac:dyDescent="0.35">
      <c r="A292" s="106">
        <v>286</v>
      </c>
      <c r="B292" s="5" t="s">
        <v>420</v>
      </c>
      <c r="C292" s="2" t="s">
        <v>530</v>
      </c>
      <c r="D292" s="32"/>
      <c r="E292" s="35" t="s">
        <v>455</v>
      </c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24">
        <f>SUM(Tabla1[[#This Row],[ENERO ]:[DICIEMBRE]])</f>
        <v>0</v>
      </c>
      <c r="W292">
        <v>0</v>
      </c>
      <c r="X292" s="21">
        <f>COUNTIF(Tabla1[[#This Row],[ENERO ]:[DICIEMBRE]],0)-(AS292)-IF(Tabla1[[#This Row],[BAJAS]]="BAJA",IF(Tabla1[[#This Row],[ALTAS]]="ALTA",VLOOKUP(Tabla1[[#This Row],[MES DE ALTA ]],$AW$6:$AX$17,2,FALSE),12)-VLOOKUP(Tabla1[[#This Row],[MES DE BAJA ]],$AW$6:$AX$17,2,FALSE),0)</f>
        <v>0</v>
      </c>
      <c r="Y292" s="68">
        <f>SUM(Tabla1[[#This Row],[MES ADEUDO DE AÑOS PASADOS ]:[MESES DE ADEUDO DEL AÑO EN CURSO ]])-Tabla1[[#This Row],[PAGO DE DEUDA ANTERIOR EN MESES]]</f>
        <v>0</v>
      </c>
      <c r="Z292" s="15">
        <f>Tabla1[[#This Row],[MES ADEUDO DE AÑOS PASADOS ]]*$T$2</f>
        <v>0</v>
      </c>
      <c r="AA292" s="15">
        <f>Tabla1[[#This Row],[MESES DE ADEUDO DEL AÑO EN CURSO ]]*$T$2</f>
        <v>0</v>
      </c>
      <c r="AB292" s="69">
        <f>SUM(Tabla1[[#This Row],[DEUDA DE LOS MESES PASADOS EN $$]:[DEUDA DEL AÑO 2013 $$ ]])</f>
        <v>0</v>
      </c>
      <c r="AD292">
        <f>Tabla1[[#This Row],[PAGO DE DEUDA ANTERIOR EN MESES]]*$T$2</f>
        <v>0</v>
      </c>
      <c r="AG292" s="100">
        <f>IF(Tabla1[[#This Row],[TIPO DE CONSUMIDOR]]="MEDIO",IF(Tabla1[[#This Row],[ENERO ]]&gt;22.5,Tabla1[[#This Row],[ENERO ]]/22.5-1,0),IF(Tabla1[[#This Row],[ENERO ]]&gt;45,Tabla1[[#This Row],[ENERO ]]/45-1,0))</f>
        <v>0</v>
      </c>
      <c r="AH29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2" s="100">
        <f>IF(Tabla1[[#This Row],[TIPO DE CONSUMIDOR]]="MEDIO",IF(Tabla1[[#This Row],[MARZO]]&gt;22.5,Tabla1[[#This Row],[MARZO]]/22.5-1,0),IF(Tabla1[[#This Row],[MARZO]]&gt;45,Tabla1[[#This Row],[MARZO]]/45-1,0))</f>
        <v>0</v>
      </c>
      <c r="AJ292" s="100">
        <f>IF(Tabla1[[#This Row],[TIPO DE CONSUMIDOR]]="MEDIO",IF(Tabla1[[#This Row],[ABRIL]]&gt;22.5,Tabla1[[#This Row],[ABRIL]]/22.5-1,0),IF(Tabla1[[#This Row],[ABRIL]]&gt;45,Tabla1[[#This Row],[ABRIL]]/45-1,0))</f>
        <v>0</v>
      </c>
      <c r="AK292" s="100">
        <f>IF(Tabla1[[#This Row],[TIPO DE CONSUMIDOR]]="MEDIO",IF(Tabla1[[#This Row],[MAYO ]]&gt;22.5,Tabla1[[#This Row],[MAYO ]]/22.5-1,0),IF(Tabla1[[#This Row],[MAYO ]]&gt;45,Tabla1[[#This Row],[MAYO ]]/45-1,0))</f>
        <v>0</v>
      </c>
      <c r="AL292" s="100">
        <f>IF(Tabla1[[#This Row],[TIPO DE CONSUMIDOR]]="MEDIO",IF(Tabla1[[#This Row],[JUNIO ]]&gt;22.5,Tabla1[[#This Row],[JUNIO ]]/22.5-1,0),IF(Tabla1[[#This Row],[JUNIO ]]&gt;45,Tabla1[[#This Row],[JUNIO ]]/45-1,0))</f>
        <v>0</v>
      </c>
      <c r="AM292" s="100">
        <f>IF(Tabla1[[#This Row],[TIPO DE CONSUMIDOR]]="MEDIO",IF(Tabla1[[#This Row],[JULIO ]]&gt;22.5,Tabla1[[#This Row],[JULIO ]]/22.5-1,0),IF(Tabla1[[#This Row],[JULIO ]]&gt;45,Tabla1[[#This Row],[JULIO ]]/45-1,0))</f>
        <v>0</v>
      </c>
      <c r="AN292" s="100">
        <f>IF(Tabla1[[#This Row],[TIPO DE CONSUMIDOR]]="MEDIO",IF(Tabla1[[#This Row],[AGOSTO]]&gt;22.5,Tabla1[[#This Row],[AGOSTO]]/22.5-1,0),IF(Tabla1[[#This Row],[AGOSTO]]&gt;45,Tabla1[[#This Row],[AGOSTO]]/45-1,0))</f>
        <v>0</v>
      </c>
      <c r="AO29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2" s="101">
        <f t="shared" si="9"/>
        <v>0</v>
      </c>
      <c r="AT292">
        <f>IF(Tabla1[[#This Row],[MES ADEUDO DE AÑOS PASADOS ]]&gt;0,1,0)</f>
        <v>0</v>
      </c>
      <c r="AU292" s="9">
        <f t="shared" si="10"/>
        <v>0</v>
      </c>
      <c r="AV292" s="60">
        <f>IF(Tabla1[[#This Row],[MESES DE ADEUDO DEL AÑO EN CURSO ]]&gt;0,1,0)</f>
        <v>0</v>
      </c>
      <c r="AW292" s="42"/>
      <c r="AX292" s="42"/>
      <c r="AY292" s="42"/>
      <c r="AZ292" s="43"/>
    </row>
    <row r="293" spans="1:52" ht="21.75" thickBot="1" x14ac:dyDescent="0.35">
      <c r="A293" s="106">
        <v>287</v>
      </c>
      <c r="B293" s="5" t="s">
        <v>409</v>
      </c>
      <c r="C293" s="2" t="s">
        <v>530</v>
      </c>
      <c r="D293" s="32"/>
      <c r="E293" s="35" t="s">
        <v>455</v>
      </c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24">
        <f>SUM(Tabla1[[#This Row],[ENERO ]:[DICIEMBRE]])</f>
        <v>0</v>
      </c>
      <c r="W293">
        <v>0</v>
      </c>
      <c r="X293" s="21">
        <f>COUNTIF(Tabla1[[#This Row],[ENERO ]:[DICIEMBRE]],0)-(AS293)-IF(Tabla1[[#This Row],[BAJAS]]="BAJA",IF(Tabla1[[#This Row],[ALTAS]]="ALTA",VLOOKUP(Tabla1[[#This Row],[MES DE ALTA ]],$AW$6:$AX$17,2,FALSE),12)-VLOOKUP(Tabla1[[#This Row],[MES DE BAJA ]],$AW$6:$AX$17,2,FALSE),0)</f>
        <v>0</v>
      </c>
      <c r="Y293" s="68">
        <f>SUM(Tabla1[[#This Row],[MES ADEUDO DE AÑOS PASADOS ]:[MESES DE ADEUDO DEL AÑO EN CURSO ]])-Tabla1[[#This Row],[PAGO DE DEUDA ANTERIOR EN MESES]]</f>
        <v>0</v>
      </c>
      <c r="Z293" s="15">
        <f>Tabla1[[#This Row],[MES ADEUDO DE AÑOS PASADOS ]]*$T$2</f>
        <v>0</v>
      </c>
      <c r="AA293" s="15">
        <f>Tabla1[[#This Row],[MESES DE ADEUDO DEL AÑO EN CURSO ]]*$T$2</f>
        <v>0</v>
      </c>
      <c r="AB293" s="69">
        <f>SUM(Tabla1[[#This Row],[DEUDA DE LOS MESES PASADOS EN $$]:[DEUDA DEL AÑO 2013 $$ ]])</f>
        <v>0</v>
      </c>
      <c r="AD293">
        <f>Tabla1[[#This Row],[PAGO DE DEUDA ANTERIOR EN MESES]]*$T$2</f>
        <v>0</v>
      </c>
      <c r="AG293" s="100">
        <f>IF(Tabla1[[#This Row],[TIPO DE CONSUMIDOR]]="MEDIO",IF(Tabla1[[#This Row],[ENERO ]]&gt;22.5,Tabla1[[#This Row],[ENERO ]]/22.5-1,0),IF(Tabla1[[#This Row],[ENERO ]]&gt;45,Tabla1[[#This Row],[ENERO ]]/45-1,0))</f>
        <v>0</v>
      </c>
      <c r="AH29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3" s="100">
        <f>IF(Tabla1[[#This Row],[TIPO DE CONSUMIDOR]]="MEDIO",IF(Tabla1[[#This Row],[MARZO]]&gt;22.5,Tabla1[[#This Row],[MARZO]]/22.5-1,0),IF(Tabla1[[#This Row],[MARZO]]&gt;45,Tabla1[[#This Row],[MARZO]]/45-1,0))</f>
        <v>0</v>
      </c>
      <c r="AJ293" s="100">
        <f>IF(Tabla1[[#This Row],[TIPO DE CONSUMIDOR]]="MEDIO",IF(Tabla1[[#This Row],[ABRIL]]&gt;22.5,Tabla1[[#This Row],[ABRIL]]/22.5-1,0),IF(Tabla1[[#This Row],[ABRIL]]&gt;45,Tabla1[[#This Row],[ABRIL]]/45-1,0))</f>
        <v>0</v>
      </c>
      <c r="AK293" s="100">
        <f>IF(Tabla1[[#This Row],[TIPO DE CONSUMIDOR]]="MEDIO",IF(Tabla1[[#This Row],[MAYO ]]&gt;22.5,Tabla1[[#This Row],[MAYO ]]/22.5-1,0),IF(Tabla1[[#This Row],[MAYO ]]&gt;45,Tabla1[[#This Row],[MAYO ]]/45-1,0))</f>
        <v>0</v>
      </c>
      <c r="AL293" s="100">
        <f>IF(Tabla1[[#This Row],[TIPO DE CONSUMIDOR]]="MEDIO",IF(Tabla1[[#This Row],[JUNIO ]]&gt;22.5,Tabla1[[#This Row],[JUNIO ]]/22.5-1,0),IF(Tabla1[[#This Row],[JUNIO ]]&gt;45,Tabla1[[#This Row],[JUNIO ]]/45-1,0))</f>
        <v>0</v>
      </c>
      <c r="AM293" s="100">
        <f>IF(Tabla1[[#This Row],[TIPO DE CONSUMIDOR]]="MEDIO",IF(Tabla1[[#This Row],[JULIO ]]&gt;22.5,Tabla1[[#This Row],[JULIO ]]/22.5-1,0),IF(Tabla1[[#This Row],[JULIO ]]&gt;45,Tabla1[[#This Row],[JULIO ]]/45-1,0))</f>
        <v>0</v>
      </c>
      <c r="AN293" s="100">
        <f>IF(Tabla1[[#This Row],[TIPO DE CONSUMIDOR]]="MEDIO",IF(Tabla1[[#This Row],[AGOSTO]]&gt;22.5,Tabla1[[#This Row],[AGOSTO]]/22.5-1,0),IF(Tabla1[[#This Row],[AGOSTO]]&gt;45,Tabla1[[#This Row],[AGOSTO]]/45-1,0))</f>
        <v>0</v>
      </c>
      <c r="AO29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3" s="101">
        <f t="shared" si="9"/>
        <v>0</v>
      </c>
      <c r="AT293">
        <f>IF(Tabla1[[#This Row],[MES ADEUDO DE AÑOS PASADOS ]]&gt;0,1,0)</f>
        <v>0</v>
      </c>
      <c r="AU293" s="9">
        <f t="shared" si="10"/>
        <v>0</v>
      </c>
      <c r="AV293" s="60">
        <f>IF(Tabla1[[#This Row],[MESES DE ADEUDO DEL AÑO EN CURSO ]]&gt;0,1,0)</f>
        <v>0</v>
      </c>
      <c r="AW293" s="42"/>
      <c r="AX293" s="42"/>
      <c r="AY293" s="42"/>
      <c r="AZ293" s="43"/>
    </row>
    <row r="294" spans="1:52" ht="21.75" thickBot="1" x14ac:dyDescent="0.35">
      <c r="A294" s="106">
        <v>288</v>
      </c>
      <c r="B294" s="5" t="s">
        <v>418</v>
      </c>
      <c r="C294" s="2" t="s">
        <v>530</v>
      </c>
      <c r="D294" s="32"/>
      <c r="E294" s="35" t="s">
        <v>455</v>
      </c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58">
        <f>SUM(Tabla1[[#This Row],[ENERO ]:[DICIEMBRE]])</f>
        <v>0</v>
      </c>
      <c r="W294">
        <v>0</v>
      </c>
      <c r="X294" s="21">
        <f>COUNTIF(Tabla1[[#This Row],[ENERO ]:[DICIEMBRE]],0)-(AS294)-IF(Tabla1[[#This Row],[BAJAS]]="BAJA",IF(Tabla1[[#This Row],[ALTAS]]="ALTA",VLOOKUP(Tabla1[[#This Row],[MES DE ALTA ]],$AW$6:$AX$17,2,FALSE),12)-VLOOKUP(Tabla1[[#This Row],[MES DE BAJA ]],$AW$6:$AX$17,2,FALSE),0)</f>
        <v>0</v>
      </c>
      <c r="Y294" s="68">
        <f>SUM(Tabla1[[#This Row],[MES ADEUDO DE AÑOS PASADOS ]:[MESES DE ADEUDO DEL AÑO EN CURSO ]])-Tabla1[[#This Row],[PAGO DE DEUDA ANTERIOR EN MESES]]</f>
        <v>0</v>
      </c>
      <c r="Z294" s="15">
        <f>Tabla1[[#This Row],[MES ADEUDO DE AÑOS PASADOS ]]*$T$2</f>
        <v>0</v>
      </c>
      <c r="AA294" s="15">
        <f>Tabla1[[#This Row],[MESES DE ADEUDO DEL AÑO EN CURSO ]]*$T$2</f>
        <v>0</v>
      </c>
      <c r="AB294" s="69">
        <f>SUM(Tabla1[[#This Row],[DEUDA DE LOS MESES PASADOS EN $$]:[DEUDA DEL AÑO 2013 $$ ]])</f>
        <v>0</v>
      </c>
      <c r="AD294">
        <f>Tabla1[[#This Row],[PAGO DE DEUDA ANTERIOR EN MESES]]*$T$2</f>
        <v>0</v>
      </c>
      <c r="AG294" s="100">
        <f>IF(Tabla1[[#This Row],[TIPO DE CONSUMIDOR]]="MEDIO",IF(Tabla1[[#This Row],[ENERO ]]&gt;22.5,Tabla1[[#This Row],[ENERO ]]/22.5-1,0),IF(Tabla1[[#This Row],[ENERO ]]&gt;45,Tabla1[[#This Row],[ENERO ]]/45-1,0))</f>
        <v>0</v>
      </c>
      <c r="AH29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4" s="100">
        <f>IF(Tabla1[[#This Row],[TIPO DE CONSUMIDOR]]="MEDIO",IF(Tabla1[[#This Row],[MARZO]]&gt;22.5,Tabla1[[#This Row],[MARZO]]/22.5-1,0),IF(Tabla1[[#This Row],[MARZO]]&gt;45,Tabla1[[#This Row],[MARZO]]/45-1,0))</f>
        <v>0</v>
      </c>
      <c r="AJ294" s="100">
        <f>IF(Tabla1[[#This Row],[TIPO DE CONSUMIDOR]]="MEDIO",IF(Tabla1[[#This Row],[ABRIL]]&gt;22.5,Tabla1[[#This Row],[ABRIL]]/22.5-1,0),IF(Tabla1[[#This Row],[ABRIL]]&gt;45,Tabla1[[#This Row],[ABRIL]]/45-1,0))</f>
        <v>0</v>
      </c>
      <c r="AK294" s="100">
        <f>IF(Tabla1[[#This Row],[TIPO DE CONSUMIDOR]]="MEDIO",IF(Tabla1[[#This Row],[MAYO ]]&gt;22.5,Tabla1[[#This Row],[MAYO ]]/22.5-1,0),IF(Tabla1[[#This Row],[MAYO ]]&gt;45,Tabla1[[#This Row],[MAYO ]]/45-1,0))</f>
        <v>0</v>
      </c>
      <c r="AL294" s="100">
        <f>IF(Tabla1[[#This Row],[TIPO DE CONSUMIDOR]]="MEDIO",IF(Tabla1[[#This Row],[JUNIO ]]&gt;22.5,Tabla1[[#This Row],[JUNIO ]]/22.5-1,0),IF(Tabla1[[#This Row],[JUNIO ]]&gt;45,Tabla1[[#This Row],[JUNIO ]]/45-1,0))</f>
        <v>0</v>
      </c>
      <c r="AM294" s="100">
        <f>IF(Tabla1[[#This Row],[TIPO DE CONSUMIDOR]]="MEDIO",IF(Tabla1[[#This Row],[JULIO ]]&gt;22.5,Tabla1[[#This Row],[JULIO ]]/22.5-1,0),IF(Tabla1[[#This Row],[JULIO ]]&gt;45,Tabla1[[#This Row],[JULIO ]]/45-1,0))</f>
        <v>0</v>
      </c>
      <c r="AN294" s="100">
        <f>IF(Tabla1[[#This Row],[TIPO DE CONSUMIDOR]]="MEDIO",IF(Tabla1[[#This Row],[AGOSTO]]&gt;22.5,Tabla1[[#This Row],[AGOSTO]]/22.5-1,0),IF(Tabla1[[#This Row],[AGOSTO]]&gt;45,Tabla1[[#This Row],[AGOSTO]]/45-1,0))</f>
        <v>0</v>
      </c>
      <c r="AO29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4" s="101">
        <f t="shared" si="9"/>
        <v>0</v>
      </c>
      <c r="AT294">
        <f>IF(Tabla1[[#This Row],[MES ADEUDO DE AÑOS PASADOS ]]&gt;0,1,0)</f>
        <v>0</v>
      </c>
      <c r="AU294" s="9">
        <f t="shared" si="10"/>
        <v>0</v>
      </c>
      <c r="AV294" s="60">
        <f>IF(Tabla1[[#This Row],[MESES DE ADEUDO DEL AÑO EN CURSO ]]&gt;0,1,0)</f>
        <v>0</v>
      </c>
      <c r="AW294" s="42"/>
      <c r="AX294" s="42"/>
      <c r="AY294" s="42"/>
      <c r="AZ294" s="43"/>
    </row>
    <row r="295" spans="1:52" ht="21.75" customHeight="1" thickBot="1" x14ac:dyDescent="0.3">
      <c r="A295" s="106">
        <v>289</v>
      </c>
      <c r="B295" s="48" t="s">
        <v>544</v>
      </c>
      <c r="C295" s="2" t="s">
        <v>530</v>
      </c>
      <c r="D295" s="32"/>
      <c r="E295" s="35" t="s">
        <v>455</v>
      </c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24">
        <f>SUM(Tabla1[[#This Row],[ENERO ]:[DICIEMBRE]])</f>
        <v>0</v>
      </c>
      <c r="W295">
        <v>0</v>
      </c>
      <c r="X295" s="21">
        <f>COUNTIF(Tabla1[[#This Row],[ENERO ]:[DICIEMBRE]],0)-(AS295)-IF(Tabla1[[#This Row],[BAJAS]]="BAJA",IF(Tabla1[[#This Row],[ALTAS]]="ALTA",VLOOKUP(Tabla1[[#This Row],[MES DE ALTA ]],$AW$6:$AX$17,2,FALSE),12)-VLOOKUP(Tabla1[[#This Row],[MES DE BAJA ]],$AW$6:$AX$17,2,FALSE),0)</f>
        <v>0</v>
      </c>
      <c r="Y295" s="68">
        <f>SUM(Tabla1[[#This Row],[MES ADEUDO DE AÑOS PASADOS ]:[MESES DE ADEUDO DEL AÑO EN CURSO ]])-Tabla1[[#This Row],[PAGO DE DEUDA ANTERIOR EN MESES]]</f>
        <v>0</v>
      </c>
      <c r="Z295" s="15">
        <f>Tabla1[[#This Row],[MES ADEUDO DE AÑOS PASADOS ]]*$T$2</f>
        <v>0</v>
      </c>
      <c r="AA295" s="15">
        <f>Tabla1[[#This Row],[MESES DE ADEUDO DEL AÑO EN CURSO ]]*$T$2</f>
        <v>0</v>
      </c>
      <c r="AB295" s="69">
        <f>SUM(Tabla1[[#This Row],[DEUDA DE LOS MESES PASADOS EN $$]:[DEUDA DEL AÑO 2013 $$ ]])</f>
        <v>0</v>
      </c>
      <c r="AD295">
        <f>Tabla1[[#This Row],[PAGO DE DEUDA ANTERIOR EN MESES]]*$T$2</f>
        <v>0</v>
      </c>
      <c r="AG295" s="100">
        <f>IF(Tabla1[[#This Row],[TIPO DE CONSUMIDOR]]="MEDIO",IF(Tabla1[[#This Row],[ENERO ]]&gt;22.5,Tabla1[[#This Row],[ENERO ]]/22.5-1,0),IF(Tabla1[[#This Row],[ENERO ]]&gt;45,Tabla1[[#This Row],[ENERO ]]/45-1,0))</f>
        <v>0</v>
      </c>
      <c r="AH29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5" s="100">
        <f>IF(Tabla1[[#This Row],[TIPO DE CONSUMIDOR]]="MEDIO",IF(Tabla1[[#This Row],[MARZO]]&gt;22.5,Tabla1[[#This Row],[MARZO]]/22.5-1,0),IF(Tabla1[[#This Row],[MARZO]]&gt;45,Tabla1[[#This Row],[MARZO]]/45-1,0))</f>
        <v>0</v>
      </c>
      <c r="AJ295" s="100">
        <f>IF(Tabla1[[#This Row],[TIPO DE CONSUMIDOR]]="MEDIO",IF(Tabla1[[#This Row],[ABRIL]]&gt;22.5,Tabla1[[#This Row],[ABRIL]]/22.5-1,0),IF(Tabla1[[#This Row],[ABRIL]]&gt;45,Tabla1[[#This Row],[ABRIL]]/45-1,0))</f>
        <v>0</v>
      </c>
      <c r="AK295" s="100">
        <f>IF(Tabla1[[#This Row],[TIPO DE CONSUMIDOR]]="MEDIO",IF(Tabla1[[#This Row],[MAYO ]]&gt;22.5,Tabla1[[#This Row],[MAYO ]]/22.5-1,0),IF(Tabla1[[#This Row],[MAYO ]]&gt;45,Tabla1[[#This Row],[MAYO ]]/45-1,0))</f>
        <v>0</v>
      </c>
      <c r="AL295" s="100">
        <f>IF(Tabla1[[#This Row],[TIPO DE CONSUMIDOR]]="MEDIO",IF(Tabla1[[#This Row],[JUNIO ]]&gt;22.5,Tabla1[[#This Row],[JUNIO ]]/22.5-1,0),IF(Tabla1[[#This Row],[JUNIO ]]&gt;45,Tabla1[[#This Row],[JUNIO ]]/45-1,0))</f>
        <v>0</v>
      </c>
      <c r="AM295" s="100">
        <f>IF(Tabla1[[#This Row],[TIPO DE CONSUMIDOR]]="MEDIO",IF(Tabla1[[#This Row],[JULIO ]]&gt;22.5,Tabla1[[#This Row],[JULIO ]]/22.5-1,0),IF(Tabla1[[#This Row],[JULIO ]]&gt;45,Tabla1[[#This Row],[JULIO ]]/45-1,0))</f>
        <v>0</v>
      </c>
      <c r="AN295" s="100">
        <f>IF(Tabla1[[#This Row],[TIPO DE CONSUMIDOR]]="MEDIO",IF(Tabla1[[#This Row],[AGOSTO]]&gt;22.5,Tabla1[[#This Row],[AGOSTO]]/22.5-1,0),IF(Tabla1[[#This Row],[AGOSTO]]&gt;45,Tabla1[[#This Row],[AGOSTO]]/45-1,0))</f>
        <v>0</v>
      </c>
      <c r="AO29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5" s="101">
        <f t="shared" si="9"/>
        <v>0</v>
      </c>
      <c r="AT295">
        <f>IF(Tabla1[[#This Row],[MES ADEUDO DE AÑOS PASADOS ]]&gt;0,1,0)</f>
        <v>0</v>
      </c>
      <c r="AU295" s="9">
        <f t="shared" si="10"/>
        <v>0</v>
      </c>
      <c r="AV295" s="60">
        <f>IF(Tabla1[[#This Row],[MESES DE ADEUDO DEL AÑO EN CURSO ]]&gt;0,1,0)</f>
        <v>0</v>
      </c>
      <c r="AW295" s="42"/>
      <c r="AX295" s="42"/>
      <c r="AY295" s="42"/>
      <c r="AZ295" s="43"/>
    </row>
    <row r="296" spans="1:52" ht="21.75" thickBot="1" x14ac:dyDescent="0.35">
      <c r="A296" s="106">
        <v>290</v>
      </c>
      <c r="B296" s="5" t="s">
        <v>15</v>
      </c>
      <c r="C296" s="2" t="s">
        <v>530</v>
      </c>
      <c r="D296" s="32"/>
      <c r="E296" s="35" t="s">
        <v>455</v>
      </c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24">
        <f>SUM(Tabla1[[#This Row],[ENERO ]:[DICIEMBRE]])</f>
        <v>0</v>
      </c>
      <c r="W296">
        <v>0</v>
      </c>
      <c r="X296" s="21">
        <f>COUNTIF(Tabla1[[#This Row],[ENERO ]:[DICIEMBRE]],0)-(AS296)-IF(Tabla1[[#This Row],[BAJAS]]="BAJA",IF(Tabla1[[#This Row],[ALTAS]]="ALTA",VLOOKUP(Tabla1[[#This Row],[MES DE ALTA ]],$AW$6:$AX$17,2,FALSE),12)-VLOOKUP(Tabla1[[#This Row],[MES DE BAJA ]],$AW$6:$AX$17,2,FALSE),0)</f>
        <v>0</v>
      </c>
      <c r="Y296" s="68">
        <f>SUM(Tabla1[[#This Row],[MES ADEUDO DE AÑOS PASADOS ]:[MESES DE ADEUDO DEL AÑO EN CURSO ]])-Tabla1[[#This Row],[PAGO DE DEUDA ANTERIOR EN MESES]]</f>
        <v>0</v>
      </c>
      <c r="Z296" s="15">
        <f>Tabla1[[#This Row],[MES ADEUDO DE AÑOS PASADOS ]]*$T$2</f>
        <v>0</v>
      </c>
      <c r="AA296" s="15">
        <f>Tabla1[[#This Row],[MESES DE ADEUDO DEL AÑO EN CURSO ]]*$T$2</f>
        <v>0</v>
      </c>
      <c r="AB296" s="69">
        <f>SUM(Tabla1[[#This Row],[DEUDA DE LOS MESES PASADOS EN $$]:[DEUDA DEL AÑO 2013 $$ ]])</f>
        <v>0</v>
      </c>
      <c r="AD296">
        <f>Tabla1[[#This Row],[PAGO DE DEUDA ANTERIOR EN MESES]]*$T$2</f>
        <v>0</v>
      </c>
      <c r="AG296" s="100">
        <f>IF(Tabla1[[#This Row],[TIPO DE CONSUMIDOR]]="MEDIO",IF(Tabla1[[#This Row],[ENERO ]]&gt;22.5,Tabla1[[#This Row],[ENERO ]]/22.5-1,0),IF(Tabla1[[#This Row],[ENERO ]]&gt;45,Tabla1[[#This Row],[ENERO ]]/45-1,0))</f>
        <v>0</v>
      </c>
      <c r="AH29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6" s="100">
        <f>IF(Tabla1[[#This Row],[TIPO DE CONSUMIDOR]]="MEDIO",IF(Tabla1[[#This Row],[MARZO]]&gt;22.5,Tabla1[[#This Row],[MARZO]]/22.5-1,0),IF(Tabla1[[#This Row],[MARZO]]&gt;45,Tabla1[[#This Row],[MARZO]]/45-1,0))</f>
        <v>0</v>
      </c>
      <c r="AJ296" s="100">
        <f>IF(Tabla1[[#This Row],[TIPO DE CONSUMIDOR]]="MEDIO",IF(Tabla1[[#This Row],[ABRIL]]&gt;22.5,Tabla1[[#This Row],[ABRIL]]/22.5-1,0),IF(Tabla1[[#This Row],[ABRIL]]&gt;45,Tabla1[[#This Row],[ABRIL]]/45-1,0))</f>
        <v>0</v>
      </c>
      <c r="AK296" s="100">
        <f>IF(Tabla1[[#This Row],[TIPO DE CONSUMIDOR]]="MEDIO",IF(Tabla1[[#This Row],[MAYO ]]&gt;22.5,Tabla1[[#This Row],[MAYO ]]/22.5-1,0),IF(Tabla1[[#This Row],[MAYO ]]&gt;45,Tabla1[[#This Row],[MAYO ]]/45-1,0))</f>
        <v>0</v>
      </c>
      <c r="AL296" s="100">
        <f>IF(Tabla1[[#This Row],[TIPO DE CONSUMIDOR]]="MEDIO",IF(Tabla1[[#This Row],[JUNIO ]]&gt;22.5,Tabla1[[#This Row],[JUNIO ]]/22.5-1,0),IF(Tabla1[[#This Row],[JUNIO ]]&gt;45,Tabla1[[#This Row],[JUNIO ]]/45-1,0))</f>
        <v>0</v>
      </c>
      <c r="AM296" s="100">
        <f>IF(Tabla1[[#This Row],[TIPO DE CONSUMIDOR]]="MEDIO",IF(Tabla1[[#This Row],[JULIO ]]&gt;22.5,Tabla1[[#This Row],[JULIO ]]/22.5-1,0),IF(Tabla1[[#This Row],[JULIO ]]&gt;45,Tabla1[[#This Row],[JULIO ]]/45-1,0))</f>
        <v>0</v>
      </c>
      <c r="AN296" s="100">
        <f>IF(Tabla1[[#This Row],[TIPO DE CONSUMIDOR]]="MEDIO",IF(Tabla1[[#This Row],[AGOSTO]]&gt;22.5,Tabla1[[#This Row],[AGOSTO]]/22.5-1,0),IF(Tabla1[[#This Row],[AGOSTO]]&gt;45,Tabla1[[#This Row],[AGOSTO]]/45-1,0))</f>
        <v>0</v>
      </c>
      <c r="AO29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6" s="101">
        <f t="shared" si="9"/>
        <v>0</v>
      </c>
      <c r="AT296">
        <f>IF(Tabla1[[#This Row],[MES ADEUDO DE AÑOS PASADOS ]]&gt;0,1,0)</f>
        <v>0</v>
      </c>
      <c r="AU296" s="9">
        <f t="shared" si="10"/>
        <v>0</v>
      </c>
      <c r="AV296" s="60">
        <f>IF(Tabla1[[#This Row],[MESES DE ADEUDO DEL AÑO EN CURSO ]]&gt;0,1,0)</f>
        <v>0</v>
      </c>
      <c r="AW296" s="42"/>
      <c r="AX296" s="42"/>
      <c r="AY296" s="42"/>
      <c r="AZ296" s="43"/>
    </row>
    <row r="297" spans="1:52" ht="21.75" thickBot="1" x14ac:dyDescent="0.35">
      <c r="A297" s="106">
        <v>291</v>
      </c>
      <c r="B297" s="5" t="s">
        <v>46</v>
      </c>
      <c r="C297" s="2" t="s">
        <v>530</v>
      </c>
      <c r="D297" s="32"/>
      <c r="E297" s="35" t="s">
        <v>455</v>
      </c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24">
        <f>SUM(Tabla1[[#This Row],[ENERO ]:[DICIEMBRE]])</f>
        <v>0</v>
      </c>
      <c r="W297">
        <v>1</v>
      </c>
      <c r="X297" s="21">
        <f>COUNTIF(Tabla1[[#This Row],[ENERO ]:[DICIEMBRE]],0)-(AS297)-IF(Tabla1[[#This Row],[BAJAS]]="BAJA",IF(Tabla1[[#This Row],[ALTAS]]="ALTA",VLOOKUP(Tabla1[[#This Row],[MES DE ALTA ]],$AW$6:$AX$17,2,FALSE),12)-VLOOKUP(Tabla1[[#This Row],[MES DE BAJA ]],$AW$6:$AX$17,2,FALSE),0)</f>
        <v>0</v>
      </c>
      <c r="Y297" s="68">
        <f>SUM(Tabla1[[#This Row],[MES ADEUDO DE AÑOS PASADOS ]:[MESES DE ADEUDO DEL AÑO EN CURSO ]])-Tabla1[[#This Row],[PAGO DE DEUDA ANTERIOR EN MESES]]</f>
        <v>1</v>
      </c>
      <c r="Z297" s="15">
        <f>Tabla1[[#This Row],[MES ADEUDO DE AÑOS PASADOS ]]*$T$2</f>
        <v>45</v>
      </c>
      <c r="AA297" s="15">
        <f>Tabla1[[#This Row],[MESES DE ADEUDO DEL AÑO EN CURSO ]]*$T$2</f>
        <v>0</v>
      </c>
      <c r="AB297" s="69">
        <f>SUM(Tabla1[[#This Row],[DEUDA DE LOS MESES PASADOS EN $$]:[DEUDA DEL AÑO 2013 $$ ]])</f>
        <v>45</v>
      </c>
      <c r="AD297">
        <f>Tabla1[[#This Row],[PAGO DE DEUDA ANTERIOR EN MESES]]*$T$2</f>
        <v>0</v>
      </c>
      <c r="AG297" s="100">
        <f>IF(Tabla1[[#This Row],[TIPO DE CONSUMIDOR]]="MEDIO",IF(Tabla1[[#This Row],[ENERO ]]&gt;22.5,Tabla1[[#This Row],[ENERO ]]/22.5-1,0),IF(Tabla1[[#This Row],[ENERO ]]&gt;45,Tabla1[[#This Row],[ENERO ]]/45-1,0))</f>
        <v>0</v>
      </c>
      <c r="AH29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7" s="100">
        <f>IF(Tabla1[[#This Row],[TIPO DE CONSUMIDOR]]="MEDIO",IF(Tabla1[[#This Row],[MARZO]]&gt;22.5,Tabla1[[#This Row],[MARZO]]/22.5-1,0),IF(Tabla1[[#This Row],[MARZO]]&gt;45,Tabla1[[#This Row],[MARZO]]/45-1,0))</f>
        <v>0</v>
      </c>
      <c r="AJ297" s="100">
        <f>IF(Tabla1[[#This Row],[TIPO DE CONSUMIDOR]]="MEDIO",IF(Tabla1[[#This Row],[ABRIL]]&gt;22.5,Tabla1[[#This Row],[ABRIL]]/22.5-1,0),IF(Tabla1[[#This Row],[ABRIL]]&gt;45,Tabla1[[#This Row],[ABRIL]]/45-1,0))</f>
        <v>0</v>
      </c>
      <c r="AK297" s="100">
        <f>IF(Tabla1[[#This Row],[TIPO DE CONSUMIDOR]]="MEDIO",IF(Tabla1[[#This Row],[MAYO ]]&gt;22.5,Tabla1[[#This Row],[MAYO ]]/22.5-1,0),IF(Tabla1[[#This Row],[MAYO ]]&gt;45,Tabla1[[#This Row],[MAYO ]]/45-1,0))</f>
        <v>0</v>
      </c>
      <c r="AL297" s="100">
        <f>IF(Tabla1[[#This Row],[TIPO DE CONSUMIDOR]]="MEDIO",IF(Tabla1[[#This Row],[JUNIO ]]&gt;22.5,Tabla1[[#This Row],[JUNIO ]]/22.5-1,0),IF(Tabla1[[#This Row],[JUNIO ]]&gt;45,Tabla1[[#This Row],[JUNIO ]]/45-1,0))</f>
        <v>0</v>
      </c>
      <c r="AM297" s="100">
        <f>IF(Tabla1[[#This Row],[TIPO DE CONSUMIDOR]]="MEDIO",IF(Tabla1[[#This Row],[JULIO ]]&gt;22.5,Tabla1[[#This Row],[JULIO ]]/22.5-1,0),IF(Tabla1[[#This Row],[JULIO ]]&gt;45,Tabla1[[#This Row],[JULIO ]]/45-1,0))</f>
        <v>0</v>
      </c>
      <c r="AN297" s="100">
        <f>IF(Tabla1[[#This Row],[TIPO DE CONSUMIDOR]]="MEDIO",IF(Tabla1[[#This Row],[AGOSTO]]&gt;22.5,Tabla1[[#This Row],[AGOSTO]]/22.5-1,0),IF(Tabla1[[#This Row],[AGOSTO]]&gt;45,Tabla1[[#This Row],[AGOSTO]]/45-1,0))</f>
        <v>0</v>
      </c>
      <c r="AO29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7" s="101">
        <f t="shared" si="9"/>
        <v>0</v>
      </c>
      <c r="AT297">
        <f>IF(Tabla1[[#This Row],[MES ADEUDO DE AÑOS PASADOS ]]&gt;0,1,0)</f>
        <v>1</v>
      </c>
      <c r="AU297" s="9">
        <f t="shared" si="10"/>
        <v>1</v>
      </c>
      <c r="AV297" s="60">
        <f>IF(Tabla1[[#This Row],[MESES DE ADEUDO DEL AÑO EN CURSO ]]&gt;0,1,0)</f>
        <v>0</v>
      </c>
      <c r="AW297" s="42"/>
      <c r="AX297" s="42"/>
      <c r="AY297" s="42"/>
      <c r="AZ297" s="43"/>
    </row>
    <row r="298" spans="1:52" ht="21.75" thickBot="1" x14ac:dyDescent="0.35">
      <c r="A298" s="106">
        <v>292</v>
      </c>
      <c r="B298" s="5" t="s">
        <v>103</v>
      </c>
      <c r="C298" s="2" t="s">
        <v>530</v>
      </c>
      <c r="D298" s="32"/>
      <c r="E298" s="35" t="s">
        <v>455</v>
      </c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24">
        <f>SUM(Tabla1[[#This Row],[ENERO ]:[DICIEMBRE]])</f>
        <v>0</v>
      </c>
      <c r="W298">
        <v>1</v>
      </c>
      <c r="X298" s="21">
        <f>COUNTIF(Tabla1[[#This Row],[ENERO ]:[DICIEMBRE]],0)-(AS298)-IF(Tabla1[[#This Row],[BAJAS]]="BAJA",IF(Tabla1[[#This Row],[ALTAS]]="ALTA",VLOOKUP(Tabla1[[#This Row],[MES DE ALTA ]],$AW$6:$AX$17,2,FALSE),12)-VLOOKUP(Tabla1[[#This Row],[MES DE BAJA ]],$AW$6:$AX$17,2,FALSE),0)</f>
        <v>0</v>
      </c>
      <c r="Y298" s="68">
        <f>SUM(Tabla1[[#This Row],[MES ADEUDO DE AÑOS PASADOS ]:[MESES DE ADEUDO DEL AÑO EN CURSO ]])-Tabla1[[#This Row],[PAGO DE DEUDA ANTERIOR EN MESES]]</f>
        <v>1</v>
      </c>
      <c r="Z298" s="15">
        <f>Tabla1[[#This Row],[MES ADEUDO DE AÑOS PASADOS ]]*$T$2</f>
        <v>45</v>
      </c>
      <c r="AA298" s="15">
        <f>Tabla1[[#This Row],[MESES DE ADEUDO DEL AÑO EN CURSO ]]*$T$2</f>
        <v>0</v>
      </c>
      <c r="AB298" s="69">
        <f>SUM(Tabla1[[#This Row],[DEUDA DE LOS MESES PASADOS EN $$]:[DEUDA DEL AÑO 2013 $$ ]])</f>
        <v>45</v>
      </c>
      <c r="AD298">
        <f>Tabla1[[#This Row],[PAGO DE DEUDA ANTERIOR EN MESES]]*$T$2</f>
        <v>0</v>
      </c>
      <c r="AG298" s="100">
        <f>IF(Tabla1[[#This Row],[TIPO DE CONSUMIDOR]]="MEDIO",IF(Tabla1[[#This Row],[ENERO ]]&gt;22.5,Tabla1[[#This Row],[ENERO ]]/22.5-1,0),IF(Tabla1[[#This Row],[ENERO ]]&gt;45,Tabla1[[#This Row],[ENERO ]]/45-1,0))</f>
        <v>0</v>
      </c>
      <c r="AH29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8" s="100">
        <f>IF(Tabla1[[#This Row],[TIPO DE CONSUMIDOR]]="MEDIO",IF(Tabla1[[#This Row],[MARZO]]&gt;22.5,Tabla1[[#This Row],[MARZO]]/22.5-1,0),IF(Tabla1[[#This Row],[MARZO]]&gt;45,Tabla1[[#This Row],[MARZO]]/45-1,0))</f>
        <v>0</v>
      </c>
      <c r="AJ298" s="100">
        <f>IF(Tabla1[[#This Row],[TIPO DE CONSUMIDOR]]="MEDIO",IF(Tabla1[[#This Row],[ABRIL]]&gt;22.5,Tabla1[[#This Row],[ABRIL]]/22.5-1,0),IF(Tabla1[[#This Row],[ABRIL]]&gt;45,Tabla1[[#This Row],[ABRIL]]/45-1,0))</f>
        <v>0</v>
      </c>
      <c r="AK298" s="100">
        <f>IF(Tabla1[[#This Row],[TIPO DE CONSUMIDOR]]="MEDIO",IF(Tabla1[[#This Row],[MAYO ]]&gt;22.5,Tabla1[[#This Row],[MAYO ]]/22.5-1,0),IF(Tabla1[[#This Row],[MAYO ]]&gt;45,Tabla1[[#This Row],[MAYO ]]/45-1,0))</f>
        <v>0</v>
      </c>
      <c r="AL298" s="100">
        <f>IF(Tabla1[[#This Row],[TIPO DE CONSUMIDOR]]="MEDIO",IF(Tabla1[[#This Row],[JUNIO ]]&gt;22.5,Tabla1[[#This Row],[JUNIO ]]/22.5-1,0),IF(Tabla1[[#This Row],[JUNIO ]]&gt;45,Tabla1[[#This Row],[JUNIO ]]/45-1,0))</f>
        <v>0</v>
      </c>
      <c r="AM298" s="100">
        <f>IF(Tabla1[[#This Row],[TIPO DE CONSUMIDOR]]="MEDIO",IF(Tabla1[[#This Row],[JULIO ]]&gt;22.5,Tabla1[[#This Row],[JULIO ]]/22.5-1,0),IF(Tabla1[[#This Row],[JULIO ]]&gt;45,Tabla1[[#This Row],[JULIO ]]/45-1,0))</f>
        <v>0</v>
      </c>
      <c r="AN298" s="100">
        <f>IF(Tabla1[[#This Row],[TIPO DE CONSUMIDOR]]="MEDIO",IF(Tabla1[[#This Row],[AGOSTO]]&gt;22.5,Tabla1[[#This Row],[AGOSTO]]/22.5-1,0),IF(Tabla1[[#This Row],[AGOSTO]]&gt;45,Tabla1[[#This Row],[AGOSTO]]/45-1,0))</f>
        <v>0</v>
      </c>
      <c r="AO29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8" s="101">
        <f t="shared" si="9"/>
        <v>0</v>
      </c>
      <c r="AT298">
        <f>IF(Tabla1[[#This Row],[MES ADEUDO DE AÑOS PASADOS ]]&gt;0,1,0)</f>
        <v>1</v>
      </c>
      <c r="AU298" s="9">
        <f t="shared" si="10"/>
        <v>1</v>
      </c>
      <c r="AV298" s="60">
        <f>IF(Tabla1[[#This Row],[MESES DE ADEUDO DEL AÑO EN CURSO ]]&gt;0,1,0)</f>
        <v>0</v>
      </c>
      <c r="AW298" s="42"/>
      <c r="AX298" s="42"/>
      <c r="AY298" s="42"/>
      <c r="AZ298" s="43"/>
    </row>
    <row r="299" spans="1:52" ht="21.75" thickBot="1" x14ac:dyDescent="0.35">
      <c r="A299" s="106">
        <v>293</v>
      </c>
      <c r="B299" s="5" t="s">
        <v>205</v>
      </c>
      <c r="C299" s="2" t="s">
        <v>530</v>
      </c>
      <c r="D299" s="32"/>
      <c r="E299" s="35" t="s">
        <v>455</v>
      </c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24">
        <f>SUM(Tabla1[[#This Row],[ENERO ]:[DICIEMBRE]])</f>
        <v>0</v>
      </c>
      <c r="W299">
        <v>1</v>
      </c>
      <c r="X299" s="21">
        <f>COUNTIF(Tabla1[[#This Row],[ENERO ]:[DICIEMBRE]],0)-(AS299)-IF(Tabla1[[#This Row],[BAJAS]]="BAJA",IF(Tabla1[[#This Row],[ALTAS]]="ALTA",VLOOKUP(Tabla1[[#This Row],[MES DE ALTA ]],$AW$6:$AX$17,2,FALSE),12)-VLOOKUP(Tabla1[[#This Row],[MES DE BAJA ]],$AW$6:$AX$17,2,FALSE),0)</f>
        <v>0</v>
      </c>
      <c r="Y299" s="68">
        <f>SUM(Tabla1[[#This Row],[MES ADEUDO DE AÑOS PASADOS ]:[MESES DE ADEUDO DEL AÑO EN CURSO ]])-Tabla1[[#This Row],[PAGO DE DEUDA ANTERIOR EN MESES]]</f>
        <v>1</v>
      </c>
      <c r="Z299" s="15">
        <f>Tabla1[[#This Row],[MES ADEUDO DE AÑOS PASADOS ]]*$T$2</f>
        <v>45</v>
      </c>
      <c r="AA299" s="15">
        <f>Tabla1[[#This Row],[MESES DE ADEUDO DEL AÑO EN CURSO ]]*$T$2</f>
        <v>0</v>
      </c>
      <c r="AB299" s="69">
        <f>SUM(Tabla1[[#This Row],[DEUDA DE LOS MESES PASADOS EN $$]:[DEUDA DEL AÑO 2013 $$ ]])</f>
        <v>45</v>
      </c>
      <c r="AD299">
        <f>Tabla1[[#This Row],[PAGO DE DEUDA ANTERIOR EN MESES]]*$T$2</f>
        <v>0</v>
      </c>
      <c r="AG299" s="100">
        <f>IF(Tabla1[[#This Row],[TIPO DE CONSUMIDOR]]="MEDIO",IF(Tabla1[[#This Row],[ENERO ]]&gt;22.5,Tabla1[[#This Row],[ENERO ]]/22.5-1,0),IF(Tabla1[[#This Row],[ENERO ]]&gt;45,Tabla1[[#This Row],[ENERO ]]/45-1,0))</f>
        <v>0</v>
      </c>
      <c r="AH29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299" s="100">
        <f>IF(Tabla1[[#This Row],[TIPO DE CONSUMIDOR]]="MEDIO",IF(Tabla1[[#This Row],[MARZO]]&gt;22.5,Tabla1[[#This Row],[MARZO]]/22.5-1,0),IF(Tabla1[[#This Row],[MARZO]]&gt;45,Tabla1[[#This Row],[MARZO]]/45-1,0))</f>
        <v>0</v>
      </c>
      <c r="AJ299" s="100">
        <f>IF(Tabla1[[#This Row],[TIPO DE CONSUMIDOR]]="MEDIO",IF(Tabla1[[#This Row],[ABRIL]]&gt;22.5,Tabla1[[#This Row],[ABRIL]]/22.5-1,0),IF(Tabla1[[#This Row],[ABRIL]]&gt;45,Tabla1[[#This Row],[ABRIL]]/45-1,0))</f>
        <v>0</v>
      </c>
      <c r="AK299" s="100">
        <f>IF(Tabla1[[#This Row],[TIPO DE CONSUMIDOR]]="MEDIO",IF(Tabla1[[#This Row],[MAYO ]]&gt;22.5,Tabla1[[#This Row],[MAYO ]]/22.5-1,0),IF(Tabla1[[#This Row],[MAYO ]]&gt;45,Tabla1[[#This Row],[MAYO ]]/45-1,0))</f>
        <v>0</v>
      </c>
      <c r="AL299" s="100">
        <f>IF(Tabla1[[#This Row],[TIPO DE CONSUMIDOR]]="MEDIO",IF(Tabla1[[#This Row],[JUNIO ]]&gt;22.5,Tabla1[[#This Row],[JUNIO ]]/22.5-1,0),IF(Tabla1[[#This Row],[JUNIO ]]&gt;45,Tabla1[[#This Row],[JUNIO ]]/45-1,0))</f>
        <v>0</v>
      </c>
      <c r="AM299" s="100">
        <f>IF(Tabla1[[#This Row],[TIPO DE CONSUMIDOR]]="MEDIO",IF(Tabla1[[#This Row],[JULIO ]]&gt;22.5,Tabla1[[#This Row],[JULIO ]]/22.5-1,0),IF(Tabla1[[#This Row],[JULIO ]]&gt;45,Tabla1[[#This Row],[JULIO ]]/45-1,0))</f>
        <v>0</v>
      </c>
      <c r="AN299" s="100">
        <f>IF(Tabla1[[#This Row],[TIPO DE CONSUMIDOR]]="MEDIO",IF(Tabla1[[#This Row],[AGOSTO]]&gt;22.5,Tabla1[[#This Row],[AGOSTO]]/22.5-1,0),IF(Tabla1[[#This Row],[AGOSTO]]&gt;45,Tabla1[[#This Row],[AGOSTO]]/45-1,0))</f>
        <v>0</v>
      </c>
      <c r="AO29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29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29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29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299" s="101">
        <f t="shared" si="9"/>
        <v>0</v>
      </c>
      <c r="AT299">
        <f>IF(Tabla1[[#This Row],[MES ADEUDO DE AÑOS PASADOS ]]&gt;0,1,0)</f>
        <v>1</v>
      </c>
      <c r="AU299" s="9">
        <f t="shared" si="10"/>
        <v>1</v>
      </c>
      <c r="AV299" s="60">
        <f>IF(Tabla1[[#This Row],[MESES DE ADEUDO DEL AÑO EN CURSO ]]&gt;0,1,0)</f>
        <v>0</v>
      </c>
      <c r="AW299" s="42"/>
      <c r="AX299" s="42"/>
      <c r="AY299" s="42"/>
      <c r="AZ299" s="43"/>
    </row>
    <row r="300" spans="1:52" ht="21.75" thickBot="1" x14ac:dyDescent="0.35">
      <c r="A300" s="106">
        <v>294</v>
      </c>
      <c r="B300" s="5" t="s">
        <v>536</v>
      </c>
      <c r="C300" s="2" t="s">
        <v>530</v>
      </c>
      <c r="D300" s="32"/>
      <c r="E300" s="35" t="s">
        <v>455</v>
      </c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24">
        <f>SUM(Tabla1[[#This Row],[ENERO ]:[DICIEMBRE]])</f>
        <v>0</v>
      </c>
      <c r="W300">
        <v>2</v>
      </c>
      <c r="X300" s="21">
        <f>COUNTIF(Tabla1[[#This Row],[ENERO ]:[DICIEMBRE]],0)-(AS300)-IF(Tabla1[[#This Row],[BAJAS]]="BAJA",IF(Tabla1[[#This Row],[ALTAS]]="ALTA",VLOOKUP(Tabla1[[#This Row],[MES DE ALTA ]],$AW$6:$AX$17,2,FALSE),12)-VLOOKUP(Tabla1[[#This Row],[MES DE BAJA ]],$AW$6:$AX$17,2,FALSE),0)</f>
        <v>0</v>
      </c>
      <c r="Y300" s="68">
        <f>SUM(Tabla1[[#This Row],[MES ADEUDO DE AÑOS PASADOS ]:[MESES DE ADEUDO DEL AÑO EN CURSO ]])-Tabla1[[#This Row],[PAGO DE DEUDA ANTERIOR EN MESES]]</f>
        <v>2</v>
      </c>
      <c r="Z300" s="15">
        <f>Tabla1[[#This Row],[MES ADEUDO DE AÑOS PASADOS ]]*$T$2</f>
        <v>90</v>
      </c>
      <c r="AA300" s="15">
        <f>Tabla1[[#This Row],[MESES DE ADEUDO DEL AÑO EN CURSO ]]*$T$2</f>
        <v>0</v>
      </c>
      <c r="AB300" s="69">
        <f>SUM(Tabla1[[#This Row],[DEUDA DE LOS MESES PASADOS EN $$]:[DEUDA DEL AÑO 2013 $$ ]])</f>
        <v>90</v>
      </c>
      <c r="AD300">
        <f>Tabla1[[#This Row],[PAGO DE DEUDA ANTERIOR EN MESES]]*$T$2</f>
        <v>0</v>
      </c>
      <c r="AG300" s="100">
        <f>IF(Tabla1[[#This Row],[TIPO DE CONSUMIDOR]]="MEDIO",IF(Tabla1[[#This Row],[ENERO ]]&gt;22.5,Tabla1[[#This Row],[ENERO ]]/22.5-1,0),IF(Tabla1[[#This Row],[ENERO ]]&gt;45,Tabla1[[#This Row],[ENERO ]]/45-1,0))</f>
        <v>0</v>
      </c>
      <c r="AH30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0" s="100">
        <f>IF(Tabla1[[#This Row],[TIPO DE CONSUMIDOR]]="MEDIO",IF(Tabla1[[#This Row],[MARZO]]&gt;22.5,Tabla1[[#This Row],[MARZO]]/22.5-1,0),IF(Tabla1[[#This Row],[MARZO]]&gt;45,Tabla1[[#This Row],[MARZO]]/45-1,0))</f>
        <v>0</v>
      </c>
      <c r="AJ300" s="100">
        <f>IF(Tabla1[[#This Row],[TIPO DE CONSUMIDOR]]="MEDIO",IF(Tabla1[[#This Row],[ABRIL]]&gt;22.5,Tabla1[[#This Row],[ABRIL]]/22.5-1,0),IF(Tabla1[[#This Row],[ABRIL]]&gt;45,Tabla1[[#This Row],[ABRIL]]/45-1,0))</f>
        <v>0</v>
      </c>
      <c r="AK300" s="100">
        <f>IF(Tabla1[[#This Row],[TIPO DE CONSUMIDOR]]="MEDIO",IF(Tabla1[[#This Row],[MAYO ]]&gt;22.5,Tabla1[[#This Row],[MAYO ]]/22.5-1,0),IF(Tabla1[[#This Row],[MAYO ]]&gt;45,Tabla1[[#This Row],[MAYO ]]/45-1,0))</f>
        <v>0</v>
      </c>
      <c r="AL300" s="100">
        <f>IF(Tabla1[[#This Row],[TIPO DE CONSUMIDOR]]="MEDIO",IF(Tabla1[[#This Row],[JUNIO ]]&gt;22.5,Tabla1[[#This Row],[JUNIO ]]/22.5-1,0),IF(Tabla1[[#This Row],[JUNIO ]]&gt;45,Tabla1[[#This Row],[JUNIO ]]/45-1,0))</f>
        <v>0</v>
      </c>
      <c r="AM300" s="100">
        <f>IF(Tabla1[[#This Row],[TIPO DE CONSUMIDOR]]="MEDIO",IF(Tabla1[[#This Row],[JULIO ]]&gt;22.5,Tabla1[[#This Row],[JULIO ]]/22.5-1,0),IF(Tabla1[[#This Row],[JULIO ]]&gt;45,Tabla1[[#This Row],[JULIO ]]/45-1,0))</f>
        <v>0</v>
      </c>
      <c r="AN300" s="100">
        <f>IF(Tabla1[[#This Row],[TIPO DE CONSUMIDOR]]="MEDIO",IF(Tabla1[[#This Row],[AGOSTO]]&gt;22.5,Tabla1[[#This Row],[AGOSTO]]/22.5-1,0),IF(Tabla1[[#This Row],[AGOSTO]]&gt;45,Tabla1[[#This Row],[AGOSTO]]/45-1,0))</f>
        <v>0</v>
      </c>
      <c r="AO30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0" s="101">
        <f t="shared" si="9"/>
        <v>0</v>
      </c>
      <c r="AT300">
        <f>IF(Tabla1[[#This Row],[MES ADEUDO DE AÑOS PASADOS ]]&gt;0,1,0)</f>
        <v>1</v>
      </c>
      <c r="AU300" s="9">
        <f t="shared" si="10"/>
        <v>1</v>
      </c>
      <c r="AV300" s="60">
        <f>IF(Tabla1[[#This Row],[MESES DE ADEUDO DEL AÑO EN CURSO ]]&gt;0,1,0)</f>
        <v>0</v>
      </c>
      <c r="AW300" s="42"/>
      <c r="AX300" s="42"/>
      <c r="AY300" s="42"/>
      <c r="AZ300" s="43"/>
    </row>
    <row r="301" spans="1:52" ht="21.75" thickBot="1" x14ac:dyDescent="0.35">
      <c r="A301" s="106">
        <v>295</v>
      </c>
      <c r="B301" s="5" t="s">
        <v>175</v>
      </c>
      <c r="C301" s="2" t="s">
        <v>530</v>
      </c>
      <c r="D301" s="32"/>
      <c r="E301" s="35" t="s">
        <v>455</v>
      </c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24">
        <f>SUM(Tabla1[[#This Row],[ENERO ]:[DICIEMBRE]])</f>
        <v>0</v>
      </c>
      <c r="W301">
        <v>2</v>
      </c>
      <c r="X301" s="21">
        <f>COUNTIF(Tabla1[[#This Row],[ENERO ]:[DICIEMBRE]],0)-(AS301)-IF(Tabla1[[#This Row],[BAJAS]]="BAJA",IF(Tabla1[[#This Row],[ALTAS]]="ALTA",VLOOKUP(Tabla1[[#This Row],[MES DE ALTA ]],$AW$6:$AX$17,2,FALSE),12)-VLOOKUP(Tabla1[[#This Row],[MES DE BAJA ]],$AW$6:$AX$17,2,FALSE),0)</f>
        <v>0</v>
      </c>
      <c r="Y301" s="68">
        <f>SUM(Tabla1[[#This Row],[MES ADEUDO DE AÑOS PASADOS ]:[MESES DE ADEUDO DEL AÑO EN CURSO ]])-Tabla1[[#This Row],[PAGO DE DEUDA ANTERIOR EN MESES]]</f>
        <v>2</v>
      </c>
      <c r="Z301" s="15">
        <f>Tabla1[[#This Row],[MES ADEUDO DE AÑOS PASADOS ]]*$T$2</f>
        <v>90</v>
      </c>
      <c r="AA301" s="15">
        <f>Tabla1[[#This Row],[MESES DE ADEUDO DEL AÑO EN CURSO ]]*$T$2</f>
        <v>0</v>
      </c>
      <c r="AB301" s="69">
        <f>SUM(Tabla1[[#This Row],[DEUDA DE LOS MESES PASADOS EN $$]:[DEUDA DEL AÑO 2013 $$ ]])</f>
        <v>90</v>
      </c>
      <c r="AD301">
        <f>Tabla1[[#This Row],[PAGO DE DEUDA ANTERIOR EN MESES]]*$T$2</f>
        <v>0</v>
      </c>
      <c r="AG301" s="100">
        <f>IF(Tabla1[[#This Row],[TIPO DE CONSUMIDOR]]="MEDIO",IF(Tabla1[[#This Row],[ENERO ]]&gt;22.5,Tabla1[[#This Row],[ENERO ]]/22.5-1,0),IF(Tabla1[[#This Row],[ENERO ]]&gt;45,Tabla1[[#This Row],[ENERO ]]/45-1,0))</f>
        <v>0</v>
      </c>
      <c r="AH30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1" s="100">
        <f>IF(Tabla1[[#This Row],[TIPO DE CONSUMIDOR]]="MEDIO",IF(Tabla1[[#This Row],[MARZO]]&gt;22.5,Tabla1[[#This Row],[MARZO]]/22.5-1,0),IF(Tabla1[[#This Row],[MARZO]]&gt;45,Tabla1[[#This Row],[MARZO]]/45-1,0))</f>
        <v>0</v>
      </c>
      <c r="AJ301" s="100">
        <f>IF(Tabla1[[#This Row],[TIPO DE CONSUMIDOR]]="MEDIO",IF(Tabla1[[#This Row],[ABRIL]]&gt;22.5,Tabla1[[#This Row],[ABRIL]]/22.5-1,0),IF(Tabla1[[#This Row],[ABRIL]]&gt;45,Tabla1[[#This Row],[ABRIL]]/45-1,0))</f>
        <v>0</v>
      </c>
      <c r="AK301" s="100">
        <f>IF(Tabla1[[#This Row],[TIPO DE CONSUMIDOR]]="MEDIO",IF(Tabla1[[#This Row],[MAYO ]]&gt;22.5,Tabla1[[#This Row],[MAYO ]]/22.5-1,0),IF(Tabla1[[#This Row],[MAYO ]]&gt;45,Tabla1[[#This Row],[MAYO ]]/45-1,0))</f>
        <v>0</v>
      </c>
      <c r="AL301" s="100">
        <f>IF(Tabla1[[#This Row],[TIPO DE CONSUMIDOR]]="MEDIO",IF(Tabla1[[#This Row],[JUNIO ]]&gt;22.5,Tabla1[[#This Row],[JUNIO ]]/22.5-1,0),IF(Tabla1[[#This Row],[JUNIO ]]&gt;45,Tabla1[[#This Row],[JUNIO ]]/45-1,0))</f>
        <v>0</v>
      </c>
      <c r="AM301" s="100">
        <f>IF(Tabla1[[#This Row],[TIPO DE CONSUMIDOR]]="MEDIO",IF(Tabla1[[#This Row],[JULIO ]]&gt;22.5,Tabla1[[#This Row],[JULIO ]]/22.5-1,0),IF(Tabla1[[#This Row],[JULIO ]]&gt;45,Tabla1[[#This Row],[JULIO ]]/45-1,0))</f>
        <v>0</v>
      </c>
      <c r="AN301" s="100">
        <f>IF(Tabla1[[#This Row],[TIPO DE CONSUMIDOR]]="MEDIO",IF(Tabla1[[#This Row],[AGOSTO]]&gt;22.5,Tabla1[[#This Row],[AGOSTO]]/22.5-1,0),IF(Tabla1[[#This Row],[AGOSTO]]&gt;45,Tabla1[[#This Row],[AGOSTO]]/45-1,0))</f>
        <v>0</v>
      </c>
      <c r="AO30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1" s="101">
        <f t="shared" si="9"/>
        <v>0</v>
      </c>
      <c r="AT301">
        <f>IF(Tabla1[[#This Row],[MES ADEUDO DE AÑOS PASADOS ]]&gt;0,1,0)</f>
        <v>1</v>
      </c>
      <c r="AU301" s="9">
        <f t="shared" si="10"/>
        <v>1</v>
      </c>
      <c r="AV301" s="60">
        <f>IF(Tabla1[[#This Row],[MESES DE ADEUDO DEL AÑO EN CURSO ]]&gt;0,1,0)</f>
        <v>0</v>
      </c>
      <c r="AW301" s="42"/>
      <c r="AX301" s="42"/>
      <c r="AY301" s="42"/>
      <c r="AZ301" s="43"/>
    </row>
    <row r="302" spans="1:52" ht="21.75" thickBot="1" x14ac:dyDescent="0.35">
      <c r="A302" s="106">
        <v>296</v>
      </c>
      <c r="B302" s="5" t="s">
        <v>401</v>
      </c>
      <c r="C302" s="2" t="s">
        <v>530</v>
      </c>
      <c r="D302" s="32"/>
      <c r="E302" s="35" t="s">
        <v>455</v>
      </c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24">
        <f>SUM(Tabla1[[#This Row],[ENERO ]:[DICIEMBRE]])</f>
        <v>0</v>
      </c>
      <c r="W302">
        <v>2</v>
      </c>
      <c r="X302" s="21">
        <f>COUNTIF(Tabla1[[#This Row],[ENERO ]:[DICIEMBRE]],0)-(AS302)-IF(Tabla1[[#This Row],[BAJAS]]="BAJA",IF(Tabla1[[#This Row],[ALTAS]]="ALTA",VLOOKUP(Tabla1[[#This Row],[MES DE ALTA ]],$AW$6:$AX$17,2,FALSE),12)-VLOOKUP(Tabla1[[#This Row],[MES DE BAJA ]],$AW$6:$AX$17,2,FALSE),0)</f>
        <v>0</v>
      </c>
      <c r="Y302" s="68">
        <f>SUM(Tabla1[[#This Row],[MES ADEUDO DE AÑOS PASADOS ]:[MESES DE ADEUDO DEL AÑO EN CURSO ]])-Tabla1[[#This Row],[PAGO DE DEUDA ANTERIOR EN MESES]]</f>
        <v>2</v>
      </c>
      <c r="Z302" s="15">
        <f>Tabla1[[#This Row],[MES ADEUDO DE AÑOS PASADOS ]]*$T$2</f>
        <v>90</v>
      </c>
      <c r="AA302" s="15">
        <f>Tabla1[[#This Row],[MESES DE ADEUDO DEL AÑO EN CURSO ]]*$T$2</f>
        <v>0</v>
      </c>
      <c r="AB302" s="69">
        <f>SUM(Tabla1[[#This Row],[DEUDA DE LOS MESES PASADOS EN $$]:[DEUDA DEL AÑO 2013 $$ ]])</f>
        <v>90</v>
      </c>
      <c r="AD302">
        <f>Tabla1[[#This Row],[PAGO DE DEUDA ANTERIOR EN MESES]]*$T$2</f>
        <v>0</v>
      </c>
      <c r="AG302" s="100">
        <f>IF(Tabla1[[#This Row],[TIPO DE CONSUMIDOR]]="MEDIO",IF(Tabla1[[#This Row],[ENERO ]]&gt;22.5,Tabla1[[#This Row],[ENERO ]]/22.5-1,0),IF(Tabla1[[#This Row],[ENERO ]]&gt;45,Tabla1[[#This Row],[ENERO ]]/45-1,0))</f>
        <v>0</v>
      </c>
      <c r="AH30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2" s="100">
        <f>IF(Tabla1[[#This Row],[TIPO DE CONSUMIDOR]]="MEDIO",IF(Tabla1[[#This Row],[MARZO]]&gt;22.5,Tabla1[[#This Row],[MARZO]]/22.5-1,0),IF(Tabla1[[#This Row],[MARZO]]&gt;45,Tabla1[[#This Row],[MARZO]]/45-1,0))</f>
        <v>0</v>
      </c>
      <c r="AJ302" s="100">
        <f>IF(Tabla1[[#This Row],[TIPO DE CONSUMIDOR]]="MEDIO",IF(Tabla1[[#This Row],[ABRIL]]&gt;22.5,Tabla1[[#This Row],[ABRIL]]/22.5-1,0),IF(Tabla1[[#This Row],[ABRIL]]&gt;45,Tabla1[[#This Row],[ABRIL]]/45-1,0))</f>
        <v>0</v>
      </c>
      <c r="AK302" s="100">
        <f>IF(Tabla1[[#This Row],[TIPO DE CONSUMIDOR]]="MEDIO",IF(Tabla1[[#This Row],[MAYO ]]&gt;22.5,Tabla1[[#This Row],[MAYO ]]/22.5-1,0),IF(Tabla1[[#This Row],[MAYO ]]&gt;45,Tabla1[[#This Row],[MAYO ]]/45-1,0))</f>
        <v>0</v>
      </c>
      <c r="AL302" s="100">
        <f>IF(Tabla1[[#This Row],[TIPO DE CONSUMIDOR]]="MEDIO",IF(Tabla1[[#This Row],[JUNIO ]]&gt;22.5,Tabla1[[#This Row],[JUNIO ]]/22.5-1,0),IF(Tabla1[[#This Row],[JUNIO ]]&gt;45,Tabla1[[#This Row],[JUNIO ]]/45-1,0))</f>
        <v>0</v>
      </c>
      <c r="AM302" s="100">
        <f>IF(Tabla1[[#This Row],[TIPO DE CONSUMIDOR]]="MEDIO",IF(Tabla1[[#This Row],[JULIO ]]&gt;22.5,Tabla1[[#This Row],[JULIO ]]/22.5-1,0),IF(Tabla1[[#This Row],[JULIO ]]&gt;45,Tabla1[[#This Row],[JULIO ]]/45-1,0))</f>
        <v>0</v>
      </c>
      <c r="AN302" s="100">
        <f>IF(Tabla1[[#This Row],[TIPO DE CONSUMIDOR]]="MEDIO",IF(Tabla1[[#This Row],[AGOSTO]]&gt;22.5,Tabla1[[#This Row],[AGOSTO]]/22.5-1,0),IF(Tabla1[[#This Row],[AGOSTO]]&gt;45,Tabla1[[#This Row],[AGOSTO]]/45-1,0))</f>
        <v>0</v>
      </c>
      <c r="AO30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2" s="101">
        <f t="shared" si="9"/>
        <v>0</v>
      </c>
      <c r="AT302">
        <f>IF(Tabla1[[#This Row],[MES ADEUDO DE AÑOS PASADOS ]]&gt;0,1,0)</f>
        <v>1</v>
      </c>
      <c r="AU302" s="9">
        <f t="shared" si="10"/>
        <v>1</v>
      </c>
      <c r="AV302" s="60">
        <f>IF(Tabla1[[#This Row],[MESES DE ADEUDO DEL AÑO EN CURSO ]]&gt;0,1,0)</f>
        <v>0</v>
      </c>
      <c r="AW302" s="42"/>
      <c r="AX302" s="42"/>
      <c r="AY302" s="42"/>
      <c r="AZ302" s="43"/>
    </row>
    <row r="303" spans="1:52" ht="21.75" thickBot="1" x14ac:dyDescent="0.35">
      <c r="A303" s="106">
        <v>297</v>
      </c>
      <c r="B303" s="5" t="s">
        <v>68</v>
      </c>
      <c r="C303" s="2" t="s">
        <v>530</v>
      </c>
      <c r="D303" s="32"/>
      <c r="E303" s="35" t="s">
        <v>455</v>
      </c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24">
        <f>SUM(Tabla1[[#This Row],[ENERO ]:[DICIEMBRE]])</f>
        <v>0</v>
      </c>
      <c r="W303">
        <v>3</v>
      </c>
      <c r="X303" s="21">
        <f>COUNTIF(Tabla1[[#This Row],[ENERO ]:[DICIEMBRE]],0)-(AS303)-IF(Tabla1[[#This Row],[BAJAS]]="BAJA",IF(Tabla1[[#This Row],[ALTAS]]="ALTA",VLOOKUP(Tabla1[[#This Row],[MES DE ALTA ]],$AW$6:$AX$17,2,FALSE),12)-VLOOKUP(Tabla1[[#This Row],[MES DE BAJA ]],$AW$6:$AX$17,2,FALSE),0)</f>
        <v>0</v>
      </c>
      <c r="Y303" s="68">
        <f>SUM(Tabla1[[#This Row],[MES ADEUDO DE AÑOS PASADOS ]:[MESES DE ADEUDO DEL AÑO EN CURSO ]])-Tabla1[[#This Row],[PAGO DE DEUDA ANTERIOR EN MESES]]</f>
        <v>3</v>
      </c>
      <c r="Z303" s="15">
        <f>Tabla1[[#This Row],[MES ADEUDO DE AÑOS PASADOS ]]*$T$2</f>
        <v>135</v>
      </c>
      <c r="AA303" s="15">
        <f>Tabla1[[#This Row],[MESES DE ADEUDO DEL AÑO EN CURSO ]]*$T$2</f>
        <v>0</v>
      </c>
      <c r="AB303" s="69">
        <f>SUM(Tabla1[[#This Row],[DEUDA DE LOS MESES PASADOS EN $$]:[DEUDA DEL AÑO 2013 $$ ]])</f>
        <v>135</v>
      </c>
      <c r="AD303">
        <f>Tabla1[[#This Row],[PAGO DE DEUDA ANTERIOR EN MESES]]*$T$2</f>
        <v>0</v>
      </c>
      <c r="AG303" s="100">
        <f>IF(Tabla1[[#This Row],[TIPO DE CONSUMIDOR]]="MEDIO",IF(Tabla1[[#This Row],[ENERO ]]&gt;22.5,Tabla1[[#This Row],[ENERO ]]/22.5-1,0),IF(Tabla1[[#This Row],[ENERO ]]&gt;45,Tabla1[[#This Row],[ENERO ]]/45-1,0))</f>
        <v>0</v>
      </c>
      <c r="AH30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3" s="100">
        <f>IF(Tabla1[[#This Row],[TIPO DE CONSUMIDOR]]="MEDIO",IF(Tabla1[[#This Row],[MARZO]]&gt;22.5,Tabla1[[#This Row],[MARZO]]/22.5-1,0),IF(Tabla1[[#This Row],[MARZO]]&gt;45,Tabla1[[#This Row],[MARZO]]/45-1,0))</f>
        <v>0</v>
      </c>
      <c r="AJ303" s="100">
        <f>IF(Tabla1[[#This Row],[TIPO DE CONSUMIDOR]]="MEDIO",IF(Tabla1[[#This Row],[ABRIL]]&gt;22.5,Tabla1[[#This Row],[ABRIL]]/22.5-1,0),IF(Tabla1[[#This Row],[ABRIL]]&gt;45,Tabla1[[#This Row],[ABRIL]]/45-1,0))</f>
        <v>0</v>
      </c>
      <c r="AK303" s="100">
        <f>IF(Tabla1[[#This Row],[TIPO DE CONSUMIDOR]]="MEDIO",IF(Tabla1[[#This Row],[MAYO ]]&gt;22.5,Tabla1[[#This Row],[MAYO ]]/22.5-1,0),IF(Tabla1[[#This Row],[MAYO ]]&gt;45,Tabla1[[#This Row],[MAYO ]]/45-1,0))</f>
        <v>0</v>
      </c>
      <c r="AL303" s="100">
        <f>IF(Tabla1[[#This Row],[TIPO DE CONSUMIDOR]]="MEDIO",IF(Tabla1[[#This Row],[JUNIO ]]&gt;22.5,Tabla1[[#This Row],[JUNIO ]]/22.5-1,0),IF(Tabla1[[#This Row],[JUNIO ]]&gt;45,Tabla1[[#This Row],[JUNIO ]]/45-1,0))</f>
        <v>0</v>
      </c>
      <c r="AM303" s="100">
        <f>IF(Tabla1[[#This Row],[TIPO DE CONSUMIDOR]]="MEDIO",IF(Tabla1[[#This Row],[JULIO ]]&gt;22.5,Tabla1[[#This Row],[JULIO ]]/22.5-1,0),IF(Tabla1[[#This Row],[JULIO ]]&gt;45,Tabla1[[#This Row],[JULIO ]]/45-1,0))</f>
        <v>0</v>
      </c>
      <c r="AN303" s="100">
        <f>IF(Tabla1[[#This Row],[TIPO DE CONSUMIDOR]]="MEDIO",IF(Tabla1[[#This Row],[AGOSTO]]&gt;22.5,Tabla1[[#This Row],[AGOSTO]]/22.5-1,0),IF(Tabla1[[#This Row],[AGOSTO]]&gt;45,Tabla1[[#This Row],[AGOSTO]]/45-1,0))</f>
        <v>0</v>
      </c>
      <c r="AO30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3" s="101">
        <f t="shared" si="9"/>
        <v>0</v>
      </c>
      <c r="AT303">
        <f>IF(Tabla1[[#This Row],[MES ADEUDO DE AÑOS PASADOS ]]&gt;0,1,0)</f>
        <v>1</v>
      </c>
      <c r="AU303" s="9">
        <f t="shared" si="10"/>
        <v>1</v>
      </c>
      <c r="AV303" s="60">
        <f>IF(Tabla1[[#This Row],[MESES DE ADEUDO DEL AÑO EN CURSO ]]&gt;0,1,0)</f>
        <v>0</v>
      </c>
      <c r="AW303" s="42"/>
      <c r="AX303" s="42"/>
      <c r="AY303" s="42"/>
      <c r="AZ303" s="43"/>
    </row>
    <row r="304" spans="1:52" ht="21.75" thickBot="1" x14ac:dyDescent="0.35">
      <c r="A304" s="106">
        <v>298</v>
      </c>
      <c r="B304" s="5" t="s">
        <v>288</v>
      </c>
      <c r="C304" s="2" t="s">
        <v>530</v>
      </c>
      <c r="D304" s="32"/>
      <c r="E304" s="35" t="s">
        <v>455</v>
      </c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24">
        <f>SUM(Tabla1[[#This Row],[ENERO ]:[DICIEMBRE]])</f>
        <v>0</v>
      </c>
      <c r="W304">
        <v>3</v>
      </c>
      <c r="X304" s="21">
        <f>COUNTIF(Tabla1[[#This Row],[ENERO ]:[DICIEMBRE]],0)-(AS304)-IF(Tabla1[[#This Row],[BAJAS]]="BAJA",IF(Tabla1[[#This Row],[ALTAS]]="ALTA",VLOOKUP(Tabla1[[#This Row],[MES DE ALTA ]],$AW$6:$AX$17,2,FALSE),12)-VLOOKUP(Tabla1[[#This Row],[MES DE BAJA ]],$AW$6:$AX$17,2,FALSE),0)</f>
        <v>0</v>
      </c>
      <c r="Y304" s="68">
        <f>SUM(Tabla1[[#This Row],[MES ADEUDO DE AÑOS PASADOS ]:[MESES DE ADEUDO DEL AÑO EN CURSO ]])-Tabla1[[#This Row],[PAGO DE DEUDA ANTERIOR EN MESES]]</f>
        <v>3</v>
      </c>
      <c r="Z304" s="15">
        <f>Tabla1[[#This Row],[MES ADEUDO DE AÑOS PASADOS ]]*$T$2</f>
        <v>135</v>
      </c>
      <c r="AA304" s="15">
        <f>Tabla1[[#This Row],[MESES DE ADEUDO DEL AÑO EN CURSO ]]*$T$2</f>
        <v>0</v>
      </c>
      <c r="AB304" s="69">
        <f>SUM(Tabla1[[#This Row],[DEUDA DE LOS MESES PASADOS EN $$]:[DEUDA DEL AÑO 2013 $$ ]])</f>
        <v>135</v>
      </c>
      <c r="AD304">
        <f>Tabla1[[#This Row],[PAGO DE DEUDA ANTERIOR EN MESES]]*$T$2</f>
        <v>0</v>
      </c>
      <c r="AG304" s="100">
        <f>IF(Tabla1[[#This Row],[TIPO DE CONSUMIDOR]]="MEDIO",IF(Tabla1[[#This Row],[ENERO ]]&gt;22.5,Tabla1[[#This Row],[ENERO ]]/22.5-1,0),IF(Tabla1[[#This Row],[ENERO ]]&gt;45,Tabla1[[#This Row],[ENERO ]]/45-1,0))</f>
        <v>0</v>
      </c>
      <c r="AH30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4" s="100">
        <f>IF(Tabla1[[#This Row],[TIPO DE CONSUMIDOR]]="MEDIO",IF(Tabla1[[#This Row],[MARZO]]&gt;22.5,Tabla1[[#This Row],[MARZO]]/22.5-1,0),IF(Tabla1[[#This Row],[MARZO]]&gt;45,Tabla1[[#This Row],[MARZO]]/45-1,0))</f>
        <v>0</v>
      </c>
      <c r="AJ304" s="100">
        <f>IF(Tabla1[[#This Row],[TIPO DE CONSUMIDOR]]="MEDIO",IF(Tabla1[[#This Row],[ABRIL]]&gt;22.5,Tabla1[[#This Row],[ABRIL]]/22.5-1,0),IF(Tabla1[[#This Row],[ABRIL]]&gt;45,Tabla1[[#This Row],[ABRIL]]/45-1,0))</f>
        <v>0</v>
      </c>
      <c r="AK304" s="100">
        <f>IF(Tabla1[[#This Row],[TIPO DE CONSUMIDOR]]="MEDIO",IF(Tabla1[[#This Row],[MAYO ]]&gt;22.5,Tabla1[[#This Row],[MAYO ]]/22.5-1,0),IF(Tabla1[[#This Row],[MAYO ]]&gt;45,Tabla1[[#This Row],[MAYO ]]/45-1,0))</f>
        <v>0</v>
      </c>
      <c r="AL304" s="100">
        <f>IF(Tabla1[[#This Row],[TIPO DE CONSUMIDOR]]="MEDIO",IF(Tabla1[[#This Row],[JUNIO ]]&gt;22.5,Tabla1[[#This Row],[JUNIO ]]/22.5-1,0),IF(Tabla1[[#This Row],[JUNIO ]]&gt;45,Tabla1[[#This Row],[JUNIO ]]/45-1,0))</f>
        <v>0</v>
      </c>
      <c r="AM304" s="100">
        <f>IF(Tabla1[[#This Row],[TIPO DE CONSUMIDOR]]="MEDIO",IF(Tabla1[[#This Row],[JULIO ]]&gt;22.5,Tabla1[[#This Row],[JULIO ]]/22.5-1,0),IF(Tabla1[[#This Row],[JULIO ]]&gt;45,Tabla1[[#This Row],[JULIO ]]/45-1,0))</f>
        <v>0</v>
      </c>
      <c r="AN304" s="100">
        <f>IF(Tabla1[[#This Row],[TIPO DE CONSUMIDOR]]="MEDIO",IF(Tabla1[[#This Row],[AGOSTO]]&gt;22.5,Tabla1[[#This Row],[AGOSTO]]/22.5-1,0),IF(Tabla1[[#This Row],[AGOSTO]]&gt;45,Tabla1[[#This Row],[AGOSTO]]/45-1,0))</f>
        <v>0</v>
      </c>
      <c r="AO30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4" s="101">
        <f t="shared" si="9"/>
        <v>0</v>
      </c>
      <c r="AT304">
        <f>IF(Tabla1[[#This Row],[MES ADEUDO DE AÑOS PASADOS ]]&gt;0,1,0)</f>
        <v>1</v>
      </c>
      <c r="AU304" s="9">
        <f t="shared" si="10"/>
        <v>1</v>
      </c>
      <c r="AV304" s="60">
        <f>IF(Tabla1[[#This Row],[MESES DE ADEUDO DEL AÑO EN CURSO ]]&gt;0,1,0)</f>
        <v>0</v>
      </c>
      <c r="AW304" s="42"/>
      <c r="AX304" s="42"/>
      <c r="AY304" s="42"/>
      <c r="AZ304" s="43"/>
    </row>
    <row r="305" spans="1:52" ht="21.75" thickBot="1" x14ac:dyDescent="0.35">
      <c r="A305" s="106">
        <v>299</v>
      </c>
      <c r="B305" s="5" t="s">
        <v>50</v>
      </c>
      <c r="C305" s="2" t="s">
        <v>530</v>
      </c>
      <c r="D305" s="32"/>
      <c r="E305" s="35" t="s">
        <v>455</v>
      </c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24">
        <f>SUM(Tabla1[[#This Row],[ENERO ]:[DICIEMBRE]])</f>
        <v>0</v>
      </c>
      <c r="W305">
        <v>4</v>
      </c>
      <c r="X305" s="21">
        <f>COUNTIF(Tabla1[[#This Row],[ENERO ]:[DICIEMBRE]],0)-(AS305)-IF(Tabla1[[#This Row],[BAJAS]]="BAJA",IF(Tabla1[[#This Row],[ALTAS]]="ALTA",VLOOKUP(Tabla1[[#This Row],[MES DE ALTA ]],$AW$6:$AX$17,2,FALSE),12)-VLOOKUP(Tabla1[[#This Row],[MES DE BAJA ]],$AW$6:$AX$17,2,FALSE),0)</f>
        <v>0</v>
      </c>
      <c r="Y305" s="68">
        <f>SUM(Tabla1[[#This Row],[MES ADEUDO DE AÑOS PASADOS ]:[MESES DE ADEUDO DEL AÑO EN CURSO ]])-Tabla1[[#This Row],[PAGO DE DEUDA ANTERIOR EN MESES]]</f>
        <v>4</v>
      </c>
      <c r="Z305" s="15">
        <f>Tabla1[[#This Row],[MES ADEUDO DE AÑOS PASADOS ]]*$T$2</f>
        <v>180</v>
      </c>
      <c r="AA305" s="15">
        <f>Tabla1[[#This Row],[MESES DE ADEUDO DEL AÑO EN CURSO ]]*$T$2</f>
        <v>0</v>
      </c>
      <c r="AB305" s="69">
        <f>SUM(Tabla1[[#This Row],[DEUDA DE LOS MESES PASADOS EN $$]:[DEUDA DEL AÑO 2013 $$ ]])</f>
        <v>180</v>
      </c>
      <c r="AD305">
        <f>Tabla1[[#This Row],[PAGO DE DEUDA ANTERIOR EN MESES]]*$T$2</f>
        <v>0</v>
      </c>
      <c r="AG305" s="100">
        <f>IF(Tabla1[[#This Row],[TIPO DE CONSUMIDOR]]="MEDIO",IF(Tabla1[[#This Row],[ENERO ]]&gt;22.5,Tabla1[[#This Row],[ENERO ]]/22.5-1,0),IF(Tabla1[[#This Row],[ENERO ]]&gt;45,Tabla1[[#This Row],[ENERO ]]/45-1,0))</f>
        <v>0</v>
      </c>
      <c r="AH30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5" s="100">
        <f>IF(Tabla1[[#This Row],[TIPO DE CONSUMIDOR]]="MEDIO",IF(Tabla1[[#This Row],[MARZO]]&gt;22.5,Tabla1[[#This Row],[MARZO]]/22.5-1,0),IF(Tabla1[[#This Row],[MARZO]]&gt;45,Tabla1[[#This Row],[MARZO]]/45-1,0))</f>
        <v>0</v>
      </c>
      <c r="AJ305" s="100">
        <f>IF(Tabla1[[#This Row],[TIPO DE CONSUMIDOR]]="MEDIO",IF(Tabla1[[#This Row],[ABRIL]]&gt;22.5,Tabla1[[#This Row],[ABRIL]]/22.5-1,0),IF(Tabla1[[#This Row],[ABRIL]]&gt;45,Tabla1[[#This Row],[ABRIL]]/45-1,0))</f>
        <v>0</v>
      </c>
      <c r="AK305" s="100">
        <f>IF(Tabla1[[#This Row],[TIPO DE CONSUMIDOR]]="MEDIO",IF(Tabla1[[#This Row],[MAYO ]]&gt;22.5,Tabla1[[#This Row],[MAYO ]]/22.5-1,0),IF(Tabla1[[#This Row],[MAYO ]]&gt;45,Tabla1[[#This Row],[MAYO ]]/45-1,0))</f>
        <v>0</v>
      </c>
      <c r="AL305" s="100">
        <f>IF(Tabla1[[#This Row],[TIPO DE CONSUMIDOR]]="MEDIO",IF(Tabla1[[#This Row],[JUNIO ]]&gt;22.5,Tabla1[[#This Row],[JUNIO ]]/22.5-1,0),IF(Tabla1[[#This Row],[JUNIO ]]&gt;45,Tabla1[[#This Row],[JUNIO ]]/45-1,0))</f>
        <v>0</v>
      </c>
      <c r="AM305" s="100">
        <f>IF(Tabla1[[#This Row],[TIPO DE CONSUMIDOR]]="MEDIO",IF(Tabla1[[#This Row],[JULIO ]]&gt;22.5,Tabla1[[#This Row],[JULIO ]]/22.5-1,0),IF(Tabla1[[#This Row],[JULIO ]]&gt;45,Tabla1[[#This Row],[JULIO ]]/45-1,0))</f>
        <v>0</v>
      </c>
      <c r="AN305" s="100">
        <f>IF(Tabla1[[#This Row],[TIPO DE CONSUMIDOR]]="MEDIO",IF(Tabla1[[#This Row],[AGOSTO]]&gt;22.5,Tabla1[[#This Row],[AGOSTO]]/22.5-1,0),IF(Tabla1[[#This Row],[AGOSTO]]&gt;45,Tabla1[[#This Row],[AGOSTO]]/45-1,0))</f>
        <v>0</v>
      </c>
      <c r="AO30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5" s="101">
        <f t="shared" si="9"/>
        <v>0</v>
      </c>
      <c r="AT305">
        <f>IF(Tabla1[[#This Row],[MES ADEUDO DE AÑOS PASADOS ]]&gt;0,1,0)</f>
        <v>1</v>
      </c>
      <c r="AU305" s="9">
        <f t="shared" si="10"/>
        <v>1</v>
      </c>
      <c r="AV305" s="60">
        <f>IF(Tabla1[[#This Row],[MESES DE ADEUDO DEL AÑO EN CURSO ]]&gt;0,1,0)</f>
        <v>0</v>
      </c>
      <c r="AW305" s="42"/>
      <c r="AX305" s="42"/>
      <c r="AY305" s="42"/>
      <c r="AZ305" s="43"/>
    </row>
    <row r="306" spans="1:52" ht="21.75" thickBot="1" x14ac:dyDescent="0.35">
      <c r="A306" s="106">
        <v>300</v>
      </c>
      <c r="B306" s="5" t="s">
        <v>532</v>
      </c>
      <c r="C306" s="2" t="s">
        <v>530</v>
      </c>
      <c r="D306" s="32"/>
      <c r="E306" s="35" t="s">
        <v>455</v>
      </c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24">
        <f>SUM(Tabla1[[#This Row],[ENERO ]:[DICIEMBRE]])</f>
        <v>0</v>
      </c>
      <c r="W306">
        <v>4</v>
      </c>
      <c r="X306" s="21">
        <f>COUNTIF(Tabla1[[#This Row],[ENERO ]:[DICIEMBRE]],0)-(AS306)-IF(Tabla1[[#This Row],[BAJAS]]="BAJA",IF(Tabla1[[#This Row],[ALTAS]]="ALTA",VLOOKUP(Tabla1[[#This Row],[MES DE ALTA ]],$AW$6:$AX$17,2,FALSE),12)-VLOOKUP(Tabla1[[#This Row],[MES DE BAJA ]],$AW$6:$AX$17,2,FALSE),0)</f>
        <v>0</v>
      </c>
      <c r="Y306" s="68">
        <f>SUM(Tabla1[[#This Row],[MES ADEUDO DE AÑOS PASADOS ]:[MESES DE ADEUDO DEL AÑO EN CURSO ]])-Tabla1[[#This Row],[PAGO DE DEUDA ANTERIOR EN MESES]]</f>
        <v>4</v>
      </c>
      <c r="Z306" s="15">
        <f>Tabla1[[#This Row],[MES ADEUDO DE AÑOS PASADOS ]]*$T$2</f>
        <v>180</v>
      </c>
      <c r="AA306" s="15">
        <f>Tabla1[[#This Row],[MESES DE ADEUDO DEL AÑO EN CURSO ]]*$T$2</f>
        <v>0</v>
      </c>
      <c r="AB306" s="69">
        <f>SUM(Tabla1[[#This Row],[DEUDA DE LOS MESES PASADOS EN $$]:[DEUDA DEL AÑO 2013 $$ ]])</f>
        <v>180</v>
      </c>
      <c r="AD306">
        <f>Tabla1[[#This Row],[PAGO DE DEUDA ANTERIOR EN MESES]]*$T$2</f>
        <v>0</v>
      </c>
      <c r="AG306" s="100">
        <f>IF(Tabla1[[#This Row],[TIPO DE CONSUMIDOR]]="MEDIO",IF(Tabla1[[#This Row],[ENERO ]]&gt;22.5,Tabla1[[#This Row],[ENERO ]]/22.5-1,0),IF(Tabla1[[#This Row],[ENERO ]]&gt;45,Tabla1[[#This Row],[ENERO ]]/45-1,0))</f>
        <v>0</v>
      </c>
      <c r="AH30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6" s="100">
        <f>IF(Tabla1[[#This Row],[TIPO DE CONSUMIDOR]]="MEDIO",IF(Tabla1[[#This Row],[MARZO]]&gt;22.5,Tabla1[[#This Row],[MARZO]]/22.5-1,0),IF(Tabla1[[#This Row],[MARZO]]&gt;45,Tabla1[[#This Row],[MARZO]]/45-1,0))</f>
        <v>0</v>
      </c>
      <c r="AJ306" s="100">
        <f>IF(Tabla1[[#This Row],[TIPO DE CONSUMIDOR]]="MEDIO",IF(Tabla1[[#This Row],[ABRIL]]&gt;22.5,Tabla1[[#This Row],[ABRIL]]/22.5-1,0),IF(Tabla1[[#This Row],[ABRIL]]&gt;45,Tabla1[[#This Row],[ABRIL]]/45-1,0))</f>
        <v>0</v>
      </c>
      <c r="AK306" s="100">
        <f>IF(Tabla1[[#This Row],[TIPO DE CONSUMIDOR]]="MEDIO",IF(Tabla1[[#This Row],[MAYO ]]&gt;22.5,Tabla1[[#This Row],[MAYO ]]/22.5-1,0),IF(Tabla1[[#This Row],[MAYO ]]&gt;45,Tabla1[[#This Row],[MAYO ]]/45-1,0))</f>
        <v>0</v>
      </c>
      <c r="AL306" s="100">
        <f>IF(Tabla1[[#This Row],[TIPO DE CONSUMIDOR]]="MEDIO",IF(Tabla1[[#This Row],[JUNIO ]]&gt;22.5,Tabla1[[#This Row],[JUNIO ]]/22.5-1,0),IF(Tabla1[[#This Row],[JUNIO ]]&gt;45,Tabla1[[#This Row],[JUNIO ]]/45-1,0))</f>
        <v>0</v>
      </c>
      <c r="AM306" s="100">
        <f>IF(Tabla1[[#This Row],[TIPO DE CONSUMIDOR]]="MEDIO",IF(Tabla1[[#This Row],[JULIO ]]&gt;22.5,Tabla1[[#This Row],[JULIO ]]/22.5-1,0),IF(Tabla1[[#This Row],[JULIO ]]&gt;45,Tabla1[[#This Row],[JULIO ]]/45-1,0))</f>
        <v>0</v>
      </c>
      <c r="AN306" s="100">
        <f>IF(Tabla1[[#This Row],[TIPO DE CONSUMIDOR]]="MEDIO",IF(Tabla1[[#This Row],[AGOSTO]]&gt;22.5,Tabla1[[#This Row],[AGOSTO]]/22.5-1,0),IF(Tabla1[[#This Row],[AGOSTO]]&gt;45,Tabla1[[#This Row],[AGOSTO]]/45-1,0))</f>
        <v>0</v>
      </c>
      <c r="AO30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6" s="101">
        <f t="shared" si="9"/>
        <v>0</v>
      </c>
      <c r="AT306">
        <f>IF(Tabla1[[#This Row],[MES ADEUDO DE AÑOS PASADOS ]]&gt;0,1,0)</f>
        <v>1</v>
      </c>
      <c r="AU306" s="9">
        <f t="shared" si="10"/>
        <v>1</v>
      </c>
      <c r="AV306" s="60">
        <f>IF(Tabla1[[#This Row],[MESES DE ADEUDO DEL AÑO EN CURSO ]]&gt;0,1,0)</f>
        <v>0</v>
      </c>
      <c r="AW306" s="42"/>
      <c r="AX306" s="42"/>
      <c r="AY306" s="42"/>
      <c r="AZ306" s="43"/>
    </row>
    <row r="307" spans="1:52" ht="21.75" thickBot="1" x14ac:dyDescent="0.35">
      <c r="A307" s="106">
        <v>301</v>
      </c>
      <c r="B307" s="5" t="s">
        <v>36</v>
      </c>
      <c r="C307" s="2" t="s">
        <v>530</v>
      </c>
      <c r="D307" s="32"/>
      <c r="E307" s="35" t="s">
        <v>455</v>
      </c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24">
        <f>SUM(Tabla1[[#This Row],[ENERO ]:[DICIEMBRE]])</f>
        <v>0</v>
      </c>
      <c r="W307">
        <v>4</v>
      </c>
      <c r="X307" s="21">
        <f>COUNTIF(Tabla1[[#This Row],[ENERO ]:[DICIEMBRE]],0)-(AS307)-IF(Tabla1[[#This Row],[BAJAS]]="BAJA",IF(Tabla1[[#This Row],[ALTAS]]="ALTA",VLOOKUP(Tabla1[[#This Row],[MES DE ALTA ]],$AW$6:$AX$17,2,FALSE),12)-VLOOKUP(Tabla1[[#This Row],[MES DE BAJA ]],$AW$6:$AX$17,2,FALSE),0)</f>
        <v>0</v>
      </c>
      <c r="Y307" s="68">
        <f>SUM(Tabla1[[#This Row],[MES ADEUDO DE AÑOS PASADOS ]:[MESES DE ADEUDO DEL AÑO EN CURSO ]])-Tabla1[[#This Row],[PAGO DE DEUDA ANTERIOR EN MESES]]</f>
        <v>4</v>
      </c>
      <c r="Z307" s="15">
        <f>Tabla1[[#This Row],[MES ADEUDO DE AÑOS PASADOS ]]*$T$2</f>
        <v>180</v>
      </c>
      <c r="AA307" s="15">
        <f>Tabla1[[#This Row],[MESES DE ADEUDO DEL AÑO EN CURSO ]]*$T$2</f>
        <v>0</v>
      </c>
      <c r="AB307" s="69">
        <f>SUM(Tabla1[[#This Row],[DEUDA DE LOS MESES PASADOS EN $$]:[DEUDA DEL AÑO 2013 $$ ]])</f>
        <v>180</v>
      </c>
      <c r="AD307">
        <f>Tabla1[[#This Row],[PAGO DE DEUDA ANTERIOR EN MESES]]*$T$2</f>
        <v>0</v>
      </c>
      <c r="AG307" s="100">
        <f>IF(Tabla1[[#This Row],[TIPO DE CONSUMIDOR]]="MEDIO",IF(Tabla1[[#This Row],[ENERO ]]&gt;22.5,Tabla1[[#This Row],[ENERO ]]/22.5-1,0),IF(Tabla1[[#This Row],[ENERO ]]&gt;45,Tabla1[[#This Row],[ENERO ]]/45-1,0))</f>
        <v>0</v>
      </c>
      <c r="AH30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7" s="100">
        <f>IF(Tabla1[[#This Row],[TIPO DE CONSUMIDOR]]="MEDIO",IF(Tabla1[[#This Row],[MARZO]]&gt;22.5,Tabla1[[#This Row],[MARZO]]/22.5-1,0),IF(Tabla1[[#This Row],[MARZO]]&gt;45,Tabla1[[#This Row],[MARZO]]/45-1,0))</f>
        <v>0</v>
      </c>
      <c r="AJ307" s="100">
        <f>IF(Tabla1[[#This Row],[TIPO DE CONSUMIDOR]]="MEDIO",IF(Tabla1[[#This Row],[ABRIL]]&gt;22.5,Tabla1[[#This Row],[ABRIL]]/22.5-1,0),IF(Tabla1[[#This Row],[ABRIL]]&gt;45,Tabla1[[#This Row],[ABRIL]]/45-1,0))</f>
        <v>0</v>
      </c>
      <c r="AK307" s="100">
        <f>IF(Tabla1[[#This Row],[TIPO DE CONSUMIDOR]]="MEDIO",IF(Tabla1[[#This Row],[MAYO ]]&gt;22.5,Tabla1[[#This Row],[MAYO ]]/22.5-1,0),IF(Tabla1[[#This Row],[MAYO ]]&gt;45,Tabla1[[#This Row],[MAYO ]]/45-1,0))</f>
        <v>0</v>
      </c>
      <c r="AL307" s="100">
        <f>IF(Tabla1[[#This Row],[TIPO DE CONSUMIDOR]]="MEDIO",IF(Tabla1[[#This Row],[JUNIO ]]&gt;22.5,Tabla1[[#This Row],[JUNIO ]]/22.5-1,0),IF(Tabla1[[#This Row],[JUNIO ]]&gt;45,Tabla1[[#This Row],[JUNIO ]]/45-1,0))</f>
        <v>0</v>
      </c>
      <c r="AM307" s="100">
        <f>IF(Tabla1[[#This Row],[TIPO DE CONSUMIDOR]]="MEDIO",IF(Tabla1[[#This Row],[JULIO ]]&gt;22.5,Tabla1[[#This Row],[JULIO ]]/22.5-1,0),IF(Tabla1[[#This Row],[JULIO ]]&gt;45,Tabla1[[#This Row],[JULIO ]]/45-1,0))</f>
        <v>0</v>
      </c>
      <c r="AN307" s="100">
        <f>IF(Tabla1[[#This Row],[TIPO DE CONSUMIDOR]]="MEDIO",IF(Tabla1[[#This Row],[AGOSTO]]&gt;22.5,Tabla1[[#This Row],[AGOSTO]]/22.5-1,0),IF(Tabla1[[#This Row],[AGOSTO]]&gt;45,Tabla1[[#This Row],[AGOSTO]]/45-1,0))</f>
        <v>0</v>
      </c>
      <c r="AO30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7" s="101">
        <f t="shared" si="9"/>
        <v>0</v>
      </c>
      <c r="AT307">
        <f>IF(Tabla1[[#This Row],[MES ADEUDO DE AÑOS PASADOS ]]&gt;0,1,0)</f>
        <v>1</v>
      </c>
      <c r="AU307" s="9">
        <f t="shared" si="10"/>
        <v>1</v>
      </c>
      <c r="AV307" s="60">
        <f>IF(Tabla1[[#This Row],[MESES DE ADEUDO DEL AÑO EN CURSO ]]&gt;0,1,0)</f>
        <v>0</v>
      </c>
      <c r="AW307" s="42"/>
      <c r="AX307" s="42"/>
      <c r="AY307" s="42"/>
      <c r="AZ307" s="43"/>
    </row>
    <row r="308" spans="1:52" ht="21.75" thickBot="1" x14ac:dyDescent="0.35">
      <c r="A308" s="106">
        <v>302</v>
      </c>
      <c r="B308" s="5" t="s">
        <v>85</v>
      </c>
      <c r="C308" s="2" t="s">
        <v>530</v>
      </c>
      <c r="D308" s="32"/>
      <c r="E308" s="35" t="s">
        <v>455</v>
      </c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24">
        <f>SUM(Tabla1[[#This Row],[ENERO ]:[DICIEMBRE]])</f>
        <v>0</v>
      </c>
      <c r="W308">
        <v>4</v>
      </c>
      <c r="X308" s="21">
        <f>COUNTIF(Tabla1[[#This Row],[ENERO ]:[DICIEMBRE]],0)-(AS308)-IF(Tabla1[[#This Row],[BAJAS]]="BAJA",IF(Tabla1[[#This Row],[ALTAS]]="ALTA",VLOOKUP(Tabla1[[#This Row],[MES DE ALTA ]],$AW$6:$AX$17,2,FALSE),12)-VLOOKUP(Tabla1[[#This Row],[MES DE BAJA ]],$AW$6:$AX$17,2,FALSE),0)</f>
        <v>0</v>
      </c>
      <c r="Y308" s="68">
        <f>SUM(Tabla1[[#This Row],[MES ADEUDO DE AÑOS PASADOS ]:[MESES DE ADEUDO DEL AÑO EN CURSO ]])-Tabla1[[#This Row],[PAGO DE DEUDA ANTERIOR EN MESES]]</f>
        <v>4</v>
      </c>
      <c r="Z308" s="15">
        <f>Tabla1[[#This Row],[MES ADEUDO DE AÑOS PASADOS ]]*$T$2</f>
        <v>180</v>
      </c>
      <c r="AA308" s="15">
        <f>Tabla1[[#This Row],[MESES DE ADEUDO DEL AÑO EN CURSO ]]*$T$2</f>
        <v>0</v>
      </c>
      <c r="AB308" s="69">
        <f>SUM(Tabla1[[#This Row],[DEUDA DE LOS MESES PASADOS EN $$]:[DEUDA DEL AÑO 2013 $$ ]])</f>
        <v>180</v>
      </c>
      <c r="AD308">
        <f>Tabla1[[#This Row],[PAGO DE DEUDA ANTERIOR EN MESES]]*$T$2</f>
        <v>0</v>
      </c>
      <c r="AG308" s="100">
        <f>IF(Tabla1[[#This Row],[TIPO DE CONSUMIDOR]]="MEDIO",IF(Tabla1[[#This Row],[ENERO ]]&gt;22.5,Tabla1[[#This Row],[ENERO ]]/22.5-1,0),IF(Tabla1[[#This Row],[ENERO ]]&gt;45,Tabla1[[#This Row],[ENERO ]]/45-1,0))</f>
        <v>0</v>
      </c>
      <c r="AH30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8" s="100">
        <f>IF(Tabla1[[#This Row],[TIPO DE CONSUMIDOR]]="MEDIO",IF(Tabla1[[#This Row],[MARZO]]&gt;22.5,Tabla1[[#This Row],[MARZO]]/22.5-1,0),IF(Tabla1[[#This Row],[MARZO]]&gt;45,Tabla1[[#This Row],[MARZO]]/45-1,0))</f>
        <v>0</v>
      </c>
      <c r="AJ308" s="100">
        <f>IF(Tabla1[[#This Row],[TIPO DE CONSUMIDOR]]="MEDIO",IF(Tabla1[[#This Row],[ABRIL]]&gt;22.5,Tabla1[[#This Row],[ABRIL]]/22.5-1,0),IF(Tabla1[[#This Row],[ABRIL]]&gt;45,Tabla1[[#This Row],[ABRIL]]/45-1,0))</f>
        <v>0</v>
      </c>
      <c r="AK308" s="100">
        <f>IF(Tabla1[[#This Row],[TIPO DE CONSUMIDOR]]="MEDIO",IF(Tabla1[[#This Row],[MAYO ]]&gt;22.5,Tabla1[[#This Row],[MAYO ]]/22.5-1,0),IF(Tabla1[[#This Row],[MAYO ]]&gt;45,Tabla1[[#This Row],[MAYO ]]/45-1,0))</f>
        <v>0</v>
      </c>
      <c r="AL308" s="100">
        <f>IF(Tabla1[[#This Row],[TIPO DE CONSUMIDOR]]="MEDIO",IF(Tabla1[[#This Row],[JUNIO ]]&gt;22.5,Tabla1[[#This Row],[JUNIO ]]/22.5-1,0),IF(Tabla1[[#This Row],[JUNIO ]]&gt;45,Tabla1[[#This Row],[JUNIO ]]/45-1,0))</f>
        <v>0</v>
      </c>
      <c r="AM308" s="100">
        <f>IF(Tabla1[[#This Row],[TIPO DE CONSUMIDOR]]="MEDIO",IF(Tabla1[[#This Row],[JULIO ]]&gt;22.5,Tabla1[[#This Row],[JULIO ]]/22.5-1,0),IF(Tabla1[[#This Row],[JULIO ]]&gt;45,Tabla1[[#This Row],[JULIO ]]/45-1,0))</f>
        <v>0</v>
      </c>
      <c r="AN308" s="100">
        <f>IF(Tabla1[[#This Row],[TIPO DE CONSUMIDOR]]="MEDIO",IF(Tabla1[[#This Row],[AGOSTO]]&gt;22.5,Tabla1[[#This Row],[AGOSTO]]/22.5-1,0),IF(Tabla1[[#This Row],[AGOSTO]]&gt;45,Tabla1[[#This Row],[AGOSTO]]/45-1,0))</f>
        <v>0</v>
      </c>
      <c r="AO30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8" s="101">
        <f t="shared" si="9"/>
        <v>0</v>
      </c>
      <c r="AT308">
        <f>IF(Tabla1[[#This Row],[MES ADEUDO DE AÑOS PASADOS ]]&gt;0,1,0)</f>
        <v>1</v>
      </c>
      <c r="AU308" s="9">
        <f t="shared" si="10"/>
        <v>1</v>
      </c>
      <c r="AV308" s="60">
        <f>IF(Tabla1[[#This Row],[MESES DE ADEUDO DEL AÑO EN CURSO ]]&gt;0,1,0)</f>
        <v>0</v>
      </c>
      <c r="AW308" s="42"/>
      <c r="AX308" s="42"/>
      <c r="AY308" s="42"/>
      <c r="AZ308" s="43"/>
    </row>
    <row r="309" spans="1:52" ht="21.75" thickBot="1" x14ac:dyDescent="0.35">
      <c r="A309" s="106">
        <v>303</v>
      </c>
      <c r="B309" s="5" t="s">
        <v>126</v>
      </c>
      <c r="C309" s="2" t="s">
        <v>530</v>
      </c>
      <c r="D309" s="32"/>
      <c r="E309" s="35" t="s">
        <v>455</v>
      </c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24">
        <f>SUM(Tabla1[[#This Row],[ENERO ]:[DICIEMBRE]])</f>
        <v>0</v>
      </c>
      <c r="W309">
        <v>4</v>
      </c>
      <c r="X309" s="21">
        <f>COUNTIF(Tabla1[[#This Row],[ENERO ]:[DICIEMBRE]],0)-(AS309)-IF(Tabla1[[#This Row],[BAJAS]]="BAJA",IF(Tabla1[[#This Row],[ALTAS]]="ALTA",VLOOKUP(Tabla1[[#This Row],[MES DE ALTA ]],$AW$6:$AX$17,2,FALSE),12)-VLOOKUP(Tabla1[[#This Row],[MES DE BAJA ]],$AW$6:$AX$17,2,FALSE),0)</f>
        <v>0</v>
      </c>
      <c r="Y309" s="68">
        <f>SUM(Tabla1[[#This Row],[MES ADEUDO DE AÑOS PASADOS ]:[MESES DE ADEUDO DEL AÑO EN CURSO ]])-Tabla1[[#This Row],[PAGO DE DEUDA ANTERIOR EN MESES]]</f>
        <v>4</v>
      </c>
      <c r="Z309" s="15">
        <f>Tabla1[[#This Row],[MES ADEUDO DE AÑOS PASADOS ]]*$T$2</f>
        <v>180</v>
      </c>
      <c r="AA309" s="15">
        <f>Tabla1[[#This Row],[MESES DE ADEUDO DEL AÑO EN CURSO ]]*$T$2</f>
        <v>0</v>
      </c>
      <c r="AB309" s="69">
        <f>SUM(Tabla1[[#This Row],[DEUDA DE LOS MESES PASADOS EN $$]:[DEUDA DEL AÑO 2013 $$ ]])</f>
        <v>180</v>
      </c>
      <c r="AD309">
        <f>Tabla1[[#This Row],[PAGO DE DEUDA ANTERIOR EN MESES]]*$T$2</f>
        <v>0</v>
      </c>
      <c r="AG309" s="100">
        <f>IF(Tabla1[[#This Row],[TIPO DE CONSUMIDOR]]="MEDIO",IF(Tabla1[[#This Row],[ENERO ]]&gt;22.5,Tabla1[[#This Row],[ENERO ]]/22.5-1,0),IF(Tabla1[[#This Row],[ENERO ]]&gt;45,Tabla1[[#This Row],[ENERO ]]/45-1,0))</f>
        <v>0</v>
      </c>
      <c r="AH30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09" s="100">
        <f>IF(Tabla1[[#This Row],[TIPO DE CONSUMIDOR]]="MEDIO",IF(Tabla1[[#This Row],[MARZO]]&gt;22.5,Tabla1[[#This Row],[MARZO]]/22.5-1,0),IF(Tabla1[[#This Row],[MARZO]]&gt;45,Tabla1[[#This Row],[MARZO]]/45-1,0))</f>
        <v>0</v>
      </c>
      <c r="AJ309" s="100">
        <f>IF(Tabla1[[#This Row],[TIPO DE CONSUMIDOR]]="MEDIO",IF(Tabla1[[#This Row],[ABRIL]]&gt;22.5,Tabla1[[#This Row],[ABRIL]]/22.5-1,0),IF(Tabla1[[#This Row],[ABRIL]]&gt;45,Tabla1[[#This Row],[ABRIL]]/45-1,0))</f>
        <v>0</v>
      </c>
      <c r="AK309" s="100">
        <f>IF(Tabla1[[#This Row],[TIPO DE CONSUMIDOR]]="MEDIO",IF(Tabla1[[#This Row],[MAYO ]]&gt;22.5,Tabla1[[#This Row],[MAYO ]]/22.5-1,0),IF(Tabla1[[#This Row],[MAYO ]]&gt;45,Tabla1[[#This Row],[MAYO ]]/45-1,0))</f>
        <v>0</v>
      </c>
      <c r="AL309" s="100">
        <f>IF(Tabla1[[#This Row],[TIPO DE CONSUMIDOR]]="MEDIO",IF(Tabla1[[#This Row],[JUNIO ]]&gt;22.5,Tabla1[[#This Row],[JUNIO ]]/22.5-1,0),IF(Tabla1[[#This Row],[JUNIO ]]&gt;45,Tabla1[[#This Row],[JUNIO ]]/45-1,0))</f>
        <v>0</v>
      </c>
      <c r="AM309" s="100">
        <f>IF(Tabla1[[#This Row],[TIPO DE CONSUMIDOR]]="MEDIO",IF(Tabla1[[#This Row],[JULIO ]]&gt;22.5,Tabla1[[#This Row],[JULIO ]]/22.5-1,0),IF(Tabla1[[#This Row],[JULIO ]]&gt;45,Tabla1[[#This Row],[JULIO ]]/45-1,0))</f>
        <v>0</v>
      </c>
      <c r="AN309" s="100">
        <f>IF(Tabla1[[#This Row],[TIPO DE CONSUMIDOR]]="MEDIO",IF(Tabla1[[#This Row],[AGOSTO]]&gt;22.5,Tabla1[[#This Row],[AGOSTO]]/22.5-1,0),IF(Tabla1[[#This Row],[AGOSTO]]&gt;45,Tabla1[[#This Row],[AGOSTO]]/45-1,0))</f>
        <v>0</v>
      </c>
      <c r="AO30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0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0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0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09" s="101">
        <f t="shared" si="9"/>
        <v>0</v>
      </c>
      <c r="AT309">
        <f>IF(Tabla1[[#This Row],[MES ADEUDO DE AÑOS PASADOS ]]&gt;0,1,0)</f>
        <v>1</v>
      </c>
      <c r="AU309" s="9">
        <f t="shared" si="10"/>
        <v>1</v>
      </c>
      <c r="AV309" s="60">
        <f>IF(Tabla1[[#This Row],[MESES DE ADEUDO DEL AÑO EN CURSO ]]&gt;0,1,0)</f>
        <v>0</v>
      </c>
      <c r="AW309" s="42"/>
      <c r="AX309" s="42"/>
      <c r="AY309" s="42"/>
      <c r="AZ309" s="43"/>
    </row>
    <row r="310" spans="1:52" ht="21.75" thickBot="1" x14ac:dyDescent="0.35">
      <c r="A310" s="106">
        <v>304</v>
      </c>
      <c r="B310" s="5" t="s">
        <v>166</v>
      </c>
      <c r="C310" s="2" t="s">
        <v>530</v>
      </c>
      <c r="D310" s="32"/>
      <c r="E310" s="35" t="s">
        <v>455</v>
      </c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24">
        <f>SUM(Tabla1[[#This Row],[ENERO ]:[DICIEMBRE]])</f>
        <v>0</v>
      </c>
      <c r="W310">
        <v>4</v>
      </c>
      <c r="X310" s="21">
        <f>COUNTIF(Tabla1[[#This Row],[ENERO ]:[DICIEMBRE]],0)-(AS310)-IF(Tabla1[[#This Row],[BAJAS]]="BAJA",IF(Tabla1[[#This Row],[ALTAS]]="ALTA",VLOOKUP(Tabla1[[#This Row],[MES DE ALTA ]],$AW$6:$AX$17,2,FALSE),12)-VLOOKUP(Tabla1[[#This Row],[MES DE BAJA ]],$AW$6:$AX$17,2,FALSE),0)</f>
        <v>0</v>
      </c>
      <c r="Y310" s="68">
        <f>SUM(Tabla1[[#This Row],[MES ADEUDO DE AÑOS PASADOS ]:[MESES DE ADEUDO DEL AÑO EN CURSO ]])-Tabla1[[#This Row],[PAGO DE DEUDA ANTERIOR EN MESES]]</f>
        <v>4</v>
      </c>
      <c r="Z310" s="15">
        <f>Tabla1[[#This Row],[MES ADEUDO DE AÑOS PASADOS ]]*$T$2</f>
        <v>180</v>
      </c>
      <c r="AA310" s="15">
        <f>Tabla1[[#This Row],[MESES DE ADEUDO DEL AÑO EN CURSO ]]*$T$2</f>
        <v>0</v>
      </c>
      <c r="AB310" s="69">
        <f>SUM(Tabla1[[#This Row],[DEUDA DE LOS MESES PASADOS EN $$]:[DEUDA DEL AÑO 2013 $$ ]])</f>
        <v>180</v>
      </c>
      <c r="AD310">
        <f>Tabla1[[#This Row],[PAGO DE DEUDA ANTERIOR EN MESES]]*$T$2</f>
        <v>0</v>
      </c>
      <c r="AG310" s="100">
        <f>IF(Tabla1[[#This Row],[TIPO DE CONSUMIDOR]]="MEDIO",IF(Tabla1[[#This Row],[ENERO ]]&gt;22.5,Tabla1[[#This Row],[ENERO ]]/22.5-1,0),IF(Tabla1[[#This Row],[ENERO ]]&gt;45,Tabla1[[#This Row],[ENERO ]]/45-1,0))</f>
        <v>0</v>
      </c>
      <c r="AH31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0" s="100">
        <f>IF(Tabla1[[#This Row],[TIPO DE CONSUMIDOR]]="MEDIO",IF(Tabla1[[#This Row],[MARZO]]&gt;22.5,Tabla1[[#This Row],[MARZO]]/22.5-1,0),IF(Tabla1[[#This Row],[MARZO]]&gt;45,Tabla1[[#This Row],[MARZO]]/45-1,0))</f>
        <v>0</v>
      </c>
      <c r="AJ310" s="100">
        <f>IF(Tabla1[[#This Row],[TIPO DE CONSUMIDOR]]="MEDIO",IF(Tabla1[[#This Row],[ABRIL]]&gt;22.5,Tabla1[[#This Row],[ABRIL]]/22.5-1,0),IF(Tabla1[[#This Row],[ABRIL]]&gt;45,Tabla1[[#This Row],[ABRIL]]/45-1,0))</f>
        <v>0</v>
      </c>
      <c r="AK310" s="100">
        <f>IF(Tabla1[[#This Row],[TIPO DE CONSUMIDOR]]="MEDIO",IF(Tabla1[[#This Row],[MAYO ]]&gt;22.5,Tabla1[[#This Row],[MAYO ]]/22.5-1,0),IF(Tabla1[[#This Row],[MAYO ]]&gt;45,Tabla1[[#This Row],[MAYO ]]/45-1,0))</f>
        <v>0</v>
      </c>
      <c r="AL310" s="100">
        <f>IF(Tabla1[[#This Row],[TIPO DE CONSUMIDOR]]="MEDIO",IF(Tabla1[[#This Row],[JUNIO ]]&gt;22.5,Tabla1[[#This Row],[JUNIO ]]/22.5-1,0),IF(Tabla1[[#This Row],[JUNIO ]]&gt;45,Tabla1[[#This Row],[JUNIO ]]/45-1,0))</f>
        <v>0</v>
      </c>
      <c r="AM310" s="100">
        <f>IF(Tabla1[[#This Row],[TIPO DE CONSUMIDOR]]="MEDIO",IF(Tabla1[[#This Row],[JULIO ]]&gt;22.5,Tabla1[[#This Row],[JULIO ]]/22.5-1,0),IF(Tabla1[[#This Row],[JULIO ]]&gt;45,Tabla1[[#This Row],[JULIO ]]/45-1,0))</f>
        <v>0</v>
      </c>
      <c r="AN310" s="100">
        <f>IF(Tabla1[[#This Row],[TIPO DE CONSUMIDOR]]="MEDIO",IF(Tabla1[[#This Row],[AGOSTO]]&gt;22.5,Tabla1[[#This Row],[AGOSTO]]/22.5-1,0),IF(Tabla1[[#This Row],[AGOSTO]]&gt;45,Tabla1[[#This Row],[AGOSTO]]/45-1,0))</f>
        <v>0</v>
      </c>
      <c r="AO31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0" s="101">
        <f t="shared" si="9"/>
        <v>0</v>
      </c>
      <c r="AT310">
        <f>IF(Tabla1[[#This Row],[MES ADEUDO DE AÑOS PASADOS ]]&gt;0,1,0)</f>
        <v>1</v>
      </c>
      <c r="AU310" s="9">
        <f t="shared" si="10"/>
        <v>1</v>
      </c>
      <c r="AV310" s="60">
        <f>IF(Tabla1[[#This Row],[MESES DE ADEUDO DEL AÑO EN CURSO ]]&gt;0,1,0)</f>
        <v>0</v>
      </c>
      <c r="AW310" s="42"/>
      <c r="AX310" s="42"/>
      <c r="AY310" s="42"/>
      <c r="AZ310" s="43"/>
    </row>
    <row r="311" spans="1:52" ht="21.75" thickBot="1" x14ac:dyDescent="0.35">
      <c r="A311" s="106">
        <v>305</v>
      </c>
      <c r="B311" s="5" t="s">
        <v>199</v>
      </c>
      <c r="C311" s="2" t="s">
        <v>530</v>
      </c>
      <c r="D311" s="32"/>
      <c r="E311" s="35" t="s">
        <v>455</v>
      </c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24">
        <f>SUM(Tabla1[[#This Row],[ENERO ]:[DICIEMBRE]])</f>
        <v>0</v>
      </c>
      <c r="W311">
        <v>4</v>
      </c>
      <c r="X311" s="21">
        <f>COUNTIF(Tabla1[[#This Row],[ENERO ]:[DICIEMBRE]],0)-(AS311)-IF(Tabla1[[#This Row],[BAJAS]]="BAJA",IF(Tabla1[[#This Row],[ALTAS]]="ALTA",VLOOKUP(Tabla1[[#This Row],[MES DE ALTA ]],$AW$6:$AX$17,2,FALSE),12)-VLOOKUP(Tabla1[[#This Row],[MES DE BAJA ]],$AW$6:$AX$17,2,FALSE),0)</f>
        <v>0</v>
      </c>
      <c r="Y311" s="68">
        <f>SUM(Tabla1[[#This Row],[MES ADEUDO DE AÑOS PASADOS ]:[MESES DE ADEUDO DEL AÑO EN CURSO ]])-Tabla1[[#This Row],[PAGO DE DEUDA ANTERIOR EN MESES]]</f>
        <v>4</v>
      </c>
      <c r="Z311" s="15">
        <f>Tabla1[[#This Row],[MES ADEUDO DE AÑOS PASADOS ]]*$T$2</f>
        <v>180</v>
      </c>
      <c r="AA311" s="15">
        <f>Tabla1[[#This Row],[MESES DE ADEUDO DEL AÑO EN CURSO ]]*$T$2</f>
        <v>0</v>
      </c>
      <c r="AB311" s="69">
        <f>SUM(Tabla1[[#This Row],[DEUDA DE LOS MESES PASADOS EN $$]:[DEUDA DEL AÑO 2013 $$ ]])</f>
        <v>180</v>
      </c>
      <c r="AD311">
        <f>Tabla1[[#This Row],[PAGO DE DEUDA ANTERIOR EN MESES]]*$T$2</f>
        <v>0</v>
      </c>
      <c r="AG311" s="100">
        <f>IF(Tabla1[[#This Row],[TIPO DE CONSUMIDOR]]="MEDIO",IF(Tabla1[[#This Row],[ENERO ]]&gt;22.5,Tabla1[[#This Row],[ENERO ]]/22.5-1,0),IF(Tabla1[[#This Row],[ENERO ]]&gt;45,Tabla1[[#This Row],[ENERO ]]/45-1,0))</f>
        <v>0</v>
      </c>
      <c r="AH31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1" s="100">
        <f>IF(Tabla1[[#This Row],[TIPO DE CONSUMIDOR]]="MEDIO",IF(Tabla1[[#This Row],[MARZO]]&gt;22.5,Tabla1[[#This Row],[MARZO]]/22.5-1,0),IF(Tabla1[[#This Row],[MARZO]]&gt;45,Tabla1[[#This Row],[MARZO]]/45-1,0))</f>
        <v>0</v>
      </c>
      <c r="AJ311" s="100">
        <f>IF(Tabla1[[#This Row],[TIPO DE CONSUMIDOR]]="MEDIO",IF(Tabla1[[#This Row],[ABRIL]]&gt;22.5,Tabla1[[#This Row],[ABRIL]]/22.5-1,0),IF(Tabla1[[#This Row],[ABRIL]]&gt;45,Tabla1[[#This Row],[ABRIL]]/45-1,0))</f>
        <v>0</v>
      </c>
      <c r="AK311" s="100">
        <f>IF(Tabla1[[#This Row],[TIPO DE CONSUMIDOR]]="MEDIO",IF(Tabla1[[#This Row],[MAYO ]]&gt;22.5,Tabla1[[#This Row],[MAYO ]]/22.5-1,0),IF(Tabla1[[#This Row],[MAYO ]]&gt;45,Tabla1[[#This Row],[MAYO ]]/45-1,0))</f>
        <v>0</v>
      </c>
      <c r="AL311" s="100">
        <f>IF(Tabla1[[#This Row],[TIPO DE CONSUMIDOR]]="MEDIO",IF(Tabla1[[#This Row],[JUNIO ]]&gt;22.5,Tabla1[[#This Row],[JUNIO ]]/22.5-1,0),IF(Tabla1[[#This Row],[JUNIO ]]&gt;45,Tabla1[[#This Row],[JUNIO ]]/45-1,0))</f>
        <v>0</v>
      </c>
      <c r="AM311" s="100">
        <f>IF(Tabla1[[#This Row],[TIPO DE CONSUMIDOR]]="MEDIO",IF(Tabla1[[#This Row],[JULIO ]]&gt;22.5,Tabla1[[#This Row],[JULIO ]]/22.5-1,0),IF(Tabla1[[#This Row],[JULIO ]]&gt;45,Tabla1[[#This Row],[JULIO ]]/45-1,0))</f>
        <v>0</v>
      </c>
      <c r="AN311" s="100">
        <f>IF(Tabla1[[#This Row],[TIPO DE CONSUMIDOR]]="MEDIO",IF(Tabla1[[#This Row],[AGOSTO]]&gt;22.5,Tabla1[[#This Row],[AGOSTO]]/22.5-1,0),IF(Tabla1[[#This Row],[AGOSTO]]&gt;45,Tabla1[[#This Row],[AGOSTO]]/45-1,0))</f>
        <v>0</v>
      </c>
      <c r="AO31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1" s="101">
        <f t="shared" si="9"/>
        <v>0</v>
      </c>
      <c r="AT311">
        <f>IF(Tabla1[[#This Row],[MES ADEUDO DE AÑOS PASADOS ]]&gt;0,1,0)</f>
        <v>1</v>
      </c>
      <c r="AU311" s="9">
        <f t="shared" si="10"/>
        <v>1</v>
      </c>
      <c r="AV311" s="60">
        <f>IF(Tabla1[[#This Row],[MESES DE ADEUDO DEL AÑO EN CURSO ]]&gt;0,1,0)</f>
        <v>0</v>
      </c>
      <c r="AW311" s="42"/>
      <c r="AX311" s="42"/>
      <c r="AY311" s="42"/>
      <c r="AZ311" s="43"/>
    </row>
    <row r="312" spans="1:52" ht="21.75" thickBot="1" x14ac:dyDescent="0.35">
      <c r="A312" s="106">
        <v>306</v>
      </c>
      <c r="B312" s="5" t="s">
        <v>272</v>
      </c>
      <c r="C312" s="2" t="s">
        <v>530</v>
      </c>
      <c r="D312" s="32"/>
      <c r="E312" s="35" t="s">
        <v>455</v>
      </c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24">
        <f>SUM(Tabla1[[#This Row],[ENERO ]:[DICIEMBRE]])</f>
        <v>0</v>
      </c>
      <c r="W312">
        <v>4</v>
      </c>
      <c r="X312" s="21">
        <f>COUNTIF(Tabla1[[#This Row],[ENERO ]:[DICIEMBRE]],0)-(AS312)-IF(Tabla1[[#This Row],[BAJAS]]="BAJA",IF(Tabla1[[#This Row],[ALTAS]]="ALTA",VLOOKUP(Tabla1[[#This Row],[MES DE ALTA ]],$AW$6:$AX$17,2,FALSE),12)-VLOOKUP(Tabla1[[#This Row],[MES DE BAJA ]],$AW$6:$AX$17,2,FALSE),0)</f>
        <v>0</v>
      </c>
      <c r="Y312" s="68">
        <f>SUM(Tabla1[[#This Row],[MES ADEUDO DE AÑOS PASADOS ]:[MESES DE ADEUDO DEL AÑO EN CURSO ]])-Tabla1[[#This Row],[PAGO DE DEUDA ANTERIOR EN MESES]]</f>
        <v>4</v>
      </c>
      <c r="Z312" s="15">
        <f>Tabla1[[#This Row],[MES ADEUDO DE AÑOS PASADOS ]]*$T$2</f>
        <v>180</v>
      </c>
      <c r="AA312" s="15">
        <f>Tabla1[[#This Row],[MESES DE ADEUDO DEL AÑO EN CURSO ]]*$T$2</f>
        <v>0</v>
      </c>
      <c r="AB312" s="69">
        <f>SUM(Tabla1[[#This Row],[DEUDA DE LOS MESES PASADOS EN $$]:[DEUDA DEL AÑO 2013 $$ ]])</f>
        <v>180</v>
      </c>
      <c r="AD312">
        <f>Tabla1[[#This Row],[PAGO DE DEUDA ANTERIOR EN MESES]]*$T$2</f>
        <v>0</v>
      </c>
      <c r="AG312" s="100">
        <f>IF(Tabla1[[#This Row],[TIPO DE CONSUMIDOR]]="MEDIO",IF(Tabla1[[#This Row],[ENERO ]]&gt;22.5,Tabla1[[#This Row],[ENERO ]]/22.5-1,0),IF(Tabla1[[#This Row],[ENERO ]]&gt;45,Tabla1[[#This Row],[ENERO ]]/45-1,0))</f>
        <v>0</v>
      </c>
      <c r="AH31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2" s="100">
        <f>IF(Tabla1[[#This Row],[TIPO DE CONSUMIDOR]]="MEDIO",IF(Tabla1[[#This Row],[MARZO]]&gt;22.5,Tabla1[[#This Row],[MARZO]]/22.5-1,0),IF(Tabla1[[#This Row],[MARZO]]&gt;45,Tabla1[[#This Row],[MARZO]]/45-1,0))</f>
        <v>0</v>
      </c>
      <c r="AJ312" s="100">
        <f>IF(Tabla1[[#This Row],[TIPO DE CONSUMIDOR]]="MEDIO",IF(Tabla1[[#This Row],[ABRIL]]&gt;22.5,Tabla1[[#This Row],[ABRIL]]/22.5-1,0),IF(Tabla1[[#This Row],[ABRIL]]&gt;45,Tabla1[[#This Row],[ABRIL]]/45-1,0))</f>
        <v>0</v>
      </c>
      <c r="AK312" s="100">
        <f>IF(Tabla1[[#This Row],[TIPO DE CONSUMIDOR]]="MEDIO",IF(Tabla1[[#This Row],[MAYO ]]&gt;22.5,Tabla1[[#This Row],[MAYO ]]/22.5-1,0),IF(Tabla1[[#This Row],[MAYO ]]&gt;45,Tabla1[[#This Row],[MAYO ]]/45-1,0))</f>
        <v>0</v>
      </c>
      <c r="AL312" s="100">
        <f>IF(Tabla1[[#This Row],[TIPO DE CONSUMIDOR]]="MEDIO",IF(Tabla1[[#This Row],[JUNIO ]]&gt;22.5,Tabla1[[#This Row],[JUNIO ]]/22.5-1,0),IF(Tabla1[[#This Row],[JUNIO ]]&gt;45,Tabla1[[#This Row],[JUNIO ]]/45-1,0))</f>
        <v>0</v>
      </c>
      <c r="AM312" s="100">
        <f>IF(Tabla1[[#This Row],[TIPO DE CONSUMIDOR]]="MEDIO",IF(Tabla1[[#This Row],[JULIO ]]&gt;22.5,Tabla1[[#This Row],[JULIO ]]/22.5-1,0),IF(Tabla1[[#This Row],[JULIO ]]&gt;45,Tabla1[[#This Row],[JULIO ]]/45-1,0))</f>
        <v>0</v>
      </c>
      <c r="AN312" s="100">
        <f>IF(Tabla1[[#This Row],[TIPO DE CONSUMIDOR]]="MEDIO",IF(Tabla1[[#This Row],[AGOSTO]]&gt;22.5,Tabla1[[#This Row],[AGOSTO]]/22.5-1,0),IF(Tabla1[[#This Row],[AGOSTO]]&gt;45,Tabla1[[#This Row],[AGOSTO]]/45-1,0))</f>
        <v>0</v>
      </c>
      <c r="AO31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2" s="101">
        <f t="shared" si="9"/>
        <v>0</v>
      </c>
      <c r="AT312">
        <f>IF(Tabla1[[#This Row],[MES ADEUDO DE AÑOS PASADOS ]]&gt;0,1,0)</f>
        <v>1</v>
      </c>
      <c r="AU312" s="9">
        <f t="shared" si="10"/>
        <v>1</v>
      </c>
      <c r="AV312" s="60">
        <f>IF(Tabla1[[#This Row],[MESES DE ADEUDO DEL AÑO EN CURSO ]]&gt;0,1,0)</f>
        <v>0</v>
      </c>
      <c r="AW312" s="42"/>
      <c r="AX312" s="42"/>
      <c r="AY312" s="42"/>
      <c r="AZ312" s="43"/>
    </row>
    <row r="313" spans="1:52" ht="21.75" thickBot="1" x14ac:dyDescent="0.35">
      <c r="A313" s="106">
        <v>307</v>
      </c>
      <c r="B313" s="5" t="s">
        <v>179</v>
      </c>
      <c r="C313" s="2" t="s">
        <v>530</v>
      </c>
      <c r="D313" s="32"/>
      <c r="E313" s="35" t="s">
        <v>455</v>
      </c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24">
        <f>SUM(Tabla1[[#This Row],[ENERO ]:[DICIEMBRE]])</f>
        <v>0</v>
      </c>
      <c r="W313">
        <v>5</v>
      </c>
      <c r="X313" s="21">
        <f>COUNTIF(Tabla1[[#This Row],[ENERO ]:[DICIEMBRE]],0)-(AS313)-IF(Tabla1[[#This Row],[BAJAS]]="BAJA",IF(Tabla1[[#This Row],[ALTAS]]="ALTA",VLOOKUP(Tabla1[[#This Row],[MES DE ALTA ]],$AW$6:$AX$17,2,FALSE),12)-VLOOKUP(Tabla1[[#This Row],[MES DE BAJA ]],$AW$6:$AX$17,2,FALSE),0)</f>
        <v>0</v>
      </c>
      <c r="Y313" s="68">
        <f>SUM(Tabla1[[#This Row],[MES ADEUDO DE AÑOS PASADOS ]:[MESES DE ADEUDO DEL AÑO EN CURSO ]])-Tabla1[[#This Row],[PAGO DE DEUDA ANTERIOR EN MESES]]</f>
        <v>5</v>
      </c>
      <c r="Z313" s="15">
        <f>Tabla1[[#This Row],[MES ADEUDO DE AÑOS PASADOS ]]*$T$2</f>
        <v>225</v>
      </c>
      <c r="AA313" s="15">
        <f>Tabla1[[#This Row],[MESES DE ADEUDO DEL AÑO EN CURSO ]]*$T$2</f>
        <v>0</v>
      </c>
      <c r="AB313" s="69">
        <f>SUM(Tabla1[[#This Row],[DEUDA DE LOS MESES PASADOS EN $$]:[DEUDA DEL AÑO 2013 $$ ]])</f>
        <v>225</v>
      </c>
      <c r="AD313">
        <f>Tabla1[[#This Row],[PAGO DE DEUDA ANTERIOR EN MESES]]*$T$2</f>
        <v>0</v>
      </c>
      <c r="AG313" s="100">
        <f>IF(Tabla1[[#This Row],[TIPO DE CONSUMIDOR]]="MEDIO",IF(Tabla1[[#This Row],[ENERO ]]&gt;22.5,Tabla1[[#This Row],[ENERO ]]/22.5-1,0),IF(Tabla1[[#This Row],[ENERO ]]&gt;45,Tabla1[[#This Row],[ENERO ]]/45-1,0))</f>
        <v>0</v>
      </c>
      <c r="AH31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3" s="100">
        <f>IF(Tabla1[[#This Row],[TIPO DE CONSUMIDOR]]="MEDIO",IF(Tabla1[[#This Row],[MARZO]]&gt;22.5,Tabla1[[#This Row],[MARZO]]/22.5-1,0),IF(Tabla1[[#This Row],[MARZO]]&gt;45,Tabla1[[#This Row],[MARZO]]/45-1,0))</f>
        <v>0</v>
      </c>
      <c r="AJ313" s="100">
        <f>IF(Tabla1[[#This Row],[TIPO DE CONSUMIDOR]]="MEDIO",IF(Tabla1[[#This Row],[ABRIL]]&gt;22.5,Tabla1[[#This Row],[ABRIL]]/22.5-1,0),IF(Tabla1[[#This Row],[ABRIL]]&gt;45,Tabla1[[#This Row],[ABRIL]]/45-1,0))</f>
        <v>0</v>
      </c>
      <c r="AK313" s="100">
        <f>IF(Tabla1[[#This Row],[TIPO DE CONSUMIDOR]]="MEDIO",IF(Tabla1[[#This Row],[MAYO ]]&gt;22.5,Tabla1[[#This Row],[MAYO ]]/22.5-1,0),IF(Tabla1[[#This Row],[MAYO ]]&gt;45,Tabla1[[#This Row],[MAYO ]]/45-1,0))</f>
        <v>0</v>
      </c>
      <c r="AL313" s="100">
        <f>IF(Tabla1[[#This Row],[TIPO DE CONSUMIDOR]]="MEDIO",IF(Tabla1[[#This Row],[JUNIO ]]&gt;22.5,Tabla1[[#This Row],[JUNIO ]]/22.5-1,0),IF(Tabla1[[#This Row],[JUNIO ]]&gt;45,Tabla1[[#This Row],[JUNIO ]]/45-1,0))</f>
        <v>0</v>
      </c>
      <c r="AM313" s="100">
        <f>IF(Tabla1[[#This Row],[TIPO DE CONSUMIDOR]]="MEDIO",IF(Tabla1[[#This Row],[JULIO ]]&gt;22.5,Tabla1[[#This Row],[JULIO ]]/22.5-1,0),IF(Tabla1[[#This Row],[JULIO ]]&gt;45,Tabla1[[#This Row],[JULIO ]]/45-1,0))</f>
        <v>0</v>
      </c>
      <c r="AN313" s="100">
        <f>IF(Tabla1[[#This Row],[TIPO DE CONSUMIDOR]]="MEDIO",IF(Tabla1[[#This Row],[AGOSTO]]&gt;22.5,Tabla1[[#This Row],[AGOSTO]]/22.5-1,0),IF(Tabla1[[#This Row],[AGOSTO]]&gt;45,Tabla1[[#This Row],[AGOSTO]]/45-1,0))</f>
        <v>0</v>
      </c>
      <c r="AO31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3" s="101">
        <f t="shared" si="9"/>
        <v>0</v>
      </c>
      <c r="AT313">
        <f>IF(Tabla1[[#This Row],[MES ADEUDO DE AÑOS PASADOS ]]&gt;0,1,0)</f>
        <v>1</v>
      </c>
      <c r="AU313" s="9">
        <f t="shared" si="10"/>
        <v>1</v>
      </c>
      <c r="AV313" s="60">
        <f>IF(Tabla1[[#This Row],[MESES DE ADEUDO DEL AÑO EN CURSO ]]&gt;0,1,0)</f>
        <v>0</v>
      </c>
      <c r="AW313" s="42"/>
      <c r="AX313" s="42"/>
      <c r="AY313" s="42"/>
      <c r="AZ313" s="43"/>
    </row>
    <row r="314" spans="1:52" ht="21.75" thickBot="1" x14ac:dyDescent="0.35">
      <c r="A314" s="106">
        <v>308</v>
      </c>
      <c r="B314" s="5" t="s">
        <v>613</v>
      </c>
      <c r="C314" s="2" t="s">
        <v>530</v>
      </c>
      <c r="D314" s="32"/>
      <c r="E314" s="35" t="s">
        <v>455</v>
      </c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58">
        <f>SUM(Tabla1[[#This Row],[ENERO ]:[DICIEMBRE]])</f>
        <v>0</v>
      </c>
      <c r="W314">
        <v>5</v>
      </c>
      <c r="X314" s="21">
        <f>COUNTIF(Tabla1[[#This Row],[ENERO ]:[DICIEMBRE]],0)-(AS314)-IF(Tabla1[[#This Row],[BAJAS]]="BAJA",IF(Tabla1[[#This Row],[ALTAS]]="ALTA",VLOOKUP(Tabla1[[#This Row],[MES DE ALTA ]],$AW$6:$AX$17,2,FALSE),12)-VLOOKUP(Tabla1[[#This Row],[MES DE BAJA ]],$AW$6:$AX$17,2,FALSE),0)</f>
        <v>0</v>
      </c>
      <c r="Y314" s="68">
        <f>SUM(Tabla1[[#This Row],[MES ADEUDO DE AÑOS PASADOS ]:[MESES DE ADEUDO DEL AÑO EN CURSO ]])-Tabla1[[#This Row],[PAGO DE DEUDA ANTERIOR EN MESES]]</f>
        <v>5</v>
      </c>
      <c r="Z314" s="15">
        <f>Tabla1[[#This Row],[MES ADEUDO DE AÑOS PASADOS ]]*$T$2</f>
        <v>225</v>
      </c>
      <c r="AA314" s="15">
        <f>Tabla1[[#This Row],[MESES DE ADEUDO DEL AÑO EN CURSO ]]*$T$2</f>
        <v>0</v>
      </c>
      <c r="AB314" s="69">
        <f>SUM(Tabla1[[#This Row],[DEUDA DE LOS MESES PASADOS EN $$]:[DEUDA DEL AÑO 2013 $$ ]])</f>
        <v>225</v>
      </c>
      <c r="AD314">
        <f>Tabla1[[#This Row],[PAGO DE DEUDA ANTERIOR EN MESES]]*$T$2</f>
        <v>0</v>
      </c>
      <c r="AG314" s="100">
        <f>IF(Tabla1[[#This Row],[TIPO DE CONSUMIDOR]]="MEDIO",IF(Tabla1[[#This Row],[ENERO ]]&gt;22.5,Tabla1[[#This Row],[ENERO ]]/22.5-1,0),IF(Tabla1[[#This Row],[ENERO ]]&gt;45,Tabla1[[#This Row],[ENERO ]]/45-1,0))</f>
        <v>0</v>
      </c>
      <c r="AH31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4" s="100">
        <f>IF(Tabla1[[#This Row],[TIPO DE CONSUMIDOR]]="MEDIO",IF(Tabla1[[#This Row],[MARZO]]&gt;22.5,Tabla1[[#This Row],[MARZO]]/22.5-1,0),IF(Tabla1[[#This Row],[MARZO]]&gt;45,Tabla1[[#This Row],[MARZO]]/45-1,0))</f>
        <v>0</v>
      </c>
      <c r="AJ314" s="100">
        <f>IF(Tabla1[[#This Row],[TIPO DE CONSUMIDOR]]="MEDIO",IF(Tabla1[[#This Row],[ABRIL]]&gt;22.5,Tabla1[[#This Row],[ABRIL]]/22.5-1,0),IF(Tabla1[[#This Row],[ABRIL]]&gt;45,Tabla1[[#This Row],[ABRIL]]/45-1,0))</f>
        <v>0</v>
      </c>
      <c r="AK314" s="100">
        <f>IF(Tabla1[[#This Row],[TIPO DE CONSUMIDOR]]="MEDIO",IF(Tabla1[[#This Row],[MAYO ]]&gt;22.5,Tabla1[[#This Row],[MAYO ]]/22.5-1,0),IF(Tabla1[[#This Row],[MAYO ]]&gt;45,Tabla1[[#This Row],[MAYO ]]/45-1,0))</f>
        <v>0</v>
      </c>
      <c r="AL314" s="100">
        <f>IF(Tabla1[[#This Row],[TIPO DE CONSUMIDOR]]="MEDIO",IF(Tabla1[[#This Row],[JUNIO ]]&gt;22.5,Tabla1[[#This Row],[JUNIO ]]/22.5-1,0),IF(Tabla1[[#This Row],[JUNIO ]]&gt;45,Tabla1[[#This Row],[JUNIO ]]/45-1,0))</f>
        <v>0</v>
      </c>
      <c r="AM314" s="100">
        <f>IF(Tabla1[[#This Row],[TIPO DE CONSUMIDOR]]="MEDIO",IF(Tabla1[[#This Row],[JULIO ]]&gt;22.5,Tabla1[[#This Row],[JULIO ]]/22.5-1,0),IF(Tabla1[[#This Row],[JULIO ]]&gt;45,Tabla1[[#This Row],[JULIO ]]/45-1,0))</f>
        <v>0</v>
      </c>
      <c r="AN314" s="100">
        <f>IF(Tabla1[[#This Row],[TIPO DE CONSUMIDOR]]="MEDIO",IF(Tabla1[[#This Row],[AGOSTO]]&gt;22.5,Tabla1[[#This Row],[AGOSTO]]/22.5-1,0),IF(Tabla1[[#This Row],[AGOSTO]]&gt;45,Tabla1[[#This Row],[AGOSTO]]/45-1,0))</f>
        <v>0</v>
      </c>
      <c r="AO31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4" s="101">
        <f t="shared" si="9"/>
        <v>0</v>
      </c>
      <c r="AT314">
        <f>IF(Tabla1[[#This Row],[MES ADEUDO DE AÑOS PASADOS ]]&gt;0,1,0)</f>
        <v>1</v>
      </c>
      <c r="AU314" s="9">
        <f t="shared" si="10"/>
        <v>1</v>
      </c>
      <c r="AV314" s="60">
        <f>IF(Tabla1[[#This Row],[MESES DE ADEUDO DEL AÑO EN CURSO ]]&gt;0,1,0)</f>
        <v>0</v>
      </c>
      <c r="AW314" s="42"/>
      <c r="AX314" s="42"/>
      <c r="AY314" s="42"/>
      <c r="AZ314" s="43"/>
    </row>
    <row r="315" spans="1:52" ht="21.75" thickBot="1" x14ac:dyDescent="0.35">
      <c r="A315" s="106">
        <v>309</v>
      </c>
      <c r="B315" s="5" t="s">
        <v>195</v>
      </c>
      <c r="C315" s="2" t="s">
        <v>530</v>
      </c>
      <c r="D315" s="32"/>
      <c r="E315" s="35" t="s">
        <v>455</v>
      </c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24">
        <f>SUM(Tabla1[[#This Row],[ENERO ]:[DICIEMBRE]])</f>
        <v>0</v>
      </c>
      <c r="W315">
        <v>6</v>
      </c>
      <c r="X315" s="21">
        <f>COUNTIF(Tabla1[[#This Row],[ENERO ]:[DICIEMBRE]],0)-(AS315)-IF(Tabla1[[#This Row],[BAJAS]]="BAJA",IF(Tabla1[[#This Row],[ALTAS]]="ALTA",VLOOKUP(Tabla1[[#This Row],[MES DE ALTA ]],$AW$6:$AX$17,2,FALSE),12)-VLOOKUP(Tabla1[[#This Row],[MES DE BAJA ]],$AW$6:$AX$17,2,FALSE),0)</f>
        <v>0</v>
      </c>
      <c r="Y315" s="68">
        <f>SUM(Tabla1[[#This Row],[MES ADEUDO DE AÑOS PASADOS ]:[MESES DE ADEUDO DEL AÑO EN CURSO ]])-Tabla1[[#This Row],[PAGO DE DEUDA ANTERIOR EN MESES]]</f>
        <v>6</v>
      </c>
      <c r="Z315" s="15">
        <f>Tabla1[[#This Row],[MES ADEUDO DE AÑOS PASADOS ]]*$T$2</f>
        <v>270</v>
      </c>
      <c r="AA315" s="15">
        <f>Tabla1[[#This Row],[MESES DE ADEUDO DEL AÑO EN CURSO ]]*$T$2</f>
        <v>0</v>
      </c>
      <c r="AB315" s="69">
        <f>SUM(Tabla1[[#This Row],[DEUDA DE LOS MESES PASADOS EN $$]:[DEUDA DEL AÑO 2013 $$ ]])</f>
        <v>270</v>
      </c>
      <c r="AD315">
        <f>Tabla1[[#This Row],[PAGO DE DEUDA ANTERIOR EN MESES]]*$T$2</f>
        <v>0</v>
      </c>
      <c r="AG315" s="100">
        <f>IF(Tabla1[[#This Row],[TIPO DE CONSUMIDOR]]="MEDIO",IF(Tabla1[[#This Row],[ENERO ]]&gt;22.5,Tabla1[[#This Row],[ENERO ]]/22.5-1,0),IF(Tabla1[[#This Row],[ENERO ]]&gt;45,Tabla1[[#This Row],[ENERO ]]/45-1,0))</f>
        <v>0</v>
      </c>
      <c r="AH31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5" s="100">
        <f>IF(Tabla1[[#This Row],[TIPO DE CONSUMIDOR]]="MEDIO",IF(Tabla1[[#This Row],[MARZO]]&gt;22.5,Tabla1[[#This Row],[MARZO]]/22.5-1,0),IF(Tabla1[[#This Row],[MARZO]]&gt;45,Tabla1[[#This Row],[MARZO]]/45-1,0))</f>
        <v>0</v>
      </c>
      <c r="AJ315" s="100">
        <f>IF(Tabla1[[#This Row],[TIPO DE CONSUMIDOR]]="MEDIO",IF(Tabla1[[#This Row],[ABRIL]]&gt;22.5,Tabla1[[#This Row],[ABRIL]]/22.5-1,0),IF(Tabla1[[#This Row],[ABRIL]]&gt;45,Tabla1[[#This Row],[ABRIL]]/45-1,0))</f>
        <v>0</v>
      </c>
      <c r="AK315" s="100">
        <f>IF(Tabla1[[#This Row],[TIPO DE CONSUMIDOR]]="MEDIO",IF(Tabla1[[#This Row],[MAYO ]]&gt;22.5,Tabla1[[#This Row],[MAYO ]]/22.5-1,0),IF(Tabla1[[#This Row],[MAYO ]]&gt;45,Tabla1[[#This Row],[MAYO ]]/45-1,0))</f>
        <v>0</v>
      </c>
      <c r="AL315" s="100">
        <f>IF(Tabla1[[#This Row],[TIPO DE CONSUMIDOR]]="MEDIO",IF(Tabla1[[#This Row],[JUNIO ]]&gt;22.5,Tabla1[[#This Row],[JUNIO ]]/22.5-1,0),IF(Tabla1[[#This Row],[JUNIO ]]&gt;45,Tabla1[[#This Row],[JUNIO ]]/45-1,0))</f>
        <v>0</v>
      </c>
      <c r="AM315" s="100">
        <f>IF(Tabla1[[#This Row],[TIPO DE CONSUMIDOR]]="MEDIO",IF(Tabla1[[#This Row],[JULIO ]]&gt;22.5,Tabla1[[#This Row],[JULIO ]]/22.5-1,0),IF(Tabla1[[#This Row],[JULIO ]]&gt;45,Tabla1[[#This Row],[JULIO ]]/45-1,0))</f>
        <v>0</v>
      </c>
      <c r="AN315" s="100">
        <f>IF(Tabla1[[#This Row],[TIPO DE CONSUMIDOR]]="MEDIO",IF(Tabla1[[#This Row],[AGOSTO]]&gt;22.5,Tabla1[[#This Row],[AGOSTO]]/22.5-1,0),IF(Tabla1[[#This Row],[AGOSTO]]&gt;45,Tabla1[[#This Row],[AGOSTO]]/45-1,0))</f>
        <v>0</v>
      </c>
      <c r="AO31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5" s="101">
        <f t="shared" si="9"/>
        <v>0</v>
      </c>
      <c r="AT315">
        <f>IF(Tabla1[[#This Row],[MES ADEUDO DE AÑOS PASADOS ]]&gt;0,1,0)</f>
        <v>1</v>
      </c>
      <c r="AU315" s="9">
        <f t="shared" si="10"/>
        <v>1</v>
      </c>
      <c r="AV315" s="60">
        <f>IF(Tabla1[[#This Row],[MESES DE ADEUDO DEL AÑO EN CURSO ]]&gt;0,1,0)</f>
        <v>0</v>
      </c>
      <c r="AW315" s="42"/>
      <c r="AX315" s="42"/>
      <c r="AY315" s="42"/>
      <c r="AZ315" s="43"/>
    </row>
    <row r="316" spans="1:52" ht="21.75" thickBot="1" x14ac:dyDescent="0.35">
      <c r="A316" s="106">
        <v>310</v>
      </c>
      <c r="B316" s="5" t="s">
        <v>608</v>
      </c>
      <c r="C316" s="2" t="s">
        <v>530</v>
      </c>
      <c r="D316" s="32"/>
      <c r="E316" s="35" t="s">
        <v>455</v>
      </c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24">
        <f>SUM(Tabla1[[#This Row],[ENERO ]:[DICIEMBRE]])</f>
        <v>0</v>
      </c>
      <c r="W316">
        <v>6</v>
      </c>
      <c r="X316" s="21">
        <f>COUNTIF(Tabla1[[#This Row],[ENERO ]:[DICIEMBRE]],0)-(AS316)-IF(Tabla1[[#This Row],[BAJAS]]="BAJA",IF(Tabla1[[#This Row],[ALTAS]]="ALTA",VLOOKUP(Tabla1[[#This Row],[MES DE ALTA ]],$AW$6:$AX$17,2,FALSE),12)-VLOOKUP(Tabla1[[#This Row],[MES DE BAJA ]],$AW$6:$AX$17,2,FALSE),0)</f>
        <v>0</v>
      </c>
      <c r="Y316" s="68">
        <f>SUM(Tabla1[[#This Row],[MES ADEUDO DE AÑOS PASADOS ]:[MESES DE ADEUDO DEL AÑO EN CURSO ]])-Tabla1[[#This Row],[PAGO DE DEUDA ANTERIOR EN MESES]]</f>
        <v>6</v>
      </c>
      <c r="Z316" s="15">
        <f>Tabla1[[#This Row],[MES ADEUDO DE AÑOS PASADOS ]]*$T$2</f>
        <v>270</v>
      </c>
      <c r="AA316" s="15">
        <f>Tabla1[[#This Row],[MESES DE ADEUDO DEL AÑO EN CURSO ]]*$T$2</f>
        <v>0</v>
      </c>
      <c r="AB316" s="69">
        <f>SUM(Tabla1[[#This Row],[DEUDA DE LOS MESES PASADOS EN $$]:[DEUDA DEL AÑO 2013 $$ ]])</f>
        <v>270</v>
      </c>
      <c r="AD316">
        <f>Tabla1[[#This Row],[PAGO DE DEUDA ANTERIOR EN MESES]]*$T$2</f>
        <v>0</v>
      </c>
      <c r="AG316" s="100">
        <f>IF(Tabla1[[#This Row],[TIPO DE CONSUMIDOR]]="MEDIO",IF(Tabla1[[#This Row],[ENERO ]]&gt;22.5,Tabla1[[#This Row],[ENERO ]]/22.5-1,0),IF(Tabla1[[#This Row],[ENERO ]]&gt;45,Tabla1[[#This Row],[ENERO ]]/45-1,0))</f>
        <v>0</v>
      </c>
      <c r="AH31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6" s="100">
        <f>IF(Tabla1[[#This Row],[TIPO DE CONSUMIDOR]]="MEDIO",IF(Tabla1[[#This Row],[MARZO]]&gt;22.5,Tabla1[[#This Row],[MARZO]]/22.5-1,0),IF(Tabla1[[#This Row],[MARZO]]&gt;45,Tabla1[[#This Row],[MARZO]]/45-1,0))</f>
        <v>0</v>
      </c>
      <c r="AJ316" s="100">
        <f>IF(Tabla1[[#This Row],[TIPO DE CONSUMIDOR]]="MEDIO",IF(Tabla1[[#This Row],[ABRIL]]&gt;22.5,Tabla1[[#This Row],[ABRIL]]/22.5-1,0),IF(Tabla1[[#This Row],[ABRIL]]&gt;45,Tabla1[[#This Row],[ABRIL]]/45-1,0))</f>
        <v>0</v>
      </c>
      <c r="AK316" s="100">
        <f>IF(Tabla1[[#This Row],[TIPO DE CONSUMIDOR]]="MEDIO",IF(Tabla1[[#This Row],[MAYO ]]&gt;22.5,Tabla1[[#This Row],[MAYO ]]/22.5-1,0),IF(Tabla1[[#This Row],[MAYO ]]&gt;45,Tabla1[[#This Row],[MAYO ]]/45-1,0))</f>
        <v>0</v>
      </c>
      <c r="AL316" s="100">
        <f>IF(Tabla1[[#This Row],[TIPO DE CONSUMIDOR]]="MEDIO",IF(Tabla1[[#This Row],[JUNIO ]]&gt;22.5,Tabla1[[#This Row],[JUNIO ]]/22.5-1,0),IF(Tabla1[[#This Row],[JUNIO ]]&gt;45,Tabla1[[#This Row],[JUNIO ]]/45-1,0))</f>
        <v>0</v>
      </c>
      <c r="AM316" s="100">
        <f>IF(Tabla1[[#This Row],[TIPO DE CONSUMIDOR]]="MEDIO",IF(Tabla1[[#This Row],[JULIO ]]&gt;22.5,Tabla1[[#This Row],[JULIO ]]/22.5-1,0),IF(Tabla1[[#This Row],[JULIO ]]&gt;45,Tabla1[[#This Row],[JULIO ]]/45-1,0))</f>
        <v>0</v>
      </c>
      <c r="AN316" s="100">
        <f>IF(Tabla1[[#This Row],[TIPO DE CONSUMIDOR]]="MEDIO",IF(Tabla1[[#This Row],[AGOSTO]]&gt;22.5,Tabla1[[#This Row],[AGOSTO]]/22.5-1,0),IF(Tabla1[[#This Row],[AGOSTO]]&gt;45,Tabla1[[#This Row],[AGOSTO]]/45-1,0))</f>
        <v>0</v>
      </c>
      <c r="AO31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6" s="101">
        <f t="shared" si="9"/>
        <v>0</v>
      </c>
      <c r="AT316">
        <f>IF(Tabla1[[#This Row],[MES ADEUDO DE AÑOS PASADOS ]]&gt;0,1,0)</f>
        <v>1</v>
      </c>
      <c r="AU316" s="9">
        <f t="shared" si="10"/>
        <v>1</v>
      </c>
      <c r="AV316" s="60">
        <f>IF(Tabla1[[#This Row],[MESES DE ADEUDO DEL AÑO EN CURSO ]]&gt;0,1,0)</f>
        <v>0</v>
      </c>
      <c r="AW316" s="42"/>
      <c r="AX316" s="42"/>
      <c r="AY316" s="42"/>
      <c r="AZ316" s="43"/>
    </row>
    <row r="317" spans="1:52" ht="21.75" thickBot="1" x14ac:dyDescent="0.35">
      <c r="A317" s="106">
        <v>311</v>
      </c>
      <c r="B317" s="5" t="s">
        <v>580</v>
      </c>
      <c r="C317" s="2" t="s">
        <v>530</v>
      </c>
      <c r="D317" s="32"/>
      <c r="E317" s="35" t="s">
        <v>489</v>
      </c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24">
        <f>SUM(Tabla1[[#This Row],[ENERO ]:[DICIEMBRE]])</f>
        <v>0</v>
      </c>
      <c r="W317">
        <v>6</v>
      </c>
      <c r="X317" s="21">
        <f>COUNTIF(Tabla1[[#This Row],[ENERO ]:[DICIEMBRE]],0)-(AS317)-IF(Tabla1[[#This Row],[BAJAS]]="BAJA",IF(Tabla1[[#This Row],[ALTAS]]="ALTA",VLOOKUP(Tabla1[[#This Row],[MES DE ALTA ]],$AW$6:$AX$17,2,FALSE),12)-VLOOKUP(Tabla1[[#This Row],[MES DE BAJA ]],$AW$6:$AX$17,2,FALSE),0)</f>
        <v>0</v>
      </c>
      <c r="Y317" s="68">
        <f>SUM(Tabla1[[#This Row],[MES ADEUDO DE AÑOS PASADOS ]:[MESES DE ADEUDO DEL AÑO EN CURSO ]])-Tabla1[[#This Row],[PAGO DE DEUDA ANTERIOR EN MESES]]</f>
        <v>6</v>
      </c>
      <c r="Z317" s="15">
        <f>Tabla1[[#This Row],[MES ADEUDO DE AÑOS PASADOS ]]*$T$2</f>
        <v>270</v>
      </c>
      <c r="AA317" s="15">
        <f>Tabla1[[#This Row],[MESES DE ADEUDO DEL AÑO EN CURSO ]]*$T$2</f>
        <v>0</v>
      </c>
      <c r="AB317" s="69">
        <f>SUM(Tabla1[[#This Row],[DEUDA DE LOS MESES PASADOS EN $$]:[DEUDA DEL AÑO 2013 $$ ]])</f>
        <v>270</v>
      </c>
      <c r="AD317">
        <f>Tabla1[[#This Row],[PAGO DE DEUDA ANTERIOR EN MESES]]*$T$2</f>
        <v>0</v>
      </c>
      <c r="AG317" s="100">
        <f>IF(Tabla1[[#This Row],[TIPO DE CONSUMIDOR]]="MEDIO",IF(Tabla1[[#This Row],[ENERO ]]&gt;22.5,Tabla1[[#This Row],[ENERO ]]/22.5-1,0),IF(Tabla1[[#This Row],[ENERO ]]&gt;45,Tabla1[[#This Row],[ENERO ]]/45-1,0))</f>
        <v>0</v>
      </c>
      <c r="AH31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7" s="100">
        <f>IF(Tabla1[[#This Row],[TIPO DE CONSUMIDOR]]="MEDIO",IF(Tabla1[[#This Row],[MARZO]]&gt;22.5,Tabla1[[#This Row],[MARZO]]/22.5-1,0),IF(Tabla1[[#This Row],[MARZO]]&gt;45,Tabla1[[#This Row],[MARZO]]/45-1,0))</f>
        <v>0</v>
      </c>
      <c r="AJ317" s="100">
        <f>IF(Tabla1[[#This Row],[TIPO DE CONSUMIDOR]]="MEDIO",IF(Tabla1[[#This Row],[ABRIL]]&gt;22.5,Tabla1[[#This Row],[ABRIL]]/22.5-1,0),IF(Tabla1[[#This Row],[ABRIL]]&gt;45,Tabla1[[#This Row],[ABRIL]]/45-1,0))</f>
        <v>0</v>
      </c>
      <c r="AK317" s="100">
        <f>IF(Tabla1[[#This Row],[TIPO DE CONSUMIDOR]]="MEDIO",IF(Tabla1[[#This Row],[MAYO ]]&gt;22.5,Tabla1[[#This Row],[MAYO ]]/22.5-1,0),IF(Tabla1[[#This Row],[MAYO ]]&gt;45,Tabla1[[#This Row],[MAYO ]]/45-1,0))</f>
        <v>0</v>
      </c>
      <c r="AL317" s="100">
        <f>IF(Tabla1[[#This Row],[TIPO DE CONSUMIDOR]]="MEDIO",IF(Tabla1[[#This Row],[JUNIO ]]&gt;22.5,Tabla1[[#This Row],[JUNIO ]]/22.5-1,0),IF(Tabla1[[#This Row],[JUNIO ]]&gt;45,Tabla1[[#This Row],[JUNIO ]]/45-1,0))</f>
        <v>0</v>
      </c>
      <c r="AM317" s="100">
        <f>IF(Tabla1[[#This Row],[TIPO DE CONSUMIDOR]]="MEDIO",IF(Tabla1[[#This Row],[JULIO ]]&gt;22.5,Tabla1[[#This Row],[JULIO ]]/22.5-1,0),IF(Tabla1[[#This Row],[JULIO ]]&gt;45,Tabla1[[#This Row],[JULIO ]]/45-1,0))</f>
        <v>0</v>
      </c>
      <c r="AN317" s="100">
        <f>IF(Tabla1[[#This Row],[TIPO DE CONSUMIDOR]]="MEDIO",IF(Tabla1[[#This Row],[AGOSTO]]&gt;22.5,Tabla1[[#This Row],[AGOSTO]]/22.5-1,0),IF(Tabla1[[#This Row],[AGOSTO]]&gt;45,Tabla1[[#This Row],[AGOSTO]]/45-1,0))</f>
        <v>0</v>
      </c>
      <c r="AO31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7" s="101">
        <f t="shared" si="9"/>
        <v>0</v>
      </c>
      <c r="AT317">
        <f>IF(Tabla1[[#This Row],[MES ADEUDO DE AÑOS PASADOS ]]&gt;0,1,0)</f>
        <v>1</v>
      </c>
      <c r="AU317" s="9">
        <f t="shared" si="10"/>
        <v>1</v>
      </c>
      <c r="AV317" s="60">
        <f>IF(Tabla1[[#This Row],[MESES DE ADEUDO DEL AÑO EN CURSO ]]&gt;0,1,0)</f>
        <v>0</v>
      </c>
      <c r="AW317" s="42"/>
      <c r="AX317" s="42"/>
      <c r="AY317" s="42"/>
      <c r="AZ317" s="43"/>
    </row>
    <row r="318" spans="1:52" ht="21.75" thickBot="1" x14ac:dyDescent="0.35">
      <c r="A318" s="106">
        <v>312</v>
      </c>
      <c r="B318" s="5" t="s">
        <v>543</v>
      </c>
      <c r="C318" s="2" t="s">
        <v>530</v>
      </c>
      <c r="D318" s="32"/>
      <c r="E318" s="35" t="s">
        <v>455</v>
      </c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24">
        <f>SUM(Tabla1[[#This Row],[ENERO ]:[DICIEMBRE]])</f>
        <v>0</v>
      </c>
      <c r="W318">
        <v>7</v>
      </c>
      <c r="X318" s="21">
        <f>COUNTIF(Tabla1[[#This Row],[ENERO ]:[DICIEMBRE]],0)-(AS318)-IF(Tabla1[[#This Row],[BAJAS]]="BAJA",IF(Tabla1[[#This Row],[ALTAS]]="ALTA",VLOOKUP(Tabla1[[#This Row],[MES DE ALTA ]],$AW$6:$AX$17,2,FALSE),12)-VLOOKUP(Tabla1[[#This Row],[MES DE BAJA ]],$AW$6:$AX$17,2,FALSE),0)</f>
        <v>0</v>
      </c>
      <c r="Y318" s="68">
        <f>SUM(Tabla1[[#This Row],[MES ADEUDO DE AÑOS PASADOS ]:[MESES DE ADEUDO DEL AÑO EN CURSO ]])-Tabla1[[#This Row],[PAGO DE DEUDA ANTERIOR EN MESES]]</f>
        <v>7</v>
      </c>
      <c r="Z318" s="15">
        <f>Tabla1[[#This Row],[MES ADEUDO DE AÑOS PASADOS ]]*$T$2</f>
        <v>315</v>
      </c>
      <c r="AA318" s="15">
        <f>Tabla1[[#This Row],[MESES DE ADEUDO DEL AÑO EN CURSO ]]*$T$2</f>
        <v>0</v>
      </c>
      <c r="AB318" s="69">
        <f>SUM(Tabla1[[#This Row],[DEUDA DE LOS MESES PASADOS EN $$]:[DEUDA DEL AÑO 2013 $$ ]])</f>
        <v>315</v>
      </c>
      <c r="AD318">
        <f>Tabla1[[#This Row],[PAGO DE DEUDA ANTERIOR EN MESES]]*$T$2</f>
        <v>0</v>
      </c>
      <c r="AG318" s="100">
        <f>IF(Tabla1[[#This Row],[TIPO DE CONSUMIDOR]]="MEDIO",IF(Tabla1[[#This Row],[ENERO ]]&gt;22.5,Tabla1[[#This Row],[ENERO ]]/22.5-1,0),IF(Tabla1[[#This Row],[ENERO ]]&gt;45,Tabla1[[#This Row],[ENERO ]]/45-1,0))</f>
        <v>0</v>
      </c>
      <c r="AH31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8" s="100">
        <f>IF(Tabla1[[#This Row],[TIPO DE CONSUMIDOR]]="MEDIO",IF(Tabla1[[#This Row],[MARZO]]&gt;22.5,Tabla1[[#This Row],[MARZO]]/22.5-1,0),IF(Tabla1[[#This Row],[MARZO]]&gt;45,Tabla1[[#This Row],[MARZO]]/45-1,0))</f>
        <v>0</v>
      </c>
      <c r="AJ318" s="100">
        <f>IF(Tabla1[[#This Row],[TIPO DE CONSUMIDOR]]="MEDIO",IF(Tabla1[[#This Row],[ABRIL]]&gt;22.5,Tabla1[[#This Row],[ABRIL]]/22.5-1,0),IF(Tabla1[[#This Row],[ABRIL]]&gt;45,Tabla1[[#This Row],[ABRIL]]/45-1,0))</f>
        <v>0</v>
      </c>
      <c r="AK318" s="100">
        <f>IF(Tabla1[[#This Row],[TIPO DE CONSUMIDOR]]="MEDIO",IF(Tabla1[[#This Row],[MAYO ]]&gt;22.5,Tabla1[[#This Row],[MAYO ]]/22.5-1,0),IF(Tabla1[[#This Row],[MAYO ]]&gt;45,Tabla1[[#This Row],[MAYO ]]/45-1,0))</f>
        <v>0</v>
      </c>
      <c r="AL318" s="100">
        <f>IF(Tabla1[[#This Row],[TIPO DE CONSUMIDOR]]="MEDIO",IF(Tabla1[[#This Row],[JUNIO ]]&gt;22.5,Tabla1[[#This Row],[JUNIO ]]/22.5-1,0),IF(Tabla1[[#This Row],[JUNIO ]]&gt;45,Tabla1[[#This Row],[JUNIO ]]/45-1,0))</f>
        <v>0</v>
      </c>
      <c r="AM318" s="100">
        <f>IF(Tabla1[[#This Row],[TIPO DE CONSUMIDOR]]="MEDIO",IF(Tabla1[[#This Row],[JULIO ]]&gt;22.5,Tabla1[[#This Row],[JULIO ]]/22.5-1,0),IF(Tabla1[[#This Row],[JULIO ]]&gt;45,Tabla1[[#This Row],[JULIO ]]/45-1,0))</f>
        <v>0</v>
      </c>
      <c r="AN318" s="100">
        <f>IF(Tabla1[[#This Row],[TIPO DE CONSUMIDOR]]="MEDIO",IF(Tabla1[[#This Row],[AGOSTO]]&gt;22.5,Tabla1[[#This Row],[AGOSTO]]/22.5-1,0),IF(Tabla1[[#This Row],[AGOSTO]]&gt;45,Tabla1[[#This Row],[AGOSTO]]/45-1,0))</f>
        <v>0</v>
      </c>
      <c r="AO31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8" s="101">
        <f t="shared" si="9"/>
        <v>0</v>
      </c>
      <c r="AT318">
        <f>IF(Tabla1[[#This Row],[MES ADEUDO DE AÑOS PASADOS ]]&gt;0,1,0)</f>
        <v>1</v>
      </c>
      <c r="AU318" s="9">
        <f t="shared" si="10"/>
        <v>1</v>
      </c>
      <c r="AV318" s="60">
        <f>IF(Tabla1[[#This Row],[MESES DE ADEUDO DEL AÑO EN CURSO ]]&gt;0,1,0)</f>
        <v>0</v>
      </c>
      <c r="AW318" s="42"/>
      <c r="AX318" s="42"/>
      <c r="AY318" s="42"/>
      <c r="AZ318" s="43"/>
    </row>
    <row r="319" spans="1:52" ht="21.75" thickBot="1" x14ac:dyDescent="0.35">
      <c r="A319" s="106">
        <v>313</v>
      </c>
      <c r="B319" s="5" t="s">
        <v>92</v>
      </c>
      <c r="C319" s="2" t="s">
        <v>530</v>
      </c>
      <c r="D319" s="32"/>
      <c r="E319" s="35" t="s">
        <v>455</v>
      </c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24">
        <f>SUM(Tabla1[[#This Row],[ENERO ]:[DICIEMBRE]])</f>
        <v>0</v>
      </c>
      <c r="W319">
        <v>7</v>
      </c>
      <c r="X319" s="21">
        <f>COUNTIF(Tabla1[[#This Row],[ENERO ]:[DICIEMBRE]],0)-(AS319)-IF(Tabla1[[#This Row],[BAJAS]]="BAJA",IF(Tabla1[[#This Row],[ALTAS]]="ALTA",VLOOKUP(Tabla1[[#This Row],[MES DE ALTA ]],$AW$6:$AX$17,2,FALSE),12)-VLOOKUP(Tabla1[[#This Row],[MES DE BAJA ]],$AW$6:$AX$17,2,FALSE),0)</f>
        <v>0</v>
      </c>
      <c r="Y319" s="68">
        <f>SUM(Tabla1[[#This Row],[MES ADEUDO DE AÑOS PASADOS ]:[MESES DE ADEUDO DEL AÑO EN CURSO ]])-Tabla1[[#This Row],[PAGO DE DEUDA ANTERIOR EN MESES]]</f>
        <v>7</v>
      </c>
      <c r="Z319" s="15">
        <f>Tabla1[[#This Row],[MES ADEUDO DE AÑOS PASADOS ]]*$T$2</f>
        <v>315</v>
      </c>
      <c r="AA319" s="15">
        <f>Tabla1[[#This Row],[MESES DE ADEUDO DEL AÑO EN CURSO ]]*$T$2</f>
        <v>0</v>
      </c>
      <c r="AB319" s="69">
        <f>SUM(Tabla1[[#This Row],[DEUDA DE LOS MESES PASADOS EN $$]:[DEUDA DEL AÑO 2013 $$ ]])</f>
        <v>315</v>
      </c>
      <c r="AD319">
        <f>Tabla1[[#This Row],[PAGO DE DEUDA ANTERIOR EN MESES]]*$T$2</f>
        <v>0</v>
      </c>
      <c r="AG319" s="100">
        <f>IF(Tabla1[[#This Row],[TIPO DE CONSUMIDOR]]="MEDIO",IF(Tabla1[[#This Row],[ENERO ]]&gt;22.5,Tabla1[[#This Row],[ENERO ]]/22.5-1,0),IF(Tabla1[[#This Row],[ENERO ]]&gt;45,Tabla1[[#This Row],[ENERO ]]/45-1,0))</f>
        <v>0</v>
      </c>
      <c r="AH31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19" s="100">
        <f>IF(Tabla1[[#This Row],[TIPO DE CONSUMIDOR]]="MEDIO",IF(Tabla1[[#This Row],[MARZO]]&gt;22.5,Tabla1[[#This Row],[MARZO]]/22.5-1,0),IF(Tabla1[[#This Row],[MARZO]]&gt;45,Tabla1[[#This Row],[MARZO]]/45-1,0))</f>
        <v>0</v>
      </c>
      <c r="AJ319" s="100">
        <f>IF(Tabla1[[#This Row],[TIPO DE CONSUMIDOR]]="MEDIO",IF(Tabla1[[#This Row],[ABRIL]]&gt;22.5,Tabla1[[#This Row],[ABRIL]]/22.5-1,0),IF(Tabla1[[#This Row],[ABRIL]]&gt;45,Tabla1[[#This Row],[ABRIL]]/45-1,0))</f>
        <v>0</v>
      </c>
      <c r="AK319" s="100">
        <f>IF(Tabla1[[#This Row],[TIPO DE CONSUMIDOR]]="MEDIO",IF(Tabla1[[#This Row],[MAYO ]]&gt;22.5,Tabla1[[#This Row],[MAYO ]]/22.5-1,0),IF(Tabla1[[#This Row],[MAYO ]]&gt;45,Tabla1[[#This Row],[MAYO ]]/45-1,0))</f>
        <v>0</v>
      </c>
      <c r="AL319" s="100">
        <f>IF(Tabla1[[#This Row],[TIPO DE CONSUMIDOR]]="MEDIO",IF(Tabla1[[#This Row],[JUNIO ]]&gt;22.5,Tabla1[[#This Row],[JUNIO ]]/22.5-1,0),IF(Tabla1[[#This Row],[JUNIO ]]&gt;45,Tabla1[[#This Row],[JUNIO ]]/45-1,0))</f>
        <v>0</v>
      </c>
      <c r="AM319" s="100">
        <f>IF(Tabla1[[#This Row],[TIPO DE CONSUMIDOR]]="MEDIO",IF(Tabla1[[#This Row],[JULIO ]]&gt;22.5,Tabla1[[#This Row],[JULIO ]]/22.5-1,0),IF(Tabla1[[#This Row],[JULIO ]]&gt;45,Tabla1[[#This Row],[JULIO ]]/45-1,0))</f>
        <v>0</v>
      </c>
      <c r="AN319" s="100">
        <f>IF(Tabla1[[#This Row],[TIPO DE CONSUMIDOR]]="MEDIO",IF(Tabla1[[#This Row],[AGOSTO]]&gt;22.5,Tabla1[[#This Row],[AGOSTO]]/22.5-1,0),IF(Tabla1[[#This Row],[AGOSTO]]&gt;45,Tabla1[[#This Row],[AGOSTO]]/45-1,0))</f>
        <v>0</v>
      </c>
      <c r="AO31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1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1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1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19" s="101">
        <f t="shared" si="9"/>
        <v>0</v>
      </c>
      <c r="AT319">
        <f>IF(Tabla1[[#This Row],[MES ADEUDO DE AÑOS PASADOS ]]&gt;0,1,0)</f>
        <v>1</v>
      </c>
      <c r="AU319" s="9">
        <f t="shared" si="10"/>
        <v>1</v>
      </c>
      <c r="AV319" s="60">
        <f>IF(Tabla1[[#This Row],[MESES DE ADEUDO DEL AÑO EN CURSO ]]&gt;0,1,0)</f>
        <v>0</v>
      </c>
      <c r="AW319" s="42"/>
      <c r="AX319" s="42"/>
      <c r="AY319" s="42"/>
      <c r="AZ319" s="43"/>
    </row>
    <row r="320" spans="1:52" ht="21.75" thickBot="1" x14ac:dyDescent="0.35">
      <c r="A320" s="106">
        <v>314</v>
      </c>
      <c r="B320" s="5" t="s">
        <v>223</v>
      </c>
      <c r="C320" s="2" t="s">
        <v>530</v>
      </c>
      <c r="D320" s="32"/>
      <c r="E320" s="35" t="s">
        <v>455</v>
      </c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24">
        <f>SUM(Tabla1[[#This Row],[ENERO ]:[DICIEMBRE]])</f>
        <v>0</v>
      </c>
      <c r="W320">
        <v>7</v>
      </c>
      <c r="X320" s="21">
        <f>COUNTIF(Tabla1[[#This Row],[ENERO ]:[DICIEMBRE]],0)-(AS320)-IF(Tabla1[[#This Row],[BAJAS]]="BAJA",IF(Tabla1[[#This Row],[ALTAS]]="ALTA",VLOOKUP(Tabla1[[#This Row],[MES DE ALTA ]],$AW$6:$AX$17,2,FALSE),12)-VLOOKUP(Tabla1[[#This Row],[MES DE BAJA ]],$AW$6:$AX$17,2,FALSE),0)</f>
        <v>0</v>
      </c>
      <c r="Y320" s="68">
        <f>SUM(Tabla1[[#This Row],[MES ADEUDO DE AÑOS PASADOS ]:[MESES DE ADEUDO DEL AÑO EN CURSO ]])-Tabla1[[#This Row],[PAGO DE DEUDA ANTERIOR EN MESES]]</f>
        <v>7</v>
      </c>
      <c r="Z320" s="15">
        <f>Tabla1[[#This Row],[MES ADEUDO DE AÑOS PASADOS ]]*$T$2</f>
        <v>315</v>
      </c>
      <c r="AA320" s="15">
        <f>Tabla1[[#This Row],[MESES DE ADEUDO DEL AÑO EN CURSO ]]*$T$2</f>
        <v>0</v>
      </c>
      <c r="AB320" s="69">
        <f>SUM(Tabla1[[#This Row],[DEUDA DE LOS MESES PASADOS EN $$]:[DEUDA DEL AÑO 2013 $$ ]])</f>
        <v>315</v>
      </c>
      <c r="AD320">
        <f>Tabla1[[#This Row],[PAGO DE DEUDA ANTERIOR EN MESES]]*$T$2</f>
        <v>0</v>
      </c>
      <c r="AG320" s="100">
        <f>IF(Tabla1[[#This Row],[TIPO DE CONSUMIDOR]]="MEDIO",IF(Tabla1[[#This Row],[ENERO ]]&gt;22.5,Tabla1[[#This Row],[ENERO ]]/22.5-1,0),IF(Tabla1[[#This Row],[ENERO ]]&gt;45,Tabla1[[#This Row],[ENERO ]]/45-1,0))</f>
        <v>0</v>
      </c>
      <c r="AH32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0" s="100">
        <f>IF(Tabla1[[#This Row],[TIPO DE CONSUMIDOR]]="MEDIO",IF(Tabla1[[#This Row],[MARZO]]&gt;22.5,Tabla1[[#This Row],[MARZO]]/22.5-1,0),IF(Tabla1[[#This Row],[MARZO]]&gt;45,Tabla1[[#This Row],[MARZO]]/45-1,0))</f>
        <v>0</v>
      </c>
      <c r="AJ320" s="100">
        <f>IF(Tabla1[[#This Row],[TIPO DE CONSUMIDOR]]="MEDIO",IF(Tabla1[[#This Row],[ABRIL]]&gt;22.5,Tabla1[[#This Row],[ABRIL]]/22.5-1,0),IF(Tabla1[[#This Row],[ABRIL]]&gt;45,Tabla1[[#This Row],[ABRIL]]/45-1,0))</f>
        <v>0</v>
      </c>
      <c r="AK320" s="100">
        <f>IF(Tabla1[[#This Row],[TIPO DE CONSUMIDOR]]="MEDIO",IF(Tabla1[[#This Row],[MAYO ]]&gt;22.5,Tabla1[[#This Row],[MAYO ]]/22.5-1,0),IF(Tabla1[[#This Row],[MAYO ]]&gt;45,Tabla1[[#This Row],[MAYO ]]/45-1,0))</f>
        <v>0</v>
      </c>
      <c r="AL320" s="100">
        <f>IF(Tabla1[[#This Row],[TIPO DE CONSUMIDOR]]="MEDIO",IF(Tabla1[[#This Row],[JUNIO ]]&gt;22.5,Tabla1[[#This Row],[JUNIO ]]/22.5-1,0),IF(Tabla1[[#This Row],[JUNIO ]]&gt;45,Tabla1[[#This Row],[JUNIO ]]/45-1,0))</f>
        <v>0</v>
      </c>
      <c r="AM320" s="100">
        <f>IF(Tabla1[[#This Row],[TIPO DE CONSUMIDOR]]="MEDIO",IF(Tabla1[[#This Row],[JULIO ]]&gt;22.5,Tabla1[[#This Row],[JULIO ]]/22.5-1,0),IF(Tabla1[[#This Row],[JULIO ]]&gt;45,Tabla1[[#This Row],[JULIO ]]/45-1,0))</f>
        <v>0</v>
      </c>
      <c r="AN320" s="100">
        <f>IF(Tabla1[[#This Row],[TIPO DE CONSUMIDOR]]="MEDIO",IF(Tabla1[[#This Row],[AGOSTO]]&gt;22.5,Tabla1[[#This Row],[AGOSTO]]/22.5-1,0),IF(Tabla1[[#This Row],[AGOSTO]]&gt;45,Tabla1[[#This Row],[AGOSTO]]/45-1,0))</f>
        <v>0</v>
      </c>
      <c r="AO32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0" s="101">
        <f t="shared" si="9"/>
        <v>0</v>
      </c>
      <c r="AT320">
        <f>IF(Tabla1[[#This Row],[MES ADEUDO DE AÑOS PASADOS ]]&gt;0,1,0)</f>
        <v>1</v>
      </c>
      <c r="AU320" s="9">
        <f t="shared" si="10"/>
        <v>1</v>
      </c>
      <c r="AV320" s="60">
        <f>IF(Tabla1[[#This Row],[MESES DE ADEUDO DEL AÑO EN CURSO ]]&gt;0,1,0)</f>
        <v>0</v>
      </c>
      <c r="AW320" s="42"/>
      <c r="AX320" s="42"/>
      <c r="AY320" s="42"/>
      <c r="AZ320" s="43"/>
    </row>
    <row r="321" spans="1:52" ht="21.75" thickBot="1" x14ac:dyDescent="0.35">
      <c r="A321" s="106">
        <v>315</v>
      </c>
      <c r="B321" s="5" t="s">
        <v>540</v>
      </c>
      <c r="C321" s="2" t="s">
        <v>530</v>
      </c>
      <c r="D321" s="32"/>
      <c r="E321" s="35" t="s">
        <v>455</v>
      </c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24">
        <f>SUM(Tabla1[[#This Row],[ENERO ]:[DICIEMBRE]])</f>
        <v>0</v>
      </c>
      <c r="W321">
        <v>7</v>
      </c>
      <c r="X321" s="21">
        <f>COUNTIF(Tabla1[[#This Row],[ENERO ]:[DICIEMBRE]],0)-(AS321)-IF(Tabla1[[#This Row],[BAJAS]]="BAJA",IF(Tabla1[[#This Row],[ALTAS]]="ALTA",VLOOKUP(Tabla1[[#This Row],[MES DE ALTA ]],$AW$6:$AX$17,2,FALSE),12)-VLOOKUP(Tabla1[[#This Row],[MES DE BAJA ]],$AW$6:$AX$17,2,FALSE),0)</f>
        <v>0</v>
      </c>
      <c r="Y321" s="68">
        <f>SUM(Tabla1[[#This Row],[MES ADEUDO DE AÑOS PASADOS ]:[MESES DE ADEUDO DEL AÑO EN CURSO ]])-Tabla1[[#This Row],[PAGO DE DEUDA ANTERIOR EN MESES]]</f>
        <v>7</v>
      </c>
      <c r="Z321" s="15">
        <f>Tabla1[[#This Row],[MES ADEUDO DE AÑOS PASADOS ]]*$T$2</f>
        <v>315</v>
      </c>
      <c r="AA321" s="15">
        <f>Tabla1[[#This Row],[MESES DE ADEUDO DEL AÑO EN CURSO ]]*$T$2</f>
        <v>0</v>
      </c>
      <c r="AB321" s="69">
        <f>SUM(Tabla1[[#This Row],[DEUDA DE LOS MESES PASADOS EN $$]:[DEUDA DEL AÑO 2013 $$ ]])</f>
        <v>315</v>
      </c>
      <c r="AD321">
        <f>Tabla1[[#This Row],[PAGO DE DEUDA ANTERIOR EN MESES]]*$T$2</f>
        <v>0</v>
      </c>
      <c r="AG321" s="100">
        <f>IF(Tabla1[[#This Row],[TIPO DE CONSUMIDOR]]="MEDIO",IF(Tabla1[[#This Row],[ENERO ]]&gt;22.5,Tabla1[[#This Row],[ENERO ]]/22.5-1,0),IF(Tabla1[[#This Row],[ENERO ]]&gt;45,Tabla1[[#This Row],[ENERO ]]/45-1,0))</f>
        <v>0</v>
      </c>
      <c r="AH32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1" s="100">
        <f>IF(Tabla1[[#This Row],[TIPO DE CONSUMIDOR]]="MEDIO",IF(Tabla1[[#This Row],[MARZO]]&gt;22.5,Tabla1[[#This Row],[MARZO]]/22.5-1,0),IF(Tabla1[[#This Row],[MARZO]]&gt;45,Tabla1[[#This Row],[MARZO]]/45-1,0))</f>
        <v>0</v>
      </c>
      <c r="AJ321" s="100">
        <f>IF(Tabla1[[#This Row],[TIPO DE CONSUMIDOR]]="MEDIO",IF(Tabla1[[#This Row],[ABRIL]]&gt;22.5,Tabla1[[#This Row],[ABRIL]]/22.5-1,0),IF(Tabla1[[#This Row],[ABRIL]]&gt;45,Tabla1[[#This Row],[ABRIL]]/45-1,0))</f>
        <v>0</v>
      </c>
      <c r="AK321" s="100">
        <f>IF(Tabla1[[#This Row],[TIPO DE CONSUMIDOR]]="MEDIO",IF(Tabla1[[#This Row],[MAYO ]]&gt;22.5,Tabla1[[#This Row],[MAYO ]]/22.5-1,0),IF(Tabla1[[#This Row],[MAYO ]]&gt;45,Tabla1[[#This Row],[MAYO ]]/45-1,0))</f>
        <v>0</v>
      </c>
      <c r="AL321" s="100">
        <f>IF(Tabla1[[#This Row],[TIPO DE CONSUMIDOR]]="MEDIO",IF(Tabla1[[#This Row],[JUNIO ]]&gt;22.5,Tabla1[[#This Row],[JUNIO ]]/22.5-1,0),IF(Tabla1[[#This Row],[JUNIO ]]&gt;45,Tabla1[[#This Row],[JUNIO ]]/45-1,0))</f>
        <v>0</v>
      </c>
      <c r="AM321" s="100">
        <f>IF(Tabla1[[#This Row],[TIPO DE CONSUMIDOR]]="MEDIO",IF(Tabla1[[#This Row],[JULIO ]]&gt;22.5,Tabla1[[#This Row],[JULIO ]]/22.5-1,0),IF(Tabla1[[#This Row],[JULIO ]]&gt;45,Tabla1[[#This Row],[JULIO ]]/45-1,0))</f>
        <v>0</v>
      </c>
      <c r="AN321" s="100">
        <f>IF(Tabla1[[#This Row],[TIPO DE CONSUMIDOR]]="MEDIO",IF(Tabla1[[#This Row],[AGOSTO]]&gt;22.5,Tabla1[[#This Row],[AGOSTO]]/22.5-1,0),IF(Tabla1[[#This Row],[AGOSTO]]&gt;45,Tabla1[[#This Row],[AGOSTO]]/45-1,0))</f>
        <v>0</v>
      </c>
      <c r="AO32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1" s="101">
        <f t="shared" si="9"/>
        <v>0</v>
      </c>
      <c r="AT321">
        <f>IF(Tabla1[[#This Row],[MES ADEUDO DE AÑOS PASADOS ]]&gt;0,1,0)</f>
        <v>1</v>
      </c>
      <c r="AU321" s="9">
        <f t="shared" si="10"/>
        <v>1</v>
      </c>
      <c r="AV321" s="60">
        <f>IF(Tabla1[[#This Row],[MESES DE ADEUDO DEL AÑO EN CURSO ]]&gt;0,1,0)</f>
        <v>0</v>
      </c>
      <c r="AW321" s="42"/>
      <c r="AX321" s="42"/>
      <c r="AY321" s="42"/>
      <c r="AZ321" s="43"/>
    </row>
    <row r="322" spans="1:52" ht="21.75" thickBot="1" x14ac:dyDescent="0.35">
      <c r="A322" s="106">
        <v>316</v>
      </c>
      <c r="B322" s="5" t="s">
        <v>47</v>
      </c>
      <c r="C322" s="2" t="s">
        <v>530</v>
      </c>
      <c r="D322" s="32"/>
      <c r="E322" s="35" t="s">
        <v>455</v>
      </c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24">
        <f>SUM(Tabla1[[#This Row],[ENERO ]:[DICIEMBRE]])</f>
        <v>0</v>
      </c>
      <c r="W322">
        <v>8</v>
      </c>
      <c r="X322" s="21">
        <f>COUNTIF(Tabla1[[#This Row],[ENERO ]:[DICIEMBRE]],0)-(AS322)-IF(Tabla1[[#This Row],[BAJAS]]="BAJA",IF(Tabla1[[#This Row],[ALTAS]]="ALTA",VLOOKUP(Tabla1[[#This Row],[MES DE ALTA ]],$AW$6:$AX$17,2,FALSE),12)-VLOOKUP(Tabla1[[#This Row],[MES DE BAJA ]],$AW$6:$AX$17,2,FALSE),0)</f>
        <v>0</v>
      </c>
      <c r="Y322" s="68">
        <f>SUM(Tabla1[[#This Row],[MES ADEUDO DE AÑOS PASADOS ]:[MESES DE ADEUDO DEL AÑO EN CURSO ]])-Tabla1[[#This Row],[PAGO DE DEUDA ANTERIOR EN MESES]]</f>
        <v>8</v>
      </c>
      <c r="Z322" s="15">
        <f>Tabla1[[#This Row],[MES ADEUDO DE AÑOS PASADOS ]]*$T$2</f>
        <v>360</v>
      </c>
      <c r="AA322" s="15">
        <f>Tabla1[[#This Row],[MESES DE ADEUDO DEL AÑO EN CURSO ]]*$T$2</f>
        <v>0</v>
      </c>
      <c r="AB322" s="69">
        <f>SUM(Tabla1[[#This Row],[DEUDA DE LOS MESES PASADOS EN $$]:[DEUDA DEL AÑO 2013 $$ ]])</f>
        <v>360</v>
      </c>
      <c r="AD322">
        <f>Tabla1[[#This Row],[PAGO DE DEUDA ANTERIOR EN MESES]]*$T$2</f>
        <v>0</v>
      </c>
      <c r="AG322" s="100">
        <f>IF(Tabla1[[#This Row],[TIPO DE CONSUMIDOR]]="MEDIO",IF(Tabla1[[#This Row],[ENERO ]]&gt;22.5,Tabla1[[#This Row],[ENERO ]]/22.5-1,0),IF(Tabla1[[#This Row],[ENERO ]]&gt;45,Tabla1[[#This Row],[ENERO ]]/45-1,0))</f>
        <v>0</v>
      </c>
      <c r="AH32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2" s="100">
        <f>IF(Tabla1[[#This Row],[TIPO DE CONSUMIDOR]]="MEDIO",IF(Tabla1[[#This Row],[MARZO]]&gt;22.5,Tabla1[[#This Row],[MARZO]]/22.5-1,0),IF(Tabla1[[#This Row],[MARZO]]&gt;45,Tabla1[[#This Row],[MARZO]]/45-1,0))</f>
        <v>0</v>
      </c>
      <c r="AJ322" s="100">
        <f>IF(Tabla1[[#This Row],[TIPO DE CONSUMIDOR]]="MEDIO",IF(Tabla1[[#This Row],[ABRIL]]&gt;22.5,Tabla1[[#This Row],[ABRIL]]/22.5-1,0),IF(Tabla1[[#This Row],[ABRIL]]&gt;45,Tabla1[[#This Row],[ABRIL]]/45-1,0))</f>
        <v>0</v>
      </c>
      <c r="AK322" s="100">
        <f>IF(Tabla1[[#This Row],[TIPO DE CONSUMIDOR]]="MEDIO",IF(Tabla1[[#This Row],[MAYO ]]&gt;22.5,Tabla1[[#This Row],[MAYO ]]/22.5-1,0),IF(Tabla1[[#This Row],[MAYO ]]&gt;45,Tabla1[[#This Row],[MAYO ]]/45-1,0))</f>
        <v>0</v>
      </c>
      <c r="AL322" s="100">
        <f>IF(Tabla1[[#This Row],[TIPO DE CONSUMIDOR]]="MEDIO",IF(Tabla1[[#This Row],[JUNIO ]]&gt;22.5,Tabla1[[#This Row],[JUNIO ]]/22.5-1,0),IF(Tabla1[[#This Row],[JUNIO ]]&gt;45,Tabla1[[#This Row],[JUNIO ]]/45-1,0))</f>
        <v>0</v>
      </c>
      <c r="AM322" s="100">
        <f>IF(Tabla1[[#This Row],[TIPO DE CONSUMIDOR]]="MEDIO",IF(Tabla1[[#This Row],[JULIO ]]&gt;22.5,Tabla1[[#This Row],[JULIO ]]/22.5-1,0),IF(Tabla1[[#This Row],[JULIO ]]&gt;45,Tabla1[[#This Row],[JULIO ]]/45-1,0))</f>
        <v>0</v>
      </c>
      <c r="AN322" s="100">
        <f>IF(Tabla1[[#This Row],[TIPO DE CONSUMIDOR]]="MEDIO",IF(Tabla1[[#This Row],[AGOSTO]]&gt;22.5,Tabla1[[#This Row],[AGOSTO]]/22.5-1,0),IF(Tabla1[[#This Row],[AGOSTO]]&gt;45,Tabla1[[#This Row],[AGOSTO]]/45-1,0))</f>
        <v>0</v>
      </c>
      <c r="AO32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2" s="101">
        <f t="shared" si="9"/>
        <v>0</v>
      </c>
      <c r="AT322">
        <f>IF(Tabla1[[#This Row],[MES ADEUDO DE AÑOS PASADOS ]]&gt;0,1,0)</f>
        <v>1</v>
      </c>
      <c r="AU322" s="9">
        <f t="shared" si="10"/>
        <v>1</v>
      </c>
      <c r="AV322" s="60">
        <f>IF(Tabla1[[#This Row],[MESES DE ADEUDO DEL AÑO EN CURSO ]]&gt;0,1,0)</f>
        <v>0</v>
      </c>
      <c r="AW322" s="42"/>
      <c r="AX322" s="42"/>
      <c r="AY322" s="42"/>
      <c r="AZ322" s="43"/>
    </row>
    <row r="323" spans="1:52" ht="21.75" thickBot="1" x14ac:dyDescent="0.35">
      <c r="A323" s="106">
        <v>317</v>
      </c>
      <c r="B323" s="5" t="s">
        <v>610</v>
      </c>
      <c r="C323" s="2" t="s">
        <v>530</v>
      </c>
      <c r="D323" s="32"/>
      <c r="E323" s="35" t="s">
        <v>455</v>
      </c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24">
        <f>SUM(Tabla1[[#This Row],[ENERO ]:[DICIEMBRE]])</f>
        <v>0</v>
      </c>
      <c r="W323">
        <v>8</v>
      </c>
      <c r="X323" s="21">
        <f>COUNTIF(Tabla1[[#This Row],[ENERO ]:[DICIEMBRE]],0)-(AS323)-IF(Tabla1[[#This Row],[BAJAS]]="BAJA",IF(Tabla1[[#This Row],[ALTAS]]="ALTA",VLOOKUP(Tabla1[[#This Row],[MES DE ALTA ]],$AW$6:$AX$17,2,FALSE),12)-VLOOKUP(Tabla1[[#This Row],[MES DE BAJA ]],$AW$6:$AX$17,2,FALSE),0)</f>
        <v>0</v>
      </c>
      <c r="Y323" s="68">
        <f>SUM(Tabla1[[#This Row],[MES ADEUDO DE AÑOS PASADOS ]:[MESES DE ADEUDO DEL AÑO EN CURSO ]])-Tabla1[[#This Row],[PAGO DE DEUDA ANTERIOR EN MESES]]</f>
        <v>8</v>
      </c>
      <c r="Z323" s="15">
        <f>Tabla1[[#This Row],[MES ADEUDO DE AÑOS PASADOS ]]*$T$2</f>
        <v>360</v>
      </c>
      <c r="AA323" s="15">
        <f>Tabla1[[#This Row],[MESES DE ADEUDO DEL AÑO EN CURSO ]]*$T$2</f>
        <v>0</v>
      </c>
      <c r="AB323" s="69">
        <f>SUM(Tabla1[[#This Row],[DEUDA DE LOS MESES PASADOS EN $$]:[DEUDA DEL AÑO 2013 $$ ]])</f>
        <v>360</v>
      </c>
      <c r="AD323">
        <f>Tabla1[[#This Row],[PAGO DE DEUDA ANTERIOR EN MESES]]*$T$2</f>
        <v>0</v>
      </c>
      <c r="AG323" s="100">
        <f>IF(Tabla1[[#This Row],[TIPO DE CONSUMIDOR]]="MEDIO",IF(Tabla1[[#This Row],[ENERO ]]&gt;22.5,Tabla1[[#This Row],[ENERO ]]/22.5-1,0),IF(Tabla1[[#This Row],[ENERO ]]&gt;45,Tabla1[[#This Row],[ENERO ]]/45-1,0))</f>
        <v>0</v>
      </c>
      <c r="AH32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3" s="100">
        <f>IF(Tabla1[[#This Row],[TIPO DE CONSUMIDOR]]="MEDIO",IF(Tabla1[[#This Row],[MARZO]]&gt;22.5,Tabla1[[#This Row],[MARZO]]/22.5-1,0),IF(Tabla1[[#This Row],[MARZO]]&gt;45,Tabla1[[#This Row],[MARZO]]/45-1,0))</f>
        <v>0</v>
      </c>
      <c r="AJ323" s="100">
        <f>IF(Tabla1[[#This Row],[TIPO DE CONSUMIDOR]]="MEDIO",IF(Tabla1[[#This Row],[ABRIL]]&gt;22.5,Tabla1[[#This Row],[ABRIL]]/22.5-1,0),IF(Tabla1[[#This Row],[ABRIL]]&gt;45,Tabla1[[#This Row],[ABRIL]]/45-1,0))</f>
        <v>0</v>
      </c>
      <c r="AK323" s="100">
        <f>IF(Tabla1[[#This Row],[TIPO DE CONSUMIDOR]]="MEDIO",IF(Tabla1[[#This Row],[MAYO ]]&gt;22.5,Tabla1[[#This Row],[MAYO ]]/22.5-1,0),IF(Tabla1[[#This Row],[MAYO ]]&gt;45,Tabla1[[#This Row],[MAYO ]]/45-1,0))</f>
        <v>0</v>
      </c>
      <c r="AL323" s="100">
        <f>IF(Tabla1[[#This Row],[TIPO DE CONSUMIDOR]]="MEDIO",IF(Tabla1[[#This Row],[JUNIO ]]&gt;22.5,Tabla1[[#This Row],[JUNIO ]]/22.5-1,0),IF(Tabla1[[#This Row],[JUNIO ]]&gt;45,Tabla1[[#This Row],[JUNIO ]]/45-1,0))</f>
        <v>0</v>
      </c>
      <c r="AM323" s="100">
        <f>IF(Tabla1[[#This Row],[TIPO DE CONSUMIDOR]]="MEDIO",IF(Tabla1[[#This Row],[JULIO ]]&gt;22.5,Tabla1[[#This Row],[JULIO ]]/22.5-1,0),IF(Tabla1[[#This Row],[JULIO ]]&gt;45,Tabla1[[#This Row],[JULIO ]]/45-1,0))</f>
        <v>0</v>
      </c>
      <c r="AN323" s="100">
        <f>IF(Tabla1[[#This Row],[TIPO DE CONSUMIDOR]]="MEDIO",IF(Tabla1[[#This Row],[AGOSTO]]&gt;22.5,Tabla1[[#This Row],[AGOSTO]]/22.5-1,0),IF(Tabla1[[#This Row],[AGOSTO]]&gt;45,Tabla1[[#This Row],[AGOSTO]]/45-1,0))</f>
        <v>0</v>
      </c>
      <c r="AO32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3" s="101">
        <f t="shared" si="9"/>
        <v>0</v>
      </c>
      <c r="AT323">
        <f>IF(Tabla1[[#This Row],[MES ADEUDO DE AÑOS PASADOS ]]&gt;0,1,0)</f>
        <v>1</v>
      </c>
      <c r="AU323" s="9">
        <f t="shared" si="10"/>
        <v>1</v>
      </c>
      <c r="AV323" s="60">
        <f>IF(Tabla1[[#This Row],[MESES DE ADEUDO DEL AÑO EN CURSO ]]&gt;0,1,0)</f>
        <v>0</v>
      </c>
      <c r="AW323" s="42"/>
      <c r="AX323" s="42"/>
      <c r="AY323" s="42"/>
      <c r="AZ323" s="43"/>
    </row>
    <row r="324" spans="1:52" ht="21.75" thickBot="1" x14ac:dyDescent="0.35">
      <c r="A324" s="106">
        <v>318</v>
      </c>
      <c r="B324" s="5" t="s">
        <v>355</v>
      </c>
      <c r="C324" s="2" t="s">
        <v>530</v>
      </c>
      <c r="D324" s="32"/>
      <c r="E324" s="35" t="s">
        <v>455</v>
      </c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24">
        <f>SUM(Tabla1[[#This Row],[ENERO ]:[DICIEMBRE]])</f>
        <v>0</v>
      </c>
      <c r="W324">
        <v>8</v>
      </c>
      <c r="X324" s="21">
        <f>COUNTIF(Tabla1[[#This Row],[ENERO ]:[DICIEMBRE]],0)-(AS324)-IF(Tabla1[[#This Row],[BAJAS]]="BAJA",IF(Tabla1[[#This Row],[ALTAS]]="ALTA",VLOOKUP(Tabla1[[#This Row],[MES DE ALTA ]],$AW$6:$AX$17,2,FALSE),12)-VLOOKUP(Tabla1[[#This Row],[MES DE BAJA ]],$AW$6:$AX$17,2,FALSE),0)</f>
        <v>0</v>
      </c>
      <c r="Y324" s="68">
        <f>SUM(Tabla1[[#This Row],[MES ADEUDO DE AÑOS PASADOS ]:[MESES DE ADEUDO DEL AÑO EN CURSO ]])-Tabla1[[#This Row],[PAGO DE DEUDA ANTERIOR EN MESES]]</f>
        <v>8</v>
      </c>
      <c r="Z324" s="15">
        <f>Tabla1[[#This Row],[MES ADEUDO DE AÑOS PASADOS ]]*$T$2</f>
        <v>360</v>
      </c>
      <c r="AA324" s="15">
        <f>Tabla1[[#This Row],[MESES DE ADEUDO DEL AÑO EN CURSO ]]*$T$2</f>
        <v>0</v>
      </c>
      <c r="AB324" s="69">
        <f>SUM(Tabla1[[#This Row],[DEUDA DE LOS MESES PASADOS EN $$]:[DEUDA DEL AÑO 2013 $$ ]])</f>
        <v>360</v>
      </c>
      <c r="AD324">
        <f>Tabla1[[#This Row],[PAGO DE DEUDA ANTERIOR EN MESES]]*$T$2</f>
        <v>0</v>
      </c>
      <c r="AG324" s="100">
        <f>IF(Tabla1[[#This Row],[TIPO DE CONSUMIDOR]]="MEDIO",IF(Tabla1[[#This Row],[ENERO ]]&gt;22.5,Tabla1[[#This Row],[ENERO ]]/22.5-1,0),IF(Tabla1[[#This Row],[ENERO ]]&gt;45,Tabla1[[#This Row],[ENERO ]]/45-1,0))</f>
        <v>0</v>
      </c>
      <c r="AH32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4" s="100">
        <f>IF(Tabla1[[#This Row],[TIPO DE CONSUMIDOR]]="MEDIO",IF(Tabla1[[#This Row],[MARZO]]&gt;22.5,Tabla1[[#This Row],[MARZO]]/22.5-1,0),IF(Tabla1[[#This Row],[MARZO]]&gt;45,Tabla1[[#This Row],[MARZO]]/45-1,0))</f>
        <v>0</v>
      </c>
      <c r="AJ324" s="100">
        <f>IF(Tabla1[[#This Row],[TIPO DE CONSUMIDOR]]="MEDIO",IF(Tabla1[[#This Row],[ABRIL]]&gt;22.5,Tabla1[[#This Row],[ABRIL]]/22.5-1,0),IF(Tabla1[[#This Row],[ABRIL]]&gt;45,Tabla1[[#This Row],[ABRIL]]/45-1,0))</f>
        <v>0</v>
      </c>
      <c r="AK324" s="100">
        <f>IF(Tabla1[[#This Row],[TIPO DE CONSUMIDOR]]="MEDIO",IF(Tabla1[[#This Row],[MAYO ]]&gt;22.5,Tabla1[[#This Row],[MAYO ]]/22.5-1,0),IF(Tabla1[[#This Row],[MAYO ]]&gt;45,Tabla1[[#This Row],[MAYO ]]/45-1,0))</f>
        <v>0</v>
      </c>
      <c r="AL324" s="100">
        <f>IF(Tabla1[[#This Row],[TIPO DE CONSUMIDOR]]="MEDIO",IF(Tabla1[[#This Row],[JUNIO ]]&gt;22.5,Tabla1[[#This Row],[JUNIO ]]/22.5-1,0),IF(Tabla1[[#This Row],[JUNIO ]]&gt;45,Tabla1[[#This Row],[JUNIO ]]/45-1,0))</f>
        <v>0</v>
      </c>
      <c r="AM324" s="100">
        <f>IF(Tabla1[[#This Row],[TIPO DE CONSUMIDOR]]="MEDIO",IF(Tabla1[[#This Row],[JULIO ]]&gt;22.5,Tabla1[[#This Row],[JULIO ]]/22.5-1,0),IF(Tabla1[[#This Row],[JULIO ]]&gt;45,Tabla1[[#This Row],[JULIO ]]/45-1,0))</f>
        <v>0</v>
      </c>
      <c r="AN324" s="100">
        <f>IF(Tabla1[[#This Row],[TIPO DE CONSUMIDOR]]="MEDIO",IF(Tabla1[[#This Row],[AGOSTO]]&gt;22.5,Tabla1[[#This Row],[AGOSTO]]/22.5-1,0),IF(Tabla1[[#This Row],[AGOSTO]]&gt;45,Tabla1[[#This Row],[AGOSTO]]/45-1,0))</f>
        <v>0</v>
      </c>
      <c r="AO32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4" s="101">
        <f t="shared" si="9"/>
        <v>0</v>
      </c>
      <c r="AT324">
        <f>IF(Tabla1[[#This Row],[MES ADEUDO DE AÑOS PASADOS ]]&gt;0,1,0)</f>
        <v>1</v>
      </c>
      <c r="AU324" s="9">
        <f t="shared" si="10"/>
        <v>1</v>
      </c>
      <c r="AV324" s="60">
        <f>IF(Tabla1[[#This Row],[MESES DE ADEUDO DEL AÑO EN CURSO ]]&gt;0,1,0)</f>
        <v>0</v>
      </c>
      <c r="AW324" s="42"/>
      <c r="AX324" s="42"/>
      <c r="AY324" s="42"/>
      <c r="AZ324" s="43"/>
    </row>
    <row r="325" spans="1:52" ht="21.75" thickBot="1" x14ac:dyDescent="0.35">
      <c r="A325" s="106">
        <v>319</v>
      </c>
      <c r="B325" s="5" t="s">
        <v>375</v>
      </c>
      <c r="C325" s="2" t="s">
        <v>530</v>
      </c>
      <c r="D325" s="32"/>
      <c r="E325" s="35" t="s">
        <v>455</v>
      </c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24">
        <f>SUM(Tabla1[[#This Row],[ENERO ]:[DICIEMBRE]])</f>
        <v>0</v>
      </c>
      <c r="W325">
        <v>8</v>
      </c>
      <c r="X325" s="21">
        <f>COUNTIF(Tabla1[[#This Row],[ENERO ]:[DICIEMBRE]],0)-(AS325)-IF(Tabla1[[#This Row],[BAJAS]]="BAJA",IF(Tabla1[[#This Row],[ALTAS]]="ALTA",VLOOKUP(Tabla1[[#This Row],[MES DE ALTA ]],$AW$6:$AX$17,2,FALSE),12)-VLOOKUP(Tabla1[[#This Row],[MES DE BAJA ]],$AW$6:$AX$17,2,FALSE),0)</f>
        <v>0</v>
      </c>
      <c r="Y325" s="68">
        <f>SUM(Tabla1[[#This Row],[MES ADEUDO DE AÑOS PASADOS ]:[MESES DE ADEUDO DEL AÑO EN CURSO ]])-Tabla1[[#This Row],[PAGO DE DEUDA ANTERIOR EN MESES]]</f>
        <v>8</v>
      </c>
      <c r="Z325" s="15">
        <f>Tabla1[[#This Row],[MES ADEUDO DE AÑOS PASADOS ]]*$T$2</f>
        <v>360</v>
      </c>
      <c r="AA325" s="15">
        <f>Tabla1[[#This Row],[MESES DE ADEUDO DEL AÑO EN CURSO ]]*$T$2</f>
        <v>0</v>
      </c>
      <c r="AB325" s="69">
        <f>SUM(Tabla1[[#This Row],[DEUDA DE LOS MESES PASADOS EN $$]:[DEUDA DEL AÑO 2013 $$ ]])</f>
        <v>360</v>
      </c>
      <c r="AD325">
        <f>Tabla1[[#This Row],[PAGO DE DEUDA ANTERIOR EN MESES]]*$T$2</f>
        <v>0</v>
      </c>
      <c r="AG325" s="100">
        <f>IF(Tabla1[[#This Row],[TIPO DE CONSUMIDOR]]="MEDIO",IF(Tabla1[[#This Row],[ENERO ]]&gt;22.5,Tabla1[[#This Row],[ENERO ]]/22.5-1,0),IF(Tabla1[[#This Row],[ENERO ]]&gt;45,Tabla1[[#This Row],[ENERO ]]/45-1,0))</f>
        <v>0</v>
      </c>
      <c r="AH32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5" s="100">
        <f>IF(Tabla1[[#This Row],[TIPO DE CONSUMIDOR]]="MEDIO",IF(Tabla1[[#This Row],[MARZO]]&gt;22.5,Tabla1[[#This Row],[MARZO]]/22.5-1,0),IF(Tabla1[[#This Row],[MARZO]]&gt;45,Tabla1[[#This Row],[MARZO]]/45-1,0))</f>
        <v>0</v>
      </c>
      <c r="AJ325" s="100">
        <f>IF(Tabla1[[#This Row],[TIPO DE CONSUMIDOR]]="MEDIO",IF(Tabla1[[#This Row],[ABRIL]]&gt;22.5,Tabla1[[#This Row],[ABRIL]]/22.5-1,0),IF(Tabla1[[#This Row],[ABRIL]]&gt;45,Tabla1[[#This Row],[ABRIL]]/45-1,0))</f>
        <v>0</v>
      </c>
      <c r="AK325" s="100">
        <f>IF(Tabla1[[#This Row],[TIPO DE CONSUMIDOR]]="MEDIO",IF(Tabla1[[#This Row],[MAYO ]]&gt;22.5,Tabla1[[#This Row],[MAYO ]]/22.5-1,0),IF(Tabla1[[#This Row],[MAYO ]]&gt;45,Tabla1[[#This Row],[MAYO ]]/45-1,0))</f>
        <v>0</v>
      </c>
      <c r="AL325" s="100">
        <f>IF(Tabla1[[#This Row],[TIPO DE CONSUMIDOR]]="MEDIO",IF(Tabla1[[#This Row],[JUNIO ]]&gt;22.5,Tabla1[[#This Row],[JUNIO ]]/22.5-1,0),IF(Tabla1[[#This Row],[JUNIO ]]&gt;45,Tabla1[[#This Row],[JUNIO ]]/45-1,0))</f>
        <v>0</v>
      </c>
      <c r="AM325" s="100">
        <f>IF(Tabla1[[#This Row],[TIPO DE CONSUMIDOR]]="MEDIO",IF(Tabla1[[#This Row],[JULIO ]]&gt;22.5,Tabla1[[#This Row],[JULIO ]]/22.5-1,0),IF(Tabla1[[#This Row],[JULIO ]]&gt;45,Tabla1[[#This Row],[JULIO ]]/45-1,0))</f>
        <v>0</v>
      </c>
      <c r="AN325" s="100">
        <f>IF(Tabla1[[#This Row],[TIPO DE CONSUMIDOR]]="MEDIO",IF(Tabla1[[#This Row],[AGOSTO]]&gt;22.5,Tabla1[[#This Row],[AGOSTO]]/22.5-1,0),IF(Tabla1[[#This Row],[AGOSTO]]&gt;45,Tabla1[[#This Row],[AGOSTO]]/45-1,0))</f>
        <v>0</v>
      </c>
      <c r="AO32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5" s="101">
        <f t="shared" si="9"/>
        <v>0</v>
      </c>
      <c r="AT325">
        <f>IF(Tabla1[[#This Row],[MES ADEUDO DE AÑOS PASADOS ]]&gt;0,1,0)</f>
        <v>1</v>
      </c>
      <c r="AU325" s="9">
        <f t="shared" si="10"/>
        <v>1</v>
      </c>
      <c r="AV325" s="60">
        <f>IF(Tabla1[[#This Row],[MESES DE ADEUDO DEL AÑO EN CURSO ]]&gt;0,1,0)</f>
        <v>0</v>
      </c>
      <c r="AW325" s="42"/>
      <c r="AX325" s="42"/>
      <c r="AY325" s="42"/>
      <c r="AZ325" s="43"/>
    </row>
    <row r="326" spans="1:52" ht="21.75" thickBot="1" x14ac:dyDescent="0.35">
      <c r="A326" s="106">
        <v>320</v>
      </c>
      <c r="B326" s="5" t="s">
        <v>531</v>
      </c>
      <c r="C326" s="2" t="s">
        <v>530</v>
      </c>
      <c r="D326" s="32"/>
      <c r="E326" s="35" t="s">
        <v>455</v>
      </c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24">
        <f>SUM(Tabla1[[#This Row],[ENERO ]:[DICIEMBRE]])</f>
        <v>0</v>
      </c>
      <c r="W326">
        <v>9</v>
      </c>
      <c r="X326" s="21">
        <f>COUNTIF(Tabla1[[#This Row],[ENERO ]:[DICIEMBRE]],0)-(AS326)-IF(Tabla1[[#This Row],[BAJAS]]="BAJA",IF(Tabla1[[#This Row],[ALTAS]]="ALTA",VLOOKUP(Tabla1[[#This Row],[MES DE ALTA ]],$AW$6:$AX$17,2,FALSE),12)-VLOOKUP(Tabla1[[#This Row],[MES DE BAJA ]],$AW$6:$AX$17,2,FALSE),0)</f>
        <v>0</v>
      </c>
      <c r="Y326" s="68">
        <f>SUM(Tabla1[[#This Row],[MES ADEUDO DE AÑOS PASADOS ]:[MESES DE ADEUDO DEL AÑO EN CURSO ]])-Tabla1[[#This Row],[PAGO DE DEUDA ANTERIOR EN MESES]]</f>
        <v>9</v>
      </c>
      <c r="Z326" s="15">
        <f>Tabla1[[#This Row],[MES ADEUDO DE AÑOS PASADOS ]]*$T$2</f>
        <v>405</v>
      </c>
      <c r="AA326" s="15">
        <f>Tabla1[[#This Row],[MESES DE ADEUDO DEL AÑO EN CURSO ]]*$T$2</f>
        <v>0</v>
      </c>
      <c r="AB326" s="69">
        <f>SUM(Tabla1[[#This Row],[DEUDA DE LOS MESES PASADOS EN $$]:[DEUDA DEL AÑO 2013 $$ ]])</f>
        <v>405</v>
      </c>
      <c r="AD326">
        <f>Tabla1[[#This Row],[PAGO DE DEUDA ANTERIOR EN MESES]]*$T$2</f>
        <v>0</v>
      </c>
      <c r="AG326" s="100">
        <f>IF(Tabla1[[#This Row],[TIPO DE CONSUMIDOR]]="MEDIO",IF(Tabla1[[#This Row],[ENERO ]]&gt;22.5,Tabla1[[#This Row],[ENERO ]]/22.5-1,0),IF(Tabla1[[#This Row],[ENERO ]]&gt;45,Tabla1[[#This Row],[ENERO ]]/45-1,0))</f>
        <v>0</v>
      </c>
      <c r="AH32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6" s="100">
        <f>IF(Tabla1[[#This Row],[TIPO DE CONSUMIDOR]]="MEDIO",IF(Tabla1[[#This Row],[MARZO]]&gt;22.5,Tabla1[[#This Row],[MARZO]]/22.5-1,0),IF(Tabla1[[#This Row],[MARZO]]&gt;45,Tabla1[[#This Row],[MARZO]]/45-1,0))</f>
        <v>0</v>
      </c>
      <c r="AJ326" s="100">
        <f>IF(Tabla1[[#This Row],[TIPO DE CONSUMIDOR]]="MEDIO",IF(Tabla1[[#This Row],[ABRIL]]&gt;22.5,Tabla1[[#This Row],[ABRIL]]/22.5-1,0),IF(Tabla1[[#This Row],[ABRIL]]&gt;45,Tabla1[[#This Row],[ABRIL]]/45-1,0))</f>
        <v>0</v>
      </c>
      <c r="AK326" s="100">
        <f>IF(Tabla1[[#This Row],[TIPO DE CONSUMIDOR]]="MEDIO",IF(Tabla1[[#This Row],[MAYO ]]&gt;22.5,Tabla1[[#This Row],[MAYO ]]/22.5-1,0),IF(Tabla1[[#This Row],[MAYO ]]&gt;45,Tabla1[[#This Row],[MAYO ]]/45-1,0))</f>
        <v>0</v>
      </c>
      <c r="AL326" s="100">
        <f>IF(Tabla1[[#This Row],[TIPO DE CONSUMIDOR]]="MEDIO",IF(Tabla1[[#This Row],[JUNIO ]]&gt;22.5,Tabla1[[#This Row],[JUNIO ]]/22.5-1,0),IF(Tabla1[[#This Row],[JUNIO ]]&gt;45,Tabla1[[#This Row],[JUNIO ]]/45-1,0))</f>
        <v>0</v>
      </c>
      <c r="AM326" s="100">
        <f>IF(Tabla1[[#This Row],[TIPO DE CONSUMIDOR]]="MEDIO",IF(Tabla1[[#This Row],[JULIO ]]&gt;22.5,Tabla1[[#This Row],[JULIO ]]/22.5-1,0),IF(Tabla1[[#This Row],[JULIO ]]&gt;45,Tabla1[[#This Row],[JULIO ]]/45-1,0))</f>
        <v>0</v>
      </c>
      <c r="AN326" s="100">
        <f>IF(Tabla1[[#This Row],[TIPO DE CONSUMIDOR]]="MEDIO",IF(Tabla1[[#This Row],[AGOSTO]]&gt;22.5,Tabla1[[#This Row],[AGOSTO]]/22.5-1,0),IF(Tabla1[[#This Row],[AGOSTO]]&gt;45,Tabla1[[#This Row],[AGOSTO]]/45-1,0))</f>
        <v>0</v>
      </c>
      <c r="AO32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6" s="101">
        <f t="shared" si="9"/>
        <v>0</v>
      </c>
      <c r="AT326">
        <f>IF(Tabla1[[#This Row],[MES ADEUDO DE AÑOS PASADOS ]]&gt;0,1,0)</f>
        <v>1</v>
      </c>
      <c r="AU326" s="9">
        <f t="shared" si="10"/>
        <v>1</v>
      </c>
      <c r="AV326" s="60">
        <f>IF(Tabla1[[#This Row],[MESES DE ADEUDO DEL AÑO EN CURSO ]]&gt;0,1,0)</f>
        <v>0</v>
      </c>
      <c r="AW326" s="42"/>
      <c r="AX326" s="42"/>
      <c r="AY326" s="42"/>
      <c r="AZ326" s="43"/>
    </row>
    <row r="327" spans="1:52" ht="21.75" thickBot="1" x14ac:dyDescent="0.35">
      <c r="A327" s="106">
        <v>321</v>
      </c>
      <c r="B327" s="5" t="s">
        <v>58</v>
      </c>
      <c r="C327" s="2" t="s">
        <v>530</v>
      </c>
      <c r="D327" s="32"/>
      <c r="E327" s="35" t="s">
        <v>455</v>
      </c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24">
        <f>SUM(Tabla1[[#This Row],[ENERO ]:[DICIEMBRE]])</f>
        <v>0</v>
      </c>
      <c r="W327">
        <v>9</v>
      </c>
      <c r="X327" s="21">
        <f>COUNTIF(Tabla1[[#This Row],[ENERO ]:[DICIEMBRE]],0)-(AS327)-IF(Tabla1[[#This Row],[BAJAS]]="BAJA",IF(Tabla1[[#This Row],[ALTAS]]="ALTA",VLOOKUP(Tabla1[[#This Row],[MES DE ALTA ]],$AW$6:$AX$17,2,FALSE),12)-VLOOKUP(Tabla1[[#This Row],[MES DE BAJA ]],$AW$6:$AX$17,2,FALSE),0)</f>
        <v>0</v>
      </c>
      <c r="Y327" s="68">
        <f>SUM(Tabla1[[#This Row],[MES ADEUDO DE AÑOS PASADOS ]:[MESES DE ADEUDO DEL AÑO EN CURSO ]])-Tabla1[[#This Row],[PAGO DE DEUDA ANTERIOR EN MESES]]</f>
        <v>9</v>
      </c>
      <c r="Z327" s="15">
        <f>Tabla1[[#This Row],[MES ADEUDO DE AÑOS PASADOS ]]*$T$2</f>
        <v>405</v>
      </c>
      <c r="AA327" s="15">
        <f>Tabla1[[#This Row],[MESES DE ADEUDO DEL AÑO EN CURSO ]]*$T$2</f>
        <v>0</v>
      </c>
      <c r="AB327" s="69">
        <f>SUM(Tabla1[[#This Row],[DEUDA DE LOS MESES PASADOS EN $$]:[DEUDA DEL AÑO 2013 $$ ]])</f>
        <v>405</v>
      </c>
      <c r="AD327">
        <f>Tabla1[[#This Row],[PAGO DE DEUDA ANTERIOR EN MESES]]*$T$2</f>
        <v>0</v>
      </c>
      <c r="AG327" s="100">
        <f>IF(Tabla1[[#This Row],[TIPO DE CONSUMIDOR]]="MEDIO",IF(Tabla1[[#This Row],[ENERO ]]&gt;22.5,Tabla1[[#This Row],[ENERO ]]/22.5-1,0),IF(Tabla1[[#This Row],[ENERO ]]&gt;45,Tabla1[[#This Row],[ENERO ]]/45-1,0))</f>
        <v>0</v>
      </c>
      <c r="AH32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7" s="100">
        <f>IF(Tabla1[[#This Row],[TIPO DE CONSUMIDOR]]="MEDIO",IF(Tabla1[[#This Row],[MARZO]]&gt;22.5,Tabla1[[#This Row],[MARZO]]/22.5-1,0),IF(Tabla1[[#This Row],[MARZO]]&gt;45,Tabla1[[#This Row],[MARZO]]/45-1,0))</f>
        <v>0</v>
      </c>
      <c r="AJ327" s="100">
        <f>IF(Tabla1[[#This Row],[TIPO DE CONSUMIDOR]]="MEDIO",IF(Tabla1[[#This Row],[ABRIL]]&gt;22.5,Tabla1[[#This Row],[ABRIL]]/22.5-1,0),IF(Tabla1[[#This Row],[ABRIL]]&gt;45,Tabla1[[#This Row],[ABRIL]]/45-1,0))</f>
        <v>0</v>
      </c>
      <c r="AK327" s="100">
        <f>IF(Tabla1[[#This Row],[TIPO DE CONSUMIDOR]]="MEDIO",IF(Tabla1[[#This Row],[MAYO ]]&gt;22.5,Tabla1[[#This Row],[MAYO ]]/22.5-1,0),IF(Tabla1[[#This Row],[MAYO ]]&gt;45,Tabla1[[#This Row],[MAYO ]]/45-1,0))</f>
        <v>0</v>
      </c>
      <c r="AL327" s="100">
        <f>IF(Tabla1[[#This Row],[TIPO DE CONSUMIDOR]]="MEDIO",IF(Tabla1[[#This Row],[JUNIO ]]&gt;22.5,Tabla1[[#This Row],[JUNIO ]]/22.5-1,0),IF(Tabla1[[#This Row],[JUNIO ]]&gt;45,Tabla1[[#This Row],[JUNIO ]]/45-1,0))</f>
        <v>0</v>
      </c>
      <c r="AM327" s="100">
        <f>IF(Tabla1[[#This Row],[TIPO DE CONSUMIDOR]]="MEDIO",IF(Tabla1[[#This Row],[JULIO ]]&gt;22.5,Tabla1[[#This Row],[JULIO ]]/22.5-1,0),IF(Tabla1[[#This Row],[JULIO ]]&gt;45,Tabla1[[#This Row],[JULIO ]]/45-1,0))</f>
        <v>0</v>
      </c>
      <c r="AN327" s="100">
        <f>IF(Tabla1[[#This Row],[TIPO DE CONSUMIDOR]]="MEDIO",IF(Tabla1[[#This Row],[AGOSTO]]&gt;22.5,Tabla1[[#This Row],[AGOSTO]]/22.5-1,0),IF(Tabla1[[#This Row],[AGOSTO]]&gt;45,Tabla1[[#This Row],[AGOSTO]]/45-1,0))</f>
        <v>0</v>
      </c>
      <c r="AO32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7" s="101">
        <f t="shared" ref="AS327:AS390" si="11">SUM(AG327:AR327)</f>
        <v>0</v>
      </c>
      <c r="AT327">
        <f>IF(Tabla1[[#This Row],[MES ADEUDO DE AÑOS PASADOS ]]&gt;0,1,0)</f>
        <v>1</v>
      </c>
      <c r="AU327" s="9">
        <f t="shared" ref="AU327:AU390" si="12">IF(Y327&gt;0,1,0)</f>
        <v>1</v>
      </c>
      <c r="AV327" s="60">
        <f>IF(Tabla1[[#This Row],[MESES DE ADEUDO DEL AÑO EN CURSO ]]&gt;0,1,0)</f>
        <v>0</v>
      </c>
      <c r="AW327" s="42"/>
      <c r="AX327" s="42"/>
      <c r="AY327" s="42"/>
      <c r="AZ327" s="43"/>
    </row>
    <row r="328" spans="1:52" ht="21.75" thickBot="1" x14ac:dyDescent="0.35">
      <c r="A328" s="106">
        <v>322</v>
      </c>
      <c r="B328" s="5" t="s">
        <v>207</v>
      </c>
      <c r="C328" s="2" t="s">
        <v>530</v>
      </c>
      <c r="D328" s="32"/>
      <c r="E328" s="35" t="s">
        <v>455</v>
      </c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24">
        <f>SUM(Tabla1[[#This Row],[ENERO ]:[DICIEMBRE]])</f>
        <v>0</v>
      </c>
      <c r="W328">
        <v>9</v>
      </c>
      <c r="X328" s="21">
        <f>COUNTIF(Tabla1[[#This Row],[ENERO ]:[DICIEMBRE]],0)-(AS328)-IF(Tabla1[[#This Row],[BAJAS]]="BAJA",IF(Tabla1[[#This Row],[ALTAS]]="ALTA",VLOOKUP(Tabla1[[#This Row],[MES DE ALTA ]],$AW$6:$AX$17,2,FALSE),12)-VLOOKUP(Tabla1[[#This Row],[MES DE BAJA ]],$AW$6:$AX$17,2,FALSE),0)</f>
        <v>0</v>
      </c>
      <c r="Y328" s="68">
        <f>SUM(Tabla1[[#This Row],[MES ADEUDO DE AÑOS PASADOS ]:[MESES DE ADEUDO DEL AÑO EN CURSO ]])-Tabla1[[#This Row],[PAGO DE DEUDA ANTERIOR EN MESES]]</f>
        <v>9</v>
      </c>
      <c r="Z328" s="15">
        <f>Tabla1[[#This Row],[MES ADEUDO DE AÑOS PASADOS ]]*$T$2</f>
        <v>405</v>
      </c>
      <c r="AA328" s="15">
        <f>Tabla1[[#This Row],[MESES DE ADEUDO DEL AÑO EN CURSO ]]*$T$2</f>
        <v>0</v>
      </c>
      <c r="AB328" s="69">
        <f>SUM(Tabla1[[#This Row],[DEUDA DE LOS MESES PASADOS EN $$]:[DEUDA DEL AÑO 2013 $$ ]])</f>
        <v>405</v>
      </c>
      <c r="AD328">
        <f>Tabla1[[#This Row],[PAGO DE DEUDA ANTERIOR EN MESES]]*$T$2</f>
        <v>0</v>
      </c>
      <c r="AG328" s="100">
        <f>IF(Tabla1[[#This Row],[TIPO DE CONSUMIDOR]]="MEDIO",IF(Tabla1[[#This Row],[ENERO ]]&gt;22.5,Tabla1[[#This Row],[ENERO ]]/22.5-1,0),IF(Tabla1[[#This Row],[ENERO ]]&gt;45,Tabla1[[#This Row],[ENERO ]]/45-1,0))</f>
        <v>0</v>
      </c>
      <c r="AH32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8" s="100">
        <f>IF(Tabla1[[#This Row],[TIPO DE CONSUMIDOR]]="MEDIO",IF(Tabla1[[#This Row],[MARZO]]&gt;22.5,Tabla1[[#This Row],[MARZO]]/22.5-1,0),IF(Tabla1[[#This Row],[MARZO]]&gt;45,Tabla1[[#This Row],[MARZO]]/45-1,0))</f>
        <v>0</v>
      </c>
      <c r="AJ328" s="100">
        <f>IF(Tabla1[[#This Row],[TIPO DE CONSUMIDOR]]="MEDIO",IF(Tabla1[[#This Row],[ABRIL]]&gt;22.5,Tabla1[[#This Row],[ABRIL]]/22.5-1,0),IF(Tabla1[[#This Row],[ABRIL]]&gt;45,Tabla1[[#This Row],[ABRIL]]/45-1,0))</f>
        <v>0</v>
      </c>
      <c r="AK328" s="100">
        <f>IF(Tabla1[[#This Row],[TIPO DE CONSUMIDOR]]="MEDIO",IF(Tabla1[[#This Row],[MAYO ]]&gt;22.5,Tabla1[[#This Row],[MAYO ]]/22.5-1,0),IF(Tabla1[[#This Row],[MAYO ]]&gt;45,Tabla1[[#This Row],[MAYO ]]/45-1,0))</f>
        <v>0</v>
      </c>
      <c r="AL328" s="100">
        <f>IF(Tabla1[[#This Row],[TIPO DE CONSUMIDOR]]="MEDIO",IF(Tabla1[[#This Row],[JUNIO ]]&gt;22.5,Tabla1[[#This Row],[JUNIO ]]/22.5-1,0),IF(Tabla1[[#This Row],[JUNIO ]]&gt;45,Tabla1[[#This Row],[JUNIO ]]/45-1,0))</f>
        <v>0</v>
      </c>
      <c r="AM328" s="100">
        <f>IF(Tabla1[[#This Row],[TIPO DE CONSUMIDOR]]="MEDIO",IF(Tabla1[[#This Row],[JULIO ]]&gt;22.5,Tabla1[[#This Row],[JULIO ]]/22.5-1,0),IF(Tabla1[[#This Row],[JULIO ]]&gt;45,Tabla1[[#This Row],[JULIO ]]/45-1,0))</f>
        <v>0</v>
      </c>
      <c r="AN328" s="100">
        <f>IF(Tabla1[[#This Row],[TIPO DE CONSUMIDOR]]="MEDIO",IF(Tabla1[[#This Row],[AGOSTO]]&gt;22.5,Tabla1[[#This Row],[AGOSTO]]/22.5-1,0),IF(Tabla1[[#This Row],[AGOSTO]]&gt;45,Tabla1[[#This Row],[AGOSTO]]/45-1,0))</f>
        <v>0</v>
      </c>
      <c r="AO32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8" s="101">
        <f t="shared" si="11"/>
        <v>0</v>
      </c>
      <c r="AT328">
        <f>IF(Tabla1[[#This Row],[MES ADEUDO DE AÑOS PASADOS ]]&gt;0,1,0)</f>
        <v>1</v>
      </c>
      <c r="AU328" s="9">
        <f t="shared" si="12"/>
        <v>1</v>
      </c>
      <c r="AV328" s="60">
        <f>IF(Tabla1[[#This Row],[MESES DE ADEUDO DEL AÑO EN CURSO ]]&gt;0,1,0)</f>
        <v>0</v>
      </c>
      <c r="AW328" s="42"/>
      <c r="AX328" s="42"/>
      <c r="AY328" s="42"/>
      <c r="AZ328" s="43"/>
    </row>
    <row r="329" spans="1:52" ht="21.75" thickBot="1" x14ac:dyDescent="0.35">
      <c r="A329" s="106">
        <v>323</v>
      </c>
      <c r="B329" s="5" t="s">
        <v>243</v>
      </c>
      <c r="C329" s="2" t="s">
        <v>530</v>
      </c>
      <c r="D329" s="32"/>
      <c r="E329" s="35" t="s">
        <v>455</v>
      </c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24">
        <f>SUM(Tabla1[[#This Row],[ENERO ]:[DICIEMBRE]])</f>
        <v>0</v>
      </c>
      <c r="W329">
        <v>10</v>
      </c>
      <c r="X329" s="21">
        <f>COUNTIF(Tabla1[[#This Row],[ENERO ]:[DICIEMBRE]],0)-(AS329)-IF(Tabla1[[#This Row],[BAJAS]]="BAJA",IF(Tabla1[[#This Row],[ALTAS]]="ALTA",VLOOKUP(Tabla1[[#This Row],[MES DE ALTA ]],$AW$6:$AX$17,2,FALSE),12)-VLOOKUP(Tabla1[[#This Row],[MES DE BAJA ]],$AW$6:$AX$17,2,FALSE),0)</f>
        <v>0</v>
      </c>
      <c r="Y329" s="68">
        <f>SUM(Tabla1[[#This Row],[MES ADEUDO DE AÑOS PASADOS ]:[MESES DE ADEUDO DEL AÑO EN CURSO ]])-Tabla1[[#This Row],[PAGO DE DEUDA ANTERIOR EN MESES]]</f>
        <v>10</v>
      </c>
      <c r="Z329" s="15">
        <f>Tabla1[[#This Row],[MES ADEUDO DE AÑOS PASADOS ]]*$T$2</f>
        <v>450</v>
      </c>
      <c r="AA329" s="15">
        <f>Tabla1[[#This Row],[MESES DE ADEUDO DEL AÑO EN CURSO ]]*$T$2</f>
        <v>0</v>
      </c>
      <c r="AB329" s="69">
        <f>SUM(Tabla1[[#This Row],[DEUDA DE LOS MESES PASADOS EN $$]:[DEUDA DEL AÑO 2013 $$ ]])</f>
        <v>450</v>
      </c>
      <c r="AD329">
        <f>Tabla1[[#This Row],[PAGO DE DEUDA ANTERIOR EN MESES]]*$T$2</f>
        <v>0</v>
      </c>
      <c r="AG329" s="100">
        <f>IF(Tabla1[[#This Row],[TIPO DE CONSUMIDOR]]="MEDIO",IF(Tabla1[[#This Row],[ENERO ]]&gt;22.5,Tabla1[[#This Row],[ENERO ]]/22.5-1,0),IF(Tabla1[[#This Row],[ENERO ]]&gt;45,Tabla1[[#This Row],[ENERO ]]/45-1,0))</f>
        <v>0</v>
      </c>
      <c r="AH32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29" s="100">
        <f>IF(Tabla1[[#This Row],[TIPO DE CONSUMIDOR]]="MEDIO",IF(Tabla1[[#This Row],[MARZO]]&gt;22.5,Tabla1[[#This Row],[MARZO]]/22.5-1,0),IF(Tabla1[[#This Row],[MARZO]]&gt;45,Tabla1[[#This Row],[MARZO]]/45-1,0))</f>
        <v>0</v>
      </c>
      <c r="AJ329" s="100">
        <f>IF(Tabla1[[#This Row],[TIPO DE CONSUMIDOR]]="MEDIO",IF(Tabla1[[#This Row],[ABRIL]]&gt;22.5,Tabla1[[#This Row],[ABRIL]]/22.5-1,0),IF(Tabla1[[#This Row],[ABRIL]]&gt;45,Tabla1[[#This Row],[ABRIL]]/45-1,0))</f>
        <v>0</v>
      </c>
      <c r="AK329" s="100">
        <f>IF(Tabla1[[#This Row],[TIPO DE CONSUMIDOR]]="MEDIO",IF(Tabla1[[#This Row],[MAYO ]]&gt;22.5,Tabla1[[#This Row],[MAYO ]]/22.5-1,0),IF(Tabla1[[#This Row],[MAYO ]]&gt;45,Tabla1[[#This Row],[MAYO ]]/45-1,0))</f>
        <v>0</v>
      </c>
      <c r="AL329" s="100">
        <f>IF(Tabla1[[#This Row],[TIPO DE CONSUMIDOR]]="MEDIO",IF(Tabla1[[#This Row],[JUNIO ]]&gt;22.5,Tabla1[[#This Row],[JUNIO ]]/22.5-1,0),IF(Tabla1[[#This Row],[JUNIO ]]&gt;45,Tabla1[[#This Row],[JUNIO ]]/45-1,0))</f>
        <v>0</v>
      </c>
      <c r="AM329" s="100">
        <f>IF(Tabla1[[#This Row],[TIPO DE CONSUMIDOR]]="MEDIO",IF(Tabla1[[#This Row],[JULIO ]]&gt;22.5,Tabla1[[#This Row],[JULIO ]]/22.5-1,0),IF(Tabla1[[#This Row],[JULIO ]]&gt;45,Tabla1[[#This Row],[JULIO ]]/45-1,0))</f>
        <v>0</v>
      </c>
      <c r="AN329" s="100">
        <f>IF(Tabla1[[#This Row],[TIPO DE CONSUMIDOR]]="MEDIO",IF(Tabla1[[#This Row],[AGOSTO]]&gt;22.5,Tabla1[[#This Row],[AGOSTO]]/22.5-1,0),IF(Tabla1[[#This Row],[AGOSTO]]&gt;45,Tabla1[[#This Row],[AGOSTO]]/45-1,0))</f>
        <v>0</v>
      </c>
      <c r="AO32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2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2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2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29" s="101">
        <f t="shared" si="11"/>
        <v>0</v>
      </c>
      <c r="AT329">
        <f>IF(Tabla1[[#This Row],[MES ADEUDO DE AÑOS PASADOS ]]&gt;0,1,0)</f>
        <v>1</v>
      </c>
      <c r="AU329" s="9">
        <f t="shared" si="12"/>
        <v>1</v>
      </c>
      <c r="AV329" s="60">
        <f>IF(Tabla1[[#This Row],[MESES DE ADEUDO DEL AÑO EN CURSO ]]&gt;0,1,0)</f>
        <v>0</v>
      </c>
      <c r="AW329" s="42"/>
      <c r="AX329" s="42"/>
      <c r="AY329" s="42"/>
      <c r="AZ329" s="43"/>
    </row>
    <row r="330" spans="1:52" ht="21.75" thickBot="1" x14ac:dyDescent="0.35">
      <c r="A330" s="106">
        <v>324</v>
      </c>
      <c r="B330" s="5" t="s">
        <v>62</v>
      </c>
      <c r="C330" s="2" t="s">
        <v>530</v>
      </c>
      <c r="D330" s="32"/>
      <c r="E330" s="35" t="s">
        <v>455</v>
      </c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24">
        <f>SUM(Tabla1[[#This Row],[ENERO ]:[DICIEMBRE]])</f>
        <v>0</v>
      </c>
      <c r="W330">
        <v>12</v>
      </c>
      <c r="X330" s="21">
        <f>COUNTIF(Tabla1[[#This Row],[ENERO ]:[DICIEMBRE]],0)-(AS330)-IF(Tabla1[[#This Row],[BAJAS]]="BAJA",IF(Tabla1[[#This Row],[ALTAS]]="ALTA",VLOOKUP(Tabla1[[#This Row],[MES DE ALTA ]],$AW$6:$AX$17,2,FALSE),12)-VLOOKUP(Tabla1[[#This Row],[MES DE BAJA ]],$AW$6:$AX$17,2,FALSE),0)</f>
        <v>0</v>
      </c>
      <c r="Y330" s="68">
        <f>SUM(Tabla1[[#This Row],[MES ADEUDO DE AÑOS PASADOS ]:[MESES DE ADEUDO DEL AÑO EN CURSO ]])-Tabla1[[#This Row],[PAGO DE DEUDA ANTERIOR EN MESES]]</f>
        <v>12</v>
      </c>
      <c r="Z330" s="15">
        <f>Tabla1[[#This Row],[MES ADEUDO DE AÑOS PASADOS ]]*$T$2</f>
        <v>540</v>
      </c>
      <c r="AA330" s="15">
        <f>Tabla1[[#This Row],[MESES DE ADEUDO DEL AÑO EN CURSO ]]*$T$2</f>
        <v>0</v>
      </c>
      <c r="AB330" s="69">
        <f>SUM(Tabla1[[#This Row],[DEUDA DE LOS MESES PASADOS EN $$]:[DEUDA DEL AÑO 2013 $$ ]])</f>
        <v>540</v>
      </c>
      <c r="AD330">
        <f>Tabla1[[#This Row],[PAGO DE DEUDA ANTERIOR EN MESES]]*$T$2</f>
        <v>0</v>
      </c>
      <c r="AG330" s="100">
        <f>IF(Tabla1[[#This Row],[TIPO DE CONSUMIDOR]]="MEDIO",IF(Tabla1[[#This Row],[ENERO ]]&gt;22.5,Tabla1[[#This Row],[ENERO ]]/22.5-1,0),IF(Tabla1[[#This Row],[ENERO ]]&gt;45,Tabla1[[#This Row],[ENERO ]]/45-1,0))</f>
        <v>0</v>
      </c>
      <c r="AH33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0" s="100">
        <f>IF(Tabla1[[#This Row],[TIPO DE CONSUMIDOR]]="MEDIO",IF(Tabla1[[#This Row],[MARZO]]&gt;22.5,Tabla1[[#This Row],[MARZO]]/22.5-1,0),IF(Tabla1[[#This Row],[MARZO]]&gt;45,Tabla1[[#This Row],[MARZO]]/45-1,0))</f>
        <v>0</v>
      </c>
      <c r="AJ330" s="100">
        <f>IF(Tabla1[[#This Row],[TIPO DE CONSUMIDOR]]="MEDIO",IF(Tabla1[[#This Row],[ABRIL]]&gt;22.5,Tabla1[[#This Row],[ABRIL]]/22.5-1,0),IF(Tabla1[[#This Row],[ABRIL]]&gt;45,Tabla1[[#This Row],[ABRIL]]/45-1,0))</f>
        <v>0</v>
      </c>
      <c r="AK330" s="100">
        <f>IF(Tabla1[[#This Row],[TIPO DE CONSUMIDOR]]="MEDIO",IF(Tabla1[[#This Row],[MAYO ]]&gt;22.5,Tabla1[[#This Row],[MAYO ]]/22.5-1,0),IF(Tabla1[[#This Row],[MAYO ]]&gt;45,Tabla1[[#This Row],[MAYO ]]/45-1,0))</f>
        <v>0</v>
      </c>
      <c r="AL330" s="100">
        <f>IF(Tabla1[[#This Row],[TIPO DE CONSUMIDOR]]="MEDIO",IF(Tabla1[[#This Row],[JUNIO ]]&gt;22.5,Tabla1[[#This Row],[JUNIO ]]/22.5-1,0),IF(Tabla1[[#This Row],[JUNIO ]]&gt;45,Tabla1[[#This Row],[JUNIO ]]/45-1,0))</f>
        <v>0</v>
      </c>
      <c r="AM330" s="100">
        <f>IF(Tabla1[[#This Row],[TIPO DE CONSUMIDOR]]="MEDIO",IF(Tabla1[[#This Row],[JULIO ]]&gt;22.5,Tabla1[[#This Row],[JULIO ]]/22.5-1,0),IF(Tabla1[[#This Row],[JULIO ]]&gt;45,Tabla1[[#This Row],[JULIO ]]/45-1,0))</f>
        <v>0</v>
      </c>
      <c r="AN330" s="100">
        <f>IF(Tabla1[[#This Row],[TIPO DE CONSUMIDOR]]="MEDIO",IF(Tabla1[[#This Row],[AGOSTO]]&gt;22.5,Tabla1[[#This Row],[AGOSTO]]/22.5-1,0),IF(Tabla1[[#This Row],[AGOSTO]]&gt;45,Tabla1[[#This Row],[AGOSTO]]/45-1,0))</f>
        <v>0</v>
      </c>
      <c r="AO33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0" s="101">
        <f t="shared" si="11"/>
        <v>0</v>
      </c>
      <c r="AT330">
        <f>IF(Tabla1[[#This Row],[MES ADEUDO DE AÑOS PASADOS ]]&gt;0,1,0)</f>
        <v>1</v>
      </c>
      <c r="AU330" s="9">
        <f t="shared" si="12"/>
        <v>1</v>
      </c>
      <c r="AV330" s="60">
        <f>IF(Tabla1[[#This Row],[MESES DE ADEUDO DEL AÑO EN CURSO ]]&gt;0,1,0)</f>
        <v>0</v>
      </c>
      <c r="AW330" s="42"/>
      <c r="AX330" s="42"/>
      <c r="AY330" s="42"/>
      <c r="AZ330" s="43"/>
    </row>
    <row r="331" spans="1:52" ht="21.75" thickBot="1" x14ac:dyDescent="0.35">
      <c r="A331" s="106">
        <v>325</v>
      </c>
      <c r="B331" s="5" t="s">
        <v>158</v>
      </c>
      <c r="C331" s="2" t="s">
        <v>530</v>
      </c>
      <c r="D331" s="32"/>
      <c r="E331" s="35" t="s">
        <v>455</v>
      </c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24">
        <f>SUM(Tabla1[[#This Row],[ENERO ]:[DICIEMBRE]])</f>
        <v>0</v>
      </c>
      <c r="W331">
        <v>12</v>
      </c>
      <c r="X331" s="21">
        <f>COUNTIF(Tabla1[[#This Row],[ENERO ]:[DICIEMBRE]],0)-(AS331)-IF(Tabla1[[#This Row],[BAJAS]]="BAJA",IF(Tabla1[[#This Row],[ALTAS]]="ALTA",VLOOKUP(Tabla1[[#This Row],[MES DE ALTA ]],$AW$6:$AX$17,2,FALSE),12)-VLOOKUP(Tabla1[[#This Row],[MES DE BAJA ]],$AW$6:$AX$17,2,FALSE),0)</f>
        <v>0</v>
      </c>
      <c r="Y331" s="68">
        <f>SUM(Tabla1[[#This Row],[MES ADEUDO DE AÑOS PASADOS ]:[MESES DE ADEUDO DEL AÑO EN CURSO ]])-Tabla1[[#This Row],[PAGO DE DEUDA ANTERIOR EN MESES]]</f>
        <v>12</v>
      </c>
      <c r="Z331" s="15">
        <f>Tabla1[[#This Row],[MES ADEUDO DE AÑOS PASADOS ]]*$T$2</f>
        <v>540</v>
      </c>
      <c r="AA331" s="15">
        <f>Tabla1[[#This Row],[MESES DE ADEUDO DEL AÑO EN CURSO ]]*$T$2</f>
        <v>0</v>
      </c>
      <c r="AB331" s="69">
        <f>SUM(Tabla1[[#This Row],[DEUDA DE LOS MESES PASADOS EN $$]:[DEUDA DEL AÑO 2013 $$ ]])</f>
        <v>540</v>
      </c>
      <c r="AD331">
        <f>Tabla1[[#This Row],[PAGO DE DEUDA ANTERIOR EN MESES]]*$T$2</f>
        <v>0</v>
      </c>
      <c r="AG331" s="100">
        <f>IF(Tabla1[[#This Row],[TIPO DE CONSUMIDOR]]="MEDIO",IF(Tabla1[[#This Row],[ENERO ]]&gt;22.5,Tabla1[[#This Row],[ENERO ]]/22.5-1,0),IF(Tabla1[[#This Row],[ENERO ]]&gt;45,Tabla1[[#This Row],[ENERO ]]/45-1,0))</f>
        <v>0</v>
      </c>
      <c r="AH33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1" s="100">
        <f>IF(Tabla1[[#This Row],[TIPO DE CONSUMIDOR]]="MEDIO",IF(Tabla1[[#This Row],[MARZO]]&gt;22.5,Tabla1[[#This Row],[MARZO]]/22.5-1,0),IF(Tabla1[[#This Row],[MARZO]]&gt;45,Tabla1[[#This Row],[MARZO]]/45-1,0))</f>
        <v>0</v>
      </c>
      <c r="AJ331" s="100">
        <f>IF(Tabla1[[#This Row],[TIPO DE CONSUMIDOR]]="MEDIO",IF(Tabla1[[#This Row],[ABRIL]]&gt;22.5,Tabla1[[#This Row],[ABRIL]]/22.5-1,0),IF(Tabla1[[#This Row],[ABRIL]]&gt;45,Tabla1[[#This Row],[ABRIL]]/45-1,0))</f>
        <v>0</v>
      </c>
      <c r="AK331" s="100">
        <f>IF(Tabla1[[#This Row],[TIPO DE CONSUMIDOR]]="MEDIO",IF(Tabla1[[#This Row],[MAYO ]]&gt;22.5,Tabla1[[#This Row],[MAYO ]]/22.5-1,0),IF(Tabla1[[#This Row],[MAYO ]]&gt;45,Tabla1[[#This Row],[MAYO ]]/45-1,0))</f>
        <v>0</v>
      </c>
      <c r="AL331" s="100">
        <f>IF(Tabla1[[#This Row],[TIPO DE CONSUMIDOR]]="MEDIO",IF(Tabla1[[#This Row],[JUNIO ]]&gt;22.5,Tabla1[[#This Row],[JUNIO ]]/22.5-1,0),IF(Tabla1[[#This Row],[JUNIO ]]&gt;45,Tabla1[[#This Row],[JUNIO ]]/45-1,0))</f>
        <v>0</v>
      </c>
      <c r="AM331" s="100">
        <f>IF(Tabla1[[#This Row],[TIPO DE CONSUMIDOR]]="MEDIO",IF(Tabla1[[#This Row],[JULIO ]]&gt;22.5,Tabla1[[#This Row],[JULIO ]]/22.5-1,0),IF(Tabla1[[#This Row],[JULIO ]]&gt;45,Tabla1[[#This Row],[JULIO ]]/45-1,0))</f>
        <v>0</v>
      </c>
      <c r="AN331" s="100">
        <f>IF(Tabla1[[#This Row],[TIPO DE CONSUMIDOR]]="MEDIO",IF(Tabla1[[#This Row],[AGOSTO]]&gt;22.5,Tabla1[[#This Row],[AGOSTO]]/22.5-1,0),IF(Tabla1[[#This Row],[AGOSTO]]&gt;45,Tabla1[[#This Row],[AGOSTO]]/45-1,0))</f>
        <v>0</v>
      </c>
      <c r="AO33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1" s="101">
        <f t="shared" si="11"/>
        <v>0</v>
      </c>
      <c r="AT331">
        <f>IF(Tabla1[[#This Row],[MES ADEUDO DE AÑOS PASADOS ]]&gt;0,1,0)</f>
        <v>1</v>
      </c>
      <c r="AU331" s="9">
        <f t="shared" si="12"/>
        <v>1</v>
      </c>
      <c r="AV331" s="60">
        <f>IF(Tabla1[[#This Row],[MESES DE ADEUDO DEL AÑO EN CURSO ]]&gt;0,1,0)</f>
        <v>0</v>
      </c>
      <c r="AW331" s="42"/>
      <c r="AX331" s="42"/>
      <c r="AY331" s="42"/>
      <c r="AZ331" s="43"/>
    </row>
    <row r="332" spans="1:52" ht="21.75" thickBot="1" x14ac:dyDescent="0.35">
      <c r="A332" s="106">
        <v>326</v>
      </c>
      <c r="B332" s="5" t="s">
        <v>312</v>
      </c>
      <c r="C332" s="2" t="s">
        <v>530</v>
      </c>
      <c r="D332" s="32"/>
      <c r="E332" s="35" t="s">
        <v>455</v>
      </c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58">
        <f>SUM(Tabla1[[#This Row],[ENERO ]:[DICIEMBRE]])</f>
        <v>0</v>
      </c>
      <c r="W332">
        <v>12</v>
      </c>
      <c r="X332" s="21">
        <f>COUNTIF(Tabla1[[#This Row],[ENERO ]:[DICIEMBRE]],0)-(AS332)-IF(Tabla1[[#This Row],[BAJAS]]="BAJA",IF(Tabla1[[#This Row],[ALTAS]]="ALTA",VLOOKUP(Tabla1[[#This Row],[MES DE ALTA ]],$AW$6:$AX$17,2,FALSE),12)-VLOOKUP(Tabla1[[#This Row],[MES DE BAJA ]],$AW$6:$AX$17,2,FALSE),0)</f>
        <v>0</v>
      </c>
      <c r="Y332" s="68">
        <f>SUM(Tabla1[[#This Row],[MES ADEUDO DE AÑOS PASADOS ]:[MESES DE ADEUDO DEL AÑO EN CURSO ]])-Tabla1[[#This Row],[PAGO DE DEUDA ANTERIOR EN MESES]]</f>
        <v>12</v>
      </c>
      <c r="Z332" s="15">
        <f>Tabla1[[#This Row],[MES ADEUDO DE AÑOS PASADOS ]]*$T$2</f>
        <v>540</v>
      </c>
      <c r="AA332" s="15">
        <f>Tabla1[[#This Row],[MESES DE ADEUDO DEL AÑO EN CURSO ]]*$T$2</f>
        <v>0</v>
      </c>
      <c r="AB332" s="69">
        <f>SUM(Tabla1[[#This Row],[DEUDA DE LOS MESES PASADOS EN $$]:[DEUDA DEL AÑO 2013 $$ ]])</f>
        <v>540</v>
      </c>
      <c r="AD332">
        <f>Tabla1[[#This Row],[PAGO DE DEUDA ANTERIOR EN MESES]]*$T$2</f>
        <v>0</v>
      </c>
      <c r="AG332" s="100">
        <f>IF(Tabla1[[#This Row],[TIPO DE CONSUMIDOR]]="MEDIO",IF(Tabla1[[#This Row],[ENERO ]]&gt;22.5,Tabla1[[#This Row],[ENERO ]]/22.5-1,0),IF(Tabla1[[#This Row],[ENERO ]]&gt;45,Tabla1[[#This Row],[ENERO ]]/45-1,0))</f>
        <v>0</v>
      </c>
      <c r="AH33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2" s="100">
        <f>IF(Tabla1[[#This Row],[TIPO DE CONSUMIDOR]]="MEDIO",IF(Tabla1[[#This Row],[MARZO]]&gt;22.5,Tabla1[[#This Row],[MARZO]]/22.5-1,0),IF(Tabla1[[#This Row],[MARZO]]&gt;45,Tabla1[[#This Row],[MARZO]]/45-1,0))</f>
        <v>0</v>
      </c>
      <c r="AJ332" s="100">
        <f>IF(Tabla1[[#This Row],[TIPO DE CONSUMIDOR]]="MEDIO",IF(Tabla1[[#This Row],[ABRIL]]&gt;22.5,Tabla1[[#This Row],[ABRIL]]/22.5-1,0),IF(Tabla1[[#This Row],[ABRIL]]&gt;45,Tabla1[[#This Row],[ABRIL]]/45-1,0))</f>
        <v>0</v>
      </c>
      <c r="AK332" s="100">
        <f>IF(Tabla1[[#This Row],[TIPO DE CONSUMIDOR]]="MEDIO",IF(Tabla1[[#This Row],[MAYO ]]&gt;22.5,Tabla1[[#This Row],[MAYO ]]/22.5-1,0),IF(Tabla1[[#This Row],[MAYO ]]&gt;45,Tabla1[[#This Row],[MAYO ]]/45-1,0))</f>
        <v>0</v>
      </c>
      <c r="AL332" s="100">
        <f>IF(Tabla1[[#This Row],[TIPO DE CONSUMIDOR]]="MEDIO",IF(Tabla1[[#This Row],[JUNIO ]]&gt;22.5,Tabla1[[#This Row],[JUNIO ]]/22.5-1,0),IF(Tabla1[[#This Row],[JUNIO ]]&gt;45,Tabla1[[#This Row],[JUNIO ]]/45-1,0))</f>
        <v>0</v>
      </c>
      <c r="AM332" s="100">
        <f>IF(Tabla1[[#This Row],[TIPO DE CONSUMIDOR]]="MEDIO",IF(Tabla1[[#This Row],[JULIO ]]&gt;22.5,Tabla1[[#This Row],[JULIO ]]/22.5-1,0),IF(Tabla1[[#This Row],[JULIO ]]&gt;45,Tabla1[[#This Row],[JULIO ]]/45-1,0))</f>
        <v>0</v>
      </c>
      <c r="AN332" s="100">
        <f>IF(Tabla1[[#This Row],[TIPO DE CONSUMIDOR]]="MEDIO",IF(Tabla1[[#This Row],[AGOSTO]]&gt;22.5,Tabla1[[#This Row],[AGOSTO]]/22.5-1,0),IF(Tabla1[[#This Row],[AGOSTO]]&gt;45,Tabla1[[#This Row],[AGOSTO]]/45-1,0))</f>
        <v>0</v>
      </c>
      <c r="AO33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2" s="101">
        <f t="shared" si="11"/>
        <v>0</v>
      </c>
      <c r="AT332">
        <f>IF(Tabla1[[#This Row],[MES ADEUDO DE AÑOS PASADOS ]]&gt;0,1,0)</f>
        <v>1</v>
      </c>
      <c r="AU332" s="9">
        <f t="shared" si="12"/>
        <v>1</v>
      </c>
      <c r="AV332" s="60">
        <f>IF(Tabla1[[#This Row],[MESES DE ADEUDO DEL AÑO EN CURSO ]]&gt;0,1,0)</f>
        <v>0</v>
      </c>
      <c r="AW332" s="42"/>
      <c r="AX332" s="42"/>
      <c r="AY332" s="42"/>
      <c r="AZ332" s="43"/>
    </row>
    <row r="333" spans="1:52" ht="21.75" thickBot="1" x14ac:dyDescent="0.35">
      <c r="A333" s="106">
        <v>327</v>
      </c>
      <c r="B333" s="5" t="s">
        <v>421</v>
      </c>
      <c r="C333" s="2" t="s">
        <v>530</v>
      </c>
      <c r="D333" s="32"/>
      <c r="E333" s="35" t="s">
        <v>455</v>
      </c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24">
        <f>SUM(Tabla1[[#This Row],[ENERO ]:[DICIEMBRE]])</f>
        <v>0</v>
      </c>
      <c r="W333">
        <v>12</v>
      </c>
      <c r="X333" s="21">
        <f>COUNTIF(Tabla1[[#This Row],[ENERO ]:[DICIEMBRE]],0)-(AS333)-IF(Tabla1[[#This Row],[BAJAS]]="BAJA",IF(Tabla1[[#This Row],[ALTAS]]="ALTA",VLOOKUP(Tabla1[[#This Row],[MES DE ALTA ]],$AW$6:$AX$17,2,FALSE),12)-VLOOKUP(Tabla1[[#This Row],[MES DE BAJA ]],$AW$6:$AX$17,2,FALSE),0)</f>
        <v>0</v>
      </c>
      <c r="Y333" s="68">
        <f>SUM(Tabla1[[#This Row],[MES ADEUDO DE AÑOS PASADOS ]:[MESES DE ADEUDO DEL AÑO EN CURSO ]])-Tabla1[[#This Row],[PAGO DE DEUDA ANTERIOR EN MESES]]</f>
        <v>12</v>
      </c>
      <c r="Z333" s="15">
        <f>Tabla1[[#This Row],[MES ADEUDO DE AÑOS PASADOS ]]*$T$2</f>
        <v>540</v>
      </c>
      <c r="AA333" s="15">
        <f>Tabla1[[#This Row],[MESES DE ADEUDO DEL AÑO EN CURSO ]]*$T$2</f>
        <v>0</v>
      </c>
      <c r="AB333" s="69">
        <f>SUM(Tabla1[[#This Row],[DEUDA DE LOS MESES PASADOS EN $$]:[DEUDA DEL AÑO 2013 $$ ]])</f>
        <v>540</v>
      </c>
      <c r="AD333">
        <f>Tabla1[[#This Row],[PAGO DE DEUDA ANTERIOR EN MESES]]*$T$2</f>
        <v>0</v>
      </c>
      <c r="AG333" s="100">
        <f>IF(Tabla1[[#This Row],[TIPO DE CONSUMIDOR]]="MEDIO",IF(Tabla1[[#This Row],[ENERO ]]&gt;22.5,Tabla1[[#This Row],[ENERO ]]/22.5-1,0),IF(Tabla1[[#This Row],[ENERO ]]&gt;45,Tabla1[[#This Row],[ENERO ]]/45-1,0))</f>
        <v>0</v>
      </c>
      <c r="AH33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3" s="100">
        <f>IF(Tabla1[[#This Row],[TIPO DE CONSUMIDOR]]="MEDIO",IF(Tabla1[[#This Row],[MARZO]]&gt;22.5,Tabla1[[#This Row],[MARZO]]/22.5-1,0),IF(Tabla1[[#This Row],[MARZO]]&gt;45,Tabla1[[#This Row],[MARZO]]/45-1,0))</f>
        <v>0</v>
      </c>
      <c r="AJ333" s="100">
        <f>IF(Tabla1[[#This Row],[TIPO DE CONSUMIDOR]]="MEDIO",IF(Tabla1[[#This Row],[ABRIL]]&gt;22.5,Tabla1[[#This Row],[ABRIL]]/22.5-1,0),IF(Tabla1[[#This Row],[ABRIL]]&gt;45,Tabla1[[#This Row],[ABRIL]]/45-1,0))</f>
        <v>0</v>
      </c>
      <c r="AK333" s="100">
        <f>IF(Tabla1[[#This Row],[TIPO DE CONSUMIDOR]]="MEDIO",IF(Tabla1[[#This Row],[MAYO ]]&gt;22.5,Tabla1[[#This Row],[MAYO ]]/22.5-1,0),IF(Tabla1[[#This Row],[MAYO ]]&gt;45,Tabla1[[#This Row],[MAYO ]]/45-1,0))</f>
        <v>0</v>
      </c>
      <c r="AL333" s="100">
        <f>IF(Tabla1[[#This Row],[TIPO DE CONSUMIDOR]]="MEDIO",IF(Tabla1[[#This Row],[JUNIO ]]&gt;22.5,Tabla1[[#This Row],[JUNIO ]]/22.5-1,0),IF(Tabla1[[#This Row],[JUNIO ]]&gt;45,Tabla1[[#This Row],[JUNIO ]]/45-1,0))</f>
        <v>0</v>
      </c>
      <c r="AM333" s="100">
        <f>IF(Tabla1[[#This Row],[TIPO DE CONSUMIDOR]]="MEDIO",IF(Tabla1[[#This Row],[JULIO ]]&gt;22.5,Tabla1[[#This Row],[JULIO ]]/22.5-1,0),IF(Tabla1[[#This Row],[JULIO ]]&gt;45,Tabla1[[#This Row],[JULIO ]]/45-1,0))</f>
        <v>0</v>
      </c>
      <c r="AN333" s="100">
        <f>IF(Tabla1[[#This Row],[TIPO DE CONSUMIDOR]]="MEDIO",IF(Tabla1[[#This Row],[AGOSTO]]&gt;22.5,Tabla1[[#This Row],[AGOSTO]]/22.5-1,0),IF(Tabla1[[#This Row],[AGOSTO]]&gt;45,Tabla1[[#This Row],[AGOSTO]]/45-1,0))</f>
        <v>0</v>
      </c>
      <c r="AO33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3" s="101">
        <f t="shared" si="11"/>
        <v>0</v>
      </c>
      <c r="AT333">
        <f>IF(Tabla1[[#This Row],[MES ADEUDO DE AÑOS PASADOS ]]&gt;0,1,0)</f>
        <v>1</v>
      </c>
      <c r="AU333" s="9">
        <f t="shared" si="12"/>
        <v>1</v>
      </c>
      <c r="AV333" s="60">
        <f>IF(Tabla1[[#This Row],[MESES DE ADEUDO DEL AÑO EN CURSO ]]&gt;0,1,0)</f>
        <v>0</v>
      </c>
      <c r="AW333" s="42"/>
      <c r="AX333" s="42"/>
      <c r="AY333" s="42"/>
      <c r="AZ333" s="43"/>
    </row>
    <row r="334" spans="1:52" ht="21.75" thickBot="1" x14ac:dyDescent="0.35">
      <c r="A334" s="106">
        <v>328</v>
      </c>
      <c r="B334" s="5" t="s">
        <v>316</v>
      </c>
      <c r="C334" s="2" t="s">
        <v>530</v>
      </c>
      <c r="D334" s="32"/>
      <c r="E334" s="35" t="s">
        <v>455</v>
      </c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24">
        <f>SUM(Tabla1[[#This Row],[ENERO ]:[DICIEMBRE]])</f>
        <v>0</v>
      </c>
      <c r="W334">
        <v>13</v>
      </c>
      <c r="X334" s="21">
        <f>COUNTIF(Tabla1[[#This Row],[ENERO ]:[DICIEMBRE]],0)-(AS334)-IF(Tabla1[[#This Row],[BAJAS]]="BAJA",IF(Tabla1[[#This Row],[ALTAS]]="ALTA",VLOOKUP(Tabla1[[#This Row],[MES DE ALTA ]],$AW$6:$AX$17,2,FALSE),12)-VLOOKUP(Tabla1[[#This Row],[MES DE BAJA ]],$AW$6:$AX$17,2,FALSE),0)</f>
        <v>0</v>
      </c>
      <c r="Y334" s="68">
        <f>SUM(Tabla1[[#This Row],[MES ADEUDO DE AÑOS PASADOS ]:[MESES DE ADEUDO DEL AÑO EN CURSO ]])-Tabla1[[#This Row],[PAGO DE DEUDA ANTERIOR EN MESES]]</f>
        <v>13</v>
      </c>
      <c r="Z334" s="15">
        <f>Tabla1[[#This Row],[MES ADEUDO DE AÑOS PASADOS ]]*$T$2</f>
        <v>585</v>
      </c>
      <c r="AA334" s="15">
        <f>Tabla1[[#This Row],[MESES DE ADEUDO DEL AÑO EN CURSO ]]*$T$2</f>
        <v>0</v>
      </c>
      <c r="AB334" s="69">
        <f>SUM(Tabla1[[#This Row],[DEUDA DE LOS MESES PASADOS EN $$]:[DEUDA DEL AÑO 2013 $$ ]])</f>
        <v>585</v>
      </c>
      <c r="AD334">
        <f>Tabla1[[#This Row],[PAGO DE DEUDA ANTERIOR EN MESES]]*$T$2</f>
        <v>0</v>
      </c>
      <c r="AG334" s="100">
        <f>IF(Tabla1[[#This Row],[TIPO DE CONSUMIDOR]]="MEDIO",IF(Tabla1[[#This Row],[ENERO ]]&gt;22.5,Tabla1[[#This Row],[ENERO ]]/22.5-1,0),IF(Tabla1[[#This Row],[ENERO ]]&gt;45,Tabla1[[#This Row],[ENERO ]]/45-1,0))</f>
        <v>0</v>
      </c>
      <c r="AH33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4" s="100">
        <f>IF(Tabla1[[#This Row],[TIPO DE CONSUMIDOR]]="MEDIO",IF(Tabla1[[#This Row],[MARZO]]&gt;22.5,Tabla1[[#This Row],[MARZO]]/22.5-1,0),IF(Tabla1[[#This Row],[MARZO]]&gt;45,Tabla1[[#This Row],[MARZO]]/45-1,0))</f>
        <v>0</v>
      </c>
      <c r="AJ334" s="100">
        <f>IF(Tabla1[[#This Row],[TIPO DE CONSUMIDOR]]="MEDIO",IF(Tabla1[[#This Row],[ABRIL]]&gt;22.5,Tabla1[[#This Row],[ABRIL]]/22.5-1,0),IF(Tabla1[[#This Row],[ABRIL]]&gt;45,Tabla1[[#This Row],[ABRIL]]/45-1,0))</f>
        <v>0</v>
      </c>
      <c r="AK334" s="100">
        <f>IF(Tabla1[[#This Row],[TIPO DE CONSUMIDOR]]="MEDIO",IF(Tabla1[[#This Row],[MAYO ]]&gt;22.5,Tabla1[[#This Row],[MAYO ]]/22.5-1,0),IF(Tabla1[[#This Row],[MAYO ]]&gt;45,Tabla1[[#This Row],[MAYO ]]/45-1,0))</f>
        <v>0</v>
      </c>
      <c r="AL334" s="100">
        <f>IF(Tabla1[[#This Row],[TIPO DE CONSUMIDOR]]="MEDIO",IF(Tabla1[[#This Row],[JUNIO ]]&gt;22.5,Tabla1[[#This Row],[JUNIO ]]/22.5-1,0),IF(Tabla1[[#This Row],[JUNIO ]]&gt;45,Tabla1[[#This Row],[JUNIO ]]/45-1,0))</f>
        <v>0</v>
      </c>
      <c r="AM334" s="100">
        <f>IF(Tabla1[[#This Row],[TIPO DE CONSUMIDOR]]="MEDIO",IF(Tabla1[[#This Row],[JULIO ]]&gt;22.5,Tabla1[[#This Row],[JULIO ]]/22.5-1,0),IF(Tabla1[[#This Row],[JULIO ]]&gt;45,Tabla1[[#This Row],[JULIO ]]/45-1,0))</f>
        <v>0</v>
      </c>
      <c r="AN334" s="100">
        <f>IF(Tabla1[[#This Row],[TIPO DE CONSUMIDOR]]="MEDIO",IF(Tabla1[[#This Row],[AGOSTO]]&gt;22.5,Tabla1[[#This Row],[AGOSTO]]/22.5-1,0),IF(Tabla1[[#This Row],[AGOSTO]]&gt;45,Tabla1[[#This Row],[AGOSTO]]/45-1,0))</f>
        <v>0</v>
      </c>
      <c r="AO33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4" s="101">
        <f t="shared" si="11"/>
        <v>0</v>
      </c>
      <c r="AT334">
        <f>IF(Tabla1[[#This Row],[MES ADEUDO DE AÑOS PASADOS ]]&gt;0,1,0)</f>
        <v>1</v>
      </c>
      <c r="AU334" s="9">
        <f t="shared" si="12"/>
        <v>1</v>
      </c>
      <c r="AV334" s="60">
        <f>IF(Tabla1[[#This Row],[MESES DE ADEUDO DEL AÑO EN CURSO ]]&gt;0,1,0)</f>
        <v>0</v>
      </c>
      <c r="AW334" s="42"/>
      <c r="AX334" s="42"/>
      <c r="AY334" s="42"/>
      <c r="AZ334" s="43"/>
    </row>
    <row r="335" spans="1:52" ht="21.75" thickBot="1" x14ac:dyDescent="0.35">
      <c r="A335" s="106">
        <v>329</v>
      </c>
      <c r="B335" s="13" t="s">
        <v>206</v>
      </c>
      <c r="C335" s="2" t="s">
        <v>530</v>
      </c>
      <c r="D335" s="32"/>
      <c r="E335" s="35" t="s">
        <v>489</v>
      </c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24">
        <f>SUM(Tabla1[[#This Row],[ENERO ]:[DICIEMBRE]])</f>
        <v>0</v>
      </c>
      <c r="W335">
        <v>15</v>
      </c>
      <c r="X335" s="21">
        <f>COUNTIF(Tabla1[[#This Row],[ENERO ]:[DICIEMBRE]],0)-(AS335)-IF(Tabla1[[#This Row],[BAJAS]]="BAJA",IF(Tabla1[[#This Row],[ALTAS]]="ALTA",VLOOKUP(Tabla1[[#This Row],[MES DE ALTA ]],$AW$6:$AX$17,2,FALSE),12)-VLOOKUP(Tabla1[[#This Row],[MES DE BAJA ]],$AW$6:$AX$17,2,FALSE),0)</f>
        <v>0</v>
      </c>
      <c r="Y335" s="68">
        <f>SUM(Tabla1[[#This Row],[MES ADEUDO DE AÑOS PASADOS ]:[MESES DE ADEUDO DEL AÑO EN CURSO ]])-Tabla1[[#This Row],[PAGO DE DEUDA ANTERIOR EN MESES]]</f>
        <v>15</v>
      </c>
      <c r="Z335" s="15">
        <f>Tabla1[[#This Row],[MES ADEUDO DE AÑOS PASADOS ]]*$T$2</f>
        <v>675</v>
      </c>
      <c r="AA335" s="15">
        <f>Tabla1[[#This Row],[MESES DE ADEUDO DEL AÑO EN CURSO ]]*$T$2</f>
        <v>0</v>
      </c>
      <c r="AB335" s="69">
        <f>SUM(Tabla1[[#This Row],[DEUDA DE LOS MESES PASADOS EN $$]:[DEUDA DEL AÑO 2013 $$ ]])</f>
        <v>675</v>
      </c>
      <c r="AD335">
        <f>Tabla1[[#This Row],[PAGO DE DEUDA ANTERIOR EN MESES]]*$T$2</f>
        <v>0</v>
      </c>
      <c r="AG335" s="100">
        <f>IF(Tabla1[[#This Row],[TIPO DE CONSUMIDOR]]="MEDIO",IF(Tabla1[[#This Row],[ENERO ]]&gt;22.5,Tabla1[[#This Row],[ENERO ]]/22.5-1,0),IF(Tabla1[[#This Row],[ENERO ]]&gt;45,Tabla1[[#This Row],[ENERO ]]/45-1,0))</f>
        <v>0</v>
      </c>
      <c r="AH33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5" s="100">
        <f>IF(Tabla1[[#This Row],[TIPO DE CONSUMIDOR]]="MEDIO",IF(Tabla1[[#This Row],[MARZO]]&gt;22.5,Tabla1[[#This Row],[MARZO]]/22.5-1,0),IF(Tabla1[[#This Row],[MARZO]]&gt;45,Tabla1[[#This Row],[MARZO]]/45-1,0))</f>
        <v>0</v>
      </c>
      <c r="AJ335" s="100">
        <f>IF(Tabla1[[#This Row],[TIPO DE CONSUMIDOR]]="MEDIO",IF(Tabla1[[#This Row],[ABRIL]]&gt;22.5,Tabla1[[#This Row],[ABRIL]]/22.5-1,0),IF(Tabla1[[#This Row],[ABRIL]]&gt;45,Tabla1[[#This Row],[ABRIL]]/45-1,0))</f>
        <v>0</v>
      </c>
      <c r="AK335" s="100">
        <f>IF(Tabla1[[#This Row],[TIPO DE CONSUMIDOR]]="MEDIO",IF(Tabla1[[#This Row],[MAYO ]]&gt;22.5,Tabla1[[#This Row],[MAYO ]]/22.5-1,0),IF(Tabla1[[#This Row],[MAYO ]]&gt;45,Tabla1[[#This Row],[MAYO ]]/45-1,0))</f>
        <v>0</v>
      </c>
      <c r="AL335" s="100">
        <f>IF(Tabla1[[#This Row],[TIPO DE CONSUMIDOR]]="MEDIO",IF(Tabla1[[#This Row],[JUNIO ]]&gt;22.5,Tabla1[[#This Row],[JUNIO ]]/22.5-1,0),IF(Tabla1[[#This Row],[JUNIO ]]&gt;45,Tabla1[[#This Row],[JUNIO ]]/45-1,0))</f>
        <v>0</v>
      </c>
      <c r="AM335" s="100">
        <f>IF(Tabla1[[#This Row],[TIPO DE CONSUMIDOR]]="MEDIO",IF(Tabla1[[#This Row],[JULIO ]]&gt;22.5,Tabla1[[#This Row],[JULIO ]]/22.5-1,0),IF(Tabla1[[#This Row],[JULIO ]]&gt;45,Tabla1[[#This Row],[JULIO ]]/45-1,0))</f>
        <v>0</v>
      </c>
      <c r="AN335" s="100">
        <f>IF(Tabla1[[#This Row],[TIPO DE CONSUMIDOR]]="MEDIO",IF(Tabla1[[#This Row],[AGOSTO]]&gt;22.5,Tabla1[[#This Row],[AGOSTO]]/22.5-1,0),IF(Tabla1[[#This Row],[AGOSTO]]&gt;45,Tabla1[[#This Row],[AGOSTO]]/45-1,0))</f>
        <v>0</v>
      </c>
      <c r="AO33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5" s="101">
        <f t="shared" si="11"/>
        <v>0</v>
      </c>
      <c r="AT335">
        <f>IF(Tabla1[[#This Row],[MES ADEUDO DE AÑOS PASADOS ]]&gt;0,1,0)</f>
        <v>1</v>
      </c>
      <c r="AU335" s="9">
        <f t="shared" si="12"/>
        <v>1</v>
      </c>
      <c r="AV335" s="60">
        <f>IF(Tabla1[[#This Row],[MESES DE ADEUDO DEL AÑO EN CURSO ]]&gt;0,1,0)</f>
        <v>0</v>
      </c>
      <c r="AW335" s="42"/>
      <c r="AX335" s="42"/>
      <c r="AY335" s="42"/>
      <c r="AZ335" s="43"/>
    </row>
    <row r="336" spans="1:52" ht="21.75" thickBot="1" x14ac:dyDescent="0.35">
      <c r="A336" s="106">
        <v>330</v>
      </c>
      <c r="B336" s="5" t="s">
        <v>278</v>
      </c>
      <c r="C336" s="2" t="s">
        <v>530</v>
      </c>
      <c r="D336" s="32"/>
      <c r="E336" s="35" t="s">
        <v>455</v>
      </c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24">
        <f>SUM(Tabla1[[#This Row],[ENERO ]:[DICIEMBRE]])</f>
        <v>0</v>
      </c>
      <c r="W336">
        <v>15</v>
      </c>
      <c r="X336" s="21">
        <f>COUNTIF(Tabla1[[#This Row],[ENERO ]:[DICIEMBRE]],0)-(AS336)-IF(Tabla1[[#This Row],[BAJAS]]="BAJA",IF(Tabla1[[#This Row],[ALTAS]]="ALTA",VLOOKUP(Tabla1[[#This Row],[MES DE ALTA ]],$AW$6:$AX$17,2,FALSE),12)-VLOOKUP(Tabla1[[#This Row],[MES DE BAJA ]],$AW$6:$AX$17,2,FALSE),0)</f>
        <v>0</v>
      </c>
      <c r="Y336" s="68">
        <f>SUM(Tabla1[[#This Row],[MES ADEUDO DE AÑOS PASADOS ]:[MESES DE ADEUDO DEL AÑO EN CURSO ]])-Tabla1[[#This Row],[PAGO DE DEUDA ANTERIOR EN MESES]]</f>
        <v>15</v>
      </c>
      <c r="Z336" s="15">
        <f>Tabla1[[#This Row],[MES ADEUDO DE AÑOS PASADOS ]]*$T$2</f>
        <v>675</v>
      </c>
      <c r="AA336" s="15">
        <f>Tabla1[[#This Row],[MESES DE ADEUDO DEL AÑO EN CURSO ]]*$T$2</f>
        <v>0</v>
      </c>
      <c r="AB336" s="69">
        <f>SUM(Tabla1[[#This Row],[DEUDA DE LOS MESES PASADOS EN $$]:[DEUDA DEL AÑO 2013 $$ ]])</f>
        <v>675</v>
      </c>
      <c r="AD336">
        <f>Tabla1[[#This Row],[PAGO DE DEUDA ANTERIOR EN MESES]]*$T$2</f>
        <v>0</v>
      </c>
      <c r="AG336" s="100">
        <f>IF(Tabla1[[#This Row],[TIPO DE CONSUMIDOR]]="MEDIO",IF(Tabla1[[#This Row],[ENERO ]]&gt;22.5,Tabla1[[#This Row],[ENERO ]]/22.5-1,0),IF(Tabla1[[#This Row],[ENERO ]]&gt;45,Tabla1[[#This Row],[ENERO ]]/45-1,0))</f>
        <v>0</v>
      </c>
      <c r="AH33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6" s="100">
        <f>IF(Tabla1[[#This Row],[TIPO DE CONSUMIDOR]]="MEDIO",IF(Tabla1[[#This Row],[MARZO]]&gt;22.5,Tabla1[[#This Row],[MARZO]]/22.5-1,0),IF(Tabla1[[#This Row],[MARZO]]&gt;45,Tabla1[[#This Row],[MARZO]]/45-1,0))</f>
        <v>0</v>
      </c>
      <c r="AJ336" s="100">
        <f>IF(Tabla1[[#This Row],[TIPO DE CONSUMIDOR]]="MEDIO",IF(Tabla1[[#This Row],[ABRIL]]&gt;22.5,Tabla1[[#This Row],[ABRIL]]/22.5-1,0),IF(Tabla1[[#This Row],[ABRIL]]&gt;45,Tabla1[[#This Row],[ABRIL]]/45-1,0))</f>
        <v>0</v>
      </c>
      <c r="AK336" s="100">
        <f>IF(Tabla1[[#This Row],[TIPO DE CONSUMIDOR]]="MEDIO",IF(Tabla1[[#This Row],[MAYO ]]&gt;22.5,Tabla1[[#This Row],[MAYO ]]/22.5-1,0),IF(Tabla1[[#This Row],[MAYO ]]&gt;45,Tabla1[[#This Row],[MAYO ]]/45-1,0))</f>
        <v>0</v>
      </c>
      <c r="AL336" s="100">
        <f>IF(Tabla1[[#This Row],[TIPO DE CONSUMIDOR]]="MEDIO",IF(Tabla1[[#This Row],[JUNIO ]]&gt;22.5,Tabla1[[#This Row],[JUNIO ]]/22.5-1,0),IF(Tabla1[[#This Row],[JUNIO ]]&gt;45,Tabla1[[#This Row],[JUNIO ]]/45-1,0))</f>
        <v>0</v>
      </c>
      <c r="AM336" s="100">
        <f>IF(Tabla1[[#This Row],[TIPO DE CONSUMIDOR]]="MEDIO",IF(Tabla1[[#This Row],[JULIO ]]&gt;22.5,Tabla1[[#This Row],[JULIO ]]/22.5-1,0),IF(Tabla1[[#This Row],[JULIO ]]&gt;45,Tabla1[[#This Row],[JULIO ]]/45-1,0))</f>
        <v>0</v>
      </c>
      <c r="AN336" s="100">
        <f>IF(Tabla1[[#This Row],[TIPO DE CONSUMIDOR]]="MEDIO",IF(Tabla1[[#This Row],[AGOSTO]]&gt;22.5,Tabla1[[#This Row],[AGOSTO]]/22.5-1,0),IF(Tabla1[[#This Row],[AGOSTO]]&gt;45,Tabla1[[#This Row],[AGOSTO]]/45-1,0))</f>
        <v>0</v>
      </c>
      <c r="AO33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6" s="101">
        <f t="shared" si="11"/>
        <v>0</v>
      </c>
      <c r="AT336">
        <f>IF(Tabla1[[#This Row],[MES ADEUDO DE AÑOS PASADOS ]]&gt;0,1,0)</f>
        <v>1</v>
      </c>
      <c r="AU336" s="9">
        <f t="shared" si="12"/>
        <v>1</v>
      </c>
      <c r="AV336" s="60">
        <f>IF(Tabla1[[#This Row],[MESES DE ADEUDO DEL AÑO EN CURSO ]]&gt;0,1,0)</f>
        <v>0</v>
      </c>
      <c r="AW336" s="42"/>
      <c r="AX336" s="42"/>
      <c r="AY336" s="42"/>
      <c r="AZ336" s="43"/>
    </row>
    <row r="337" spans="1:52" ht="21.75" thickBot="1" x14ac:dyDescent="0.35">
      <c r="A337" s="106">
        <v>331</v>
      </c>
      <c r="B337" s="5" t="s">
        <v>650</v>
      </c>
      <c r="C337" s="2" t="s">
        <v>530</v>
      </c>
      <c r="D337" s="32"/>
      <c r="E337" s="35" t="s">
        <v>455</v>
      </c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24">
        <f>SUM(Tabla1[[#This Row],[ENERO ]:[DICIEMBRE]])</f>
        <v>0</v>
      </c>
      <c r="W337">
        <v>16</v>
      </c>
      <c r="X337" s="21">
        <f>COUNTIF(Tabla1[[#This Row],[ENERO ]:[DICIEMBRE]],0)-(AS337)-IF(Tabla1[[#This Row],[BAJAS]]="BAJA",IF(Tabla1[[#This Row],[ALTAS]]="ALTA",VLOOKUP(Tabla1[[#This Row],[MES DE ALTA ]],$AW$6:$AX$17,2,FALSE),12)-VLOOKUP(Tabla1[[#This Row],[MES DE BAJA ]],$AW$6:$AX$17,2,FALSE),0)</f>
        <v>0</v>
      </c>
      <c r="Y337" s="68">
        <f>SUM(Tabla1[[#This Row],[MES ADEUDO DE AÑOS PASADOS ]:[MESES DE ADEUDO DEL AÑO EN CURSO ]])-Tabla1[[#This Row],[PAGO DE DEUDA ANTERIOR EN MESES]]</f>
        <v>16</v>
      </c>
      <c r="Z337" s="15">
        <f>Tabla1[[#This Row],[MES ADEUDO DE AÑOS PASADOS ]]*$T$2</f>
        <v>720</v>
      </c>
      <c r="AA337" s="15">
        <f>Tabla1[[#This Row],[MESES DE ADEUDO DEL AÑO EN CURSO ]]*$T$2</f>
        <v>0</v>
      </c>
      <c r="AB337" s="69">
        <f>SUM(Tabla1[[#This Row],[DEUDA DE LOS MESES PASADOS EN $$]:[DEUDA DEL AÑO 2013 $$ ]])</f>
        <v>720</v>
      </c>
      <c r="AD337">
        <f>Tabla1[[#This Row],[PAGO DE DEUDA ANTERIOR EN MESES]]*$T$2</f>
        <v>0</v>
      </c>
      <c r="AG337" s="100">
        <f>IF(Tabla1[[#This Row],[TIPO DE CONSUMIDOR]]="MEDIO",IF(Tabla1[[#This Row],[ENERO ]]&gt;22.5,Tabla1[[#This Row],[ENERO ]]/22.5-1,0),IF(Tabla1[[#This Row],[ENERO ]]&gt;45,Tabla1[[#This Row],[ENERO ]]/45-1,0))</f>
        <v>0</v>
      </c>
      <c r="AH33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7" s="100">
        <f>IF(Tabla1[[#This Row],[TIPO DE CONSUMIDOR]]="MEDIO",IF(Tabla1[[#This Row],[MARZO]]&gt;22.5,Tabla1[[#This Row],[MARZO]]/22.5-1,0),IF(Tabla1[[#This Row],[MARZO]]&gt;45,Tabla1[[#This Row],[MARZO]]/45-1,0))</f>
        <v>0</v>
      </c>
      <c r="AJ337" s="100">
        <f>IF(Tabla1[[#This Row],[TIPO DE CONSUMIDOR]]="MEDIO",IF(Tabla1[[#This Row],[ABRIL]]&gt;22.5,Tabla1[[#This Row],[ABRIL]]/22.5-1,0),IF(Tabla1[[#This Row],[ABRIL]]&gt;45,Tabla1[[#This Row],[ABRIL]]/45-1,0))</f>
        <v>0</v>
      </c>
      <c r="AK337" s="100">
        <f>IF(Tabla1[[#This Row],[TIPO DE CONSUMIDOR]]="MEDIO",IF(Tabla1[[#This Row],[MAYO ]]&gt;22.5,Tabla1[[#This Row],[MAYO ]]/22.5-1,0),IF(Tabla1[[#This Row],[MAYO ]]&gt;45,Tabla1[[#This Row],[MAYO ]]/45-1,0))</f>
        <v>0</v>
      </c>
      <c r="AL337" s="100">
        <f>IF(Tabla1[[#This Row],[TIPO DE CONSUMIDOR]]="MEDIO",IF(Tabla1[[#This Row],[JUNIO ]]&gt;22.5,Tabla1[[#This Row],[JUNIO ]]/22.5-1,0),IF(Tabla1[[#This Row],[JUNIO ]]&gt;45,Tabla1[[#This Row],[JUNIO ]]/45-1,0))</f>
        <v>0</v>
      </c>
      <c r="AM337" s="100">
        <f>IF(Tabla1[[#This Row],[TIPO DE CONSUMIDOR]]="MEDIO",IF(Tabla1[[#This Row],[JULIO ]]&gt;22.5,Tabla1[[#This Row],[JULIO ]]/22.5-1,0),IF(Tabla1[[#This Row],[JULIO ]]&gt;45,Tabla1[[#This Row],[JULIO ]]/45-1,0))</f>
        <v>0</v>
      </c>
      <c r="AN337" s="100">
        <f>IF(Tabla1[[#This Row],[TIPO DE CONSUMIDOR]]="MEDIO",IF(Tabla1[[#This Row],[AGOSTO]]&gt;22.5,Tabla1[[#This Row],[AGOSTO]]/22.5-1,0),IF(Tabla1[[#This Row],[AGOSTO]]&gt;45,Tabla1[[#This Row],[AGOSTO]]/45-1,0))</f>
        <v>0</v>
      </c>
      <c r="AO33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7" s="101">
        <f t="shared" si="11"/>
        <v>0</v>
      </c>
      <c r="AT337">
        <f>IF(Tabla1[[#This Row],[MES ADEUDO DE AÑOS PASADOS ]]&gt;0,1,0)</f>
        <v>1</v>
      </c>
      <c r="AU337" s="9">
        <f t="shared" si="12"/>
        <v>1</v>
      </c>
      <c r="AV337" s="60">
        <f>IF(Tabla1[[#This Row],[MESES DE ADEUDO DEL AÑO EN CURSO ]]&gt;0,1,0)</f>
        <v>0</v>
      </c>
      <c r="AW337" s="42"/>
      <c r="AX337" s="42"/>
      <c r="AY337" s="42"/>
      <c r="AZ337" s="43"/>
    </row>
    <row r="338" spans="1:52" ht="21.75" thickBot="1" x14ac:dyDescent="0.35">
      <c r="A338" s="106">
        <v>332</v>
      </c>
      <c r="B338" s="5" t="s">
        <v>131</v>
      </c>
      <c r="C338" s="2" t="s">
        <v>530</v>
      </c>
      <c r="D338" s="46"/>
      <c r="E338" s="36" t="s">
        <v>455</v>
      </c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24">
        <f>SUM(Tabla1[[#This Row],[ENERO ]:[DICIEMBRE]])</f>
        <v>0</v>
      </c>
      <c r="W338">
        <v>16</v>
      </c>
      <c r="X338" s="21">
        <f>COUNTIF(Tabla1[[#This Row],[ENERO ]:[DICIEMBRE]],0)-(AS338)-IF(Tabla1[[#This Row],[BAJAS]]="BAJA",IF(Tabla1[[#This Row],[ALTAS]]="ALTA",VLOOKUP(Tabla1[[#This Row],[MES DE ALTA ]],$AW$6:$AX$17,2,FALSE),12)-VLOOKUP(Tabla1[[#This Row],[MES DE BAJA ]],$AW$6:$AX$17,2,FALSE),0)</f>
        <v>0</v>
      </c>
      <c r="Y338" s="68">
        <f>SUM(Tabla1[[#This Row],[MES ADEUDO DE AÑOS PASADOS ]:[MESES DE ADEUDO DEL AÑO EN CURSO ]])-Tabla1[[#This Row],[PAGO DE DEUDA ANTERIOR EN MESES]]</f>
        <v>16</v>
      </c>
      <c r="Z338" s="15">
        <f>Tabla1[[#This Row],[MES ADEUDO DE AÑOS PASADOS ]]*$T$2</f>
        <v>720</v>
      </c>
      <c r="AA338" s="15">
        <f>Tabla1[[#This Row],[MESES DE ADEUDO DEL AÑO EN CURSO ]]*$T$2</f>
        <v>0</v>
      </c>
      <c r="AB338" s="69">
        <f>SUM(Tabla1[[#This Row],[DEUDA DE LOS MESES PASADOS EN $$]:[DEUDA DEL AÑO 2013 $$ ]])</f>
        <v>720</v>
      </c>
      <c r="AD338">
        <f>Tabla1[[#This Row],[PAGO DE DEUDA ANTERIOR EN MESES]]*$T$2</f>
        <v>0</v>
      </c>
      <c r="AG338" s="100">
        <f>IF(Tabla1[[#This Row],[TIPO DE CONSUMIDOR]]="MEDIO",IF(Tabla1[[#This Row],[ENERO ]]&gt;22.5,Tabla1[[#This Row],[ENERO ]]/22.5-1,0),IF(Tabla1[[#This Row],[ENERO ]]&gt;45,Tabla1[[#This Row],[ENERO ]]/45-1,0))</f>
        <v>0</v>
      </c>
      <c r="AH33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8" s="100">
        <f>IF(Tabla1[[#This Row],[TIPO DE CONSUMIDOR]]="MEDIO",IF(Tabla1[[#This Row],[MARZO]]&gt;22.5,Tabla1[[#This Row],[MARZO]]/22.5-1,0),IF(Tabla1[[#This Row],[MARZO]]&gt;45,Tabla1[[#This Row],[MARZO]]/45-1,0))</f>
        <v>0</v>
      </c>
      <c r="AJ338" s="100">
        <f>IF(Tabla1[[#This Row],[TIPO DE CONSUMIDOR]]="MEDIO",IF(Tabla1[[#This Row],[ABRIL]]&gt;22.5,Tabla1[[#This Row],[ABRIL]]/22.5-1,0),IF(Tabla1[[#This Row],[ABRIL]]&gt;45,Tabla1[[#This Row],[ABRIL]]/45-1,0))</f>
        <v>0</v>
      </c>
      <c r="AK338" s="100">
        <f>IF(Tabla1[[#This Row],[TIPO DE CONSUMIDOR]]="MEDIO",IF(Tabla1[[#This Row],[MAYO ]]&gt;22.5,Tabla1[[#This Row],[MAYO ]]/22.5-1,0),IF(Tabla1[[#This Row],[MAYO ]]&gt;45,Tabla1[[#This Row],[MAYO ]]/45-1,0))</f>
        <v>0</v>
      </c>
      <c r="AL338" s="100">
        <f>IF(Tabla1[[#This Row],[TIPO DE CONSUMIDOR]]="MEDIO",IF(Tabla1[[#This Row],[JUNIO ]]&gt;22.5,Tabla1[[#This Row],[JUNIO ]]/22.5-1,0),IF(Tabla1[[#This Row],[JUNIO ]]&gt;45,Tabla1[[#This Row],[JUNIO ]]/45-1,0))</f>
        <v>0</v>
      </c>
      <c r="AM338" s="100">
        <f>IF(Tabla1[[#This Row],[TIPO DE CONSUMIDOR]]="MEDIO",IF(Tabla1[[#This Row],[JULIO ]]&gt;22.5,Tabla1[[#This Row],[JULIO ]]/22.5-1,0),IF(Tabla1[[#This Row],[JULIO ]]&gt;45,Tabla1[[#This Row],[JULIO ]]/45-1,0))</f>
        <v>0</v>
      </c>
      <c r="AN338" s="100">
        <f>IF(Tabla1[[#This Row],[TIPO DE CONSUMIDOR]]="MEDIO",IF(Tabla1[[#This Row],[AGOSTO]]&gt;22.5,Tabla1[[#This Row],[AGOSTO]]/22.5-1,0),IF(Tabla1[[#This Row],[AGOSTO]]&gt;45,Tabla1[[#This Row],[AGOSTO]]/45-1,0))</f>
        <v>0</v>
      </c>
      <c r="AO33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8" s="101">
        <f t="shared" si="11"/>
        <v>0</v>
      </c>
      <c r="AT338">
        <f>IF(Tabla1[[#This Row],[MES ADEUDO DE AÑOS PASADOS ]]&gt;0,1,0)</f>
        <v>1</v>
      </c>
      <c r="AU338" s="9">
        <f t="shared" si="12"/>
        <v>1</v>
      </c>
      <c r="AV338" s="60">
        <f>IF(Tabla1[[#This Row],[MESES DE ADEUDO DEL AÑO EN CURSO ]]&gt;0,1,0)</f>
        <v>0</v>
      </c>
      <c r="AW338" s="42"/>
      <c r="AX338" s="42"/>
      <c r="AY338" s="42"/>
      <c r="AZ338" s="43"/>
    </row>
    <row r="339" spans="1:52" ht="21.75" thickBot="1" x14ac:dyDescent="0.35">
      <c r="A339" s="106">
        <v>333</v>
      </c>
      <c r="B339" s="5" t="s">
        <v>89</v>
      </c>
      <c r="C339" s="2" t="s">
        <v>530</v>
      </c>
      <c r="D339" s="32"/>
      <c r="E339" s="35" t="s">
        <v>455</v>
      </c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24">
        <f>SUM(Tabla1[[#This Row],[ENERO ]:[DICIEMBRE]])</f>
        <v>0</v>
      </c>
      <c r="W339">
        <v>17</v>
      </c>
      <c r="X339" s="21">
        <f>COUNTIF(Tabla1[[#This Row],[ENERO ]:[DICIEMBRE]],0)-(AS339)-IF(Tabla1[[#This Row],[BAJAS]]="BAJA",IF(Tabla1[[#This Row],[ALTAS]]="ALTA",VLOOKUP(Tabla1[[#This Row],[MES DE ALTA ]],$AW$6:$AX$17,2,FALSE),12)-VLOOKUP(Tabla1[[#This Row],[MES DE BAJA ]],$AW$6:$AX$17,2,FALSE),0)</f>
        <v>0</v>
      </c>
      <c r="Y339" s="68">
        <f>SUM(Tabla1[[#This Row],[MES ADEUDO DE AÑOS PASADOS ]:[MESES DE ADEUDO DEL AÑO EN CURSO ]])-Tabla1[[#This Row],[PAGO DE DEUDA ANTERIOR EN MESES]]</f>
        <v>17</v>
      </c>
      <c r="Z339" s="15">
        <f>Tabla1[[#This Row],[MES ADEUDO DE AÑOS PASADOS ]]*$T$2</f>
        <v>765</v>
      </c>
      <c r="AA339" s="15">
        <f>Tabla1[[#This Row],[MESES DE ADEUDO DEL AÑO EN CURSO ]]*$T$2</f>
        <v>0</v>
      </c>
      <c r="AB339" s="69">
        <f>SUM(Tabla1[[#This Row],[DEUDA DE LOS MESES PASADOS EN $$]:[DEUDA DEL AÑO 2013 $$ ]])</f>
        <v>765</v>
      </c>
      <c r="AD339">
        <f>Tabla1[[#This Row],[PAGO DE DEUDA ANTERIOR EN MESES]]*$T$2</f>
        <v>0</v>
      </c>
      <c r="AG339" s="100">
        <f>IF(Tabla1[[#This Row],[TIPO DE CONSUMIDOR]]="MEDIO",IF(Tabla1[[#This Row],[ENERO ]]&gt;22.5,Tabla1[[#This Row],[ENERO ]]/22.5-1,0),IF(Tabla1[[#This Row],[ENERO ]]&gt;45,Tabla1[[#This Row],[ENERO ]]/45-1,0))</f>
        <v>0</v>
      </c>
      <c r="AH33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39" s="100">
        <f>IF(Tabla1[[#This Row],[TIPO DE CONSUMIDOR]]="MEDIO",IF(Tabla1[[#This Row],[MARZO]]&gt;22.5,Tabla1[[#This Row],[MARZO]]/22.5-1,0),IF(Tabla1[[#This Row],[MARZO]]&gt;45,Tabla1[[#This Row],[MARZO]]/45-1,0))</f>
        <v>0</v>
      </c>
      <c r="AJ339" s="100">
        <f>IF(Tabla1[[#This Row],[TIPO DE CONSUMIDOR]]="MEDIO",IF(Tabla1[[#This Row],[ABRIL]]&gt;22.5,Tabla1[[#This Row],[ABRIL]]/22.5-1,0),IF(Tabla1[[#This Row],[ABRIL]]&gt;45,Tabla1[[#This Row],[ABRIL]]/45-1,0))</f>
        <v>0</v>
      </c>
      <c r="AK339" s="100">
        <f>IF(Tabla1[[#This Row],[TIPO DE CONSUMIDOR]]="MEDIO",IF(Tabla1[[#This Row],[MAYO ]]&gt;22.5,Tabla1[[#This Row],[MAYO ]]/22.5-1,0),IF(Tabla1[[#This Row],[MAYO ]]&gt;45,Tabla1[[#This Row],[MAYO ]]/45-1,0))</f>
        <v>0</v>
      </c>
      <c r="AL339" s="100">
        <f>IF(Tabla1[[#This Row],[TIPO DE CONSUMIDOR]]="MEDIO",IF(Tabla1[[#This Row],[JUNIO ]]&gt;22.5,Tabla1[[#This Row],[JUNIO ]]/22.5-1,0),IF(Tabla1[[#This Row],[JUNIO ]]&gt;45,Tabla1[[#This Row],[JUNIO ]]/45-1,0))</f>
        <v>0</v>
      </c>
      <c r="AM339" s="100">
        <f>IF(Tabla1[[#This Row],[TIPO DE CONSUMIDOR]]="MEDIO",IF(Tabla1[[#This Row],[JULIO ]]&gt;22.5,Tabla1[[#This Row],[JULIO ]]/22.5-1,0),IF(Tabla1[[#This Row],[JULIO ]]&gt;45,Tabla1[[#This Row],[JULIO ]]/45-1,0))</f>
        <v>0</v>
      </c>
      <c r="AN339" s="100">
        <f>IF(Tabla1[[#This Row],[TIPO DE CONSUMIDOR]]="MEDIO",IF(Tabla1[[#This Row],[AGOSTO]]&gt;22.5,Tabla1[[#This Row],[AGOSTO]]/22.5-1,0),IF(Tabla1[[#This Row],[AGOSTO]]&gt;45,Tabla1[[#This Row],[AGOSTO]]/45-1,0))</f>
        <v>0</v>
      </c>
      <c r="AO33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3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3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3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39" s="101">
        <f t="shared" si="11"/>
        <v>0</v>
      </c>
      <c r="AT339">
        <f>IF(Tabla1[[#This Row],[MES ADEUDO DE AÑOS PASADOS ]]&gt;0,1,0)</f>
        <v>1</v>
      </c>
      <c r="AU339" s="9">
        <f t="shared" si="12"/>
        <v>1</v>
      </c>
      <c r="AV339" s="60">
        <f>IF(Tabla1[[#This Row],[MESES DE ADEUDO DEL AÑO EN CURSO ]]&gt;0,1,0)</f>
        <v>0</v>
      </c>
      <c r="AW339" s="42"/>
      <c r="AX339" s="42"/>
      <c r="AY339" s="42"/>
      <c r="AZ339" s="43"/>
    </row>
    <row r="340" spans="1:52" ht="21.75" thickBot="1" x14ac:dyDescent="0.35">
      <c r="A340" s="106">
        <v>334</v>
      </c>
      <c r="B340" s="5" t="s">
        <v>330</v>
      </c>
      <c r="C340" s="2" t="s">
        <v>530</v>
      </c>
      <c r="D340" s="32"/>
      <c r="E340" s="35" t="s">
        <v>455</v>
      </c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24">
        <f>SUM(Tabla1[[#This Row],[ENERO ]:[DICIEMBRE]])</f>
        <v>0</v>
      </c>
      <c r="W340">
        <v>19</v>
      </c>
      <c r="X340" s="21">
        <f>COUNTIF(Tabla1[[#This Row],[ENERO ]:[DICIEMBRE]],0)-(AS340)-IF(Tabla1[[#This Row],[BAJAS]]="BAJA",IF(Tabla1[[#This Row],[ALTAS]]="ALTA",VLOOKUP(Tabla1[[#This Row],[MES DE ALTA ]],$AW$6:$AX$17,2,FALSE),12)-VLOOKUP(Tabla1[[#This Row],[MES DE BAJA ]],$AW$6:$AX$17,2,FALSE),0)</f>
        <v>0</v>
      </c>
      <c r="Y340" s="68">
        <f>SUM(Tabla1[[#This Row],[MES ADEUDO DE AÑOS PASADOS ]:[MESES DE ADEUDO DEL AÑO EN CURSO ]])-Tabla1[[#This Row],[PAGO DE DEUDA ANTERIOR EN MESES]]</f>
        <v>19</v>
      </c>
      <c r="Z340" s="15">
        <f>Tabla1[[#This Row],[MES ADEUDO DE AÑOS PASADOS ]]*$T$2</f>
        <v>855</v>
      </c>
      <c r="AA340" s="15">
        <f>Tabla1[[#This Row],[MESES DE ADEUDO DEL AÑO EN CURSO ]]*$T$2</f>
        <v>0</v>
      </c>
      <c r="AB340" s="69">
        <f>SUM(Tabla1[[#This Row],[DEUDA DE LOS MESES PASADOS EN $$]:[DEUDA DEL AÑO 2013 $$ ]])</f>
        <v>855</v>
      </c>
      <c r="AD340">
        <f>Tabla1[[#This Row],[PAGO DE DEUDA ANTERIOR EN MESES]]*$T$2</f>
        <v>0</v>
      </c>
      <c r="AG340" s="100">
        <f>IF(Tabla1[[#This Row],[TIPO DE CONSUMIDOR]]="MEDIO",IF(Tabla1[[#This Row],[ENERO ]]&gt;22.5,Tabla1[[#This Row],[ENERO ]]/22.5-1,0),IF(Tabla1[[#This Row],[ENERO ]]&gt;45,Tabla1[[#This Row],[ENERO ]]/45-1,0))</f>
        <v>0</v>
      </c>
      <c r="AH34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0" s="100">
        <f>IF(Tabla1[[#This Row],[TIPO DE CONSUMIDOR]]="MEDIO",IF(Tabla1[[#This Row],[MARZO]]&gt;22.5,Tabla1[[#This Row],[MARZO]]/22.5-1,0),IF(Tabla1[[#This Row],[MARZO]]&gt;45,Tabla1[[#This Row],[MARZO]]/45-1,0))</f>
        <v>0</v>
      </c>
      <c r="AJ340" s="100">
        <f>IF(Tabla1[[#This Row],[TIPO DE CONSUMIDOR]]="MEDIO",IF(Tabla1[[#This Row],[ABRIL]]&gt;22.5,Tabla1[[#This Row],[ABRIL]]/22.5-1,0),IF(Tabla1[[#This Row],[ABRIL]]&gt;45,Tabla1[[#This Row],[ABRIL]]/45-1,0))</f>
        <v>0</v>
      </c>
      <c r="AK340" s="100">
        <f>IF(Tabla1[[#This Row],[TIPO DE CONSUMIDOR]]="MEDIO",IF(Tabla1[[#This Row],[MAYO ]]&gt;22.5,Tabla1[[#This Row],[MAYO ]]/22.5-1,0),IF(Tabla1[[#This Row],[MAYO ]]&gt;45,Tabla1[[#This Row],[MAYO ]]/45-1,0))</f>
        <v>0</v>
      </c>
      <c r="AL340" s="100">
        <f>IF(Tabla1[[#This Row],[TIPO DE CONSUMIDOR]]="MEDIO",IF(Tabla1[[#This Row],[JUNIO ]]&gt;22.5,Tabla1[[#This Row],[JUNIO ]]/22.5-1,0),IF(Tabla1[[#This Row],[JUNIO ]]&gt;45,Tabla1[[#This Row],[JUNIO ]]/45-1,0))</f>
        <v>0</v>
      </c>
      <c r="AM340" s="100">
        <f>IF(Tabla1[[#This Row],[TIPO DE CONSUMIDOR]]="MEDIO",IF(Tabla1[[#This Row],[JULIO ]]&gt;22.5,Tabla1[[#This Row],[JULIO ]]/22.5-1,0),IF(Tabla1[[#This Row],[JULIO ]]&gt;45,Tabla1[[#This Row],[JULIO ]]/45-1,0))</f>
        <v>0</v>
      </c>
      <c r="AN340" s="100">
        <f>IF(Tabla1[[#This Row],[TIPO DE CONSUMIDOR]]="MEDIO",IF(Tabla1[[#This Row],[AGOSTO]]&gt;22.5,Tabla1[[#This Row],[AGOSTO]]/22.5-1,0),IF(Tabla1[[#This Row],[AGOSTO]]&gt;45,Tabla1[[#This Row],[AGOSTO]]/45-1,0))</f>
        <v>0</v>
      </c>
      <c r="AO34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0" s="101">
        <f t="shared" si="11"/>
        <v>0</v>
      </c>
      <c r="AT340">
        <f>IF(Tabla1[[#This Row],[MES ADEUDO DE AÑOS PASADOS ]]&gt;0,1,0)</f>
        <v>1</v>
      </c>
      <c r="AU340" s="9">
        <f t="shared" si="12"/>
        <v>1</v>
      </c>
      <c r="AV340" s="60">
        <f>IF(Tabla1[[#This Row],[MESES DE ADEUDO DEL AÑO EN CURSO ]]&gt;0,1,0)</f>
        <v>0</v>
      </c>
      <c r="AW340" s="42"/>
      <c r="AX340" s="42"/>
      <c r="AY340" s="42"/>
      <c r="AZ340" s="43"/>
    </row>
    <row r="341" spans="1:52" ht="21.75" thickBot="1" x14ac:dyDescent="0.35">
      <c r="A341" s="106">
        <v>335</v>
      </c>
      <c r="B341" s="5" t="s">
        <v>73</v>
      </c>
      <c r="C341" s="2" t="s">
        <v>530</v>
      </c>
      <c r="D341" s="32"/>
      <c r="E341" s="35" t="s">
        <v>455</v>
      </c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24">
        <f>SUM(Tabla1[[#This Row],[ENERO ]:[DICIEMBRE]])</f>
        <v>0</v>
      </c>
      <c r="W341">
        <v>20</v>
      </c>
      <c r="X341" s="21">
        <f>COUNTIF(Tabla1[[#This Row],[ENERO ]:[DICIEMBRE]],0)-(AS341)-IF(Tabla1[[#This Row],[BAJAS]]="BAJA",IF(Tabla1[[#This Row],[ALTAS]]="ALTA",VLOOKUP(Tabla1[[#This Row],[MES DE ALTA ]],$AW$6:$AX$17,2,FALSE),12)-VLOOKUP(Tabla1[[#This Row],[MES DE BAJA ]],$AW$6:$AX$17,2,FALSE),0)</f>
        <v>0</v>
      </c>
      <c r="Y341" s="68">
        <f>SUM(Tabla1[[#This Row],[MES ADEUDO DE AÑOS PASADOS ]:[MESES DE ADEUDO DEL AÑO EN CURSO ]])-Tabla1[[#This Row],[PAGO DE DEUDA ANTERIOR EN MESES]]</f>
        <v>20</v>
      </c>
      <c r="Z341" s="15">
        <f>Tabla1[[#This Row],[MES ADEUDO DE AÑOS PASADOS ]]*$T$2</f>
        <v>900</v>
      </c>
      <c r="AA341" s="15">
        <f>Tabla1[[#This Row],[MESES DE ADEUDO DEL AÑO EN CURSO ]]*$T$2</f>
        <v>0</v>
      </c>
      <c r="AB341" s="69">
        <f>SUM(Tabla1[[#This Row],[DEUDA DE LOS MESES PASADOS EN $$]:[DEUDA DEL AÑO 2013 $$ ]])</f>
        <v>900</v>
      </c>
      <c r="AD341">
        <f>Tabla1[[#This Row],[PAGO DE DEUDA ANTERIOR EN MESES]]*$T$2</f>
        <v>0</v>
      </c>
      <c r="AG341" s="100">
        <f>IF(Tabla1[[#This Row],[TIPO DE CONSUMIDOR]]="MEDIO",IF(Tabla1[[#This Row],[ENERO ]]&gt;22.5,Tabla1[[#This Row],[ENERO ]]/22.5-1,0),IF(Tabla1[[#This Row],[ENERO ]]&gt;45,Tabla1[[#This Row],[ENERO ]]/45-1,0))</f>
        <v>0</v>
      </c>
      <c r="AH34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1" s="100">
        <f>IF(Tabla1[[#This Row],[TIPO DE CONSUMIDOR]]="MEDIO",IF(Tabla1[[#This Row],[MARZO]]&gt;22.5,Tabla1[[#This Row],[MARZO]]/22.5-1,0),IF(Tabla1[[#This Row],[MARZO]]&gt;45,Tabla1[[#This Row],[MARZO]]/45-1,0))</f>
        <v>0</v>
      </c>
      <c r="AJ341" s="100">
        <f>IF(Tabla1[[#This Row],[TIPO DE CONSUMIDOR]]="MEDIO",IF(Tabla1[[#This Row],[ABRIL]]&gt;22.5,Tabla1[[#This Row],[ABRIL]]/22.5-1,0),IF(Tabla1[[#This Row],[ABRIL]]&gt;45,Tabla1[[#This Row],[ABRIL]]/45-1,0))</f>
        <v>0</v>
      </c>
      <c r="AK341" s="100">
        <f>IF(Tabla1[[#This Row],[TIPO DE CONSUMIDOR]]="MEDIO",IF(Tabla1[[#This Row],[MAYO ]]&gt;22.5,Tabla1[[#This Row],[MAYO ]]/22.5-1,0),IF(Tabla1[[#This Row],[MAYO ]]&gt;45,Tabla1[[#This Row],[MAYO ]]/45-1,0))</f>
        <v>0</v>
      </c>
      <c r="AL341" s="100">
        <f>IF(Tabla1[[#This Row],[TIPO DE CONSUMIDOR]]="MEDIO",IF(Tabla1[[#This Row],[JUNIO ]]&gt;22.5,Tabla1[[#This Row],[JUNIO ]]/22.5-1,0),IF(Tabla1[[#This Row],[JUNIO ]]&gt;45,Tabla1[[#This Row],[JUNIO ]]/45-1,0))</f>
        <v>0</v>
      </c>
      <c r="AM341" s="100">
        <f>IF(Tabla1[[#This Row],[TIPO DE CONSUMIDOR]]="MEDIO",IF(Tabla1[[#This Row],[JULIO ]]&gt;22.5,Tabla1[[#This Row],[JULIO ]]/22.5-1,0),IF(Tabla1[[#This Row],[JULIO ]]&gt;45,Tabla1[[#This Row],[JULIO ]]/45-1,0))</f>
        <v>0</v>
      </c>
      <c r="AN341" s="100">
        <f>IF(Tabla1[[#This Row],[TIPO DE CONSUMIDOR]]="MEDIO",IF(Tabla1[[#This Row],[AGOSTO]]&gt;22.5,Tabla1[[#This Row],[AGOSTO]]/22.5-1,0),IF(Tabla1[[#This Row],[AGOSTO]]&gt;45,Tabla1[[#This Row],[AGOSTO]]/45-1,0))</f>
        <v>0</v>
      </c>
      <c r="AO34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1" s="101">
        <f t="shared" si="11"/>
        <v>0</v>
      </c>
      <c r="AT341">
        <f>IF(Tabla1[[#This Row],[MES ADEUDO DE AÑOS PASADOS ]]&gt;0,1,0)</f>
        <v>1</v>
      </c>
      <c r="AU341" s="9">
        <f t="shared" si="12"/>
        <v>1</v>
      </c>
      <c r="AV341" s="60">
        <f>IF(Tabla1[[#This Row],[MESES DE ADEUDO DEL AÑO EN CURSO ]]&gt;0,1,0)</f>
        <v>0</v>
      </c>
      <c r="AW341" s="42"/>
      <c r="AX341" s="42"/>
      <c r="AY341" s="42"/>
      <c r="AZ341" s="43"/>
    </row>
    <row r="342" spans="1:52" ht="21.75" thickBot="1" x14ac:dyDescent="0.35">
      <c r="A342" s="106">
        <v>336</v>
      </c>
      <c r="B342" s="5" t="s">
        <v>95</v>
      </c>
      <c r="C342" s="2" t="s">
        <v>530</v>
      </c>
      <c r="D342" s="32"/>
      <c r="E342" s="35" t="s">
        <v>455</v>
      </c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24">
        <f>SUM(Tabla1[[#This Row],[ENERO ]:[DICIEMBRE]])</f>
        <v>0</v>
      </c>
      <c r="W342">
        <v>20</v>
      </c>
      <c r="X342" s="21">
        <f>COUNTIF(Tabla1[[#This Row],[ENERO ]:[DICIEMBRE]],0)-(AS342)-IF(Tabla1[[#This Row],[BAJAS]]="BAJA",IF(Tabla1[[#This Row],[ALTAS]]="ALTA",VLOOKUP(Tabla1[[#This Row],[MES DE ALTA ]],$AW$6:$AX$17,2,FALSE),12)-VLOOKUP(Tabla1[[#This Row],[MES DE BAJA ]],$AW$6:$AX$17,2,FALSE),0)</f>
        <v>0</v>
      </c>
      <c r="Y342" s="68">
        <f>SUM(Tabla1[[#This Row],[MES ADEUDO DE AÑOS PASADOS ]:[MESES DE ADEUDO DEL AÑO EN CURSO ]])-Tabla1[[#This Row],[PAGO DE DEUDA ANTERIOR EN MESES]]</f>
        <v>20</v>
      </c>
      <c r="Z342" s="15">
        <f>Tabla1[[#This Row],[MES ADEUDO DE AÑOS PASADOS ]]*$T$2</f>
        <v>900</v>
      </c>
      <c r="AA342" s="15">
        <f>Tabla1[[#This Row],[MESES DE ADEUDO DEL AÑO EN CURSO ]]*$T$2</f>
        <v>0</v>
      </c>
      <c r="AB342" s="69">
        <f>SUM(Tabla1[[#This Row],[DEUDA DE LOS MESES PASADOS EN $$]:[DEUDA DEL AÑO 2013 $$ ]])</f>
        <v>900</v>
      </c>
      <c r="AD342">
        <f>Tabla1[[#This Row],[PAGO DE DEUDA ANTERIOR EN MESES]]*$T$2</f>
        <v>0</v>
      </c>
      <c r="AG342" s="100">
        <f>IF(Tabla1[[#This Row],[TIPO DE CONSUMIDOR]]="MEDIO",IF(Tabla1[[#This Row],[ENERO ]]&gt;22.5,Tabla1[[#This Row],[ENERO ]]/22.5-1,0),IF(Tabla1[[#This Row],[ENERO ]]&gt;45,Tabla1[[#This Row],[ENERO ]]/45-1,0))</f>
        <v>0</v>
      </c>
      <c r="AH34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2" s="100">
        <f>IF(Tabla1[[#This Row],[TIPO DE CONSUMIDOR]]="MEDIO",IF(Tabla1[[#This Row],[MARZO]]&gt;22.5,Tabla1[[#This Row],[MARZO]]/22.5-1,0),IF(Tabla1[[#This Row],[MARZO]]&gt;45,Tabla1[[#This Row],[MARZO]]/45-1,0))</f>
        <v>0</v>
      </c>
      <c r="AJ342" s="100">
        <f>IF(Tabla1[[#This Row],[TIPO DE CONSUMIDOR]]="MEDIO",IF(Tabla1[[#This Row],[ABRIL]]&gt;22.5,Tabla1[[#This Row],[ABRIL]]/22.5-1,0),IF(Tabla1[[#This Row],[ABRIL]]&gt;45,Tabla1[[#This Row],[ABRIL]]/45-1,0))</f>
        <v>0</v>
      </c>
      <c r="AK342" s="100">
        <f>IF(Tabla1[[#This Row],[TIPO DE CONSUMIDOR]]="MEDIO",IF(Tabla1[[#This Row],[MAYO ]]&gt;22.5,Tabla1[[#This Row],[MAYO ]]/22.5-1,0),IF(Tabla1[[#This Row],[MAYO ]]&gt;45,Tabla1[[#This Row],[MAYO ]]/45-1,0))</f>
        <v>0</v>
      </c>
      <c r="AL342" s="100">
        <f>IF(Tabla1[[#This Row],[TIPO DE CONSUMIDOR]]="MEDIO",IF(Tabla1[[#This Row],[JUNIO ]]&gt;22.5,Tabla1[[#This Row],[JUNIO ]]/22.5-1,0),IF(Tabla1[[#This Row],[JUNIO ]]&gt;45,Tabla1[[#This Row],[JUNIO ]]/45-1,0))</f>
        <v>0</v>
      </c>
      <c r="AM342" s="100">
        <f>IF(Tabla1[[#This Row],[TIPO DE CONSUMIDOR]]="MEDIO",IF(Tabla1[[#This Row],[JULIO ]]&gt;22.5,Tabla1[[#This Row],[JULIO ]]/22.5-1,0),IF(Tabla1[[#This Row],[JULIO ]]&gt;45,Tabla1[[#This Row],[JULIO ]]/45-1,0))</f>
        <v>0</v>
      </c>
      <c r="AN342" s="100">
        <f>IF(Tabla1[[#This Row],[TIPO DE CONSUMIDOR]]="MEDIO",IF(Tabla1[[#This Row],[AGOSTO]]&gt;22.5,Tabla1[[#This Row],[AGOSTO]]/22.5-1,0),IF(Tabla1[[#This Row],[AGOSTO]]&gt;45,Tabla1[[#This Row],[AGOSTO]]/45-1,0))</f>
        <v>0</v>
      </c>
      <c r="AO34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2" s="101">
        <f t="shared" si="11"/>
        <v>0</v>
      </c>
      <c r="AT342">
        <f>IF(Tabla1[[#This Row],[MES ADEUDO DE AÑOS PASADOS ]]&gt;0,1,0)</f>
        <v>1</v>
      </c>
      <c r="AU342" s="9">
        <f t="shared" si="12"/>
        <v>1</v>
      </c>
      <c r="AV342" s="60">
        <f>IF(Tabla1[[#This Row],[MESES DE ADEUDO DEL AÑO EN CURSO ]]&gt;0,1,0)</f>
        <v>0</v>
      </c>
      <c r="AW342" s="42"/>
      <c r="AX342" s="42"/>
      <c r="AY342" s="42"/>
      <c r="AZ342" s="43"/>
    </row>
    <row r="343" spans="1:52" ht="21.75" thickBot="1" x14ac:dyDescent="0.35">
      <c r="A343" s="106">
        <v>337</v>
      </c>
      <c r="B343" s="5" t="s">
        <v>268</v>
      </c>
      <c r="C343" s="2" t="s">
        <v>530</v>
      </c>
      <c r="D343" s="32"/>
      <c r="E343" s="35" t="s">
        <v>455</v>
      </c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24">
        <f>SUM(Tabla1[[#This Row],[ENERO ]:[DICIEMBRE]])</f>
        <v>0</v>
      </c>
      <c r="W343">
        <v>20</v>
      </c>
      <c r="X343" s="21">
        <f>COUNTIF(Tabla1[[#This Row],[ENERO ]:[DICIEMBRE]],0)-(AS343)-IF(Tabla1[[#This Row],[BAJAS]]="BAJA",IF(Tabla1[[#This Row],[ALTAS]]="ALTA",VLOOKUP(Tabla1[[#This Row],[MES DE ALTA ]],$AW$6:$AX$17,2,FALSE),12)-VLOOKUP(Tabla1[[#This Row],[MES DE BAJA ]],$AW$6:$AX$17,2,FALSE),0)</f>
        <v>0</v>
      </c>
      <c r="Y343" s="68">
        <f>SUM(Tabla1[[#This Row],[MES ADEUDO DE AÑOS PASADOS ]:[MESES DE ADEUDO DEL AÑO EN CURSO ]])-Tabla1[[#This Row],[PAGO DE DEUDA ANTERIOR EN MESES]]</f>
        <v>20</v>
      </c>
      <c r="Z343" s="15">
        <f>Tabla1[[#This Row],[MES ADEUDO DE AÑOS PASADOS ]]*$T$2</f>
        <v>900</v>
      </c>
      <c r="AA343" s="15">
        <f>Tabla1[[#This Row],[MESES DE ADEUDO DEL AÑO EN CURSO ]]*$T$2</f>
        <v>0</v>
      </c>
      <c r="AB343" s="69">
        <f>SUM(Tabla1[[#This Row],[DEUDA DE LOS MESES PASADOS EN $$]:[DEUDA DEL AÑO 2013 $$ ]])</f>
        <v>900</v>
      </c>
      <c r="AD343">
        <f>Tabla1[[#This Row],[PAGO DE DEUDA ANTERIOR EN MESES]]*$T$2</f>
        <v>0</v>
      </c>
      <c r="AG343" s="100">
        <f>IF(Tabla1[[#This Row],[TIPO DE CONSUMIDOR]]="MEDIO",IF(Tabla1[[#This Row],[ENERO ]]&gt;22.5,Tabla1[[#This Row],[ENERO ]]/22.5-1,0),IF(Tabla1[[#This Row],[ENERO ]]&gt;45,Tabla1[[#This Row],[ENERO ]]/45-1,0))</f>
        <v>0</v>
      </c>
      <c r="AH34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3" s="100">
        <f>IF(Tabla1[[#This Row],[TIPO DE CONSUMIDOR]]="MEDIO",IF(Tabla1[[#This Row],[MARZO]]&gt;22.5,Tabla1[[#This Row],[MARZO]]/22.5-1,0),IF(Tabla1[[#This Row],[MARZO]]&gt;45,Tabla1[[#This Row],[MARZO]]/45-1,0))</f>
        <v>0</v>
      </c>
      <c r="AJ343" s="100">
        <f>IF(Tabla1[[#This Row],[TIPO DE CONSUMIDOR]]="MEDIO",IF(Tabla1[[#This Row],[ABRIL]]&gt;22.5,Tabla1[[#This Row],[ABRIL]]/22.5-1,0),IF(Tabla1[[#This Row],[ABRIL]]&gt;45,Tabla1[[#This Row],[ABRIL]]/45-1,0))</f>
        <v>0</v>
      </c>
      <c r="AK343" s="100">
        <f>IF(Tabla1[[#This Row],[TIPO DE CONSUMIDOR]]="MEDIO",IF(Tabla1[[#This Row],[MAYO ]]&gt;22.5,Tabla1[[#This Row],[MAYO ]]/22.5-1,0),IF(Tabla1[[#This Row],[MAYO ]]&gt;45,Tabla1[[#This Row],[MAYO ]]/45-1,0))</f>
        <v>0</v>
      </c>
      <c r="AL343" s="100">
        <f>IF(Tabla1[[#This Row],[TIPO DE CONSUMIDOR]]="MEDIO",IF(Tabla1[[#This Row],[JUNIO ]]&gt;22.5,Tabla1[[#This Row],[JUNIO ]]/22.5-1,0),IF(Tabla1[[#This Row],[JUNIO ]]&gt;45,Tabla1[[#This Row],[JUNIO ]]/45-1,0))</f>
        <v>0</v>
      </c>
      <c r="AM343" s="100">
        <f>IF(Tabla1[[#This Row],[TIPO DE CONSUMIDOR]]="MEDIO",IF(Tabla1[[#This Row],[JULIO ]]&gt;22.5,Tabla1[[#This Row],[JULIO ]]/22.5-1,0),IF(Tabla1[[#This Row],[JULIO ]]&gt;45,Tabla1[[#This Row],[JULIO ]]/45-1,0))</f>
        <v>0</v>
      </c>
      <c r="AN343" s="100">
        <f>IF(Tabla1[[#This Row],[TIPO DE CONSUMIDOR]]="MEDIO",IF(Tabla1[[#This Row],[AGOSTO]]&gt;22.5,Tabla1[[#This Row],[AGOSTO]]/22.5-1,0),IF(Tabla1[[#This Row],[AGOSTO]]&gt;45,Tabla1[[#This Row],[AGOSTO]]/45-1,0))</f>
        <v>0</v>
      </c>
      <c r="AO34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3" s="101">
        <f t="shared" si="11"/>
        <v>0</v>
      </c>
      <c r="AT343">
        <f>IF(Tabla1[[#This Row],[MES ADEUDO DE AÑOS PASADOS ]]&gt;0,1,0)</f>
        <v>1</v>
      </c>
      <c r="AU343" s="9">
        <f t="shared" si="12"/>
        <v>1</v>
      </c>
      <c r="AV343" s="60">
        <f>IF(Tabla1[[#This Row],[MESES DE ADEUDO DEL AÑO EN CURSO ]]&gt;0,1,0)</f>
        <v>0</v>
      </c>
      <c r="AW343" s="42"/>
      <c r="AX343" s="42"/>
      <c r="AY343" s="42"/>
      <c r="AZ343" s="43"/>
    </row>
    <row r="344" spans="1:52" ht="21.75" customHeight="1" thickBot="1" x14ac:dyDescent="0.35">
      <c r="A344" s="106">
        <v>338</v>
      </c>
      <c r="B344" s="5" t="s">
        <v>534</v>
      </c>
      <c r="C344" s="2" t="s">
        <v>530</v>
      </c>
      <c r="D344" s="32"/>
      <c r="E344" s="35" t="s">
        <v>455</v>
      </c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24">
        <f>SUM(Tabla1[[#This Row],[ENERO ]:[DICIEMBRE]])</f>
        <v>0</v>
      </c>
      <c r="W344">
        <v>21</v>
      </c>
      <c r="X344" s="21">
        <f>COUNTIF(Tabla1[[#This Row],[ENERO ]:[DICIEMBRE]],0)-(AS344)-IF(Tabla1[[#This Row],[BAJAS]]="BAJA",IF(Tabla1[[#This Row],[ALTAS]]="ALTA",VLOOKUP(Tabla1[[#This Row],[MES DE ALTA ]],$AW$6:$AX$17,2,FALSE),12)-VLOOKUP(Tabla1[[#This Row],[MES DE BAJA ]],$AW$6:$AX$17,2,FALSE),0)</f>
        <v>0</v>
      </c>
      <c r="Y344" s="68">
        <f>SUM(Tabla1[[#This Row],[MES ADEUDO DE AÑOS PASADOS ]:[MESES DE ADEUDO DEL AÑO EN CURSO ]])-Tabla1[[#This Row],[PAGO DE DEUDA ANTERIOR EN MESES]]</f>
        <v>21</v>
      </c>
      <c r="Z344" s="15">
        <f>Tabla1[[#This Row],[MES ADEUDO DE AÑOS PASADOS ]]*$T$2</f>
        <v>945</v>
      </c>
      <c r="AA344" s="15">
        <f>Tabla1[[#This Row],[MESES DE ADEUDO DEL AÑO EN CURSO ]]*$T$2</f>
        <v>0</v>
      </c>
      <c r="AB344" s="69">
        <f>SUM(Tabla1[[#This Row],[DEUDA DE LOS MESES PASADOS EN $$]:[DEUDA DEL AÑO 2013 $$ ]])</f>
        <v>945</v>
      </c>
      <c r="AD344">
        <f>Tabla1[[#This Row],[PAGO DE DEUDA ANTERIOR EN MESES]]*$T$2</f>
        <v>0</v>
      </c>
      <c r="AG344" s="100">
        <f>IF(Tabla1[[#This Row],[TIPO DE CONSUMIDOR]]="MEDIO",IF(Tabla1[[#This Row],[ENERO ]]&gt;22.5,Tabla1[[#This Row],[ENERO ]]/22.5-1,0),IF(Tabla1[[#This Row],[ENERO ]]&gt;45,Tabla1[[#This Row],[ENERO ]]/45-1,0))</f>
        <v>0</v>
      </c>
      <c r="AH34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4" s="100">
        <f>IF(Tabla1[[#This Row],[TIPO DE CONSUMIDOR]]="MEDIO",IF(Tabla1[[#This Row],[MARZO]]&gt;22.5,Tabla1[[#This Row],[MARZO]]/22.5-1,0),IF(Tabla1[[#This Row],[MARZO]]&gt;45,Tabla1[[#This Row],[MARZO]]/45-1,0))</f>
        <v>0</v>
      </c>
      <c r="AJ344" s="100">
        <f>IF(Tabla1[[#This Row],[TIPO DE CONSUMIDOR]]="MEDIO",IF(Tabla1[[#This Row],[ABRIL]]&gt;22.5,Tabla1[[#This Row],[ABRIL]]/22.5-1,0),IF(Tabla1[[#This Row],[ABRIL]]&gt;45,Tabla1[[#This Row],[ABRIL]]/45-1,0))</f>
        <v>0</v>
      </c>
      <c r="AK344" s="100">
        <f>IF(Tabla1[[#This Row],[TIPO DE CONSUMIDOR]]="MEDIO",IF(Tabla1[[#This Row],[MAYO ]]&gt;22.5,Tabla1[[#This Row],[MAYO ]]/22.5-1,0),IF(Tabla1[[#This Row],[MAYO ]]&gt;45,Tabla1[[#This Row],[MAYO ]]/45-1,0))</f>
        <v>0</v>
      </c>
      <c r="AL344" s="100">
        <f>IF(Tabla1[[#This Row],[TIPO DE CONSUMIDOR]]="MEDIO",IF(Tabla1[[#This Row],[JUNIO ]]&gt;22.5,Tabla1[[#This Row],[JUNIO ]]/22.5-1,0),IF(Tabla1[[#This Row],[JUNIO ]]&gt;45,Tabla1[[#This Row],[JUNIO ]]/45-1,0))</f>
        <v>0</v>
      </c>
      <c r="AM344" s="100">
        <f>IF(Tabla1[[#This Row],[TIPO DE CONSUMIDOR]]="MEDIO",IF(Tabla1[[#This Row],[JULIO ]]&gt;22.5,Tabla1[[#This Row],[JULIO ]]/22.5-1,0),IF(Tabla1[[#This Row],[JULIO ]]&gt;45,Tabla1[[#This Row],[JULIO ]]/45-1,0))</f>
        <v>0</v>
      </c>
      <c r="AN344" s="100">
        <f>IF(Tabla1[[#This Row],[TIPO DE CONSUMIDOR]]="MEDIO",IF(Tabla1[[#This Row],[AGOSTO]]&gt;22.5,Tabla1[[#This Row],[AGOSTO]]/22.5-1,0),IF(Tabla1[[#This Row],[AGOSTO]]&gt;45,Tabla1[[#This Row],[AGOSTO]]/45-1,0))</f>
        <v>0</v>
      </c>
      <c r="AO34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4" s="101">
        <f t="shared" si="11"/>
        <v>0</v>
      </c>
      <c r="AT344">
        <f>IF(Tabla1[[#This Row],[MES ADEUDO DE AÑOS PASADOS ]]&gt;0,1,0)</f>
        <v>1</v>
      </c>
      <c r="AU344" s="9">
        <f t="shared" si="12"/>
        <v>1</v>
      </c>
      <c r="AV344" s="60">
        <f>IF(Tabla1[[#This Row],[MESES DE ADEUDO DEL AÑO EN CURSO ]]&gt;0,1,0)</f>
        <v>0</v>
      </c>
      <c r="AW344" s="42"/>
      <c r="AX344" s="42"/>
      <c r="AY344" s="42"/>
      <c r="AZ344" s="43"/>
    </row>
    <row r="345" spans="1:52" ht="21.75" thickBot="1" x14ac:dyDescent="0.35">
      <c r="A345" s="106">
        <v>339</v>
      </c>
      <c r="B345" s="93" t="s">
        <v>331</v>
      </c>
      <c r="C345" s="2" t="s">
        <v>530</v>
      </c>
      <c r="D345" s="32"/>
      <c r="E345" s="35" t="s">
        <v>455</v>
      </c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24">
        <f>SUM(Tabla1[[#This Row],[ENERO ]:[DICIEMBRE]])</f>
        <v>0</v>
      </c>
      <c r="W345">
        <v>21</v>
      </c>
      <c r="X345" s="21">
        <f>COUNTIF(Tabla1[[#This Row],[ENERO ]:[DICIEMBRE]],0)-(AS345)-IF(Tabla1[[#This Row],[BAJAS]]="BAJA",IF(Tabla1[[#This Row],[ALTAS]]="ALTA",VLOOKUP(Tabla1[[#This Row],[MES DE ALTA ]],$AW$6:$AX$17,2,FALSE),12)-VLOOKUP(Tabla1[[#This Row],[MES DE BAJA ]],$AW$6:$AX$17,2,FALSE),0)</f>
        <v>0</v>
      </c>
      <c r="Y345" s="68">
        <f>SUM(Tabla1[[#This Row],[MES ADEUDO DE AÑOS PASADOS ]:[MESES DE ADEUDO DEL AÑO EN CURSO ]])-Tabla1[[#This Row],[PAGO DE DEUDA ANTERIOR EN MESES]]</f>
        <v>21</v>
      </c>
      <c r="Z345" s="15">
        <f>Tabla1[[#This Row],[MES ADEUDO DE AÑOS PASADOS ]]*$T$2</f>
        <v>945</v>
      </c>
      <c r="AA345" s="15">
        <f>Tabla1[[#This Row],[MESES DE ADEUDO DEL AÑO EN CURSO ]]*$T$2</f>
        <v>0</v>
      </c>
      <c r="AB345" s="69">
        <f>SUM(Tabla1[[#This Row],[DEUDA DE LOS MESES PASADOS EN $$]:[DEUDA DEL AÑO 2013 $$ ]])</f>
        <v>945</v>
      </c>
      <c r="AD345">
        <f>Tabla1[[#This Row],[PAGO DE DEUDA ANTERIOR EN MESES]]*$T$2</f>
        <v>0</v>
      </c>
      <c r="AG345" s="100">
        <f>IF(Tabla1[[#This Row],[TIPO DE CONSUMIDOR]]="MEDIO",IF(Tabla1[[#This Row],[ENERO ]]&gt;22.5,Tabla1[[#This Row],[ENERO ]]/22.5-1,0),IF(Tabla1[[#This Row],[ENERO ]]&gt;45,Tabla1[[#This Row],[ENERO ]]/45-1,0))</f>
        <v>0</v>
      </c>
      <c r="AH34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5" s="100">
        <f>IF(Tabla1[[#This Row],[TIPO DE CONSUMIDOR]]="MEDIO",IF(Tabla1[[#This Row],[MARZO]]&gt;22.5,Tabla1[[#This Row],[MARZO]]/22.5-1,0),IF(Tabla1[[#This Row],[MARZO]]&gt;45,Tabla1[[#This Row],[MARZO]]/45-1,0))</f>
        <v>0</v>
      </c>
      <c r="AJ345" s="100">
        <f>IF(Tabla1[[#This Row],[TIPO DE CONSUMIDOR]]="MEDIO",IF(Tabla1[[#This Row],[ABRIL]]&gt;22.5,Tabla1[[#This Row],[ABRIL]]/22.5-1,0),IF(Tabla1[[#This Row],[ABRIL]]&gt;45,Tabla1[[#This Row],[ABRIL]]/45-1,0))</f>
        <v>0</v>
      </c>
      <c r="AK345" s="100">
        <f>IF(Tabla1[[#This Row],[TIPO DE CONSUMIDOR]]="MEDIO",IF(Tabla1[[#This Row],[MAYO ]]&gt;22.5,Tabla1[[#This Row],[MAYO ]]/22.5-1,0),IF(Tabla1[[#This Row],[MAYO ]]&gt;45,Tabla1[[#This Row],[MAYO ]]/45-1,0))</f>
        <v>0</v>
      </c>
      <c r="AL345" s="100">
        <f>IF(Tabla1[[#This Row],[TIPO DE CONSUMIDOR]]="MEDIO",IF(Tabla1[[#This Row],[JUNIO ]]&gt;22.5,Tabla1[[#This Row],[JUNIO ]]/22.5-1,0),IF(Tabla1[[#This Row],[JUNIO ]]&gt;45,Tabla1[[#This Row],[JUNIO ]]/45-1,0))</f>
        <v>0</v>
      </c>
      <c r="AM345" s="100">
        <f>IF(Tabla1[[#This Row],[TIPO DE CONSUMIDOR]]="MEDIO",IF(Tabla1[[#This Row],[JULIO ]]&gt;22.5,Tabla1[[#This Row],[JULIO ]]/22.5-1,0),IF(Tabla1[[#This Row],[JULIO ]]&gt;45,Tabla1[[#This Row],[JULIO ]]/45-1,0))</f>
        <v>0</v>
      </c>
      <c r="AN345" s="100">
        <f>IF(Tabla1[[#This Row],[TIPO DE CONSUMIDOR]]="MEDIO",IF(Tabla1[[#This Row],[AGOSTO]]&gt;22.5,Tabla1[[#This Row],[AGOSTO]]/22.5-1,0),IF(Tabla1[[#This Row],[AGOSTO]]&gt;45,Tabla1[[#This Row],[AGOSTO]]/45-1,0))</f>
        <v>0</v>
      </c>
      <c r="AO34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5" s="101">
        <f t="shared" si="11"/>
        <v>0</v>
      </c>
      <c r="AT345">
        <f>IF(Tabla1[[#This Row],[MES ADEUDO DE AÑOS PASADOS ]]&gt;0,1,0)</f>
        <v>1</v>
      </c>
      <c r="AU345" s="9">
        <f t="shared" si="12"/>
        <v>1</v>
      </c>
      <c r="AV345" s="60">
        <f>IF(Tabla1[[#This Row],[MESES DE ADEUDO DEL AÑO EN CURSO ]]&gt;0,1,0)</f>
        <v>0</v>
      </c>
      <c r="AW345" s="42"/>
      <c r="AX345" s="42"/>
      <c r="AY345" s="42"/>
      <c r="AZ345" s="43"/>
    </row>
    <row r="346" spans="1:52" ht="21.75" thickBot="1" x14ac:dyDescent="0.35">
      <c r="A346" s="106">
        <v>340</v>
      </c>
      <c r="B346" s="5" t="s">
        <v>334</v>
      </c>
      <c r="C346" s="2" t="s">
        <v>530</v>
      </c>
      <c r="D346" s="32"/>
      <c r="E346" s="35" t="s">
        <v>455</v>
      </c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24">
        <f>SUM(Tabla1[[#This Row],[ENERO ]:[DICIEMBRE]])</f>
        <v>0</v>
      </c>
      <c r="W346">
        <v>21</v>
      </c>
      <c r="X346" s="21">
        <f>COUNTIF(Tabla1[[#This Row],[ENERO ]:[DICIEMBRE]],0)-(AS346)-IF(Tabla1[[#This Row],[BAJAS]]="BAJA",IF(Tabla1[[#This Row],[ALTAS]]="ALTA",VLOOKUP(Tabla1[[#This Row],[MES DE ALTA ]],$AW$6:$AX$17,2,FALSE),12)-VLOOKUP(Tabla1[[#This Row],[MES DE BAJA ]],$AW$6:$AX$17,2,FALSE),0)</f>
        <v>0</v>
      </c>
      <c r="Y346" s="68">
        <f>SUM(Tabla1[[#This Row],[MES ADEUDO DE AÑOS PASADOS ]:[MESES DE ADEUDO DEL AÑO EN CURSO ]])-Tabla1[[#This Row],[PAGO DE DEUDA ANTERIOR EN MESES]]</f>
        <v>21</v>
      </c>
      <c r="Z346" s="15">
        <f>Tabla1[[#This Row],[MES ADEUDO DE AÑOS PASADOS ]]*$T$2</f>
        <v>945</v>
      </c>
      <c r="AA346" s="15">
        <f>Tabla1[[#This Row],[MESES DE ADEUDO DEL AÑO EN CURSO ]]*$T$2</f>
        <v>0</v>
      </c>
      <c r="AB346" s="69">
        <f>SUM(Tabla1[[#This Row],[DEUDA DE LOS MESES PASADOS EN $$]:[DEUDA DEL AÑO 2013 $$ ]])</f>
        <v>945</v>
      </c>
      <c r="AD346">
        <f>Tabla1[[#This Row],[PAGO DE DEUDA ANTERIOR EN MESES]]*$T$2</f>
        <v>0</v>
      </c>
      <c r="AG346" s="100">
        <f>IF(Tabla1[[#This Row],[TIPO DE CONSUMIDOR]]="MEDIO",IF(Tabla1[[#This Row],[ENERO ]]&gt;22.5,Tabla1[[#This Row],[ENERO ]]/22.5-1,0),IF(Tabla1[[#This Row],[ENERO ]]&gt;45,Tabla1[[#This Row],[ENERO ]]/45-1,0))</f>
        <v>0</v>
      </c>
      <c r="AH34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6" s="100">
        <f>IF(Tabla1[[#This Row],[TIPO DE CONSUMIDOR]]="MEDIO",IF(Tabla1[[#This Row],[MARZO]]&gt;22.5,Tabla1[[#This Row],[MARZO]]/22.5-1,0),IF(Tabla1[[#This Row],[MARZO]]&gt;45,Tabla1[[#This Row],[MARZO]]/45-1,0))</f>
        <v>0</v>
      </c>
      <c r="AJ346" s="100">
        <f>IF(Tabla1[[#This Row],[TIPO DE CONSUMIDOR]]="MEDIO",IF(Tabla1[[#This Row],[ABRIL]]&gt;22.5,Tabla1[[#This Row],[ABRIL]]/22.5-1,0),IF(Tabla1[[#This Row],[ABRIL]]&gt;45,Tabla1[[#This Row],[ABRIL]]/45-1,0))</f>
        <v>0</v>
      </c>
      <c r="AK346" s="100">
        <f>IF(Tabla1[[#This Row],[TIPO DE CONSUMIDOR]]="MEDIO",IF(Tabla1[[#This Row],[MAYO ]]&gt;22.5,Tabla1[[#This Row],[MAYO ]]/22.5-1,0),IF(Tabla1[[#This Row],[MAYO ]]&gt;45,Tabla1[[#This Row],[MAYO ]]/45-1,0))</f>
        <v>0</v>
      </c>
      <c r="AL346" s="100">
        <f>IF(Tabla1[[#This Row],[TIPO DE CONSUMIDOR]]="MEDIO",IF(Tabla1[[#This Row],[JUNIO ]]&gt;22.5,Tabla1[[#This Row],[JUNIO ]]/22.5-1,0),IF(Tabla1[[#This Row],[JUNIO ]]&gt;45,Tabla1[[#This Row],[JUNIO ]]/45-1,0))</f>
        <v>0</v>
      </c>
      <c r="AM346" s="100">
        <f>IF(Tabla1[[#This Row],[TIPO DE CONSUMIDOR]]="MEDIO",IF(Tabla1[[#This Row],[JULIO ]]&gt;22.5,Tabla1[[#This Row],[JULIO ]]/22.5-1,0),IF(Tabla1[[#This Row],[JULIO ]]&gt;45,Tabla1[[#This Row],[JULIO ]]/45-1,0))</f>
        <v>0</v>
      </c>
      <c r="AN346" s="100">
        <f>IF(Tabla1[[#This Row],[TIPO DE CONSUMIDOR]]="MEDIO",IF(Tabla1[[#This Row],[AGOSTO]]&gt;22.5,Tabla1[[#This Row],[AGOSTO]]/22.5-1,0),IF(Tabla1[[#This Row],[AGOSTO]]&gt;45,Tabla1[[#This Row],[AGOSTO]]/45-1,0))</f>
        <v>0</v>
      </c>
      <c r="AO34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6" s="101">
        <f t="shared" si="11"/>
        <v>0</v>
      </c>
      <c r="AT346">
        <f>IF(Tabla1[[#This Row],[MES ADEUDO DE AÑOS PASADOS ]]&gt;0,1,0)</f>
        <v>1</v>
      </c>
      <c r="AU346" s="9">
        <f t="shared" si="12"/>
        <v>1</v>
      </c>
      <c r="AV346" s="60">
        <f>IF(Tabla1[[#This Row],[MESES DE ADEUDO DEL AÑO EN CURSO ]]&gt;0,1,0)</f>
        <v>0</v>
      </c>
      <c r="AW346" s="42"/>
      <c r="AX346" s="42"/>
      <c r="AY346" s="42"/>
      <c r="AZ346" s="43"/>
    </row>
    <row r="347" spans="1:52" ht="21.75" customHeight="1" thickBot="1" x14ac:dyDescent="0.35">
      <c r="A347" s="106">
        <v>341</v>
      </c>
      <c r="B347" s="5" t="s">
        <v>541</v>
      </c>
      <c r="C347" s="2" t="s">
        <v>530</v>
      </c>
      <c r="D347" s="32"/>
      <c r="E347" s="35" t="s">
        <v>455</v>
      </c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58">
        <f>SUM(Tabla1[[#This Row],[ENERO ]:[DICIEMBRE]])</f>
        <v>0</v>
      </c>
      <c r="W347">
        <v>22</v>
      </c>
      <c r="X347" s="21">
        <f>COUNTIF(Tabla1[[#This Row],[ENERO ]:[DICIEMBRE]],0)-(AS347)-IF(Tabla1[[#This Row],[BAJAS]]="BAJA",IF(Tabla1[[#This Row],[ALTAS]]="ALTA",VLOOKUP(Tabla1[[#This Row],[MES DE ALTA ]],$AW$6:$AX$17,2,FALSE),12)-VLOOKUP(Tabla1[[#This Row],[MES DE BAJA ]],$AW$6:$AX$17,2,FALSE),0)</f>
        <v>0</v>
      </c>
      <c r="Y347" s="68">
        <f>SUM(Tabla1[[#This Row],[MES ADEUDO DE AÑOS PASADOS ]:[MESES DE ADEUDO DEL AÑO EN CURSO ]])-Tabla1[[#This Row],[PAGO DE DEUDA ANTERIOR EN MESES]]</f>
        <v>22</v>
      </c>
      <c r="Z347" s="15">
        <f>Tabla1[[#This Row],[MES ADEUDO DE AÑOS PASADOS ]]*$T$2</f>
        <v>990</v>
      </c>
      <c r="AA347" s="15">
        <f>Tabla1[[#This Row],[MESES DE ADEUDO DEL AÑO EN CURSO ]]*$T$2</f>
        <v>0</v>
      </c>
      <c r="AB347" s="69">
        <f>SUM(Tabla1[[#This Row],[DEUDA DE LOS MESES PASADOS EN $$]:[DEUDA DEL AÑO 2013 $$ ]])</f>
        <v>990</v>
      </c>
      <c r="AD347">
        <f>Tabla1[[#This Row],[PAGO DE DEUDA ANTERIOR EN MESES]]*$T$2</f>
        <v>0</v>
      </c>
      <c r="AG347" s="100">
        <f>IF(Tabla1[[#This Row],[TIPO DE CONSUMIDOR]]="MEDIO",IF(Tabla1[[#This Row],[ENERO ]]&gt;22.5,Tabla1[[#This Row],[ENERO ]]/22.5-1,0),IF(Tabla1[[#This Row],[ENERO ]]&gt;45,Tabla1[[#This Row],[ENERO ]]/45-1,0))</f>
        <v>0</v>
      </c>
      <c r="AH34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7" s="100">
        <f>IF(Tabla1[[#This Row],[TIPO DE CONSUMIDOR]]="MEDIO",IF(Tabla1[[#This Row],[MARZO]]&gt;22.5,Tabla1[[#This Row],[MARZO]]/22.5-1,0),IF(Tabla1[[#This Row],[MARZO]]&gt;45,Tabla1[[#This Row],[MARZO]]/45-1,0))</f>
        <v>0</v>
      </c>
      <c r="AJ347" s="100">
        <f>IF(Tabla1[[#This Row],[TIPO DE CONSUMIDOR]]="MEDIO",IF(Tabla1[[#This Row],[ABRIL]]&gt;22.5,Tabla1[[#This Row],[ABRIL]]/22.5-1,0),IF(Tabla1[[#This Row],[ABRIL]]&gt;45,Tabla1[[#This Row],[ABRIL]]/45-1,0))</f>
        <v>0</v>
      </c>
      <c r="AK347" s="100">
        <f>IF(Tabla1[[#This Row],[TIPO DE CONSUMIDOR]]="MEDIO",IF(Tabla1[[#This Row],[MAYO ]]&gt;22.5,Tabla1[[#This Row],[MAYO ]]/22.5-1,0),IF(Tabla1[[#This Row],[MAYO ]]&gt;45,Tabla1[[#This Row],[MAYO ]]/45-1,0))</f>
        <v>0</v>
      </c>
      <c r="AL347" s="100">
        <f>IF(Tabla1[[#This Row],[TIPO DE CONSUMIDOR]]="MEDIO",IF(Tabla1[[#This Row],[JUNIO ]]&gt;22.5,Tabla1[[#This Row],[JUNIO ]]/22.5-1,0),IF(Tabla1[[#This Row],[JUNIO ]]&gt;45,Tabla1[[#This Row],[JUNIO ]]/45-1,0))</f>
        <v>0</v>
      </c>
      <c r="AM347" s="100">
        <f>IF(Tabla1[[#This Row],[TIPO DE CONSUMIDOR]]="MEDIO",IF(Tabla1[[#This Row],[JULIO ]]&gt;22.5,Tabla1[[#This Row],[JULIO ]]/22.5-1,0),IF(Tabla1[[#This Row],[JULIO ]]&gt;45,Tabla1[[#This Row],[JULIO ]]/45-1,0))</f>
        <v>0</v>
      </c>
      <c r="AN347" s="100">
        <f>IF(Tabla1[[#This Row],[TIPO DE CONSUMIDOR]]="MEDIO",IF(Tabla1[[#This Row],[AGOSTO]]&gt;22.5,Tabla1[[#This Row],[AGOSTO]]/22.5-1,0),IF(Tabla1[[#This Row],[AGOSTO]]&gt;45,Tabla1[[#This Row],[AGOSTO]]/45-1,0))</f>
        <v>0</v>
      </c>
      <c r="AO34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7" s="101">
        <f t="shared" si="11"/>
        <v>0</v>
      </c>
      <c r="AT347">
        <f>IF(Tabla1[[#This Row],[MES ADEUDO DE AÑOS PASADOS ]]&gt;0,1,0)</f>
        <v>1</v>
      </c>
      <c r="AU347" s="9">
        <f t="shared" si="12"/>
        <v>1</v>
      </c>
      <c r="AV347" s="60">
        <f>IF(Tabla1[[#This Row],[MESES DE ADEUDO DEL AÑO EN CURSO ]]&gt;0,1,0)</f>
        <v>0</v>
      </c>
      <c r="AW347" s="42"/>
      <c r="AX347" s="42"/>
      <c r="AY347" s="42"/>
      <c r="AZ347" s="43"/>
    </row>
    <row r="348" spans="1:52" ht="21.75" thickBot="1" x14ac:dyDescent="0.35">
      <c r="A348" s="106">
        <v>342</v>
      </c>
      <c r="B348" s="5" t="s">
        <v>652</v>
      </c>
      <c r="C348" s="94" t="s">
        <v>530</v>
      </c>
      <c r="D348" s="32"/>
      <c r="E348" s="35" t="s">
        <v>455</v>
      </c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118">
        <f>SUM(Tabla1[[#This Row],[ENERO ]:[DICIEMBRE]])</f>
        <v>0</v>
      </c>
      <c r="W348">
        <v>27</v>
      </c>
      <c r="X348" s="21">
        <f>COUNTIF(Tabla1[[#This Row],[ENERO ]:[DICIEMBRE]],0)-(AS348)-IF(Tabla1[[#This Row],[BAJAS]]="BAJA",IF(Tabla1[[#This Row],[ALTAS]]="ALTA",VLOOKUP(Tabla1[[#This Row],[MES DE ALTA ]],$AW$6:$AX$17,2,FALSE),12)-VLOOKUP(Tabla1[[#This Row],[MES DE BAJA ]],$AW$6:$AX$17,2,FALSE),0)</f>
        <v>0</v>
      </c>
      <c r="Y348" s="91">
        <f>SUM(Tabla1[[#This Row],[MES ADEUDO DE AÑOS PASADOS ]:[MESES DE ADEUDO DEL AÑO EN CURSO ]])-Tabla1[[#This Row],[PAGO DE DEUDA ANTERIOR EN MESES]]</f>
        <v>27</v>
      </c>
      <c r="Z348" s="15">
        <f>Tabla1[[#This Row],[MES ADEUDO DE AÑOS PASADOS ]]*$T$2</f>
        <v>1215</v>
      </c>
      <c r="AA348" s="15">
        <f>Tabla1[[#This Row],[MESES DE ADEUDO DEL AÑO EN CURSO ]]*$T$2</f>
        <v>0</v>
      </c>
      <c r="AB348" s="69">
        <f>SUM(Tabla1[[#This Row],[DEUDA DE LOS MESES PASADOS EN $$]:[DEUDA DEL AÑO 2013 $$ ]])</f>
        <v>1215</v>
      </c>
      <c r="AD348">
        <f>Tabla1[[#This Row],[PAGO DE DEUDA ANTERIOR EN MESES]]*$T$2</f>
        <v>0</v>
      </c>
      <c r="AG348" s="100">
        <f>IF(Tabla1[[#This Row],[TIPO DE CONSUMIDOR]]="MEDIO",IF(Tabla1[[#This Row],[ENERO ]]&gt;22.5,Tabla1[[#This Row],[ENERO ]]/22.5-1,0),IF(Tabla1[[#This Row],[ENERO ]]&gt;45,Tabla1[[#This Row],[ENERO ]]/45-1,0))</f>
        <v>0</v>
      </c>
      <c r="AH34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8" s="100">
        <f>IF(Tabla1[[#This Row],[TIPO DE CONSUMIDOR]]="MEDIO",IF(Tabla1[[#This Row],[MARZO]]&gt;22.5,Tabla1[[#This Row],[MARZO]]/22.5-1,0),IF(Tabla1[[#This Row],[MARZO]]&gt;45,Tabla1[[#This Row],[MARZO]]/45-1,0))</f>
        <v>0</v>
      </c>
      <c r="AJ348" s="100">
        <f>IF(Tabla1[[#This Row],[TIPO DE CONSUMIDOR]]="MEDIO",IF(Tabla1[[#This Row],[ABRIL]]&gt;22.5,Tabla1[[#This Row],[ABRIL]]/22.5-1,0),IF(Tabla1[[#This Row],[ABRIL]]&gt;45,Tabla1[[#This Row],[ABRIL]]/45-1,0))</f>
        <v>0</v>
      </c>
      <c r="AK348" s="100">
        <f>IF(Tabla1[[#This Row],[TIPO DE CONSUMIDOR]]="MEDIO",IF(Tabla1[[#This Row],[MAYO ]]&gt;22.5,Tabla1[[#This Row],[MAYO ]]/22.5-1,0),IF(Tabla1[[#This Row],[MAYO ]]&gt;45,Tabla1[[#This Row],[MAYO ]]/45-1,0))</f>
        <v>0</v>
      </c>
      <c r="AL348" s="100">
        <f>IF(Tabla1[[#This Row],[TIPO DE CONSUMIDOR]]="MEDIO",IF(Tabla1[[#This Row],[JUNIO ]]&gt;22.5,Tabla1[[#This Row],[JUNIO ]]/22.5-1,0),IF(Tabla1[[#This Row],[JUNIO ]]&gt;45,Tabla1[[#This Row],[JUNIO ]]/45-1,0))</f>
        <v>0</v>
      </c>
      <c r="AM348" s="100">
        <f>IF(Tabla1[[#This Row],[TIPO DE CONSUMIDOR]]="MEDIO",IF(Tabla1[[#This Row],[JULIO ]]&gt;22.5,Tabla1[[#This Row],[JULIO ]]/22.5-1,0),IF(Tabla1[[#This Row],[JULIO ]]&gt;45,Tabla1[[#This Row],[JULIO ]]/45-1,0))</f>
        <v>0</v>
      </c>
      <c r="AN348" s="100">
        <f>IF(Tabla1[[#This Row],[TIPO DE CONSUMIDOR]]="MEDIO",IF(Tabla1[[#This Row],[AGOSTO]]&gt;22.5,Tabla1[[#This Row],[AGOSTO]]/22.5-1,0),IF(Tabla1[[#This Row],[AGOSTO]]&gt;45,Tabla1[[#This Row],[AGOSTO]]/45-1,0))</f>
        <v>0</v>
      </c>
      <c r="AO34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8" s="101">
        <f t="shared" si="11"/>
        <v>0</v>
      </c>
      <c r="AT348">
        <f>IF(Tabla1[[#This Row],[MES ADEUDO DE AÑOS PASADOS ]]&gt;0,1,0)</f>
        <v>1</v>
      </c>
      <c r="AU348" s="9">
        <f t="shared" si="12"/>
        <v>1</v>
      </c>
      <c r="AV348" s="60">
        <f>IF(Tabla1[[#This Row],[MESES DE ADEUDO DEL AÑO EN CURSO ]]&gt;0,1,0)</f>
        <v>0</v>
      </c>
      <c r="AW348" s="42"/>
      <c r="AX348" s="42"/>
      <c r="AY348" s="42"/>
      <c r="AZ348" s="43"/>
    </row>
    <row r="349" spans="1:52" ht="21.75" thickBot="1" x14ac:dyDescent="0.35">
      <c r="A349" s="106">
        <v>343</v>
      </c>
      <c r="B349" s="5" t="s">
        <v>318</v>
      </c>
      <c r="C349" s="2" t="s">
        <v>530</v>
      </c>
      <c r="D349" s="32"/>
      <c r="E349" s="35" t="s">
        <v>455</v>
      </c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24">
        <f>SUM(Tabla1[[#This Row],[ENERO ]:[DICIEMBRE]])</f>
        <v>0</v>
      </c>
      <c r="W349">
        <v>29</v>
      </c>
      <c r="X349" s="21">
        <f>COUNTIF(Tabla1[[#This Row],[ENERO ]:[DICIEMBRE]],0)-(AS349)-IF(Tabla1[[#This Row],[BAJAS]]="BAJA",IF(Tabla1[[#This Row],[ALTAS]]="ALTA",VLOOKUP(Tabla1[[#This Row],[MES DE ALTA ]],$AW$6:$AX$17,2,FALSE),12)-VLOOKUP(Tabla1[[#This Row],[MES DE BAJA ]],$AW$6:$AX$17,2,FALSE),0)</f>
        <v>0</v>
      </c>
      <c r="Y349" s="68">
        <f>SUM(Tabla1[[#This Row],[MES ADEUDO DE AÑOS PASADOS ]:[MESES DE ADEUDO DEL AÑO EN CURSO ]])-Tabla1[[#This Row],[PAGO DE DEUDA ANTERIOR EN MESES]]</f>
        <v>29</v>
      </c>
      <c r="Z349" s="15">
        <f>Tabla1[[#This Row],[MES ADEUDO DE AÑOS PASADOS ]]*$T$2</f>
        <v>1305</v>
      </c>
      <c r="AA349" s="15">
        <f>Tabla1[[#This Row],[MESES DE ADEUDO DEL AÑO EN CURSO ]]*$T$2</f>
        <v>0</v>
      </c>
      <c r="AB349" s="69">
        <f>SUM(Tabla1[[#This Row],[DEUDA DE LOS MESES PASADOS EN $$]:[DEUDA DEL AÑO 2013 $$ ]])</f>
        <v>1305</v>
      </c>
      <c r="AD349">
        <f>Tabla1[[#This Row],[PAGO DE DEUDA ANTERIOR EN MESES]]*$T$2</f>
        <v>0</v>
      </c>
      <c r="AG349" s="100">
        <f>IF(Tabla1[[#This Row],[TIPO DE CONSUMIDOR]]="MEDIO",IF(Tabla1[[#This Row],[ENERO ]]&gt;22.5,Tabla1[[#This Row],[ENERO ]]/22.5-1,0),IF(Tabla1[[#This Row],[ENERO ]]&gt;45,Tabla1[[#This Row],[ENERO ]]/45-1,0))</f>
        <v>0</v>
      </c>
      <c r="AH34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49" s="100">
        <f>IF(Tabla1[[#This Row],[TIPO DE CONSUMIDOR]]="MEDIO",IF(Tabla1[[#This Row],[MARZO]]&gt;22.5,Tabla1[[#This Row],[MARZO]]/22.5-1,0),IF(Tabla1[[#This Row],[MARZO]]&gt;45,Tabla1[[#This Row],[MARZO]]/45-1,0))</f>
        <v>0</v>
      </c>
      <c r="AJ349" s="100">
        <f>IF(Tabla1[[#This Row],[TIPO DE CONSUMIDOR]]="MEDIO",IF(Tabla1[[#This Row],[ABRIL]]&gt;22.5,Tabla1[[#This Row],[ABRIL]]/22.5-1,0),IF(Tabla1[[#This Row],[ABRIL]]&gt;45,Tabla1[[#This Row],[ABRIL]]/45-1,0))</f>
        <v>0</v>
      </c>
      <c r="AK349" s="100">
        <f>IF(Tabla1[[#This Row],[TIPO DE CONSUMIDOR]]="MEDIO",IF(Tabla1[[#This Row],[MAYO ]]&gt;22.5,Tabla1[[#This Row],[MAYO ]]/22.5-1,0),IF(Tabla1[[#This Row],[MAYO ]]&gt;45,Tabla1[[#This Row],[MAYO ]]/45-1,0))</f>
        <v>0</v>
      </c>
      <c r="AL349" s="100">
        <f>IF(Tabla1[[#This Row],[TIPO DE CONSUMIDOR]]="MEDIO",IF(Tabla1[[#This Row],[JUNIO ]]&gt;22.5,Tabla1[[#This Row],[JUNIO ]]/22.5-1,0),IF(Tabla1[[#This Row],[JUNIO ]]&gt;45,Tabla1[[#This Row],[JUNIO ]]/45-1,0))</f>
        <v>0</v>
      </c>
      <c r="AM349" s="100">
        <f>IF(Tabla1[[#This Row],[TIPO DE CONSUMIDOR]]="MEDIO",IF(Tabla1[[#This Row],[JULIO ]]&gt;22.5,Tabla1[[#This Row],[JULIO ]]/22.5-1,0),IF(Tabla1[[#This Row],[JULIO ]]&gt;45,Tabla1[[#This Row],[JULIO ]]/45-1,0))</f>
        <v>0</v>
      </c>
      <c r="AN349" s="100">
        <f>IF(Tabla1[[#This Row],[TIPO DE CONSUMIDOR]]="MEDIO",IF(Tabla1[[#This Row],[AGOSTO]]&gt;22.5,Tabla1[[#This Row],[AGOSTO]]/22.5-1,0),IF(Tabla1[[#This Row],[AGOSTO]]&gt;45,Tabla1[[#This Row],[AGOSTO]]/45-1,0))</f>
        <v>0</v>
      </c>
      <c r="AO34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4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4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4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49" s="101">
        <f t="shared" si="11"/>
        <v>0</v>
      </c>
      <c r="AT349">
        <f>IF(Tabla1[[#This Row],[MES ADEUDO DE AÑOS PASADOS ]]&gt;0,1,0)</f>
        <v>1</v>
      </c>
      <c r="AU349" s="9">
        <f t="shared" si="12"/>
        <v>1</v>
      </c>
      <c r="AV349" s="60">
        <f>IF(Tabla1[[#This Row],[MESES DE ADEUDO DEL AÑO EN CURSO ]]&gt;0,1,0)</f>
        <v>0</v>
      </c>
      <c r="AW349" s="42"/>
      <c r="AX349" s="42"/>
      <c r="AY349" s="42"/>
      <c r="AZ349" s="43"/>
    </row>
    <row r="350" spans="1:52" ht="21.75" thickBot="1" x14ac:dyDescent="0.35">
      <c r="A350" s="106">
        <v>344</v>
      </c>
      <c r="B350" s="5" t="s">
        <v>121</v>
      </c>
      <c r="C350" s="2" t="s">
        <v>530</v>
      </c>
      <c r="D350" s="32"/>
      <c r="E350" s="35" t="s">
        <v>455</v>
      </c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24">
        <f>SUM(Tabla1[[#This Row],[ENERO ]:[DICIEMBRE]])</f>
        <v>0</v>
      </c>
      <c r="W350">
        <v>32</v>
      </c>
      <c r="X350" s="21">
        <f>COUNTIF(Tabla1[[#This Row],[ENERO ]:[DICIEMBRE]],0)-(AS350)-IF(Tabla1[[#This Row],[BAJAS]]="BAJA",IF(Tabla1[[#This Row],[ALTAS]]="ALTA",VLOOKUP(Tabla1[[#This Row],[MES DE ALTA ]],$AW$6:$AX$17,2,FALSE),12)-VLOOKUP(Tabla1[[#This Row],[MES DE BAJA ]],$AW$6:$AX$17,2,FALSE),0)</f>
        <v>0</v>
      </c>
      <c r="Y350" s="68">
        <f>SUM(Tabla1[[#This Row],[MES ADEUDO DE AÑOS PASADOS ]:[MESES DE ADEUDO DEL AÑO EN CURSO ]])-Tabla1[[#This Row],[PAGO DE DEUDA ANTERIOR EN MESES]]</f>
        <v>32</v>
      </c>
      <c r="Z350" s="15">
        <f>Tabla1[[#This Row],[MES ADEUDO DE AÑOS PASADOS ]]*$T$2</f>
        <v>1440</v>
      </c>
      <c r="AA350" s="15">
        <f>Tabla1[[#This Row],[MESES DE ADEUDO DEL AÑO EN CURSO ]]*$T$2</f>
        <v>0</v>
      </c>
      <c r="AB350" s="69">
        <f>SUM(Tabla1[[#This Row],[DEUDA DE LOS MESES PASADOS EN $$]:[DEUDA DEL AÑO 2013 $$ ]])</f>
        <v>1440</v>
      </c>
      <c r="AD350">
        <f>Tabla1[[#This Row],[PAGO DE DEUDA ANTERIOR EN MESES]]*$T$2</f>
        <v>0</v>
      </c>
      <c r="AG350" s="100">
        <f>IF(Tabla1[[#This Row],[TIPO DE CONSUMIDOR]]="MEDIO",IF(Tabla1[[#This Row],[ENERO ]]&gt;22.5,Tabla1[[#This Row],[ENERO ]]/22.5-1,0),IF(Tabla1[[#This Row],[ENERO ]]&gt;45,Tabla1[[#This Row],[ENERO ]]/45-1,0))</f>
        <v>0</v>
      </c>
      <c r="AH35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0" s="100">
        <f>IF(Tabla1[[#This Row],[TIPO DE CONSUMIDOR]]="MEDIO",IF(Tabla1[[#This Row],[MARZO]]&gt;22.5,Tabla1[[#This Row],[MARZO]]/22.5-1,0),IF(Tabla1[[#This Row],[MARZO]]&gt;45,Tabla1[[#This Row],[MARZO]]/45-1,0))</f>
        <v>0</v>
      </c>
      <c r="AJ350" s="100">
        <f>IF(Tabla1[[#This Row],[TIPO DE CONSUMIDOR]]="MEDIO",IF(Tabla1[[#This Row],[ABRIL]]&gt;22.5,Tabla1[[#This Row],[ABRIL]]/22.5-1,0),IF(Tabla1[[#This Row],[ABRIL]]&gt;45,Tabla1[[#This Row],[ABRIL]]/45-1,0))</f>
        <v>0</v>
      </c>
      <c r="AK350" s="100">
        <f>IF(Tabla1[[#This Row],[TIPO DE CONSUMIDOR]]="MEDIO",IF(Tabla1[[#This Row],[MAYO ]]&gt;22.5,Tabla1[[#This Row],[MAYO ]]/22.5-1,0),IF(Tabla1[[#This Row],[MAYO ]]&gt;45,Tabla1[[#This Row],[MAYO ]]/45-1,0))</f>
        <v>0</v>
      </c>
      <c r="AL350" s="100">
        <f>IF(Tabla1[[#This Row],[TIPO DE CONSUMIDOR]]="MEDIO",IF(Tabla1[[#This Row],[JUNIO ]]&gt;22.5,Tabla1[[#This Row],[JUNIO ]]/22.5-1,0),IF(Tabla1[[#This Row],[JUNIO ]]&gt;45,Tabla1[[#This Row],[JUNIO ]]/45-1,0))</f>
        <v>0</v>
      </c>
      <c r="AM350" s="100">
        <f>IF(Tabla1[[#This Row],[TIPO DE CONSUMIDOR]]="MEDIO",IF(Tabla1[[#This Row],[JULIO ]]&gt;22.5,Tabla1[[#This Row],[JULIO ]]/22.5-1,0),IF(Tabla1[[#This Row],[JULIO ]]&gt;45,Tabla1[[#This Row],[JULIO ]]/45-1,0))</f>
        <v>0</v>
      </c>
      <c r="AN350" s="100">
        <f>IF(Tabla1[[#This Row],[TIPO DE CONSUMIDOR]]="MEDIO",IF(Tabla1[[#This Row],[AGOSTO]]&gt;22.5,Tabla1[[#This Row],[AGOSTO]]/22.5-1,0),IF(Tabla1[[#This Row],[AGOSTO]]&gt;45,Tabla1[[#This Row],[AGOSTO]]/45-1,0))</f>
        <v>0</v>
      </c>
      <c r="AO35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0" s="101">
        <f t="shared" si="11"/>
        <v>0</v>
      </c>
      <c r="AT350">
        <f>IF(Tabla1[[#This Row],[MES ADEUDO DE AÑOS PASADOS ]]&gt;0,1,0)</f>
        <v>1</v>
      </c>
      <c r="AU350" s="9">
        <f t="shared" si="12"/>
        <v>1</v>
      </c>
      <c r="AV350" s="60">
        <f>IF(Tabla1[[#This Row],[MESES DE ADEUDO DEL AÑO EN CURSO ]]&gt;0,1,0)</f>
        <v>0</v>
      </c>
      <c r="AW350" s="42"/>
      <c r="AX350" s="42"/>
      <c r="AY350" s="42"/>
      <c r="AZ350" s="43"/>
    </row>
    <row r="351" spans="1:52" ht="21.75" thickBot="1" x14ac:dyDescent="0.35">
      <c r="A351" s="106">
        <v>345</v>
      </c>
      <c r="B351" s="5" t="s">
        <v>614</v>
      </c>
      <c r="C351" s="2" t="s">
        <v>530</v>
      </c>
      <c r="D351" s="32"/>
      <c r="E351" s="35" t="s">
        <v>455</v>
      </c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24">
        <f>SUM(Tabla1[[#This Row],[ENERO ]:[DICIEMBRE]])</f>
        <v>0</v>
      </c>
      <c r="W351">
        <v>34</v>
      </c>
      <c r="X351" s="21">
        <f>COUNTIF(Tabla1[[#This Row],[ENERO ]:[DICIEMBRE]],0)-(AS351)-IF(Tabla1[[#This Row],[BAJAS]]="BAJA",IF(Tabla1[[#This Row],[ALTAS]]="ALTA",VLOOKUP(Tabla1[[#This Row],[MES DE ALTA ]],$AW$6:$AX$17,2,FALSE),12)-VLOOKUP(Tabla1[[#This Row],[MES DE BAJA ]],$AW$6:$AX$17,2,FALSE),0)</f>
        <v>0</v>
      </c>
      <c r="Y351" s="68">
        <f>SUM(Tabla1[[#This Row],[MES ADEUDO DE AÑOS PASADOS ]:[MESES DE ADEUDO DEL AÑO EN CURSO ]])-Tabla1[[#This Row],[PAGO DE DEUDA ANTERIOR EN MESES]]</f>
        <v>34</v>
      </c>
      <c r="Z351" s="15">
        <f>Tabla1[[#This Row],[MES ADEUDO DE AÑOS PASADOS ]]*$T$2</f>
        <v>1530</v>
      </c>
      <c r="AA351" s="15">
        <f>Tabla1[[#This Row],[MESES DE ADEUDO DEL AÑO EN CURSO ]]*$T$2</f>
        <v>0</v>
      </c>
      <c r="AB351" s="69">
        <f>SUM(Tabla1[[#This Row],[DEUDA DE LOS MESES PASADOS EN $$]:[DEUDA DEL AÑO 2013 $$ ]])</f>
        <v>1530</v>
      </c>
      <c r="AD351">
        <f>Tabla1[[#This Row],[PAGO DE DEUDA ANTERIOR EN MESES]]*$T$2</f>
        <v>0</v>
      </c>
      <c r="AG351" s="100">
        <f>IF(Tabla1[[#This Row],[TIPO DE CONSUMIDOR]]="MEDIO",IF(Tabla1[[#This Row],[ENERO ]]&gt;22.5,Tabla1[[#This Row],[ENERO ]]/22.5-1,0),IF(Tabla1[[#This Row],[ENERO ]]&gt;45,Tabla1[[#This Row],[ENERO ]]/45-1,0))</f>
        <v>0</v>
      </c>
      <c r="AH35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1" s="100">
        <f>IF(Tabla1[[#This Row],[TIPO DE CONSUMIDOR]]="MEDIO",IF(Tabla1[[#This Row],[MARZO]]&gt;22.5,Tabla1[[#This Row],[MARZO]]/22.5-1,0),IF(Tabla1[[#This Row],[MARZO]]&gt;45,Tabla1[[#This Row],[MARZO]]/45-1,0))</f>
        <v>0</v>
      </c>
      <c r="AJ351" s="100">
        <f>IF(Tabla1[[#This Row],[TIPO DE CONSUMIDOR]]="MEDIO",IF(Tabla1[[#This Row],[ABRIL]]&gt;22.5,Tabla1[[#This Row],[ABRIL]]/22.5-1,0),IF(Tabla1[[#This Row],[ABRIL]]&gt;45,Tabla1[[#This Row],[ABRIL]]/45-1,0))</f>
        <v>0</v>
      </c>
      <c r="AK351" s="100">
        <f>IF(Tabla1[[#This Row],[TIPO DE CONSUMIDOR]]="MEDIO",IF(Tabla1[[#This Row],[MAYO ]]&gt;22.5,Tabla1[[#This Row],[MAYO ]]/22.5-1,0),IF(Tabla1[[#This Row],[MAYO ]]&gt;45,Tabla1[[#This Row],[MAYO ]]/45-1,0))</f>
        <v>0</v>
      </c>
      <c r="AL351" s="100">
        <f>IF(Tabla1[[#This Row],[TIPO DE CONSUMIDOR]]="MEDIO",IF(Tabla1[[#This Row],[JUNIO ]]&gt;22.5,Tabla1[[#This Row],[JUNIO ]]/22.5-1,0),IF(Tabla1[[#This Row],[JUNIO ]]&gt;45,Tabla1[[#This Row],[JUNIO ]]/45-1,0))</f>
        <v>0</v>
      </c>
      <c r="AM351" s="100">
        <f>IF(Tabla1[[#This Row],[TIPO DE CONSUMIDOR]]="MEDIO",IF(Tabla1[[#This Row],[JULIO ]]&gt;22.5,Tabla1[[#This Row],[JULIO ]]/22.5-1,0),IF(Tabla1[[#This Row],[JULIO ]]&gt;45,Tabla1[[#This Row],[JULIO ]]/45-1,0))</f>
        <v>0</v>
      </c>
      <c r="AN351" s="100">
        <f>IF(Tabla1[[#This Row],[TIPO DE CONSUMIDOR]]="MEDIO",IF(Tabla1[[#This Row],[AGOSTO]]&gt;22.5,Tabla1[[#This Row],[AGOSTO]]/22.5-1,0),IF(Tabla1[[#This Row],[AGOSTO]]&gt;45,Tabla1[[#This Row],[AGOSTO]]/45-1,0))</f>
        <v>0</v>
      </c>
      <c r="AO35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1" s="101">
        <f t="shared" si="11"/>
        <v>0</v>
      </c>
      <c r="AT351">
        <f>IF(Tabla1[[#This Row],[MES ADEUDO DE AÑOS PASADOS ]]&gt;0,1,0)</f>
        <v>1</v>
      </c>
      <c r="AU351" s="9">
        <f t="shared" si="12"/>
        <v>1</v>
      </c>
      <c r="AV351" s="60">
        <f>IF(Tabla1[[#This Row],[MESES DE ADEUDO DEL AÑO EN CURSO ]]&gt;0,1,0)</f>
        <v>0</v>
      </c>
      <c r="AW351" s="42"/>
      <c r="AX351" s="42"/>
      <c r="AY351" s="42"/>
      <c r="AZ351" s="43"/>
    </row>
    <row r="352" spans="1:52" ht="21.75" thickBot="1" x14ac:dyDescent="0.35">
      <c r="A352" s="106">
        <v>346</v>
      </c>
      <c r="B352" s="5" t="s">
        <v>538</v>
      </c>
      <c r="C352" s="2" t="s">
        <v>530</v>
      </c>
      <c r="D352" s="32"/>
      <c r="E352" s="35" t="s">
        <v>455</v>
      </c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24">
        <f>SUM(Tabla1[[#This Row],[ENERO ]:[DICIEMBRE]])</f>
        <v>0</v>
      </c>
      <c r="W352">
        <v>82</v>
      </c>
      <c r="X352" s="21">
        <f>COUNTIF(Tabla1[[#This Row],[ENERO ]:[DICIEMBRE]],0)-(AS352)-IF(Tabla1[[#This Row],[BAJAS]]="BAJA",IF(Tabla1[[#This Row],[ALTAS]]="ALTA",VLOOKUP(Tabla1[[#This Row],[MES DE ALTA ]],$AW$6:$AX$17,2,FALSE),12)-VLOOKUP(Tabla1[[#This Row],[MES DE BAJA ]],$AW$6:$AX$17,2,FALSE),0)</f>
        <v>0</v>
      </c>
      <c r="Y352" s="68">
        <f>SUM(Tabla1[[#This Row],[MES ADEUDO DE AÑOS PASADOS ]:[MESES DE ADEUDO DEL AÑO EN CURSO ]])-Tabla1[[#This Row],[PAGO DE DEUDA ANTERIOR EN MESES]]</f>
        <v>82</v>
      </c>
      <c r="Z352" s="15">
        <f>Tabla1[[#This Row],[MES ADEUDO DE AÑOS PASADOS ]]*$T$2</f>
        <v>3690</v>
      </c>
      <c r="AA352" s="15">
        <f>Tabla1[[#This Row],[MESES DE ADEUDO DEL AÑO EN CURSO ]]*$T$2</f>
        <v>0</v>
      </c>
      <c r="AB352" s="69">
        <f>SUM(Tabla1[[#This Row],[DEUDA DE LOS MESES PASADOS EN $$]:[DEUDA DEL AÑO 2013 $$ ]])</f>
        <v>3690</v>
      </c>
      <c r="AD352">
        <f>Tabla1[[#This Row],[PAGO DE DEUDA ANTERIOR EN MESES]]*$T$2</f>
        <v>0</v>
      </c>
      <c r="AG352" s="100">
        <f>IF(Tabla1[[#This Row],[TIPO DE CONSUMIDOR]]="MEDIO",IF(Tabla1[[#This Row],[ENERO ]]&gt;22.5,Tabla1[[#This Row],[ENERO ]]/22.5-1,0),IF(Tabla1[[#This Row],[ENERO ]]&gt;45,Tabla1[[#This Row],[ENERO ]]/45-1,0))</f>
        <v>0</v>
      </c>
      <c r="AH35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2" s="100">
        <f>IF(Tabla1[[#This Row],[TIPO DE CONSUMIDOR]]="MEDIO",IF(Tabla1[[#This Row],[MARZO]]&gt;22.5,Tabla1[[#This Row],[MARZO]]/22.5-1,0),IF(Tabla1[[#This Row],[MARZO]]&gt;45,Tabla1[[#This Row],[MARZO]]/45-1,0))</f>
        <v>0</v>
      </c>
      <c r="AJ352" s="100">
        <f>IF(Tabla1[[#This Row],[TIPO DE CONSUMIDOR]]="MEDIO",IF(Tabla1[[#This Row],[ABRIL]]&gt;22.5,Tabla1[[#This Row],[ABRIL]]/22.5-1,0),IF(Tabla1[[#This Row],[ABRIL]]&gt;45,Tabla1[[#This Row],[ABRIL]]/45-1,0))</f>
        <v>0</v>
      </c>
      <c r="AK352" s="100">
        <f>IF(Tabla1[[#This Row],[TIPO DE CONSUMIDOR]]="MEDIO",IF(Tabla1[[#This Row],[MAYO ]]&gt;22.5,Tabla1[[#This Row],[MAYO ]]/22.5-1,0),IF(Tabla1[[#This Row],[MAYO ]]&gt;45,Tabla1[[#This Row],[MAYO ]]/45-1,0))</f>
        <v>0</v>
      </c>
      <c r="AL352" s="100">
        <f>IF(Tabla1[[#This Row],[TIPO DE CONSUMIDOR]]="MEDIO",IF(Tabla1[[#This Row],[JUNIO ]]&gt;22.5,Tabla1[[#This Row],[JUNIO ]]/22.5-1,0),IF(Tabla1[[#This Row],[JUNIO ]]&gt;45,Tabla1[[#This Row],[JUNIO ]]/45-1,0))</f>
        <v>0</v>
      </c>
      <c r="AM352" s="100">
        <f>IF(Tabla1[[#This Row],[TIPO DE CONSUMIDOR]]="MEDIO",IF(Tabla1[[#This Row],[JULIO ]]&gt;22.5,Tabla1[[#This Row],[JULIO ]]/22.5-1,0),IF(Tabla1[[#This Row],[JULIO ]]&gt;45,Tabla1[[#This Row],[JULIO ]]/45-1,0))</f>
        <v>0</v>
      </c>
      <c r="AN352" s="100">
        <f>IF(Tabla1[[#This Row],[TIPO DE CONSUMIDOR]]="MEDIO",IF(Tabla1[[#This Row],[AGOSTO]]&gt;22.5,Tabla1[[#This Row],[AGOSTO]]/22.5-1,0),IF(Tabla1[[#This Row],[AGOSTO]]&gt;45,Tabla1[[#This Row],[AGOSTO]]/45-1,0))</f>
        <v>0</v>
      </c>
      <c r="AO35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2" s="101">
        <f t="shared" si="11"/>
        <v>0</v>
      </c>
      <c r="AT352">
        <f>IF(Tabla1[[#This Row],[MES ADEUDO DE AÑOS PASADOS ]]&gt;0,1,0)</f>
        <v>1</v>
      </c>
      <c r="AU352" s="9">
        <f t="shared" si="12"/>
        <v>1</v>
      </c>
      <c r="AV352" s="60">
        <f>IF(Tabla1[[#This Row],[MESES DE ADEUDO DEL AÑO EN CURSO ]]&gt;0,1,0)</f>
        <v>0</v>
      </c>
      <c r="AW352" s="42"/>
      <c r="AX352" s="42"/>
      <c r="AY352" s="42"/>
      <c r="AZ352" s="43"/>
    </row>
    <row r="353" spans="1:52" ht="21.75" thickBot="1" x14ac:dyDescent="0.35">
      <c r="A353" s="106">
        <v>347</v>
      </c>
      <c r="B353" s="5" t="s">
        <v>21</v>
      </c>
      <c r="C353" s="2" t="s">
        <v>545</v>
      </c>
      <c r="D353" s="32"/>
      <c r="E353" s="35" t="s">
        <v>455</v>
      </c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24">
        <f>SUM(Tabla1[[#This Row],[ENERO ]:[DICIEMBRE]])</f>
        <v>0</v>
      </c>
      <c r="W353">
        <v>0</v>
      </c>
      <c r="X353" s="21">
        <f>COUNTIF(Tabla1[[#This Row],[ENERO ]:[DICIEMBRE]],0)-(AS353)-IF(Tabla1[[#This Row],[BAJAS]]="BAJA",IF(Tabla1[[#This Row],[ALTAS]]="ALTA",VLOOKUP(Tabla1[[#This Row],[MES DE ALTA ]],$AW$6:$AX$17,2,FALSE),12)-VLOOKUP(Tabla1[[#This Row],[MES DE BAJA ]],$AW$6:$AX$17,2,FALSE),0)</f>
        <v>0</v>
      </c>
      <c r="Y353" s="68">
        <f>SUM(Tabla1[[#This Row],[MES ADEUDO DE AÑOS PASADOS ]:[MESES DE ADEUDO DEL AÑO EN CURSO ]])-Tabla1[[#This Row],[PAGO DE DEUDA ANTERIOR EN MESES]]</f>
        <v>0</v>
      </c>
      <c r="Z353" s="15">
        <f>Tabla1[[#This Row],[MES ADEUDO DE AÑOS PASADOS ]]*$T$2</f>
        <v>0</v>
      </c>
      <c r="AA353" s="15">
        <f>Tabla1[[#This Row],[MESES DE ADEUDO DEL AÑO EN CURSO ]]*$T$2</f>
        <v>0</v>
      </c>
      <c r="AB353" s="69">
        <f>SUM(Tabla1[[#This Row],[DEUDA DE LOS MESES PASADOS EN $$]:[DEUDA DEL AÑO 2013 $$ ]])</f>
        <v>0</v>
      </c>
      <c r="AD353">
        <f>Tabla1[[#This Row],[PAGO DE DEUDA ANTERIOR EN MESES]]*$T$2</f>
        <v>0</v>
      </c>
      <c r="AG353" s="100">
        <f>IF(Tabla1[[#This Row],[TIPO DE CONSUMIDOR]]="MEDIO",IF(Tabla1[[#This Row],[ENERO ]]&gt;22.5,Tabla1[[#This Row],[ENERO ]]/22.5-1,0),IF(Tabla1[[#This Row],[ENERO ]]&gt;45,Tabla1[[#This Row],[ENERO ]]/45-1,0))</f>
        <v>0</v>
      </c>
      <c r="AH35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3" s="100">
        <f>IF(Tabla1[[#This Row],[TIPO DE CONSUMIDOR]]="MEDIO",IF(Tabla1[[#This Row],[MARZO]]&gt;22.5,Tabla1[[#This Row],[MARZO]]/22.5-1,0),IF(Tabla1[[#This Row],[MARZO]]&gt;45,Tabla1[[#This Row],[MARZO]]/45-1,0))</f>
        <v>0</v>
      </c>
      <c r="AJ353" s="100">
        <f>IF(Tabla1[[#This Row],[TIPO DE CONSUMIDOR]]="MEDIO",IF(Tabla1[[#This Row],[ABRIL]]&gt;22.5,Tabla1[[#This Row],[ABRIL]]/22.5-1,0),IF(Tabla1[[#This Row],[ABRIL]]&gt;45,Tabla1[[#This Row],[ABRIL]]/45-1,0))</f>
        <v>0</v>
      </c>
      <c r="AK353" s="100">
        <f>IF(Tabla1[[#This Row],[TIPO DE CONSUMIDOR]]="MEDIO",IF(Tabla1[[#This Row],[MAYO ]]&gt;22.5,Tabla1[[#This Row],[MAYO ]]/22.5-1,0),IF(Tabla1[[#This Row],[MAYO ]]&gt;45,Tabla1[[#This Row],[MAYO ]]/45-1,0))</f>
        <v>0</v>
      </c>
      <c r="AL353" s="100">
        <f>IF(Tabla1[[#This Row],[TIPO DE CONSUMIDOR]]="MEDIO",IF(Tabla1[[#This Row],[JUNIO ]]&gt;22.5,Tabla1[[#This Row],[JUNIO ]]/22.5-1,0),IF(Tabla1[[#This Row],[JUNIO ]]&gt;45,Tabla1[[#This Row],[JUNIO ]]/45-1,0))</f>
        <v>0</v>
      </c>
      <c r="AM353" s="100">
        <f>IF(Tabla1[[#This Row],[TIPO DE CONSUMIDOR]]="MEDIO",IF(Tabla1[[#This Row],[JULIO ]]&gt;22.5,Tabla1[[#This Row],[JULIO ]]/22.5-1,0),IF(Tabla1[[#This Row],[JULIO ]]&gt;45,Tabla1[[#This Row],[JULIO ]]/45-1,0))</f>
        <v>0</v>
      </c>
      <c r="AN353" s="100">
        <f>IF(Tabla1[[#This Row],[TIPO DE CONSUMIDOR]]="MEDIO",IF(Tabla1[[#This Row],[AGOSTO]]&gt;22.5,Tabla1[[#This Row],[AGOSTO]]/22.5-1,0),IF(Tabla1[[#This Row],[AGOSTO]]&gt;45,Tabla1[[#This Row],[AGOSTO]]/45-1,0))</f>
        <v>0</v>
      </c>
      <c r="AO35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3" s="101">
        <f t="shared" si="11"/>
        <v>0</v>
      </c>
      <c r="AT353">
        <f>IF(Tabla1[[#This Row],[MES ADEUDO DE AÑOS PASADOS ]]&gt;0,1,0)</f>
        <v>0</v>
      </c>
      <c r="AU353" s="9">
        <f t="shared" si="12"/>
        <v>0</v>
      </c>
      <c r="AV353" s="60">
        <f>IF(Tabla1[[#This Row],[MESES DE ADEUDO DEL AÑO EN CURSO ]]&gt;0,1,0)</f>
        <v>0</v>
      </c>
      <c r="AW353" s="42"/>
      <c r="AX353" s="42"/>
      <c r="AY353" s="42"/>
      <c r="AZ353" s="43"/>
    </row>
    <row r="354" spans="1:52" ht="21.75" thickBot="1" x14ac:dyDescent="0.35">
      <c r="A354" s="106">
        <v>348</v>
      </c>
      <c r="B354" s="5" t="s">
        <v>69</v>
      </c>
      <c r="C354" s="2" t="s">
        <v>545</v>
      </c>
      <c r="D354" s="32"/>
      <c r="E354" s="35" t="s">
        <v>455</v>
      </c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24">
        <f>SUM(Tabla1[[#This Row],[ENERO ]:[DICIEMBRE]])</f>
        <v>0</v>
      </c>
      <c r="W354">
        <v>0</v>
      </c>
      <c r="X354" s="21">
        <f>COUNTIF(Tabla1[[#This Row],[ENERO ]:[DICIEMBRE]],0)-(AS354)-IF(Tabla1[[#This Row],[BAJAS]]="BAJA",IF(Tabla1[[#This Row],[ALTAS]]="ALTA",VLOOKUP(Tabla1[[#This Row],[MES DE ALTA ]],$AW$6:$AX$17,2,FALSE),12)-VLOOKUP(Tabla1[[#This Row],[MES DE BAJA ]],$AW$6:$AX$17,2,FALSE),0)</f>
        <v>0</v>
      </c>
      <c r="Y354" s="68">
        <f>SUM(Tabla1[[#This Row],[MES ADEUDO DE AÑOS PASADOS ]:[MESES DE ADEUDO DEL AÑO EN CURSO ]])-Tabla1[[#This Row],[PAGO DE DEUDA ANTERIOR EN MESES]]</f>
        <v>0</v>
      </c>
      <c r="Z354" s="15">
        <f>Tabla1[[#This Row],[MES ADEUDO DE AÑOS PASADOS ]]*$T$2</f>
        <v>0</v>
      </c>
      <c r="AA354" s="15">
        <f>Tabla1[[#This Row],[MESES DE ADEUDO DEL AÑO EN CURSO ]]*$T$2</f>
        <v>0</v>
      </c>
      <c r="AB354" s="69">
        <f>SUM(Tabla1[[#This Row],[DEUDA DE LOS MESES PASADOS EN $$]:[DEUDA DEL AÑO 2013 $$ ]])</f>
        <v>0</v>
      </c>
      <c r="AD354">
        <f>Tabla1[[#This Row],[PAGO DE DEUDA ANTERIOR EN MESES]]*$T$2</f>
        <v>0</v>
      </c>
      <c r="AG354" s="100">
        <f>IF(Tabla1[[#This Row],[TIPO DE CONSUMIDOR]]="MEDIO",IF(Tabla1[[#This Row],[ENERO ]]&gt;22.5,Tabla1[[#This Row],[ENERO ]]/22.5-1,0),IF(Tabla1[[#This Row],[ENERO ]]&gt;45,Tabla1[[#This Row],[ENERO ]]/45-1,0))</f>
        <v>0</v>
      </c>
      <c r="AH35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4" s="100">
        <f>IF(Tabla1[[#This Row],[TIPO DE CONSUMIDOR]]="MEDIO",IF(Tabla1[[#This Row],[MARZO]]&gt;22.5,Tabla1[[#This Row],[MARZO]]/22.5-1,0),IF(Tabla1[[#This Row],[MARZO]]&gt;45,Tabla1[[#This Row],[MARZO]]/45-1,0))</f>
        <v>0</v>
      </c>
      <c r="AJ354" s="100">
        <f>IF(Tabla1[[#This Row],[TIPO DE CONSUMIDOR]]="MEDIO",IF(Tabla1[[#This Row],[ABRIL]]&gt;22.5,Tabla1[[#This Row],[ABRIL]]/22.5-1,0),IF(Tabla1[[#This Row],[ABRIL]]&gt;45,Tabla1[[#This Row],[ABRIL]]/45-1,0))</f>
        <v>0</v>
      </c>
      <c r="AK354" s="100">
        <f>IF(Tabla1[[#This Row],[TIPO DE CONSUMIDOR]]="MEDIO",IF(Tabla1[[#This Row],[MAYO ]]&gt;22.5,Tabla1[[#This Row],[MAYO ]]/22.5-1,0),IF(Tabla1[[#This Row],[MAYO ]]&gt;45,Tabla1[[#This Row],[MAYO ]]/45-1,0))</f>
        <v>0</v>
      </c>
      <c r="AL354" s="100">
        <f>IF(Tabla1[[#This Row],[TIPO DE CONSUMIDOR]]="MEDIO",IF(Tabla1[[#This Row],[JUNIO ]]&gt;22.5,Tabla1[[#This Row],[JUNIO ]]/22.5-1,0),IF(Tabla1[[#This Row],[JUNIO ]]&gt;45,Tabla1[[#This Row],[JUNIO ]]/45-1,0))</f>
        <v>0</v>
      </c>
      <c r="AM354" s="100">
        <f>IF(Tabla1[[#This Row],[TIPO DE CONSUMIDOR]]="MEDIO",IF(Tabla1[[#This Row],[JULIO ]]&gt;22.5,Tabla1[[#This Row],[JULIO ]]/22.5-1,0),IF(Tabla1[[#This Row],[JULIO ]]&gt;45,Tabla1[[#This Row],[JULIO ]]/45-1,0))</f>
        <v>0</v>
      </c>
      <c r="AN354" s="100">
        <f>IF(Tabla1[[#This Row],[TIPO DE CONSUMIDOR]]="MEDIO",IF(Tabla1[[#This Row],[AGOSTO]]&gt;22.5,Tabla1[[#This Row],[AGOSTO]]/22.5-1,0),IF(Tabla1[[#This Row],[AGOSTO]]&gt;45,Tabla1[[#This Row],[AGOSTO]]/45-1,0))</f>
        <v>0</v>
      </c>
      <c r="AO35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4" s="101">
        <f t="shared" si="11"/>
        <v>0</v>
      </c>
      <c r="AT354">
        <f>IF(Tabla1[[#This Row],[MES ADEUDO DE AÑOS PASADOS ]]&gt;0,1,0)</f>
        <v>0</v>
      </c>
      <c r="AU354" s="9">
        <f t="shared" si="12"/>
        <v>0</v>
      </c>
      <c r="AV354" s="60">
        <f>IF(Tabla1[[#This Row],[MESES DE ADEUDO DEL AÑO EN CURSO ]]&gt;0,1,0)</f>
        <v>0</v>
      </c>
      <c r="AW354" s="42"/>
      <c r="AX354" s="42"/>
      <c r="AY354" s="42"/>
      <c r="AZ354" s="43"/>
    </row>
    <row r="355" spans="1:52" ht="21.75" thickBot="1" x14ac:dyDescent="0.35">
      <c r="A355" s="106">
        <v>349</v>
      </c>
      <c r="B355" s="5" t="s">
        <v>546</v>
      </c>
      <c r="C355" s="2" t="s">
        <v>545</v>
      </c>
      <c r="D355" s="32"/>
      <c r="E355" s="35" t="s">
        <v>455</v>
      </c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24">
        <f>SUM(Tabla1[[#This Row],[ENERO ]:[DICIEMBRE]])</f>
        <v>0</v>
      </c>
      <c r="W355">
        <v>0</v>
      </c>
      <c r="X355" s="21">
        <f>COUNTIF(Tabla1[[#This Row],[ENERO ]:[DICIEMBRE]],0)-(AS355)-IF(Tabla1[[#This Row],[BAJAS]]="BAJA",IF(Tabla1[[#This Row],[ALTAS]]="ALTA",VLOOKUP(Tabla1[[#This Row],[MES DE ALTA ]],$AW$6:$AX$17,2,FALSE),12)-VLOOKUP(Tabla1[[#This Row],[MES DE BAJA ]],$AW$6:$AX$17,2,FALSE),0)</f>
        <v>0</v>
      </c>
      <c r="Y355" s="68">
        <f>SUM(Tabla1[[#This Row],[MES ADEUDO DE AÑOS PASADOS ]:[MESES DE ADEUDO DEL AÑO EN CURSO ]])-Tabla1[[#This Row],[PAGO DE DEUDA ANTERIOR EN MESES]]</f>
        <v>0</v>
      </c>
      <c r="Z355" s="15">
        <f>Tabla1[[#This Row],[MES ADEUDO DE AÑOS PASADOS ]]*$T$2</f>
        <v>0</v>
      </c>
      <c r="AA355" s="15">
        <f>Tabla1[[#This Row],[MESES DE ADEUDO DEL AÑO EN CURSO ]]*$T$2</f>
        <v>0</v>
      </c>
      <c r="AB355" s="69">
        <f>SUM(Tabla1[[#This Row],[DEUDA DE LOS MESES PASADOS EN $$]:[DEUDA DEL AÑO 2013 $$ ]])</f>
        <v>0</v>
      </c>
      <c r="AD355">
        <f>Tabla1[[#This Row],[PAGO DE DEUDA ANTERIOR EN MESES]]*$T$2</f>
        <v>0</v>
      </c>
      <c r="AG355" s="100">
        <f>IF(Tabla1[[#This Row],[TIPO DE CONSUMIDOR]]="MEDIO",IF(Tabla1[[#This Row],[ENERO ]]&gt;22.5,Tabla1[[#This Row],[ENERO ]]/22.5-1,0),IF(Tabla1[[#This Row],[ENERO ]]&gt;45,Tabla1[[#This Row],[ENERO ]]/45-1,0))</f>
        <v>0</v>
      </c>
      <c r="AH35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5" s="100">
        <f>IF(Tabla1[[#This Row],[TIPO DE CONSUMIDOR]]="MEDIO",IF(Tabla1[[#This Row],[MARZO]]&gt;22.5,Tabla1[[#This Row],[MARZO]]/22.5-1,0),IF(Tabla1[[#This Row],[MARZO]]&gt;45,Tabla1[[#This Row],[MARZO]]/45-1,0))</f>
        <v>0</v>
      </c>
      <c r="AJ355" s="100">
        <f>IF(Tabla1[[#This Row],[TIPO DE CONSUMIDOR]]="MEDIO",IF(Tabla1[[#This Row],[ABRIL]]&gt;22.5,Tabla1[[#This Row],[ABRIL]]/22.5-1,0),IF(Tabla1[[#This Row],[ABRIL]]&gt;45,Tabla1[[#This Row],[ABRIL]]/45-1,0))</f>
        <v>0</v>
      </c>
      <c r="AK355" s="100">
        <f>IF(Tabla1[[#This Row],[TIPO DE CONSUMIDOR]]="MEDIO",IF(Tabla1[[#This Row],[MAYO ]]&gt;22.5,Tabla1[[#This Row],[MAYO ]]/22.5-1,0),IF(Tabla1[[#This Row],[MAYO ]]&gt;45,Tabla1[[#This Row],[MAYO ]]/45-1,0))</f>
        <v>0</v>
      </c>
      <c r="AL355" s="100">
        <f>IF(Tabla1[[#This Row],[TIPO DE CONSUMIDOR]]="MEDIO",IF(Tabla1[[#This Row],[JUNIO ]]&gt;22.5,Tabla1[[#This Row],[JUNIO ]]/22.5-1,0),IF(Tabla1[[#This Row],[JUNIO ]]&gt;45,Tabla1[[#This Row],[JUNIO ]]/45-1,0))</f>
        <v>0</v>
      </c>
      <c r="AM355" s="100">
        <f>IF(Tabla1[[#This Row],[TIPO DE CONSUMIDOR]]="MEDIO",IF(Tabla1[[#This Row],[JULIO ]]&gt;22.5,Tabla1[[#This Row],[JULIO ]]/22.5-1,0),IF(Tabla1[[#This Row],[JULIO ]]&gt;45,Tabla1[[#This Row],[JULIO ]]/45-1,0))</f>
        <v>0</v>
      </c>
      <c r="AN355" s="100">
        <f>IF(Tabla1[[#This Row],[TIPO DE CONSUMIDOR]]="MEDIO",IF(Tabla1[[#This Row],[AGOSTO]]&gt;22.5,Tabla1[[#This Row],[AGOSTO]]/22.5-1,0),IF(Tabla1[[#This Row],[AGOSTO]]&gt;45,Tabla1[[#This Row],[AGOSTO]]/45-1,0))</f>
        <v>0</v>
      </c>
      <c r="AO35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5" s="101">
        <f t="shared" si="11"/>
        <v>0</v>
      </c>
      <c r="AT355">
        <f>IF(Tabla1[[#This Row],[MES ADEUDO DE AÑOS PASADOS ]]&gt;0,1,0)</f>
        <v>0</v>
      </c>
      <c r="AU355" s="9">
        <f t="shared" si="12"/>
        <v>0</v>
      </c>
      <c r="AV355" s="60">
        <f>IF(Tabla1[[#This Row],[MESES DE ADEUDO DEL AÑO EN CURSO ]]&gt;0,1,0)</f>
        <v>0</v>
      </c>
      <c r="AW355" s="42"/>
      <c r="AX355" s="42"/>
      <c r="AY355" s="42"/>
      <c r="AZ355" s="43"/>
    </row>
    <row r="356" spans="1:52" ht="21.75" thickBot="1" x14ac:dyDescent="0.35">
      <c r="A356" s="106">
        <v>350</v>
      </c>
      <c r="B356" s="5" t="s">
        <v>216</v>
      </c>
      <c r="C356" s="2" t="s">
        <v>545</v>
      </c>
      <c r="D356" s="32"/>
      <c r="E356" s="35" t="s">
        <v>455</v>
      </c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24">
        <f>SUM(Tabla1[[#This Row],[ENERO ]:[DICIEMBRE]])</f>
        <v>0</v>
      </c>
      <c r="W356">
        <v>0</v>
      </c>
      <c r="X356" s="21">
        <f>COUNTIF(Tabla1[[#This Row],[ENERO ]:[DICIEMBRE]],0)-(AS356)-IF(Tabla1[[#This Row],[BAJAS]]="BAJA",IF(Tabla1[[#This Row],[ALTAS]]="ALTA",VLOOKUP(Tabla1[[#This Row],[MES DE ALTA ]],$AW$6:$AX$17,2,FALSE),12)-VLOOKUP(Tabla1[[#This Row],[MES DE BAJA ]],$AW$6:$AX$17,2,FALSE),0)</f>
        <v>0</v>
      </c>
      <c r="Y356" s="68">
        <f>SUM(Tabla1[[#This Row],[MES ADEUDO DE AÑOS PASADOS ]:[MESES DE ADEUDO DEL AÑO EN CURSO ]])-Tabla1[[#This Row],[PAGO DE DEUDA ANTERIOR EN MESES]]</f>
        <v>0</v>
      </c>
      <c r="Z356" s="15">
        <f>Tabla1[[#This Row],[MES ADEUDO DE AÑOS PASADOS ]]*$T$2</f>
        <v>0</v>
      </c>
      <c r="AA356" s="15">
        <f>Tabla1[[#This Row],[MESES DE ADEUDO DEL AÑO EN CURSO ]]*$T$2</f>
        <v>0</v>
      </c>
      <c r="AB356" s="69">
        <f>SUM(Tabla1[[#This Row],[DEUDA DE LOS MESES PASADOS EN $$]:[DEUDA DEL AÑO 2013 $$ ]])</f>
        <v>0</v>
      </c>
      <c r="AD356">
        <f>Tabla1[[#This Row],[PAGO DE DEUDA ANTERIOR EN MESES]]*$T$2</f>
        <v>0</v>
      </c>
      <c r="AG356" s="100">
        <f>IF(Tabla1[[#This Row],[TIPO DE CONSUMIDOR]]="MEDIO",IF(Tabla1[[#This Row],[ENERO ]]&gt;22.5,Tabla1[[#This Row],[ENERO ]]/22.5-1,0),IF(Tabla1[[#This Row],[ENERO ]]&gt;45,Tabla1[[#This Row],[ENERO ]]/45-1,0))</f>
        <v>0</v>
      </c>
      <c r="AH35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6" s="100">
        <f>IF(Tabla1[[#This Row],[TIPO DE CONSUMIDOR]]="MEDIO",IF(Tabla1[[#This Row],[MARZO]]&gt;22.5,Tabla1[[#This Row],[MARZO]]/22.5-1,0),IF(Tabla1[[#This Row],[MARZO]]&gt;45,Tabla1[[#This Row],[MARZO]]/45-1,0))</f>
        <v>0</v>
      </c>
      <c r="AJ356" s="100">
        <f>IF(Tabla1[[#This Row],[TIPO DE CONSUMIDOR]]="MEDIO",IF(Tabla1[[#This Row],[ABRIL]]&gt;22.5,Tabla1[[#This Row],[ABRIL]]/22.5-1,0),IF(Tabla1[[#This Row],[ABRIL]]&gt;45,Tabla1[[#This Row],[ABRIL]]/45-1,0))</f>
        <v>0</v>
      </c>
      <c r="AK356" s="100">
        <f>IF(Tabla1[[#This Row],[TIPO DE CONSUMIDOR]]="MEDIO",IF(Tabla1[[#This Row],[MAYO ]]&gt;22.5,Tabla1[[#This Row],[MAYO ]]/22.5-1,0),IF(Tabla1[[#This Row],[MAYO ]]&gt;45,Tabla1[[#This Row],[MAYO ]]/45-1,0))</f>
        <v>0</v>
      </c>
      <c r="AL356" s="100">
        <f>IF(Tabla1[[#This Row],[TIPO DE CONSUMIDOR]]="MEDIO",IF(Tabla1[[#This Row],[JUNIO ]]&gt;22.5,Tabla1[[#This Row],[JUNIO ]]/22.5-1,0),IF(Tabla1[[#This Row],[JUNIO ]]&gt;45,Tabla1[[#This Row],[JUNIO ]]/45-1,0))</f>
        <v>0</v>
      </c>
      <c r="AM356" s="100">
        <f>IF(Tabla1[[#This Row],[TIPO DE CONSUMIDOR]]="MEDIO",IF(Tabla1[[#This Row],[JULIO ]]&gt;22.5,Tabla1[[#This Row],[JULIO ]]/22.5-1,0),IF(Tabla1[[#This Row],[JULIO ]]&gt;45,Tabla1[[#This Row],[JULIO ]]/45-1,0))</f>
        <v>0</v>
      </c>
      <c r="AN356" s="100">
        <f>IF(Tabla1[[#This Row],[TIPO DE CONSUMIDOR]]="MEDIO",IF(Tabla1[[#This Row],[AGOSTO]]&gt;22.5,Tabla1[[#This Row],[AGOSTO]]/22.5-1,0),IF(Tabla1[[#This Row],[AGOSTO]]&gt;45,Tabla1[[#This Row],[AGOSTO]]/45-1,0))</f>
        <v>0</v>
      </c>
      <c r="AO35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6" s="101">
        <f t="shared" si="11"/>
        <v>0</v>
      </c>
      <c r="AT356">
        <f>IF(Tabla1[[#This Row],[MES ADEUDO DE AÑOS PASADOS ]]&gt;0,1,0)</f>
        <v>0</v>
      </c>
      <c r="AU356" s="9">
        <f t="shared" si="12"/>
        <v>0</v>
      </c>
      <c r="AV356" s="60">
        <f>IF(Tabla1[[#This Row],[MESES DE ADEUDO DEL AÑO EN CURSO ]]&gt;0,1,0)</f>
        <v>0</v>
      </c>
      <c r="AW356" s="42"/>
      <c r="AX356" s="42"/>
      <c r="AY356" s="42"/>
      <c r="AZ356" s="43"/>
    </row>
    <row r="357" spans="1:52" ht="21.75" thickBot="1" x14ac:dyDescent="0.35">
      <c r="A357" s="106">
        <v>351</v>
      </c>
      <c r="B357" s="12" t="s">
        <v>615</v>
      </c>
      <c r="C357" s="2" t="s">
        <v>545</v>
      </c>
      <c r="D357" s="32"/>
      <c r="E357" s="35" t="s">
        <v>489</v>
      </c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24">
        <f>SUM(Tabla1[[#This Row],[ENERO ]:[DICIEMBRE]])</f>
        <v>0</v>
      </c>
      <c r="W357">
        <v>2</v>
      </c>
      <c r="X357" s="21">
        <f>COUNTIF(Tabla1[[#This Row],[ENERO ]:[DICIEMBRE]],0)-(AS357)-IF(Tabla1[[#This Row],[BAJAS]]="BAJA",IF(Tabla1[[#This Row],[ALTAS]]="ALTA",VLOOKUP(Tabla1[[#This Row],[MES DE ALTA ]],$AW$6:$AX$17,2,FALSE),12)-VLOOKUP(Tabla1[[#This Row],[MES DE BAJA ]],$AW$6:$AX$17,2,FALSE),0)</f>
        <v>0</v>
      </c>
      <c r="Y357" s="68">
        <f>SUM(Tabla1[[#This Row],[MES ADEUDO DE AÑOS PASADOS ]:[MESES DE ADEUDO DEL AÑO EN CURSO ]])-Tabla1[[#This Row],[PAGO DE DEUDA ANTERIOR EN MESES]]</f>
        <v>2</v>
      </c>
      <c r="Z357" s="15">
        <f>Tabla1[[#This Row],[MES ADEUDO DE AÑOS PASADOS ]]*$T$2</f>
        <v>90</v>
      </c>
      <c r="AA357" s="15">
        <f>Tabla1[[#This Row],[MESES DE ADEUDO DEL AÑO EN CURSO ]]*$T$2</f>
        <v>0</v>
      </c>
      <c r="AB357" s="69">
        <f>SUM(Tabla1[[#This Row],[DEUDA DE LOS MESES PASADOS EN $$]:[DEUDA DEL AÑO 2013 $$ ]])</f>
        <v>90</v>
      </c>
      <c r="AD357">
        <f>Tabla1[[#This Row],[PAGO DE DEUDA ANTERIOR EN MESES]]*$T$2</f>
        <v>0</v>
      </c>
      <c r="AG357" s="100">
        <f>IF(Tabla1[[#This Row],[TIPO DE CONSUMIDOR]]="MEDIO",IF(Tabla1[[#This Row],[ENERO ]]&gt;22.5,Tabla1[[#This Row],[ENERO ]]/22.5-1,0),IF(Tabla1[[#This Row],[ENERO ]]&gt;45,Tabla1[[#This Row],[ENERO ]]/45-1,0))</f>
        <v>0</v>
      </c>
      <c r="AH35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7" s="100">
        <f>IF(Tabla1[[#This Row],[TIPO DE CONSUMIDOR]]="MEDIO",IF(Tabla1[[#This Row],[MARZO]]&gt;22.5,Tabla1[[#This Row],[MARZO]]/22.5-1,0),IF(Tabla1[[#This Row],[MARZO]]&gt;45,Tabla1[[#This Row],[MARZO]]/45-1,0))</f>
        <v>0</v>
      </c>
      <c r="AJ357" s="100">
        <f>IF(Tabla1[[#This Row],[TIPO DE CONSUMIDOR]]="MEDIO",IF(Tabla1[[#This Row],[ABRIL]]&gt;22.5,Tabla1[[#This Row],[ABRIL]]/22.5-1,0),IF(Tabla1[[#This Row],[ABRIL]]&gt;45,Tabla1[[#This Row],[ABRIL]]/45-1,0))</f>
        <v>0</v>
      </c>
      <c r="AK357" s="100">
        <f>IF(Tabla1[[#This Row],[TIPO DE CONSUMIDOR]]="MEDIO",IF(Tabla1[[#This Row],[MAYO ]]&gt;22.5,Tabla1[[#This Row],[MAYO ]]/22.5-1,0),IF(Tabla1[[#This Row],[MAYO ]]&gt;45,Tabla1[[#This Row],[MAYO ]]/45-1,0))</f>
        <v>0</v>
      </c>
      <c r="AL357" s="100">
        <f>IF(Tabla1[[#This Row],[TIPO DE CONSUMIDOR]]="MEDIO",IF(Tabla1[[#This Row],[JUNIO ]]&gt;22.5,Tabla1[[#This Row],[JUNIO ]]/22.5-1,0),IF(Tabla1[[#This Row],[JUNIO ]]&gt;45,Tabla1[[#This Row],[JUNIO ]]/45-1,0))</f>
        <v>0</v>
      </c>
      <c r="AM357" s="100">
        <f>IF(Tabla1[[#This Row],[TIPO DE CONSUMIDOR]]="MEDIO",IF(Tabla1[[#This Row],[JULIO ]]&gt;22.5,Tabla1[[#This Row],[JULIO ]]/22.5-1,0),IF(Tabla1[[#This Row],[JULIO ]]&gt;45,Tabla1[[#This Row],[JULIO ]]/45-1,0))</f>
        <v>0</v>
      </c>
      <c r="AN357" s="100">
        <f>IF(Tabla1[[#This Row],[TIPO DE CONSUMIDOR]]="MEDIO",IF(Tabla1[[#This Row],[AGOSTO]]&gt;22.5,Tabla1[[#This Row],[AGOSTO]]/22.5-1,0),IF(Tabla1[[#This Row],[AGOSTO]]&gt;45,Tabla1[[#This Row],[AGOSTO]]/45-1,0))</f>
        <v>0</v>
      </c>
      <c r="AO35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7" s="101">
        <f t="shared" si="11"/>
        <v>0</v>
      </c>
      <c r="AT357">
        <f>IF(Tabla1[[#This Row],[MES ADEUDO DE AÑOS PASADOS ]]&gt;0,1,0)</f>
        <v>1</v>
      </c>
      <c r="AU357" s="9">
        <f t="shared" si="12"/>
        <v>1</v>
      </c>
      <c r="AV357" s="60">
        <f>IF(Tabla1[[#This Row],[MESES DE ADEUDO DEL AÑO EN CURSO ]]&gt;0,1,0)</f>
        <v>0</v>
      </c>
      <c r="AW357" s="42"/>
      <c r="AX357" s="42"/>
      <c r="AY357" s="42"/>
      <c r="AZ357" s="43"/>
    </row>
    <row r="358" spans="1:52" ht="21.75" thickBot="1" x14ac:dyDescent="0.35">
      <c r="A358" s="106">
        <v>352</v>
      </c>
      <c r="B358" s="5" t="s">
        <v>547</v>
      </c>
      <c r="C358" s="2" t="s">
        <v>545</v>
      </c>
      <c r="D358" s="32"/>
      <c r="E358" s="35" t="s">
        <v>455</v>
      </c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24">
        <f>SUM(Tabla1[[#This Row],[ENERO ]:[DICIEMBRE]])</f>
        <v>0</v>
      </c>
      <c r="W358">
        <v>9</v>
      </c>
      <c r="X358" s="21">
        <f>COUNTIF(Tabla1[[#This Row],[ENERO ]:[DICIEMBRE]],0)-(AS358)-IF(Tabla1[[#This Row],[BAJAS]]="BAJA",IF(Tabla1[[#This Row],[ALTAS]]="ALTA",VLOOKUP(Tabla1[[#This Row],[MES DE ALTA ]],$AW$6:$AX$17,2,FALSE),12)-VLOOKUP(Tabla1[[#This Row],[MES DE BAJA ]],$AW$6:$AX$17,2,FALSE),0)</f>
        <v>0</v>
      </c>
      <c r="Y358" s="68">
        <f>SUM(Tabla1[[#This Row],[MES ADEUDO DE AÑOS PASADOS ]:[MESES DE ADEUDO DEL AÑO EN CURSO ]])-Tabla1[[#This Row],[PAGO DE DEUDA ANTERIOR EN MESES]]</f>
        <v>9</v>
      </c>
      <c r="Z358" s="15">
        <f>Tabla1[[#This Row],[MES ADEUDO DE AÑOS PASADOS ]]*$T$2</f>
        <v>405</v>
      </c>
      <c r="AA358" s="15">
        <f>Tabla1[[#This Row],[MESES DE ADEUDO DEL AÑO EN CURSO ]]*$T$2</f>
        <v>0</v>
      </c>
      <c r="AB358" s="69">
        <f>SUM(Tabla1[[#This Row],[DEUDA DE LOS MESES PASADOS EN $$]:[DEUDA DEL AÑO 2013 $$ ]])</f>
        <v>405</v>
      </c>
      <c r="AD358">
        <f>Tabla1[[#This Row],[PAGO DE DEUDA ANTERIOR EN MESES]]*$T$2</f>
        <v>0</v>
      </c>
      <c r="AG358" s="100">
        <f>IF(Tabla1[[#This Row],[TIPO DE CONSUMIDOR]]="MEDIO",IF(Tabla1[[#This Row],[ENERO ]]&gt;22.5,Tabla1[[#This Row],[ENERO ]]/22.5-1,0),IF(Tabla1[[#This Row],[ENERO ]]&gt;45,Tabla1[[#This Row],[ENERO ]]/45-1,0))</f>
        <v>0</v>
      </c>
      <c r="AH35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8" s="100">
        <f>IF(Tabla1[[#This Row],[TIPO DE CONSUMIDOR]]="MEDIO",IF(Tabla1[[#This Row],[MARZO]]&gt;22.5,Tabla1[[#This Row],[MARZO]]/22.5-1,0),IF(Tabla1[[#This Row],[MARZO]]&gt;45,Tabla1[[#This Row],[MARZO]]/45-1,0))</f>
        <v>0</v>
      </c>
      <c r="AJ358" s="100">
        <f>IF(Tabla1[[#This Row],[TIPO DE CONSUMIDOR]]="MEDIO",IF(Tabla1[[#This Row],[ABRIL]]&gt;22.5,Tabla1[[#This Row],[ABRIL]]/22.5-1,0),IF(Tabla1[[#This Row],[ABRIL]]&gt;45,Tabla1[[#This Row],[ABRIL]]/45-1,0))</f>
        <v>0</v>
      </c>
      <c r="AK358" s="100">
        <f>IF(Tabla1[[#This Row],[TIPO DE CONSUMIDOR]]="MEDIO",IF(Tabla1[[#This Row],[MAYO ]]&gt;22.5,Tabla1[[#This Row],[MAYO ]]/22.5-1,0),IF(Tabla1[[#This Row],[MAYO ]]&gt;45,Tabla1[[#This Row],[MAYO ]]/45-1,0))</f>
        <v>0</v>
      </c>
      <c r="AL358" s="100">
        <f>IF(Tabla1[[#This Row],[TIPO DE CONSUMIDOR]]="MEDIO",IF(Tabla1[[#This Row],[JUNIO ]]&gt;22.5,Tabla1[[#This Row],[JUNIO ]]/22.5-1,0),IF(Tabla1[[#This Row],[JUNIO ]]&gt;45,Tabla1[[#This Row],[JUNIO ]]/45-1,0))</f>
        <v>0</v>
      </c>
      <c r="AM358" s="100">
        <f>IF(Tabla1[[#This Row],[TIPO DE CONSUMIDOR]]="MEDIO",IF(Tabla1[[#This Row],[JULIO ]]&gt;22.5,Tabla1[[#This Row],[JULIO ]]/22.5-1,0),IF(Tabla1[[#This Row],[JULIO ]]&gt;45,Tabla1[[#This Row],[JULIO ]]/45-1,0))</f>
        <v>0</v>
      </c>
      <c r="AN358" s="100">
        <f>IF(Tabla1[[#This Row],[TIPO DE CONSUMIDOR]]="MEDIO",IF(Tabla1[[#This Row],[AGOSTO]]&gt;22.5,Tabla1[[#This Row],[AGOSTO]]/22.5-1,0),IF(Tabla1[[#This Row],[AGOSTO]]&gt;45,Tabla1[[#This Row],[AGOSTO]]/45-1,0))</f>
        <v>0</v>
      </c>
      <c r="AO35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8" s="101">
        <f t="shared" si="11"/>
        <v>0</v>
      </c>
      <c r="AT358">
        <f>IF(Tabla1[[#This Row],[MES ADEUDO DE AÑOS PASADOS ]]&gt;0,1,0)</f>
        <v>1</v>
      </c>
      <c r="AU358" s="9">
        <f t="shared" si="12"/>
        <v>1</v>
      </c>
      <c r="AV358" s="60">
        <f>IF(Tabla1[[#This Row],[MESES DE ADEUDO DEL AÑO EN CURSO ]]&gt;0,1,0)</f>
        <v>0</v>
      </c>
      <c r="AW358" s="42"/>
      <c r="AX358" s="42"/>
      <c r="AY358" s="42"/>
      <c r="AZ358" s="43"/>
    </row>
    <row r="359" spans="1:52" ht="21.75" thickBot="1" x14ac:dyDescent="0.35">
      <c r="A359" s="106">
        <v>353</v>
      </c>
      <c r="B359" s="5" t="s">
        <v>78</v>
      </c>
      <c r="C359" s="2" t="s">
        <v>545</v>
      </c>
      <c r="D359" s="32"/>
      <c r="E359" s="35" t="s">
        <v>455</v>
      </c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24">
        <f>SUM(Tabla1[[#This Row],[ENERO ]:[DICIEMBRE]])</f>
        <v>0</v>
      </c>
      <c r="W359">
        <v>20</v>
      </c>
      <c r="X359" s="21">
        <f>COUNTIF(Tabla1[[#This Row],[ENERO ]:[DICIEMBRE]],0)-(AS359)-IF(Tabla1[[#This Row],[BAJAS]]="BAJA",IF(Tabla1[[#This Row],[ALTAS]]="ALTA",VLOOKUP(Tabla1[[#This Row],[MES DE ALTA ]],$AW$6:$AX$17,2,FALSE),12)-VLOOKUP(Tabla1[[#This Row],[MES DE BAJA ]],$AW$6:$AX$17,2,FALSE),0)</f>
        <v>0</v>
      </c>
      <c r="Y359" s="68">
        <f>SUM(Tabla1[[#This Row],[MES ADEUDO DE AÑOS PASADOS ]:[MESES DE ADEUDO DEL AÑO EN CURSO ]])-Tabla1[[#This Row],[PAGO DE DEUDA ANTERIOR EN MESES]]</f>
        <v>20</v>
      </c>
      <c r="Z359" s="15">
        <f>Tabla1[[#This Row],[MES ADEUDO DE AÑOS PASADOS ]]*$T$2</f>
        <v>900</v>
      </c>
      <c r="AA359" s="15">
        <f>Tabla1[[#This Row],[MESES DE ADEUDO DEL AÑO EN CURSO ]]*$T$2</f>
        <v>0</v>
      </c>
      <c r="AB359" s="69">
        <f>SUM(Tabla1[[#This Row],[DEUDA DE LOS MESES PASADOS EN $$]:[DEUDA DEL AÑO 2013 $$ ]])</f>
        <v>900</v>
      </c>
      <c r="AD359">
        <f>Tabla1[[#This Row],[PAGO DE DEUDA ANTERIOR EN MESES]]*$T$2</f>
        <v>0</v>
      </c>
      <c r="AG359" s="100">
        <f>IF(Tabla1[[#This Row],[TIPO DE CONSUMIDOR]]="MEDIO",IF(Tabla1[[#This Row],[ENERO ]]&gt;22.5,Tabla1[[#This Row],[ENERO ]]/22.5-1,0),IF(Tabla1[[#This Row],[ENERO ]]&gt;45,Tabla1[[#This Row],[ENERO ]]/45-1,0))</f>
        <v>0</v>
      </c>
      <c r="AH35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59" s="100">
        <f>IF(Tabla1[[#This Row],[TIPO DE CONSUMIDOR]]="MEDIO",IF(Tabla1[[#This Row],[MARZO]]&gt;22.5,Tabla1[[#This Row],[MARZO]]/22.5-1,0),IF(Tabla1[[#This Row],[MARZO]]&gt;45,Tabla1[[#This Row],[MARZO]]/45-1,0))</f>
        <v>0</v>
      </c>
      <c r="AJ359" s="100">
        <f>IF(Tabla1[[#This Row],[TIPO DE CONSUMIDOR]]="MEDIO",IF(Tabla1[[#This Row],[ABRIL]]&gt;22.5,Tabla1[[#This Row],[ABRIL]]/22.5-1,0),IF(Tabla1[[#This Row],[ABRIL]]&gt;45,Tabla1[[#This Row],[ABRIL]]/45-1,0))</f>
        <v>0</v>
      </c>
      <c r="AK359" s="100">
        <f>IF(Tabla1[[#This Row],[TIPO DE CONSUMIDOR]]="MEDIO",IF(Tabla1[[#This Row],[MAYO ]]&gt;22.5,Tabla1[[#This Row],[MAYO ]]/22.5-1,0),IF(Tabla1[[#This Row],[MAYO ]]&gt;45,Tabla1[[#This Row],[MAYO ]]/45-1,0))</f>
        <v>0</v>
      </c>
      <c r="AL359" s="100">
        <f>IF(Tabla1[[#This Row],[TIPO DE CONSUMIDOR]]="MEDIO",IF(Tabla1[[#This Row],[JUNIO ]]&gt;22.5,Tabla1[[#This Row],[JUNIO ]]/22.5-1,0),IF(Tabla1[[#This Row],[JUNIO ]]&gt;45,Tabla1[[#This Row],[JUNIO ]]/45-1,0))</f>
        <v>0</v>
      </c>
      <c r="AM359" s="100">
        <f>IF(Tabla1[[#This Row],[TIPO DE CONSUMIDOR]]="MEDIO",IF(Tabla1[[#This Row],[JULIO ]]&gt;22.5,Tabla1[[#This Row],[JULIO ]]/22.5-1,0),IF(Tabla1[[#This Row],[JULIO ]]&gt;45,Tabla1[[#This Row],[JULIO ]]/45-1,0))</f>
        <v>0</v>
      </c>
      <c r="AN359" s="100">
        <f>IF(Tabla1[[#This Row],[TIPO DE CONSUMIDOR]]="MEDIO",IF(Tabla1[[#This Row],[AGOSTO]]&gt;22.5,Tabla1[[#This Row],[AGOSTO]]/22.5-1,0),IF(Tabla1[[#This Row],[AGOSTO]]&gt;45,Tabla1[[#This Row],[AGOSTO]]/45-1,0))</f>
        <v>0</v>
      </c>
      <c r="AO35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5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5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5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59" s="101">
        <f t="shared" si="11"/>
        <v>0</v>
      </c>
      <c r="AT359">
        <f>IF(Tabla1[[#This Row],[MES ADEUDO DE AÑOS PASADOS ]]&gt;0,1,0)</f>
        <v>1</v>
      </c>
      <c r="AU359" s="9">
        <f t="shared" si="12"/>
        <v>1</v>
      </c>
      <c r="AV359" s="60">
        <f>IF(Tabla1[[#This Row],[MESES DE ADEUDO DEL AÑO EN CURSO ]]&gt;0,1,0)</f>
        <v>0</v>
      </c>
      <c r="AW359" s="42"/>
      <c r="AX359" s="42"/>
      <c r="AY359" s="42"/>
      <c r="AZ359" s="43"/>
    </row>
    <row r="360" spans="1:52" ht="21.75" thickBot="1" x14ac:dyDescent="0.35">
      <c r="A360" s="106">
        <v>354</v>
      </c>
      <c r="B360" s="5" t="s">
        <v>43</v>
      </c>
      <c r="C360" s="2" t="s">
        <v>545</v>
      </c>
      <c r="D360" s="32"/>
      <c r="E360" s="35" t="s">
        <v>455</v>
      </c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24">
        <f>SUM(Tabla1[[#This Row],[ENERO ]:[DICIEMBRE]])</f>
        <v>0</v>
      </c>
      <c r="W360">
        <v>25</v>
      </c>
      <c r="X360" s="21">
        <f>COUNTIF(Tabla1[[#This Row],[ENERO ]:[DICIEMBRE]],0)-(AS360)-IF(Tabla1[[#This Row],[BAJAS]]="BAJA",IF(Tabla1[[#This Row],[ALTAS]]="ALTA",VLOOKUP(Tabla1[[#This Row],[MES DE ALTA ]],$AW$6:$AX$17,2,FALSE),12)-VLOOKUP(Tabla1[[#This Row],[MES DE BAJA ]],$AW$6:$AX$17,2,FALSE),0)</f>
        <v>0</v>
      </c>
      <c r="Y360" s="68">
        <f>SUM(Tabla1[[#This Row],[MES ADEUDO DE AÑOS PASADOS ]:[MESES DE ADEUDO DEL AÑO EN CURSO ]])-Tabla1[[#This Row],[PAGO DE DEUDA ANTERIOR EN MESES]]</f>
        <v>25</v>
      </c>
      <c r="Z360" s="15">
        <f>Tabla1[[#This Row],[MES ADEUDO DE AÑOS PASADOS ]]*$T$2</f>
        <v>1125</v>
      </c>
      <c r="AA360" s="15">
        <f>Tabla1[[#This Row],[MESES DE ADEUDO DEL AÑO EN CURSO ]]*$T$2</f>
        <v>0</v>
      </c>
      <c r="AB360" s="69">
        <f>SUM(Tabla1[[#This Row],[DEUDA DE LOS MESES PASADOS EN $$]:[DEUDA DEL AÑO 2013 $$ ]])</f>
        <v>1125</v>
      </c>
      <c r="AD360">
        <f>Tabla1[[#This Row],[PAGO DE DEUDA ANTERIOR EN MESES]]*$T$2</f>
        <v>0</v>
      </c>
      <c r="AG360" s="100">
        <f>IF(Tabla1[[#This Row],[TIPO DE CONSUMIDOR]]="MEDIO",IF(Tabla1[[#This Row],[ENERO ]]&gt;22.5,Tabla1[[#This Row],[ENERO ]]/22.5-1,0),IF(Tabla1[[#This Row],[ENERO ]]&gt;45,Tabla1[[#This Row],[ENERO ]]/45-1,0))</f>
        <v>0</v>
      </c>
      <c r="AH36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0" s="100">
        <f>IF(Tabla1[[#This Row],[TIPO DE CONSUMIDOR]]="MEDIO",IF(Tabla1[[#This Row],[MARZO]]&gt;22.5,Tabla1[[#This Row],[MARZO]]/22.5-1,0),IF(Tabla1[[#This Row],[MARZO]]&gt;45,Tabla1[[#This Row],[MARZO]]/45-1,0))</f>
        <v>0</v>
      </c>
      <c r="AJ360" s="100">
        <f>IF(Tabla1[[#This Row],[TIPO DE CONSUMIDOR]]="MEDIO",IF(Tabla1[[#This Row],[ABRIL]]&gt;22.5,Tabla1[[#This Row],[ABRIL]]/22.5-1,0),IF(Tabla1[[#This Row],[ABRIL]]&gt;45,Tabla1[[#This Row],[ABRIL]]/45-1,0))</f>
        <v>0</v>
      </c>
      <c r="AK360" s="100">
        <f>IF(Tabla1[[#This Row],[TIPO DE CONSUMIDOR]]="MEDIO",IF(Tabla1[[#This Row],[MAYO ]]&gt;22.5,Tabla1[[#This Row],[MAYO ]]/22.5-1,0),IF(Tabla1[[#This Row],[MAYO ]]&gt;45,Tabla1[[#This Row],[MAYO ]]/45-1,0))</f>
        <v>0</v>
      </c>
      <c r="AL360" s="100">
        <f>IF(Tabla1[[#This Row],[TIPO DE CONSUMIDOR]]="MEDIO",IF(Tabla1[[#This Row],[JUNIO ]]&gt;22.5,Tabla1[[#This Row],[JUNIO ]]/22.5-1,0),IF(Tabla1[[#This Row],[JUNIO ]]&gt;45,Tabla1[[#This Row],[JUNIO ]]/45-1,0))</f>
        <v>0</v>
      </c>
      <c r="AM360" s="100">
        <f>IF(Tabla1[[#This Row],[TIPO DE CONSUMIDOR]]="MEDIO",IF(Tabla1[[#This Row],[JULIO ]]&gt;22.5,Tabla1[[#This Row],[JULIO ]]/22.5-1,0),IF(Tabla1[[#This Row],[JULIO ]]&gt;45,Tabla1[[#This Row],[JULIO ]]/45-1,0))</f>
        <v>0</v>
      </c>
      <c r="AN360" s="100">
        <f>IF(Tabla1[[#This Row],[TIPO DE CONSUMIDOR]]="MEDIO",IF(Tabla1[[#This Row],[AGOSTO]]&gt;22.5,Tabla1[[#This Row],[AGOSTO]]/22.5-1,0),IF(Tabla1[[#This Row],[AGOSTO]]&gt;45,Tabla1[[#This Row],[AGOSTO]]/45-1,0))</f>
        <v>0</v>
      </c>
      <c r="AO36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0" s="101">
        <f t="shared" si="11"/>
        <v>0</v>
      </c>
      <c r="AT360">
        <f>IF(Tabla1[[#This Row],[MES ADEUDO DE AÑOS PASADOS ]]&gt;0,1,0)</f>
        <v>1</v>
      </c>
      <c r="AU360" s="9">
        <f t="shared" si="12"/>
        <v>1</v>
      </c>
      <c r="AV360" s="60">
        <f>IF(Tabla1[[#This Row],[MESES DE ADEUDO DEL AÑO EN CURSO ]]&gt;0,1,0)</f>
        <v>0</v>
      </c>
      <c r="AW360" s="42"/>
      <c r="AX360" s="42"/>
      <c r="AY360" s="42"/>
      <c r="AZ360" s="43"/>
    </row>
    <row r="361" spans="1:52" ht="21.75" thickBot="1" x14ac:dyDescent="0.35">
      <c r="A361" s="106">
        <v>355</v>
      </c>
      <c r="B361" s="5" t="s">
        <v>71</v>
      </c>
      <c r="C361" s="2" t="s">
        <v>549</v>
      </c>
      <c r="D361" s="32"/>
      <c r="E361" s="35" t="s">
        <v>455</v>
      </c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24">
        <f>SUM(Tabla1[[#This Row],[ENERO ]:[DICIEMBRE]])</f>
        <v>0</v>
      </c>
      <c r="W361">
        <v>0</v>
      </c>
      <c r="X361" s="21">
        <f>COUNTIF(Tabla1[[#This Row],[ENERO ]:[DICIEMBRE]],0)-(AS361)-IF(Tabla1[[#This Row],[BAJAS]]="BAJA",IF(Tabla1[[#This Row],[ALTAS]]="ALTA",VLOOKUP(Tabla1[[#This Row],[MES DE ALTA ]],$AW$6:$AX$17,2,FALSE),12)-VLOOKUP(Tabla1[[#This Row],[MES DE BAJA ]],$AW$6:$AX$17,2,FALSE),0)</f>
        <v>0</v>
      </c>
      <c r="Y361" s="68">
        <f>SUM(Tabla1[[#This Row],[MES ADEUDO DE AÑOS PASADOS ]:[MESES DE ADEUDO DEL AÑO EN CURSO ]])-Tabla1[[#This Row],[PAGO DE DEUDA ANTERIOR EN MESES]]</f>
        <v>0</v>
      </c>
      <c r="Z361" s="15">
        <f>Tabla1[[#This Row],[MES ADEUDO DE AÑOS PASADOS ]]*$T$2</f>
        <v>0</v>
      </c>
      <c r="AA361" s="15">
        <f>Tabla1[[#This Row],[MESES DE ADEUDO DEL AÑO EN CURSO ]]*$T$2</f>
        <v>0</v>
      </c>
      <c r="AB361" s="69">
        <f>SUM(Tabla1[[#This Row],[DEUDA DE LOS MESES PASADOS EN $$]:[DEUDA DEL AÑO 2013 $$ ]])</f>
        <v>0</v>
      </c>
      <c r="AD361">
        <f>Tabla1[[#This Row],[PAGO DE DEUDA ANTERIOR EN MESES]]*$T$2</f>
        <v>0</v>
      </c>
      <c r="AG361" s="100">
        <f>IF(Tabla1[[#This Row],[TIPO DE CONSUMIDOR]]="MEDIO",IF(Tabla1[[#This Row],[ENERO ]]&gt;22.5,Tabla1[[#This Row],[ENERO ]]/22.5-1,0),IF(Tabla1[[#This Row],[ENERO ]]&gt;45,Tabla1[[#This Row],[ENERO ]]/45-1,0))</f>
        <v>0</v>
      </c>
      <c r="AH36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1" s="100">
        <f>IF(Tabla1[[#This Row],[TIPO DE CONSUMIDOR]]="MEDIO",IF(Tabla1[[#This Row],[MARZO]]&gt;22.5,Tabla1[[#This Row],[MARZO]]/22.5-1,0),IF(Tabla1[[#This Row],[MARZO]]&gt;45,Tabla1[[#This Row],[MARZO]]/45-1,0))</f>
        <v>0</v>
      </c>
      <c r="AJ361" s="100">
        <f>IF(Tabla1[[#This Row],[TIPO DE CONSUMIDOR]]="MEDIO",IF(Tabla1[[#This Row],[ABRIL]]&gt;22.5,Tabla1[[#This Row],[ABRIL]]/22.5-1,0),IF(Tabla1[[#This Row],[ABRIL]]&gt;45,Tabla1[[#This Row],[ABRIL]]/45-1,0))</f>
        <v>0</v>
      </c>
      <c r="AK361" s="100">
        <f>IF(Tabla1[[#This Row],[TIPO DE CONSUMIDOR]]="MEDIO",IF(Tabla1[[#This Row],[MAYO ]]&gt;22.5,Tabla1[[#This Row],[MAYO ]]/22.5-1,0),IF(Tabla1[[#This Row],[MAYO ]]&gt;45,Tabla1[[#This Row],[MAYO ]]/45-1,0))</f>
        <v>0</v>
      </c>
      <c r="AL361" s="100">
        <f>IF(Tabla1[[#This Row],[TIPO DE CONSUMIDOR]]="MEDIO",IF(Tabla1[[#This Row],[JUNIO ]]&gt;22.5,Tabla1[[#This Row],[JUNIO ]]/22.5-1,0),IF(Tabla1[[#This Row],[JUNIO ]]&gt;45,Tabla1[[#This Row],[JUNIO ]]/45-1,0))</f>
        <v>0</v>
      </c>
      <c r="AM361" s="100">
        <f>IF(Tabla1[[#This Row],[TIPO DE CONSUMIDOR]]="MEDIO",IF(Tabla1[[#This Row],[JULIO ]]&gt;22.5,Tabla1[[#This Row],[JULIO ]]/22.5-1,0),IF(Tabla1[[#This Row],[JULIO ]]&gt;45,Tabla1[[#This Row],[JULIO ]]/45-1,0))</f>
        <v>0</v>
      </c>
      <c r="AN361" s="100">
        <f>IF(Tabla1[[#This Row],[TIPO DE CONSUMIDOR]]="MEDIO",IF(Tabla1[[#This Row],[AGOSTO]]&gt;22.5,Tabla1[[#This Row],[AGOSTO]]/22.5-1,0),IF(Tabla1[[#This Row],[AGOSTO]]&gt;45,Tabla1[[#This Row],[AGOSTO]]/45-1,0))</f>
        <v>0</v>
      </c>
      <c r="AO36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1" s="101">
        <f t="shared" si="11"/>
        <v>0</v>
      </c>
      <c r="AT361">
        <f>IF(Tabla1[[#This Row],[MES ADEUDO DE AÑOS PASADOS ]]&gt;0,1,0)</f>
        <v>0</v>
      </c>
      <c r="AU361" s="9">
        <f t="shared" si="12"/>
        <v>0</v>
      </c>
      <c r="AV361" s="60">
        <f>IF(Tabla1[[#This Row],[MESES DE ADEUDO DEL AÑO EN CURSO ]]&gt;0,1,0)</f>
        <v>0</v>
      </c>
      <c r="AW361" s="42"/>
      <c r="AX361" s="42"/>
      <c r="AY361" s="42"/>
      <c r="AZ361" s="43"/>
    </row>
    <row r="362" spans="1:52" ht="21.75" thickBot="1" x14ac:dyDescent="0.35">
      <c r="A362" s="106">
        <v>356</v>
      </c>
      <c r="B362" s="5" t="s">
        <v>251</v>
      </c>
      <c r="C362" s="2" t="s">
        <v>549</v>
      </c>
      <c r="D362" s="32"/>
      <c r="E362" s="35" t="s">
        <v>455</v>
      </c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24">
        <f>SUM(Tabla1[[#This Row],[ENERO ]:[DICIEMBRE]])</f>
        <v>0</v>
      </c>
      <c r="W362">
        <v>0</v>
      </c>
      <c r="X362" s="21">
        <f>COUNTIF(Tabla1[[#This Row],[ENERO ]:[DICIEMBRE]],0)-(AS362)-IF(Tabla1[[#This Row],[BAJAS]]="BAJA",IF(Tabla1[[#This Row],[ALTAS]]="ALTA",VLOOKUP(Tabla1[[#This Row],[MES DE ALTA ]],$AW$6:$AX$17,2,FALSE),12)-VLOOKUP(Tabla1[[#This Row],[MES DE BAJA ]],$AW$6:$AX$17,2,FALSE),0)</f>
        <v>0</v>
      </c>
      <c r="Y362" s="68">
        <f>SUM(Tabla1[[#This Row],[MES ADEUDO DE AÑOS PASADOS ]:[MESES DE ADEUDO DEL AÑO EN CURSO ]])-Tabla1[[#This Row],[PAGO DE DEUDA ANTERIOR EN MESES]]</f>
        <v>0</v>
      </c>
      <c r="Z362" s="15">
        <f>Tabla1[[#This Row],[MES ADEUDO DE AÑOS PASADOS ]]*$T$2</f>
        <v>0</v>
      </c>
      <c r="AA362" s="15">
        <f>Tabla1[[#This Row],[MESES DE ADEUDO DEL AÑO EN CURSO ]]*$T$2</f>
        <v>0</v>
      </c>
      <c r="AB362" s="69">
        <f>SUM(Tabla1[[#This Row],[DEUDA DE LOS MESES PASADOS EN $$]:[DEUDA DEL AÑO 2013 $$ ]])</f>
        <v>0</v>
      </c>
      <c r="AD362">
        <f>Tabla1[[#This Row],[PAGO DE DEUDA ANTERIOR EN MESES]]*$T$2</f>
        <v>0</v>
      </c>
      <c r="AG362" s="100">
        <f>IF(Tabla1[[#This Row],[TIPO DE CONSUMIDOR]]="MEDIO",IF(Tabla1[[#This Row],[ENERO ]]&gt;22.5,Tabla1[[#This Row],[ENERO ]]/22.5-1,0),IF(Tabla1[[#This Row],[ENERO ]]&gt;45,Tabla1[[#This Row],[ENERO ]]/45-1,0))</f>
        <v>0</v>
      </c>
      <c r="AH36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2" s="100">
        <f>IF(Tabla1[[#This Row],[TIPO DE CONSUMIDOR]]="MEDIO",IF(Tabla1[[#This Row],[MARZO]]&gt;22.5,Tabla1[[#This Row],[MARZO]]/22.5-1,0),IF(Tabla1[[#This Row],[MARZO]]&gt;45,Tabla1[[#This Row],[MARZO]]/45-1,0))</f>
        <v>0</v>
      </c>
      <c r="AJ362" s="100">
        <f>IF(Tabla1[[#This Row],[TIPO DE CONSUMIDOR]]="MEDIO",IF(Tabla1[[#This Row],[ABRIL]]&gt;22.5,Tabla1[[#This Row],[ABRIL]]/22.5-1,0),IF(Tabla1[[#This Row],[ABRIL]]&gt;45,Tabla1[[#This Row],[ABRIL]]/45-1,0))</f>
        <v>0</v>
      </c>
      <c r="AK362" s="100">
        <f>IF(Tabla1[[#This Row],[TIPO DE CONSUMIDOR]]="MEDIO",IF(Tabla1[[#This Row],[MAYO ]]&gt;22.5,Tabla1[[#This Row],[MAYO ]]/22.5-1,0),IF(Tabla1[[#This Row],[MAYO ]]&gt;45,Tabla1[[#This Row],[MAYO ]]/45-1,0))</f>
        <v>0</v>
      </c>
      <c r="AL362" s="100">
        <f>IF(Tabla1[[#This Row],[TIPO DE CONSUMIDOR]]="MEDIO",IF(Tabla1[[#This Row],[JUNIO ]]&gt;22.5,Tabla1[[#This Row],[JUNIO ]]/22.5-1,0),IF(Tabla1[[#This Row],[JUNIO ]]&gt;45,Tabla1[[#This Row],[JUNIO ]]/45-1,0))</f>
        <v>0</v>
      </c>
      <c r="AM362" s="100">
        <f>IF(Tabla1[[#This Row],[TIPO DE CONSUMIDOR]]="MEDIO",IF(Tabla1[[#This Row],[JULIO ]]&gt;22.5,Tabla1[[#This Row],[JULIO ]]/22.5-1,0),IF(Tabla1[[#This Row],[JULIO ]]&gt;45,Tabla1[[#This Row],[JULIO ]]/45-1,0))</f>
        <v>0</v>
      </c>
      <c r="AN362" s="100">
        <f>IF(Tabla1[[#This Row],[TIPO DE CONSUMIDOR]]="MEDIO",IF(Tabla1[[#This Row],[AGOSTO]]&gt;22.5,Tabla1[[#This Row],[AGOSTO]]/22.5-1,0),IF(Tabla1[[#This Row],[AGOSTO]]&gt;45,Tabla1[[#This Row],[AGOSTO]]/45-1,0))</f>
        <v>0</v>
      </c>
      <c r="AO36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2" s="101">
        <f t="shared" si="11"/>
        <v>0</v>
      </c>
      <c r="AT362">
        <f>IF(Tabla1[[#This Row],[MES ADEUDO DE AÑOS PASADOS ]]&gt;0,1,0)</f>
        <v>0</v>
      </c>
      <c r="AU362" s="9">
        <f t="shared" si="12"/>
        <v>0</v>
      </c>
      <c r="AV362" s="60">
        <f>IF(Tabla1[[#This Row],[MESES DE ADEUDO DEL AÑO EN CURSO ]]&gt;0,1,0)</f>
        <v>0</v>
      </c>
      <c r="AW362" s="42"/>
      <c r="AX362" s="42"/>
      <c r="AY362" s="42"/>
      <c r="AZ362" s="43"/>
    </row>
    <row r="363" spans="1:52" ht="21.75" thickBot="1" x14ac:dyDescent="0.35">
      <c r="A363" s="106">
        <v>357</v>
      </c>
      <c r="B363" s="5" t="s">
        <v>240</v>
      </c>
      <c r="C363" s="2" t="s">
        <v>549</v>
      </c>
      <c r="D363" s="32"/>
      <c r="E363" s="35" t="s">
        <v>455</v>
      </c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58">
        <f>SUM(Tabla1[[#This Row],[ENERO ]:[DICIEMBRE]])</f>
        <v>0</v>
      </c>
      <c r="W363">
        <v>0</v>
      </c>
      <c r="X363" s="21">
        <f>COUNTIF(Tabla1[[#This Row],[ENERO ]:[DICIEMBRE]],0)-(AS363)-IF(Tabla1[[#This Row],[BAJAS]]="BAJA",IF(Tabla1[[#This Row],[ALTAS]]="ALTA",VLOOKUP(Tabla1[[#This Row],[MES DE ALTA ]],$AW$6:$AX$17,2,FALSE),12)-VLOOKUP(Tabla1[[#This Row],[MES DE BAJA ]],$AW$6:$AX$17,2,FALSE),0)</f>
        <v>0</v>
      </c>
      <c r="Y363" s="68">
        <f>SUM(Tabla1[[#This Row],[MES ADEUDO DE AÑOS PASADOS ]:[MESES DE ADEUDO DEL AÑO EN CURSO ]])-Tabla1[[#This Row],[PAGO DE DEUDA ANTERIOR EN MESES]]</f>
        <v>0</v>
      </c>
      <c r="Z363" s="15">
        <f>Tabla1[[#This Row],[MES ADEUDO DE AÑOS PASADOS ]]*$T$2</f>
        <v>0</v>
      </c>
      <c r="AA363" s="15">
        <f>Tabla1[[#This Row],[MESES DE ADEUDO DEL AÑO EN CURSO ]]*$T$2</f>
        <v>0</v>
      </c>
      <c r="AB363" s="69">
        <f>SUM(Tabla1[[#This Row],[DEUDA DE LOS MESES PASADOS EN $$]:[DEUDA DEL AÑO 2013 $$ ]])</f>
        <v>0</v>
      </c>
      <c r="AD363">
        <f>Tabla1[[#This Row],[PAGO DE DEUDA ANTERIOR EN MESES]]*$T$2</f>
        <v>0</v>
      </c>
      <c r="AG363" s="100">
        <f>IF(Tabla1[[#This Row],[TIPO DE CONSUMIDOR]]="MEDIO",IF(Tabla1[[#This Row],[ENERO ]]&gt;22.5,Tabla1[[#This Row],[ENERO ]]/22.5-1,0),IF(Tabla1[[#This Row],[ENERO ]]&gt;45,Tabla1[[#This Row],[ENERO ]]/45-1,0))</f>
        <v>0</v>
      </c>
      <c r="AH36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3" s="100">
        <f>IF(Tabla1[[#This Row],[TIPO DE CONSUMIDOR]]="MEDIO",IF(Tabla1[[#This Row],[MARZO]]&gt;22.5,Tabla1[[#This Row],[MARZO]]/22.5-1,0),IF(Tabla1[[#This Row],[MARZO]]&gt;45,Tabla1[[#This Row],[MARZO]]/45-1,0))</f>
        <v>0</v>
      </c>
      <c r="AJ363" s="100">
        <f>IF(Tabla1[[#This Row],[TIPO DE CONSUMIDOR]]="MEDIO",IF(Tabla1[[#This Row],[ABRIL]]&gt;22.5,Tabla1[[#This Row],[ABRIL]]/22.5-1,0),IF(Tabla1[[#This Row],[ABRIL]]&gt;45,Tabla1[[#This Row],[ABRIL]]/45-1,0))</f>
        <v>0</v>
      </c>
      <c r="AK363" s="100">
        <f>IF(Tabla1[[#This Row],[TIPO DE CONSUMIDOR]]="MEDIO",IF(Tabla1[[#This Row],[MAYO ]]&gt;22.5,Tabla1[[#This Row],[MAYO ]]/22.5-1,0),IF(Tabla1[[#This Row],[MAYO ]]&gt;45,Tabla1[[#This Row],[MAYO ]]/45-1,0))</f>
        <v>0</v>
      </c>
      <c r="AL363" s="100">
        <f>IF(Tabla1[[#This Row],[TIPO DE CONSUMIDOR]]="MEDIO",IF(Tabla1[[#This Row],[JUNIO ]]&gt;22.5,Tabla1[[#This Row],[JUNIO ]]/22.5-1,0),IF(Tabla1[[#This Row],[JUNIO ]]&gt;45,Tabla1[[#This Row],[JUNIO ]]/45-1,0))</f>
        <v>0</v>
      </c>
      <c r="AM363" s="100">
        <f>IF(Tabla1[[#This Row],[TIPO DE CONSUMIDOR]]="MEDIO",IF(Tabla1[[#This Row],[JULIO ]]&gt;22.5,Tabla1[[#This Row],[JULIO ]]/22.5-1,0),IF(Tabla1[[#This Row],[JULIO ]]&gt;45,Tabla1[[#This Row],[JULIO ]]/45-1,0))</f>
        <v>0</v>
      </c>
      <c r="AN363" s="100">
        <f>IF(Tabla1[[#This Row],[TIPO DE CONSUMIDOR]]="MEDIO",IF(Tabla1[[#This Row],[AGOSTO]]&gt;22.5,Tabla1[[#This Row],[AGOSTO]]/22.5-1,0),IF(Tabla1[[#This Row],[AGOSTO]]&gt;45,Tabla1[[#This Row],[AGOSTO]]/45-1,0))</f>
        <v>0</v>
      </c>
      <c r="AO36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3" s="101">
        <f t="shared" si="11"/>
        <v>0</v>
      </c>
      <c r="AT363">
        <f>IF(Tabla1[[#This Row],[MES ADEUDO DE AÑOS PASADOS ]]&gt;0,1,0)</f>
        <v>0</v>
      </c>
      <c r="AU363" s="9">
        <f t="shared" si="12"/>
        <v>0</v>
      </c>
      <c r="AV363" s="60">
        <f>IF(Tabla1[[#This Row],[MESES DE ADEUDO DEL AÑO EN CURSO ]]&gt;0,1,0)</f>
        <v>0</v>
      </c>
      <c r="AW363" s="42"/>
      <c r="AX363" s="42"/>
      <c r="AY363" s="42"/>
      <c r="AZ363" s="43"/>
    </row>
    <row r="364" spans="1:52" ht="21.75" thickBot="1" x14ac:dyDescent="0.35">
      <c r="A364" s="106">
        <v>358</v>
      </c>
      <c r="B364" s="5" t="s">
        <v>322</v>
      </c>
      <c r="C364" s="2" t="s">
        <v>549</v>
      </c>
      <c r="D364" s="32"/>
      <c r="E364" s="35" t="s">
        <v>455</v>
      </c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24">
        <f>SUM(Tabla1[[#This Row],[ENERO ]:[DICIEMBRE]])</f>
        <v>0</v>
      </c>
      <c r="W364">
        <v>0</v>
      </c>
      <c r="X364" s="21">
        <f>COUNTIF(Tabla1[[#This Row],[ENERO ]:[DICIEMBRE]],0)-(AS364)-IF(Tabla1[[#This Row],[BAJAS]]="BAJA",IF(Tabla1[[#This Row],[ALTAS]]="ALTA",VLOOKUP(Tabla1[[#This Row],[MES DE ALTA ]],$AW$6:$AX$17,2,FALSE),12)-VLOOKUP(Tabla1[[#This Row],[MES DE BAJA ]],$AW$6:$AX$17,2,FALSE),0)</f>
        <v>0</v>
      </c>
      <c r="Y364" s="68">
        <f>SUM(Tabla1[[#This Row],[MES ADEUDO DE AÑOS PASADOS ]:[MESES DE ADEUDO DEL AÑO EN CURSO ]])-Tabla1[[#This Row],[PAGO DE DEUDA ANTERIOR EN MESES]]</f>
        <v>0</v>
      </c>
      <c r="Z364" s="15">
        <f>Tabla1[[#This Row],[MES ADEUDO DE AÑOS PASADOS ]]*$T$2</f>
        <v>0</v>
      </c>
      <c r="AA364" s="15">
        <f>Tabla1[[#This Row],[MESES DE ADEUDO DEL AÑO EN CURSO ]]*$T$2</f>
        <v>0</v>
      </c>
      <c r="AB364" s="69">
        <f>SUM(Tabla1[[#This Row],[DEUDA DE LOS MESES PASADOS EN $$]:[DEUDA DEL AÑO 2013 $$ ]])</f>
        <v>0</v>
      </c>
      <c r="AD364">
        <f>Tabla1[[#This Row],[PAGO DE DEUDA ANTERIOR EN MESES]]*$T$2</f>
        <v>0</v>
      </c>
      <c r="AG364" s="100">
        <f>IF(Tabla1[[#This Row],[TIPO DE CONSUMIDOR]]="MEDIO",IF(Tabla1[[#This Row],[ENERO ]]&gt;22.5,Tabla1[[#This Row],[ENERO ]]/22.5-1,0),IF(Tabla1[[#This Row],[ENERO ]]&gt;45,Tabla1[[#This Row],[ENERO ]]/45-1,0))</f>
        <v>0</v>
      </c>
      <c r="AH36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4" s="100">
        <f>IF(Tabla1[[#This Row],[TIPO DE CONSUMIDOR]]="MEDIO",IF(Tabla1[[#This Row],[MARZO]]&gt;22.5,Tabla1[[#This Row],[MARZO]]/22.5-1,0),IF(Tabla1[[#This Row],[MARZO]]&gt;45,Tabla1[[#This Row],[MARZO]]/45-1,0))</f>
        <v>0</v>
      </c>
      <c r="AJ364" s="100">
        <f>IF(Tabla1[[#This Row],[TIPO DE CONSUMIDOR]]="MEDIO",IF(Tabla1[[#This Row],[ABRIL]]&gt;22.5,Tabla1[[#This Row],[ABRIL]]/22.5-1,0),IF(Tabla1[[#This Row],[ABRIL]]&gt;45,Tabla1[[#This Row],[ABRIL]]/45-1,0))</f>
        <v>0</v>
      </c>
      <c r="AK364" s="100">
        <f>IF(Tabla1[[#This Row],[TIPO DE CONSUMIDOR]]="MEDIO",IF(Tabla1[[#This Row],[MAYO ]]&gt;22.5,Tabla1[[#This Row],[MAYO ]]/22.5-1,0),IF(Tabla1[[#This Row],[MAYO ]]&gt;45,Tabla1[[#This Row],[MAYO ]]/45-1,0))</f>
        <v>0</v>
      </c>
      <c r="AL364" s="100">
        <f>IF(Tabla1[[#This Row],[TIPO DE CONSUMIDOR]]="MEDIO",IF(Tabla1[[#This Row],[JUNIO ]]&gt;22.5,Tabla1[[#This Row],[JUNIO ]]/22.5-1,0),IF(Tabla1[[#This Row],[JUNIO ]]&gt;45,Tabla1[[#This Row],[JUNIO ]]/45-1,0))</f>
        <v>0</v>
      </c>
      <c r="AM364" s="100">
        <f>IF(Tabla1[[#This Row],[TIPO DE CONSUMIDOR]]="MEDIO",IF(Tabla1[[#This Row],[JULIO ]]&gt;22.5,Tabla1[[#This Row],[JULIO ]]/22.5-1,0),IF(Tabla1[[#This Row],[JULIO ]]&gt;45,Tabla1[[#This Row],[JULIO ]]/45-1,0))</f>
        <v>0</v>
      </c>
      <c r="AN364" s="100">
        <f>IF(Tabla1[[#This Row],[TIPO DE CONSUMIDOR]]="MEDIO",IF(Tabla1[[#This Row],[AGOSTO]]&gt;22.5,Tabla1[[#This Row],[AGOSTO]]/22.5-1,0),IF(Tabla1[[#This Row],[AGOSTO]]&gt;45,Tabla1[[#This Row],[AGOSTO]]/45-1,0))</f>
        <v>0</v>
      </c>
      <c r="AO36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4" s="101">
        <f t="shared" si="11"/>
        <v>0</v>
      </c>
      <c r="AT364">
        <f>IF(Tabla1[[#This Row],[MES ADEUDO DE AÑOS PASADOS ]]&gt;0,1,0)</f>
        <v>0</v>
      </c>
      <c r="AU364" s="9">
        <f t="shared" si="12"/>
        <v>0</v>
      </c>
      <c r="AV364" s="60">
        <f>IF(Tabla1[[#This Row],[MESES DE ADEUDO DEL AÑO EN CURSO ]]&gt;0,1,0)</f>
        <v>0</v>
      </c>
      <c r="AW364" s="42"/>
      <c r="AX364" s="42"/>
      <c r="AY364" s="42"/>
      <c r="AZ364" s="43"/>
    </row>
    <row r="365" spans="1:52" ht="21.75" thickBot="1" x14ac:dyDescent="0.35">
      <c r="A365" s="106">
        <v>359</v>
      </c>
      <c r="B365" s="5" t="s">
        <v>284</v>
      </c>
      <c r="C365" s="2" t="s">
        <v>549</v>
      </c>
      <c r="D365" s="46"/>
      <c r="E365" s="36" t="s">
        <v>455</v>
      </c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24">
        <f>SUM(Tabla1[[#This Row],[ENERO ]:[DICIEMBRE]])</f>
        <v>0</v>
      </c>
      <c r="W365">
        <v>0</v>
      </c>
      <c r="X365" s="21">
        <f>COUNTIF(Tabla1[[#This Row],[ENERO ]:[DICIEMBRE]],0)-(AS365)-IF(Tabla1[[#This Row],[BAJAS]]="BAJA",IF(Tabla1[[#This Row],[ALTAS]]="ALTA",VLOOKUP(Tabla1[[#This Row],[MES DE ALTA ]],$AW$6:$AX$17,2,FALSE),12)-VLOOKUP(Tabla1[[#This Row],[MES DE BAJA ]],$AW$6:$AX$17,2,FALSE),0)</f>
        <v>0</v>
      </c>
      <c r="Y365" s="68">
        <f>SUM(Tabla1[[#This Row],[MES ADEUDO DE AÑOS PASADOS ]:[MESES DE ADEUDO DEL AÑO EN CURSO ]])-Tabla1[[#This Row],[PAGO DE DEUDA ANTERIOR EN MESES]]</f>
        <v>0</v>
      </c>
      <c r="Z365" s="15">
        <f>Tabla1[[#This Row],[MES ADEUDO DE AÑOS PASADOS ]]*$T$2</f>
        <v>0</v>
      </c>
      <c r="AA365" s="15">
        <f>Tabla1[[#This Row],[MESES DE ADEUDO DEL AÑO EN CURSO ]]*$T$2</f>
        <v>0</v>
      </c>
      <c r="AB365" s="69">
        <f>SUM(Tabla1[[#This Row],[DEUDA DE LOS MESES PASADOS EN $$]:[DEUDA DEL AÑO 2013 $$ ]])</f>
        <v>0</v>
      </c>
      <c r="AD365">
        <f>Tabla1[[#This Row],[PAGO DE DEUDA ANTERIOR EN MESES]]*$T$2</f>
        <v>0</v>
      </c>
      <c r="AG365" s="100">
        <f>IF(Tabla1[[#This Row],[TIPO DE CONSUMIDOR]]="MEDIO",IF(Tabla1[[#This Row],[ENERO ]]&gt;22.5,Tabla1[[#This Row],[ENERO ]]/22.5-1,0),IF(Tabla1[[#This Row],[ENERO ]]&gt;45,Tabla1[[#This Row],[ENERO ]]/45-1,0))</f>
        <v>0</v>
      </c>
      <c r="AH36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5" s="100">
        <f>IF(Tabla1[[#This Row],[TIPO DE CONSUMIDOR]]="MEDIO",IF(Tabla1[[#This Row],[MARZO]]&gt;22.5,Tabla1[[#This Row],[MARZO]]/22.5-1,0),IF(Tabla1[[#This Row],[MARZO]]&gt;45,Tabla1[[#This Row],[MARZO]]/45-1,0))</f>
        <v>0</v>
      </c>
      <c r="AJ365" s="100">
        <f>IF(Tabla1[[#This Row],[TIPO DE CONSUMIDOR]]="MEDIO",IF(Tabla1[[#This Row],[ABRIL]]&gt;22.5,Tabla1[[#This Row],[ABRIL]]/22.5-1,0),IF(Tabla1[[#This Row],[ABRIL]]&gt;45,Tabla1[[#This Row],[ABRIL]]/45-1,0))</f>
        <v>0</v>
      </c>
      <c r="AK365" s="100">
        <f>IF(Tabla1[[#This Row],[TIPO DE CONSUMIDOR]]="MEDIO",IF(Tabla1[[#This Row],[MAYO ]]&gt;22.5,Tabla1[[#This Row],[MAYO ]]/22.5-1,0),IF(Tabla1[[#This Row],[MAYO ]]&gt;45,Tabla1[[#This Row],[MAYO ]]/45-1,0))</f>
        <v>0</v>
      </c>
      <c r="AL365" s="100">
        <f>IF(Tabla1[[#This Row],[TIPO DE CONSUMIDOR]]="MEDIO",IF(Tabla1[[#This Row],[JUNIO ]]&gt;22.5,Tabla1[[#This Row],[JUNIO ]]/22.5-1,0),IF(Tabla1[[#This Row],[JUNIO ]]&gt;45,Tabla1[[#This Row],[JUNIO ]]/45-1,0))</f>
        <v>0</v>
      </c>
      <c r="AM365" s="100">
        <f>IF(Tabla1[[#This Row],[TIPO DE CONSUMIDOR]]="MEDIO",IF(Tabla1[[#This Row],[JULIO ]]&gt;22.5,Tabla1[[#This Row],[JULIO ]]/22.5-1,0),IF(Tabla1[[#This Row],[JULIO ]]&gt;45,Tabla1[[#This Row],[JULIO ]]/45-1,0))</f>
        <v>0</v>
      </c>
      <c r="AN365" s="100">
        <f>IF(Tabla1[[#This Row],[TIPO DE CONSUMIDOR]]="MEDIO",IF(Tabla1[[#This Row],[AGOSTO]]&gt;22.5,Tabla1[[#This Row],[AGOSTO]]/22.5-1,0),IF(Tabla1[[#This Row],[AGOSTO]]&gt;45,Tabla1[[#This Row],[AGOSTO]]/45-1,0))</f>
        <v>0</v>
      </c>
      <c r="AO36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5" s="101">
        <f t="shared" si="11"/>
        <v>0</v>
      </c>
      <c r="AT365">
        <f>IF(Tabla1[[#This Row],[MES ADEUDO DE AÑOS PASADOS ]]&gt;0,1,0)</f>
        <v>0</v>
      </c>
      <c r="AU365" s="9">
        <f t="shared" si="12"/>
        <v>0</v>
      </c>
      <c r="AV365" s="60">
        <f>IF(Tabla1[[#This Row],[MESES DE ADEUDO DEL AÑO EN CURSO ]]&gt;0,1,0)</f>
        <v>0</v>
      </c>
      <c r="AW365" s="42"/>
      <c r="AX365" s="42"/>
      <c r="AY365" s="42"/>
      <c r="AZ365" s="43"/>
    </row>
    <row r="366" spans="1:52" ht="21.75" thickBot="1" x14ac:dyDescent="0.35">
      <c r="A366" s="106">
        <v>360</v>
      </c>
      <c r="B366" s="5" t="s">
        <v>554</v>
      </c>
      <c r="C366" s="2" t="s">
        <v>549</v>
      </c>
      <c r="D366" s="32"/>
      <c r="E366" s="35" t="s">
        <v>455</v>
      </c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24">
        <f>SUM(Tabla1[[#This Row],[ENERO ]:[DICIEMBRE]])</f>
        <v>0</v>
      </c>
      <c r="W366">
        <v>0</v>
      </c>
      <c r="X366" s="21">
        <f>COUNTIF(Tabla1[[#This Row],[ENERO ]:[DICIEMBRE]],0)-(AS366)-IF(Tabla1[[#This Row],[BAJAS]]="BAJA",IF(Tabla1[[#This Row],[ALTAS]]="ALTA",VLOOKUP(Tabla1[[#This Row],[MES DE ALTA ]],$AW$6:$AX$17,2,FALSE),12)-VLOOKUP(Tabla1[[#This Row],[MES DE BAJA ]],$AW$6:$AX$17,2,FALSE),0)</f>
        <v>0</v>
      </c>
      <c r="Y366" s="68">
        <f>SUM(Tabla1[[#This Row],[MES ADEUDO DE AÑOS PASADOS ]:[MESES DE ADEUDO DEL AÑO EN CURSO ]])-Tabla1[[#This Row],[PAGO DE DEUDA ANTERIOR EN MESES]]</f>
        <v>0</v>
      </c>
      <c r="Z366" s="15">
        <f>Tabla1[[#This Row],[MES ADEUDO DE AÑOS PASADOS ]]*$T$2</f>
        <v>0</v>
      </c>
      <c r="AA366" s="15">
        <f>Tabla1[[#This Row],[MESES DE ADEUDO DEL AÑO EN CURSO ]]*$T$2</f>
        <v>0</v>
      </c>
      <c r="AB366" s="69">
        <f>SUM(Tabla1[[#This Row],[DEUDA DE LOS MESES PASADOS EN $$]:[DEUDA DEL AÑO 2013 $$ ]])</f>
        <v>0</v>
      </c>
      <c r="AD366">
        <f>Tabla1[[#This Row],[PAGO DE DEUDA ANTERIOR EN MESES]]*$T$2</f>
        <v>0</v>
      </c>
      <c r="AG366" s="100">
        <f>IF(Tabla1[[#This Row],[TIPO DE CONSUMIDOR]]="MEDIO",IF(Tabla1[[#This Row],[ENERO ]]&gt;22.5,Tabla1[[#This Row],[ENERO ]]/22.5-1,0),IF(Tabla1[[#This Row],[ENERO ]]&gt;45,Tabla1[[#This Row],[ENERO ]]/45-1,0))</f>
        <v>0</v>
      </c>
      <c r="AH36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6" s="100">
        <f>IF(Tabla1[[#This Row],[TIPO DE CONSUMIDOR]]="MEDIO",IF(Tabla1[[#This Row],[MARZO]]&gt;22.5,Tabla1[[#This Row],[MARZO]]/22.5-1,0),IF(Tabla1[[#This Row],[MARZO]]&gt;45,Tabla1[[#This Row],[MARZO]]/45-1,0))</f>
        <v>0</v>
      </c>
      <c r="AJ366" s="100">
        <f>IF(Tabla1[[#This Row],[TIPO DE CONSUMIDOR]]="MEDIO",IF(Tabla1[[#This Row],[ABRIL]]&gt;22.5,Tabla1[[#This Row],[ABRIL]]/22.5-1,0),IF(Tabla1[[#This Row],[ABRIL]]&gt;45,Tabla1[[#This Row],[ABRIL]]/45-1,0))</f>
        <v>0</v>
      </c>
      <c r="AK366" s="100">
        <f>IF(Tabla1[[#This Row],[TIPO DE CONSUMIDOR]]="MEDIO",IF(Tabla1[[#This Row],[MAYO ]]&gt;22.5,Tabla1[[#This Row],[MAYO ]]/22.5-1,0),IF(Tabla1[[#This Row],[MAYO ]]&gt;45,Tabla1[[#This Row],[MAYO ]]/45-1,0))</f>
        <v>0</v>
      </c>
      <c r="AL366" s="100">
        <f>IF(Tabla1[[#This Row],[TIPO DE CONSUMIDOR]]="MEDIO",IF(Tabla1[[#This Row],[JUNIO ]]&gt;22.5,Tabla1[[#This Row],[JUNIO ]]/22.5-1,0),IF(Tabla1[[#This Row],[JUNIO ]]&gt;45,Tabla1[[#This Row],[JUNIO ]]/45-1,0))</f>
        <v>0</v>
      </c>
      <c r="AM366" s="100">
        <f>IF(Tabla1[[#This Row],[TIPO DE CONSUMIDOR]]="MEDIO",IF(Tabla1[[#This Row],[JULIO ]]&gt;22.5,Tabla1[[#This Row],[JULIO ]]/22.5-1,0),IF(Tabla1[[#This Row],[JULIO ]]&gt;45,Tabla1[[#This Row],[JULIO ]]/45-1,0))</f>
        <v>0</v>
      </c>
      <c r="AN366" s="100">
        <f>IF(Tabla1[[#This Row],[TIPO DE CONSUMIDOR]]="MEDIO",IF(Tabla1[[#This Row],[AGOSTO]]&gt;22.5,Tabla1[[#This Row],[AGOSTO]]/22.5-1,0),IF(Tabla1[[#This Row],[AGOSTO]]&gt;45,Tabla1[[#This Row],[AGOSTO]]/45-1,0))</f>
        <v>0</v>
      </c>
      <c r="AO36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6" s="101">
        <f t="shared" si="11"/>
        <v>0</v>
      </c>
      <c r="AT366">
        <f>IF(Tabla1[[#This Row],[MES ADEUDO DE AÑOS PASADOS ]]&gt;0,1,0)</f>
        <v>0</v>
      </c>
      <c r="AU366" s="9">
        <f t="shared" si="12"/>
        <v>0</v>
      </c>
      <c r="AV366" s="60">
        <f>IF(Tabla1[[#This Row],[MESES DE ADEUDO DEL AÑO EN CURSO ]]&gt;0,1,0)</f>
        <v>0</v>
      </c>
      <c r="AW366" s="42"/>
      <c r="AX366" s="42"/>
      <c r="AY366" s="42"/>
      <c r="AZ366" s="43"/>
    </row>
    <row r="367" spans="1:52" ht="21.75" thickBot="1" x14ac:dyDescent="0.35">
      <c r="A367" s="106">
        <v>361</v>
      </c>
      <c r="B367" s="5" t="s">
        <v>336</v>
      </c>
      <c r="C367" s="2" t="s">
        <v>549</v>
      </c>
      <c r="D367" s="32"/>
      <c r="E367" s="35" t="s">
        <v>455</v>
      </c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24">
        <f>SUM(Tabla1[[#This Row],[ENERO ]:[DICIEMBRE]])</f>
        <v>0</v>
      </c>
      <c r="W367">
        <v>0</v>
      </c>
      <c r="X367" s="21">
        <f>COUNTIF(Tabla1[[#This Row],[ENERO ]:[DICIEMBRE]],0)-(AS367)-IF(Tabla1[[#This Row],[BAJAS]]="BAJA",IF(Tabla1[[#This Row],[ALTAS]]="ALTA",VLOOKUP(Tabla1[[#This Row],[MES DE ALTA ]],$AW$6:$AX$17,2,FALSE),12)-VLOOKUP(Tabla1[[#This Row],[MES DE BAJA ]],$AW$6:$AX$17,2,FALSE),0)</f>
        <v>0</v>
      </c>
      <c r="Y367" s="68">
        <f>SUM(Tabla1[[#This Row],[MES ADEUDO DE AÑOS PASADOS ]:[MESES DE ADEUDO DEL AÑO EN CURSO ]])-Tabla1[[#This Row],[PAGO DE DEUDA ANTERIOR EN MESES]]</f>
        <v>0</v>
      </c>
      <c r="Z367" s="15">
        <f>Tabla1[[#This Row],[MES ADEUDO DE AÑOS PASADOS ]]*$T$2</f>
        <v>0</v>
      </c>
      <c r="AA367" s="15">
        <f>Tabla1[[#This Row],[MESES DE ADEUDO DEL AÑO EN CURSO ]]*$T$2</f>
        <v>0</v>
      </c>
      <c r="AB367" s="69">
        <f>SUM(Tabla1[[#This Row],[DEUDA DE LOS MESES PASADOS EN $$]:[DEUDA DEL AÑO 2013 $$ ]])</f>
        <v>0</v>
      </c>
      <c r="AD367">
        <f>Tabla1[[#This Row],[PAGO DE DEUDA ANTERIOR EN MESES]]*$T$2</f>
        <v>0</v>
      </c>
      <c r="AG367" s="100">
        <f>IF(Tabla1[[#This Row],[TIPO DE CONSUMIDOR]]="MEDIO",IF(Tabla1[[#This Row],[ENERO ]]&gt;22.5,Tabla1[[#This Row],[ENERO ]]/22.5-1,0),IF(Tabla1[[#This Row],[ENERO ]]&gt;45,Tabla1[[#This Row],[ENERO ]]/45-1,0))</f>
        <v>0</v>
      </c>
      <c r="AH36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7" s="100">
        <f>IF(Tabla1[[#This Row],[TIPO DE CONSUMIDOR]]="MEDIO",IF(Tabla1[[#This Row],[MARZO]]&gt;22.5,Tabla1[[#This Row],[MARZO]]/22.5-1,0),IF(Tabla1[[#This Row],[MARZO]]&gt;45,Tabla1[[#This Row],[MARZO]]/45-1,0))</f>
        <v>0</v>
      </c>
      <c r="AJ367" s="100">
        <f>IF(Tabla1[[#This Row],[TIPO DE CONSUMIDOR]]="MEDIO",IF(Tabla1[[#This Row],[ABRIL]]&gt;22.5,Tabla1[[#This Row],[ABRIL]]/22.5-1,0),IF(Tabla1[[#This Row],[ABRIL]]&gt;45,Tabla1[[#This Row],[ABRIL]]/45-1,0))</f>
        <v>0</v>
      </c>
      <c r="AK367" s="100">
        <f>IF(Tabla1[[#This Row],[TIPO DE CONSUMIDOR]]="MEDIO",IF(Tabla1[[#This Row],[MAYO ]]&gt;22.5,Tabla1[[#This Row],[MAYO ]]/22.5-1,0),IF(Tabla1[[#This Row],[MAYO ]]&gt;45,Tabla1[[#This Row],[MAYO ]]/45-1,0))</f>
        <v>0</v>
      </c>
      <c r="AL367" s="100">
        <f>IF(Tabla1[[#This Row],[TIPO DE CONSUMIDOR]]="MEDIO",IF(Tabla1[[#This Row],[JUNIO ]]&gt;22.5,Tabla1[[#This Row],[JUNIO ]]/22.5-1,0),IF(Tabla1[[#This Row],[JUNIO ]]&gt;45,Tabla1[[#This Row],[JUNIO ]]/45-1,0))</f>
        <v>0</v>
      </c>
      <c r="AM367" s="100">
        <f>IF(Tabla1[[#This Row],[TIPO DE CONSUMIDOR]]="MEDIO",IF(Tabla1[[#This Row],[JULIO ]]&gt;22.5,Tabla1[[#This Row],[JULIO ]]/22.5-1,0),IF(Tabla1[[#This Row],[JULIO ]]&gt;45,Tabla1[[#This Row],[JULIO ]]/45-1,0))</f>
        <v>0</v>
      </c>
      <c r="AN367" s="100">
        <f>IF(Tabla1[[#This Row],[TIPO DE CONSUMIDOR]]="MEDIO",IF(Tabla1[[#This Row],[AGOSTO]]&gt;22.5,Tabla1[[#This Row],[AGOSTO]]/22.5-1,0),IF(Tabla1[[#This Row],[AGOSTO]]&gt;45,Tabla1[[#This Row],[AGOSTO]]/45-1,0))</f>
        <v>0</v>
      </c>
      <c r="AO36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7" s="101">
        <f t="shared" si="11"/>
        <v>0</v>
      </c>
      <c r="AT367">
        <f>IF(Tabla1[[#This Row],[MES ADEUDO DE AÑOS PASADOS ]]&gt;0,1,0)</f>
        <v>0</v>
      </c>
      <c r="AU367" s="9">
        <f t="shared" si="12"/>
        <v>0</v>
      </c>
      <c r="AV367" s="60">
        <f>IF(Tabla1[[#This Row],[MESES DE ADEUDO DEL AÑO EN CURSO ]]&gt;0,1,0)</f>
        <v>0</v>
      </c>
      <c r="AW367" s="42"/>
      <c r="AX367" s="42"/>
      <c r="AY367" s="42"/>
      <c r="AZ367" s="43"/>
    </row>
    <row r="368" spans="1:52" ht="21.75" thickBot="1" x14ac:dyDescent="0.35">
      <c r="A368" s="106">
        <v>362</v>
      </c>
      <c r="B368" s="5" t="s">
        <v>351</v>
      </c>
      <c r="C368" s="2" t="s">
        <v>549</v>
      </c>
      <c r="D368" s="32"/>
      <c r="E368" s="35" t="s">
        <v>455</v>
      </c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24">
        <f>SUM(Tabla1[[#This Row],[ENERO ]:[DICIEMBRE]])</f>
        <v>0</v>
      </c>
      <c r="W368">
        <v>0</v>
      </c>
      <c r="X368" s="21">
        <f>COUNTIF(Tabla1[[#This Row],[ENERO ]:[DICIEMBRE]],0)-(AS368)-IF(Tabla1[[#This Row],[BAJAS]]="BAJA",IF(Tabla1[[#This Row],[ALTAS]]="ALTA",VLOOKUP(Tabla1[[#This Row],[MES DE ALTA ]],$AW$6:$AX$17,2,FALSE),12)-VLOOKUP(Tabla1[[#This Row],[MES DE BAJA ]],$AW$6:$AX$17,2,FALSE),0)</f>
        <v>0</v>
      </c>
      <c r="Y368" s="68">
        <f>SUM(Tabla1[[#This Row],[MES ADEUDO DE AÑOS PASADOS ]:[MESES DE ADEUDO DEL AÑO EN CURSO ]])-Tabla1[[#This Row],[PAGO DE DEUDA ANTERIOR EN MESES]]</f>
        <v>0</v>
      </c>
      <c r="Z368" s="15">
        <f>Tabla1[[#This Row],[MES ADEUDO DE AÑOS PASADOS ]]*$T$2</f>
        <v>0</v>
      </c>
      <c r="AA368" s="15">
        <f>Tabla1[[#This Row],[MESES DE ADEUDO DEL AÑO EN CURSO ]]*$T$2</f>
        <v>0</v>
      </c>
      <c r="AB368" s="69">
        <f>SUM(Tabla1[[#This Row],[DEUDA DE LOS MESES PASADOS EN $$]:[DEUDA DEL AÑO 2013 $$ ]])</f>
        <v>0</v>
      </c>
      <c r="AD368">
        <f>Tabla1[[#This Row],[PAGO DE DEUDA ANTERIOR EN MESES]]*$T$2</f>
        <v>0</v>
      </c>
      <c r="AG368" s="100">
        <f>IF(Tabla1[[#This Row],[TIPO DE CONSUMIDOR]]="MEDIO",IF(Tabla1[[#This Row],[ENERO ]]&gt;22.5,Tabla1[[#This Row],[ENERO ]]/22.5-1,0),IF(Tabla1[[#This Row],[ENERO ]]&gt;45,Tabla1[[#This Row],[ENERO ]]/45-1,0))</f>
        <v>0</v>
      </c>
      <c r="AH36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8" s="100">
        <f>IF(Tabla1[[#This Row],[TIPO DE CONSUMIDOR]]="MEDIO",IF(Tabla1[[#This Row],[MARZO]]&gt;22.5,Tabla1[[#This Row],[MARZO]]/22.5-1,0),IF(Tabla1[[#This Row],[MARZO]]&gt;45,Tabla1[[#This Row],[MARZO]]/45-1,0))</f>
        <v>0</v>
      </c>
      <c r="AJ368" s="100">
        <f>IF(Tabla1[[#This Row],[TIPO DE CONSUMIDOR]]="MEDIO",IF(Tabla1[[#This Row],[ABRIL]]&gt;22.5,Tabla1[[#This Row],[ABRIL]]/22.5-1,0),IF(Tabla1[[#This Row],[ABRIL]]&gt;45,Tabla1[[#This Row],[ABRIL]]/45-1,0))</f>
        <v>0</v>
      </c>
      <c r="AK368" s="100">
        <f>IF(Tabla1[[#This Row],[TIPO DE CONSUMIDOR]]="MEDIO",IF(Tabla1[[#This Row],[MAYO ]]&gt;22.5,Tabla1[[#This Row],[MAYO ]]/22.5-1,0),IF(Tabla1[[#This Row],[MAYO ]]&gt;45,Tabla1[[#This Row],[MAYO ]]/45-1,0))</f>
        <v>0</v>
      </c>
      <c r="AL368" s="100">
        <f>IF(Tabla1[[#This Row],[TIPO DE CONSUMIDOR]]="MEDIO",IF(Tabla1[[#This Row],[JUNIO ]]&gt;22.5,Tabla1[[#This Row],[JUNIO ]]/22.5-1,0),IF(Tabla1[[#This Row],[JUNIO ]]&gt;45,Tabla1[[#This Row],[JUNIO ]]/45-1,0))</f>
        <v>0</v>
      </c>
      <c r="AM368" s="100">
        <f>IF(Tabla1[[#This Row],[TIPO DE CONSUMIDOR]]="MEDIO",IF(Tabla1[[#This Row],[JULIO ]]&gt;22.5,Tabla1[[#This Row],[JULIO ]]/22.5-1,0),IF(Tabla1[[#This Row],[JULIO ]]&gt;45,Tabla1[[#This Row],[JULIO ]]/45-1,0))</f>
        <v>0</v>
      </c>
      <c r="AN368" s="100">
        <f>IF(Tabla1[[#This Row],[TIPO DE CONSUMIDOR]]="MEDIO",IF(Tabla1[[#This Row],[AGOSTO]]&gt;22.5,Tabla1[[#This Row],[AGOSTO]]/22.5-1,0),IF(Tabla1[[#This Row],[AGOSTO]]&gt;45,Tabla1[[#This Row],[AGOSTO]]/45-1,0))</f>
        <v>0</v>
      </c>
      <c r="AO36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8" s="101">
        <f t="shared" si="11"/>
        <v>0</v>
      </c>
      <c r="AT368">
        <f>IF(Tabla1[[#This Row],[MES ADEUDO DE AÑOS PASADOS ]]&gt;0,1,0)</f>
        <v>0</v>
      </c>
      <c r="AU368" s="9">
        <f t="shared" si="12"/>
        <v>0</v>
      </c>
      <c r="AV368" s="60">
        <f>IF(Tabla1[[#This Row],[MESES DE ADEUDO DEL AÑO EN CURSO ]]&gt;0,1,0)</f>
        <v>0</v>
      </c>
      <c r="AW368" s="42"/>
      <c r="AX368" s="42"/>
      <c r="AY368" s="42"/>
      <c r="AZ368" s="43"/>
    </row>
    <row r="369" spans="1:52" ht="21.75" thickBot="1" x14ac:dyDescent="0.35">
      <c r="A369" s="106">
        <v>363</v>
      </c>
      <c r="B369" s="5" t="s">
        <v>406</v>
      </c>
      <c r="C369" s="2" t="s">
        <v>549</v>
      </c>
      <c r="D369" s="32"/>
      <c r="E369" s="35" t="s">
        <v>455</v>
      </c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24">
        <f>SUM(Tabla1[[#This Row],[ENERO ]:[DICIEMBRE]])</f>
        <v>0</v>
      </c>
      <c r="W369">
        <v>0</v>
      </c>
      <c r="X369" s="21">
        <f>COUNTIF(Tabla1[[#This Row],[ENERO ]:[DICIEMBRE]],0)-(AS369)-IF(Tabla1[[#This Row],[BAJAS]]="BAJA",IF(Tabla1[[#This Row],[ALTAS]]="ALTA",VLOOKUP(Tabla1[[#This Row],[MES DE ALTA ]],$AW$6:$AX$17,2,FALSE),12)-VLOOKUP(Tabla1[[#This Row],[MES DE BAJA ]],$AW$6:$AX$17,2,FALSE),0)</f>
        <v>0</v>
      </c>
      <c r="Y369" s="68">
        <f>SUM(Tabla1[[#This Row],[MES ADEUDO DE AÑOS PASADOS ]:[MESES DE ADEUDO DEL AÑO EN CURSO ]])-Tabla1[[#This Row],[PAGO DE DEUDA ANTERIOR EN MESES]]</f>
        <v>0</v>
      </c>
      <c r="Z369" s="15">
        <f>Tabla1[[#This Row],[MES ADEUDO DE AÑOS PASADOS ]]*$T$2</f>
        <v>0</v>
      </c>
      <c r="AA369" s="15">
        <f>Tabla1[[#This Row],[MESES DE ADEUDO DEL AÑO EN CURSO ]]*$T$2</f>
        <v>0</v>
      </c>
      <c r="AB369" s="69">
        <f>SUM(Tabla1[[#This Row],[DEUDA DE LOS MESES PASADOS EN $$]:[DEUDA DEL AÑO 2013 $$ ]])</f>
        <v>0</v>
      </c>
      <c r="AD369">
        <f>Tabla1[[#This Row],[PAGO DE DEUDA ANTERIOR EN MESES]]*$T$2</f>
        <v>0</v>
      </c>
      <c r="AG369" s="100">
        <f>IF(Tabla1[[#This Row],[TIPO DE CONSUMIDOR]]="MEDIO",IF(Tabla1[[#This Row],[ENERO ]]&gt;22.5,Tabla1[[#This Row],[ENERO ]]/22.5-1,0),IF(Tabla1[[#This Row],[ENERO ]]&gt;45,Tabla1[[#This Row],[ENERO ]]/45-1,0))</f>
        <v>0</v>
      </c>
      <c r="AH36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69" s="100">
        <f>IF(Tabla1[[#This Row],[TIPO DE CONSUMIDOR]]="MEDIO",IF(Tabla1[[#This Row],[MARZO]]&gt;22.5,Tabla1[[#This Row],[MARZO]]/22.5-1,0),IF(Tabla1[[#This Row],[MARZO]]&gt;45,Tabla1[[#This Row],[MARZO]]/45-1,0))</f>
        <v>0</v>
      </c>
      <c r="AJ369" s="100">
        <f>IF(Tabla1[[#This Row],[TIPO DE CONSUMIDOR]]="MEDIO",IF(Tabla1[[#This Row],[ABRIL]]&gt;22.5,Tabla1[[#This Row],[ABRIL]]/22.5-1,0),IF(Tabla1[[#This Row],[ABRIL]]&gt;45,Tabla1[[#This Row],[ABRIL]]/45-1,0))</f>
        <v>0</v>
      </c>
      <c r="AK369" s="100">
        <f>IF(Tabla1[[#This Row],[TIPO DE CONSUMIDOR]]="MEDIO",IF(Tabla1[[#This Row],[MAYO ]]&gt;22.5,Tabla1[[#This Row],[MAYO ]]/22.5-1,0),IF(Tabla1[[#This Row],[MAYO ]]&gt;45,Tabla1[[#This Row],[MAYO ]]/45-1,0))</f>
        <v>0</v>
      </c>
      <c r="AL369" s="100">
        <f>IF(Tabla1[[#This Row],[TIPO DE CONSUMIDOR]]="MEDIO",IF(Tabla1[[#This Row],[JUNIO ]]&gt;22.5,Tabla1[[#This Row],[JUNIO ]]/22.5-1,0),IF(Tabla1[[#This Row],[JUNIO ]]&gt;45,Tabla1[[#This Row],[JUNIO ]]/45-1,0))</f>
        <v>0</v>
      </c>
      <c r="AM369" s="100">
        <f>IF(Tabla1[[#This Row],[TIPO DE CONSUMIDOR]]="MEDIO",IF(Tabla1[[#This Row],[JULIO ]]&gt;22.5,Tabla1[[#This Row],[JULIO ]]/22.5-1,0),IF(Tabla1[[#This Row],[JULIO ]]&gt;45,Tabla1[[#This Row],[JULIO ]]/45-1,0))</f>
        <v>0</v>
      </c>
      <c r="AN369" s="100">
        <f>IF(Tabla1[[#This Row],[TIPO DE CONSUMIDOR]]="MEDIO",IF(Tabla1[[#This Row],[AGOSTO]]&gt;22.5,Tabla1[[#This Row],[AGOSTO]]/22.5-1,0),IF(Tabla1[[#This Row],[AGOSTO]]&gt;45,Tabla1[[#This Row],[AGOSTO]]/45-1,0))</f>
        <v>0</v>
      </c>
      <c r="AO36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6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6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6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69" s="101">
        <f t="shared" si="11"/>
        <v>0</v>
      </c>
      <c r="AT369">
        <f>IF(Tabla1[[#This Row],[MES ADEUDO DE AÑOS PASADOS ]]&gt;0,1,0)</f>
        <v>0</v>
      </c>
      <c r="AU369" s="9">
        <f t="shared" si="12"/>
        <v>0</v>
      </c>
      <c r="AV369" s="60">
        <f>IF(Tabla1[[#This Row],[MESES DE ADEUDO DEL AÑO EN CURSO ]]&gt;0,1,0)</f>
        <v>0</v>
      </c>
      <c r="AW369" s="42"/>
      <c r="AX369" s="42"/>
      <c r="AY369" s="42"/>
      <c r="AZ369" s="43"/>
    </row>
    <row r="370" spans="1:52" ht="21.75" thickBot="1" x14ac:dyDescent="0.35">
      <c r="A370" s="106">
        <v>364</v>
      </c>
      <c r="B370" s="5" t="s">
        <v>551</v>
      </c>
      <c r="C370" s="2" t="s">
        <v>549</v>
      </c>
      <c r="D370" s="32"/>
      <c r="E370" s="35" t="s">
        <v>455</v>
      </c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24">
        <f>SUM(Tabla1[[#This Row],[ENERO ]:[DICIEMBRE]])</f>
        <v>0</v>
      </c>
      <c r="W370">
        <v>1</v>
      </c>
      <c r="X370" s="21">
        <f>COUNTIF(Tabla1[[#This Row],[ENERO ]:[DICIEMBRE]],0)-(AS370)-IF(Tabla1[[#This Row],[BAJAS]]="BAJA",IF(Tabla1[[#This Row],[ALTAS]]="ALTA",VLOOKUP(Tabla1[[#This Row],[MES DE ALTA ]],$AW$6:$AX$17,2,FALSE),12)-VLOOKUP(Tabla1[[#This Row],[MES DE BAJA ]],$AW$6:$AX$17,2,FALSE),0)</f>
        <v>0</v>
      </c>
      <c r="Y370" s="68">
        <f>SUM(Tabla1[[#This Row],[MES ADEUDO DE AÑOS PASADOS ]:[MESES DE ADEUDO DEL AÑO EN CURSO ]])-Tabla1[[#This Row],[PAGO DE DEUDA ANTERIOR EN MESES]]</f>
        <v>1</v>
      </c>
      <c r="Z370" s="15">
        <f>Tabla1[[#This Row],[MES ADEUDO DE AÑOS PASADOS ]]*$T$2</f>
        <v>45</v>
      </c>
      <c r="AA370" s="15">
        <f>Tabla1[[#This Row],[MESES DE ADEUDO DEL AÑO EN CURSO ]]*$T$2</f>
        <v>0</v>
      </c>
      <c r="AB370" s="69">
        <f>SUM(Tabla1[[#This Row],[DEUDA DE LOS MESES PASADOS EN $$]:[DEUDA DEL AÑO 2013 $$ ]])</f>
        <v>45</v>
      </c>
      <c r="AD370">
        <f>Tabla1[[#This Row],[PAGO DE DEUDA ANTERIOR EN MESES]]*$T$2</f>
        <v>0</v>
      </c>
      <c r="AG370" s="100">
        <f>IF(Tabla1[[#This Row],[TIPO DE CONSUMIDOR]]="MEDIO",IF(Tabla1[[#This Row],[ENERO ]]&gt;22.5,Tabla1[[#This Row],[ENERO ]]/22.5-1,0),IF(Tabla1[[#This Row],[ENERO ]]&gt;45,Tabla1[[#This Row],[ENERO ]]/45-1,0))</f>
        <v>0</v>
      </c>
      <c r="AH37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0" s="100">
        <f>IF(Tabla1[[#This Row],[TIPO DE CONSUMIDOR]]="MEDIO",IF(Tabla1[[#This Row],[MARZO]]&gt;22.5,Tabla1[[#This Row],[MARZO]]/22.5-1,0),IF(Tabla1[[#This Row],[MARZO]]&gt;45,Tabla1[[#This Row],[MARZO]]/45-1,0))</f>
        <v>0</v>
      </c>
      <c r="AJ370" s="100">
        <f>IF(Tabla1[[#This Row],[TIPO DE CONSUMIDOR]]="MEDIO",IF(Tabla1[[#This Row],[ABRIL]]&gt;22.5,Tabla1[[#This Row],[ABRIL]]/22.5-1,0),IF(Tabla1[[#This Row],[ABRIL]]&gt;45,Tabla1[[#This Row],[ABRIL]]/45-1,0))</f>
        <v>0</v>
      </c>
      <c r="AK370" s="100">
        <f>IF(Tabla1[[#This Row],[TIPO DE CONSUMIDOR]]="MEDIO",IF(Tabla1[[#This Row],[MAYO ]]&gt;22.5,Tabla1[[#This Row],[MAYO ]]/22.5-1,0),IF(Tabla1[[#This Row],[MAYO ]]&gt;45,Tabla1[[#This Row],[MAYO ]]/45-1,0))</f>
        <v>0</v>
      </c>
      <c r="AL370" s="100">
        <f>IF(Tabla1[[#This Row],[TIPO DE CONSUMIDOR]]="MEDIO",IF(Tabla1[[#This Row],[JUNIO ]]&gt;22.5,Tabla1[[#This Row],[JUNIO ]]/22.5-1,0),IF(Tabla1[[#This Row],[JUNIO ]]&gt;45,Tabla1[[#This Row],[JUNIO ]]/45-1,0))</f>
        <v>0</v>
      </c>
      <c r="AM370" s="100">
        <f>IF(Tabla1[[#This Row],[TIPO DE CONSUMIDOR]]="MEDIO",IF(Tabla1[[#This Row],[JULIO ]]&gt;22.5,Tabla1[[#This Row],[JULIO ]]/22.5-1,0),IF(Tabla1[[#This Row],[JULIO ]]&gt;45,Tabla1[[#This Row],[JULIO ]]/45-1,0))</f>
        <v>0</v>
      </c>
      <c r="AN370" s="100">
        <f>IF(Tabla1[[#This Row],[TIPO DE CONSUMIDOR]]="MEDIO",IF(Tabla1[[#This Row],[AGOSTO]]&gt;22.5,Tabla1[[#This Row],[AGOSTO]]/22.5-1,0),IF(Tabla1[[#This Row],[AGOSTO]]&gt;45,Tabla1[[#This Row],[AGOSTO]]/45-1,0))</f>
        <v>0</v>
      </c>
      <c r="AO37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0" s="101">
        <f t="shared" si="11"/>
        <v>0</v>
      </c>
      <c r="AT370">
        <f>IF(Tabla1[[#This Row],[MES ADEUDO DE AÑOS PASADOS ]]&gt;0,1,0)</f>
        <v>1</v>
      </c>
      <c r="AU370" s="9">
        <f t="shared" si="12"/>
        <v>1</v>
      </c>
      <c r="AV370" s="60">
        <f>IF(Tabla1[[#This Row],[MESES DE ADEUDO DEL AÑO EN CURSO ]]&gt;0,1,0)</f>
        <v>0</v>
      </c>
      <c r="AW370" s="42"/>
      <c r="AX370" s="42"/>
      <c r="AY370" s="42"/>
      <c r="AZ370" s="43"/>
    </row>
    <row r="371" spans="1:52" ht="21.75" thickBot="1" x14ac:dyDescent="0.35">
      <c r="A371" s="106">
        <v>365</v>
      </c>
      <c r="B371" s="5" t="s">
        <v>548</v>
      </c>
      <c r="C371" s="2" t="s">
        <v>549</v>
      </c>
      <c r="D371" s="32"/>
      <c r="E371" s="35" t="s">
        <v>455</v>
      </c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24">
        <f>SUM(Tabla1[[#This Row],[ENERO ]:[DICIEMBRE]])</f>
        <v>0</v>
      </c>
      <c r="W371">
        <v>2</v>
      </c>
      <c r="X371" s="21">
        <f>COUNTIF(Tabla1[[#This Row],[ENERO ]:[DICIEMBRE]],0)-(AS371)-IF(Tabla1[[#This Row],[BAJAS]]="BAJA",IF(Tabla1[[#This Row],[ALTAS]]="ALTA",VLOOKUP(Tabla1[[#This Row],[MES DE ALTA ]],$AW$6:$AX$17,2,FALSE),12)-VLOOKUP(Tabla1[[#This Row],[MES DE BAJA ]],$AW$6:$AX$17,2,FALSE),0)</f>
        <v>0</v>
      </c>
      <c r="Y371" s="68">
        <f>SUM(Tabla1[[#This Row],[MES ADEUDO DE AÑOS PASADOS ]:[MESES DE ADEUDO DEL AÑO EN CURSO ]])-Tabla1[[#This Row],[PAGO DE DEUDA ANTERIOR EN MESES]]</f>
        <v>2</v>
      </c>
      <c r="Z371" s="15">
        <f>Tabla1[[#This Row],[MES ADEUDO DE AÑOS PASADOS ]]*$T$2</f>
        <v>90</v>
      </c>
      <c r="AA371" s="15">
        <f>Tabla1[[#This Row],[MESES DE ADEUDO DEL AÑO EN CURSO ]]*$T$2</f>
        <v>0</v>
      </c>
      <c r="AB371" s="69">
        <f>SUM(Tabla1[[#This Row],[DEUDA DE LOS MESES PASADOS EN $$]:[DEUDA DEL AÑO 2013 $$ ]])</f>
        <v>90</v>
      </c>
      <c r="AD371">
        <f>Tabla1[[#This Row],[PAGO DE DEUDA ANTERIOR EN MESES]]*$T$2</f>
        <v>0</v>
      </c>
      <c r="AG371" s="100">
        <f>IF(Tabla1[[#This Row],[TIPO DE CONSUMIDOR]]="MEDIO",IF(Tabla1[[#This Row],[ENERO ]]&gt;22.5,Tabla1[[#This Row],[ENERO ]]/22.5-1,0),IF(Tabla1[[#This Row],[ENERO ]]&gt;45,Tabla1[[#This Row],[ENERO ]]/45-1,0))</f>
        <v>0</v>
      </c>
      <c r="AH37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1" s="100">
        <f>IF(Tabla1[[#This Row],[TIPO DE CONSUMIDOR]]="MEDIO",IF(Tabla1[[#This Row],[MARZO]]&gt;22.5,Tabla1[[#This Row],[MARZO]]/22.5-1,0),IF(Tabla1[[#This Row],[MARZO]]&gt;45,Tabla1[[#This Row],[MARZO]]/45-1,0))</f>
        <v>0</v>
      </c>
      <c r="AJ371" s="100">
        <f>IF(Tabla1[[#This Row],[TIPO DE CONSUMIDOR]]="MEDIO",IF(Tabla1[[#This Row],[ABRIL]]&gt;22.5,Tabla1[[#This Row],[ABRIL]]/22.5-1,0),IF(Tabla1[[#This Row],[ABRIL]]&gt;45,Tabla1[[#This Row],[ABRIL]]/45-1,0))</f>
        <v>0</v>
      </c>
      <c r="AK371" s="100">
        <f>IF(Tabla1[[#This Row],[TIPO DE CONSUMIDOR]]="MEDIO",IF(Tabla1[[#This Row],[MAYO ]]&gt;22.5,Tabla1[[#This Row],[MAYO ]]/22.5-1,0),IF(Tabla1[[#This Row],[MAYO ]]&gt;45,Tabla1[[#This Row],[MAYO ]]/45-1,0))</f>
        <v>0</v>
      </c>
      <c r="AL371" s="100">
        <f>IF(Tabla1[[#This Row],[TIPO DE CONSUMIDOR]]="MEDIO",IF(Tabla1[[#This Row],[JUNIO ]]&gt;22.5,Tabla1[[#This Row],[JUNIO ]]/22.5-1,0),IF(Tabla1[[#This Row],[JUNIO ]]&gt;45,Tabla1[[#This Row],[JUNIO ]]/45-1,0))</f>
        <v>0</v>
      </c>
      <c r="AM371" s="100">
        <f>IF(Tabla1[[#This Row],[TIPO DE CONSUMIDOR]]="MEDIO",IF(Tabla1[[#This Row],[JULIO ]]&gt;22.5,Tabla1[[#This Row],[JULIO ]]/22.5-1,0),IF(Tabla1[[#This Row],[JULIO ]]&gt;45,Tabla1[[#This Row],[JULIO ]]/45-1,0))</f>
        <v>0</v>
      </c>
      <c r="AN371" s="100">
        <f>IF(Tabla1[[#This Row],[TIPO DE CONSUMIDOR]]="MEDIO",IF(Tabla1[[#This Row],[AGOSTO]]&gt;22.5,Tabla1[[#This Row],[AGOSTO]]/22.5-1,0),IF(Tabla1[[#This Row],[AGOSTO]]&gt;45,Tabla1[[#This Row],[AGOSTO]]/45-1,0))</f>
        <v>0</v>
      </c>
      <c r="AO37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1" s="101">
        <f t="shared" si="11"/>
        <v>0</v>
      </c>
      <c r="AT371">
        <f>IF(Tabla1[[#This Row],[MES ADEUDO DE AÑOS PASADOS ]]&gt;0,1,0)</f>
        <v>1</v>
      </c>
      <c r="AU371" s="9">
        <f t="shared" si="12"/>
        <v>1</v>
      </c>
      <c r="AV371" s="60">
        <f>IF(Tabla1[[#This Row],[MESES DE ADEUDO DEL AÑO EN CURSO ]]&gt;0,1,0)</f>
        <v>0</v>
      </c>
      <c r="AW371" s="42"/>
      <c r="AX371" s="42"/>
      <c r="AY371" s="42"/>
      <c r="AZ371" s="43"/>
    </row>
    <row r="372" spans="1:52" ht="21.75" thickBot="1" x14ac:dyDescent="0.35">
      <c r="A372" s="106">
        <v>366</v>
      </c>
      <c r="B372" s="5" t="s">
        <v>555</v>
      </c>
      <c r="C372" s="2" t="s">
        <v>549</v>
      </c>
      <c r="D372" s="32"/>
      <c r="E372" s="35" t="s">
        <v>455</v>
      </c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24">
        <f>SUM(Tabla1[[#This Row],[ENERO ]:[DICIEMBRE]])</f>
        <v>0</v>
      </c>
      <c r="W372">
        <v>4</v>
      </c>
      <c r="X372" s="21">
        <f>COUNTIF(Tabla1[[#This Row],[ENERO ]:[DICIEMBRE]],0)-(AS372)-IF(Tabla1[[#This Row],[BAJAS]]="BAJA",IF(Tabla1[[#This Row],[ALTAS]]="ALTA",VLOOKUP(Tabla1[[#This Row],[MES DE ALTA ]],$AW$6:$AX$17,2,FALSE),12)-VLOOKUP(Tabla1[[#This Row],[MES DE BAJA ]],$AW$6:$AX$17,2,FALSE),0)</f>
        <v>0</v>
      </c>
      <c r="Y372" s="68">
        <f>SUM(Tabla1[[#This Row],[MES ADEUDO DE AÑOS PASADOS ]:[MESES DE ADEUDO DEL AÑO EN CURSO ]])-Tabla1[[#This Row],[PAGO DE DEUDA ANTERIOR EN MESES]]</f>
        <v>4</v>
      </c>
      <c r="Z372" s="15">
        <f>Tabla1[[#This Row],[MES ADEUDO DE AÑOS PASADOS ]]*$T$2</f>
        <v>180</v>
      </c>
      <c r="AA372" s="15">
        <f>Tabla1[[#This Row],[MESES DE ADEUDO DEL AÑO EN CURSO ]]*$T$2</f>
        <v>0</v>
      </c>
      <c r="AB372" s="69">
        <f>SUM(Tabla1[[#This Row],[DEUDA DE LOS MESES PASADOS EN $$]:[DEUDA DEL AÑO 2013 $$ ]])</f>
        <v>180</v>
      </c>
      <c r="AD372">
        <f>Tabla1[[#This Row],[PAGO DE DEUDA ANTERIOR EN MESES]]*$T$2</f>
        <v>0</v>
      </c>
      <c r="AG372" s="100">
        <f>IF(Tabla1[[#This Row],[TIPO DE CONSUMIDOR]]="MEDIO",IF(Tabla1[[#This Row],[ENERO ]]&gt;22.5,Tabla1[[#This Row],[ENERO ]]/22.5-1,0),IF(Tabla1[[#This Row],[ENERO ]]&gt;45,Tabla1[[#This Row],[ENERO ]]/45-1,0))</f>
        <v>0</v>
      </c>
      <c r="AH37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2" s="100">
        <f>IF(Tabla1[[#This Row],[TIPO DE CONSUMIDOR]]="MEDIO",IF(Tabla1[[#This Row],[MARZO]]&gt;22.5,Tabla1[[#This Row],[MARZO]]/22.5-1,0),IF(Tabla1[[#This Row],[MARZO]]&gt;45,Tabla1[[#This Row],[MARZO]]/45-1,0))</f>
        <v>0</v>
      </c>
      <c r="AJ372" s="100">
        <f>IF(Tabla1[[#This Row],[TIPO DE CONSUMIDOR]]="MEDIO",IF(Tabla1[[#This Row],[ABRIL]]&gt;22.5,Tabla1[[#This Row],[ABRIL]]/22.5-1,0),IF(Tabla1[[#This Row],[ABRIL]]&gt;45,Tabla1[[#This Row],[ABRIL]]/45-1,0))</f>
        <v>0</v>
      </c>
      <c r="AK372" s="100">
        <f>IF(Tabla1[[#This Row],[TIPO DE CONSUMIDOR]]="MEDIO",IF(Tabla1[[#This Row],[MAYO ]]&gt;22.5,Tabla1[[#This Row],[MAYO ]]/22.5-1,0),IF(Tabla1[[#This Row],[MAYO ]]&gt;45,Tabla1[[#This Row],[MAYO ]]/45-1,0))</f>
        <v>0</v>
      </c>
      <c r="AL372" s="100">
        <f>IF(Tabla1[[#This Row],[TIPO DE CONSUMIDOR]]="MEDIO",IF(Tabla1[[#This Row],[JUNIO ]]&gt;22.5,Tabla1[[#This Row],[JUNIO ]]/22.5-1,0),IF(Tabla1[[#This Row],[JUNIO ]]&gt;45,Tabla1[[#This Row],[JUNIO ]]/45-1,0))</f>
        <v>0</v>
      </c>
      <c r="AM372" s="100">
        <f>IF(Tabla1[[#This Row],[TIPO DE CONSUMIDOR]]="MEDIO",IF(Tabla1[[#This Row],[JULIO ]]&gt;22.5,Tabla1[[#This Row],[JULIO ]]/22.5-1,0),IF(Tabla1[[#This Row],[JULIO ]]&gt;45,Tabla1[[#This Row],[JULIO ]]/45-1,0))</f>
        <v>0</v>
      </c>
      <c r="AN372" s="100">
        <f>IF(Tabla1[[#This Row],[TIPO DE CONSUMIDOR]]="MEDIO",IF(Tabla1[[#This Row],[AGOSTO]]&gt;22.5,Tabla1[[#This Row],[AGOSTO]]/22.5-1,0),IF(Tabla1[[#This Row],[AGOSTO]]&gt;45,Tabla1[[#This Row],[AGOSTO]]/45-1,0))</f>
        <v>0</v>
      </c>
      <c r="AO37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2" s="101">
        <f t="shared" si="11"/>
        <v>0</v>
      </c>
      <c r="AT372">
        <f>IF(Tabla1[[#This Row],[MES ADEUDO DE AÑOS PASADOS ]]&gt;0,1,0)</f>
        <v>1</v>
      </c>
      <c r="AU372" s="9">
        <f t="shared" si="12"/>
        <v>1</v>
      </c>
      <c r="AV372" s="60">
        <f>IF(Tabla1[[#This Row],[MESES DE ADEUDO DEL AÑO EN CURSO ]]&gt;0,1,0)</f>
        <v>0</v>
      </c>
      <c r="AW372" s="42"/>
      <c r="AX372" s="42"/>
      <c r="AY372" s="42"/>
      <c r="AZ372" s="43"/>
    </row>
    <row r="373" spans="1:52" ht="21.75" thickBot="1" x14ac:dyDescent="0.35">
      <c r="A373" s="106">
        <v>367</v>
      </c>
      <c r="B373" s="5" t="s">
        <v>196</v>
      </c>
      <c r="C373" s="2" t="s">
        <v>549</v>
      </c>
      <c r="D373" s="32"/>
      <c r="E373" s="35" t="s">
        <v>455</v>
      </c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58">
        <f>SUM(Tabla1[[#This Row],[ENERO ]:[DICIEMBRE]])</f>
        <v>0</v>
      </c>
      <c r="W373">
        <v>7</v>
      </c>
      <c r="X373" s="21">
        <f>COUNTIF(Tabla1[[#This Row],[ENERO ]:[DICIEMBRE]],0)-(AS373)-IF(Tabla1[[#This Row],[BAJAS]]="BAJA",IF(Tabla1[[#This Row],[ALTAS]]="ALTA",VLOOKUP(Tabla1[[#This Row],[MES DE ALTA ]],$AW$6:$AX$17,2,FALSE),12)-VLOOKUP(Tabla1[[#This Row],[MES DE BAJA ]],$AW$6:$AX$17,2,FALSE),0)</f>
        <v>0</v>
      </c>
      <c r="Y373" s="68">
        <f>SUM(Tabla1[[#This Row],[MES ADEUDO DE AÑOS PASADOS ]:[MESES DE ADEUDO DEL AÑO EN CURSO ]])-Tabla1[[#This Row],[PAGO DE DEUDA ANTERIOR EN MESES]]</f>
        <v>7</v>
      </c>
      <c r="Z373" s="15">
        <f>Tabla1[[#This Row],[MES ADEUDO DE AÑOS PASADOS ]]*$T$2</f>
        <v>315</v>
      </c>
      <c r="AA373" s="15">
        <f>Tabla1[[#This Row],[MESES DE ADEUDO DEL AÑO EN CURSO ]]*$T$2</f>
        <v>0</v>
      </c>
      <c r="AB373" s="69">
        <f>SUM(Tabla1[[#This Row],[DEUDA DE LOS MESES PASADOS EN $$]:[DEUDA DEL AÑO 2013 $$ ]])</f>
        <v>315</v>
      </c>
      <c r="AD373">
        <f>Tabla1[[#This Row],[PAGO DE DEUDA ANTERIOR EN MESES]]*$T$2</f>
        <v>0</v>
      </c>
      <c r="AG373" s="100">
        <f>IF(Tabla1[[#This Row],[TIPO DE CONSUMIDOR]]="MEDIO",IF(Tabla1[[#This Row],[ENERO ]]&gt;22.5,Tabla1[[#This Row],[ENERO ]]/22.5-1,0),IF(Tabla1[[#This Row],[ENERO ]]&gt;45,Tabla1[[#This Row],[ENERO ]]/45-1,0))</f>
        <v>0</v>
      </c>
      <c r="AH37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3" s="100">
        <f>IF(Tabla1[[#This Row],[TIPO DE CONSUMIDOR]]="MEDIO",IF(Tabla1[[#This Row],[MARZO]]&gt;22.5,Tabla1[[#This Row],[MARZO]]/22.5-1,0),IF(Tabla1[[#This Row],[MARZO]]&gt;45,Tabla1[[#This Row],[MARZO]]/45-1,0))</f>
        <v>0</v>
      </c>
      <c r="AJ373" s="100">
        <f>IF(Tabla1[[#This Row],[TIPO DE CONSUMIDOR]]="MEDIO",IF(Tabla1[[#This Row],[ABRIL]]&gt;22.5,Tabla1[[#This Row],[ABRIL]]/22.5-1,0),IF(Tabla1[[#This Row],[ABRIL]]&gt;45,Tabla1[[#This Row],[ABRIL]]/45-1,0))</f>
        <v>0</v>
      </c>
      <c r="AK373" s="100">
        <f>IF(Tabla1[[#This Row],[TIPO DE CONSUMIDOR]]="MEDIO",IF(Tabla1[[#This Row],[MAYO ]]&gt;22.5,Tabla1[[#This Row],[MAYO ]]/22.5-1,0),IF(Tabla1[[#This Row],[MAYO ]]&gt;45,Tabla1[[#This Row],[MAYO ]]/45-1,0))</f>
        <v>0</v>
      </c>
      <c r="AL373" s="100">
        <f>IF(Tabla1[[#This Row],[TIPO DE CONSUMIDOR]]="MEDIO",IF(Tabla1[[#This Row],[JUNIO ]]&gt;22.5,Tabla1[[#This Row],[JUNIO ]]/22.5-1,0),IF(Tabla1[[#This Row],[JUNIO ]]&gt;45,Tabla1[[#This Row],[JUNIO ]]/45-1,0))</f>
        <v>0</v>
      </c>
      <c r="AM373" s="100">
        <f>IF(Tabla1[[#This Row],[TIPO DE CONSUMIDOR]]="MEDIO",IF(Tabla1[[#This Row],[JULIO ]]&gt;22.5,Tabla1[[#This Row],[JULIO ]]/22.5-1,0),IF(Tabla1[[#This Row],[JULIO ]]&gt;45,Tabla1[[#This Row],[JULIO ]]/45-1,0))</f>
        <v>0</v>
      </c>
      <c r="AN373" s="100">
        <f>IF(Tabla1[[#This Row],[TIPO DE CONSUMIDOR]]="MEDIO",IF(Tabla1[[#This Row],[AGOSTO]]&gt;22.5,Tabla1[[#This Row],[AGOSTO]]/22.5-1,0),IF(Tabla1[[#This Row],[AGOSTO]]&gt;45,Tabla1[[#This Row],[AGOSTO]]/45-1,0))</f>
        <v>0</v>
      </c>
      <c r="AO37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3" s="101">
        <f t="shared" si="11"/>
        <v>0</v>
      </c>
      <c r="AT373">
        <f>IF(Tabla1[[#This Row],[MES ADEUDO DE AÑOS PASADOS ]]&gt;0,1,0)</f>
        <v>1</v>
      </c>
      <c r="AU373" s="9">
        <f t="shared" si="12"/>
        <v>1</v>
      </c>
      <c r="AV373" s="60">
        <f>IF(Tabla1[[#This Row],[MESES DE ADEUDO DEL AÑO EN CURSO ]]&gt;0,1,0)</f>
        <v>0</v>
      </c>
      <c r="AW373" s="42"/>
      <c r="AX373" s="42"/>
      <c r="AY373" s="42"/>
      <c r="AZ373" s="43"/>
    </row>
    <row r="374" spans="1:52" ht="21.75" thickBot="1" x14ac:dyDescent="0.35">
      <c r="A374" s="106">
        <v>368</v>
      </c>
      <c r="B374" s="5" t="s">
        <v>552</v>
      </c>
      <c r="C374" s="2" t="s">
        <v>549</v>
      </c>
      <c r="D374" s="32"/>
      <c r="E374" s="35" t="s">
        <v>455</v>
      </c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24">
        <f>SUM(Tabla1[[#This Row],[ENERO ]:[DICIEMBRE]])</f>
        <v>0</v>
      </c>
      <c r="W374">
        <v>8</v>
      </c>
      <c r="X374" s="21">
        <f>COUNTIF(Tabla1[[#This Row],[ENERO ]:[DICIEMBRE]],0)-(AS374)-IF(Tabla1[[#This Row],[BAJAS]]="BAJA",IF(Tabla1[[#This Row],[ALTAS]]="ALTA",VLOOKUP(Tabla1[[#This Row],[MES DE ALTA ]],$AW$6:$AX$17,2,FALSE),12)-VLOOKUP(Tabla1[[#This Row],[MES DE BAJA ]],$AW$6:$AX$17,2,FALSE),0)</f>
        <v>0</v>
      </c>
      <c r="Y374" s="68">
        <f>SUM(Tabla1[[#This Row],[MES ADEUDO DE AÑOS PASADOS ]:[MESES DE ADEUDO DEL AÑO EN CURSO ]])-Tabla1[[#This Row],[PAGO DE DEUDA ANTERIOR EN MESES]]</f>
        <v>8</v>
      </c>
      <c r="Z374" s="15">
        <f>Tabla1[[#This Row],[MES ADEUDO DE AÑOS PASADOS ]]*$T$2</f>
        <v>360</v>
      </c>
      <c r="AA374" s="15">
        <f>Tabla1[[#This Row],[MESES DE ADEUDO DEL AÑO EN CURSO ]]*$T$2</f>
        <v>0</v>
      </c>
      <c r="AB374" s="69">
        <f>SUM(Tabla1[[#This Row],[DEUDA DE LOS MESES PASADOS EN $$]:[DEUDA DEL AÑO 2013 $$ ]])</f>
        <v>360</v>
      </c>
      <c r="AD374">
        <f>Tabla1[[#This Row],[PAGO DE DEUDA ANTERIOR EN MESES]]*$T$2</f>
        <v>0</v>
      </c>
      <c r="AG374" s="100">
        <f>IF(Tabla1[[#This Row],[TIPO DE CONSUMIDOR]]="MEDIO",IF(Tabla1[[#This Row],[ENERO ]]&gt;22.5,Tabla1[[#This Row],[ENERO ]]/22.5-1,0),IF(Tabla1[[#This Row],[ENERO ]]&gt;45,Tabla1[[#This Row],[ENERO ]]/45-1,0))</f>
        <v>0</v>
      </c>
      <c r="AH37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4" s="100">
        <f>IF(Tabla1[[#This Row],[TIPO DE CONSUMIDOR]]="MEDIO",IF(Tabla1[[#This Row],[MARZO]]&gt;22.5,Tabla1[[#This Row],[MARZO]]/22.5-1,0),IF(Tabla1[[#This Row],[MARZO]]&gt;45,Tabla1[[#This Row],[MARZO]]/45-1,0))</f>
        <v>0</v>
      </c>
      <c r="AJ374" s="100">
        <f>IF(Tabla1[[#This Row],[TIPO DE CONSUMIDOR]]="MEDIO",IF(Tabla1[[#This Row],[ABRIL]]&gt;22.5,Tabla1[[#This Row],[ABRIL]]/22.5-1,0),IF(Tabla1[[#This Row],[ABRIL]]&gt;45,Tabla1[[#This Row],[ABRIL]]/45-1,0))</f>
        <v>0</v>
      </c>
      <c r="AK374" s="100">
        <f>IF(Tabla1[[#This Row],[TIPO DE CONSUMIDOR]]="MEDIO",IF(Tabla1[[#This Row],[MAYO ]]&gt;22.5,Tabla1[[#This Row],[MAYO ]]/22.5-1,0),IF(Tabla1[[#This Row],[MAYO ]]&gt;45,Tabla1[[#This Row],[MAYO ]]/45-1,0))</f>
        <v>0</v>
      </c>
      <c r="AL374" s="100">
        <f>IF(Tabla1[[#This Row],[TIPO DE CONSUMIDOR]]="MEDIO",IF(Tabla1[[#This Row],[JUNIO ]]&gt;22.5,Tabla1[[#This Row],[JUNIO ]]/22.5-1,0),IF(Tabla1[[#This Row],[JUNIO ]]&gt;45,Tabla1[[#This Row],[JUNIO ]]/45-1,0))</f>
        <v>0</v>
      </c>
      <c r="AM374" s="100">
        <f>IF(Tabla1[[#This Row],[TIPO DE CONSUMIDOR]]="MEDIO",IF(Tabla1[[#This Row],[JULIO ]]&gt;22.5,Tabla1[[#This Row],[JULIO ]]/22.5-1,0),IF(Tabla1[[#This Row],[JULIO ]]&gt;45,Tabla1[[#This Row],[JULIO ]]/45-1,0))</f>
        <v>0</v>
      </c>
      <c r="AN374" s="100">
        <f>IF(Tabla1[[#This Row],[TIPO DE CONSUMIDOR]]="MEDIO",IF(Tabla1[[#This Row],[AGOSTO]]&gt;22.5,Tabla1[[#This Row],[AGOSTO]]/22.5-1,0),IF(Tabla1[[#This Row],[AGOSTO]]&gt;45,Tabla1[[#This Row],[AGOSTO]]/45-1,0))</f>
        <v>0</v>
      </c>
      <c r="AO37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4" s="101">
        <f t="shared" si="11"/>
        <v>0</v>
      </c>
      <c r="AT374">
        <f>IF(Tabla1[[#This Row],[MES ADEUDO DE AÑOS PASADOS ]]&gt;0,1,0)</f>
        <v>1</v>
      </c>
      <c r="AU374" s="9">
        <f t="shared" si="12"/>
        <v>1</v>
      </c>
      <c r="AV374" s="60">
        <f>IF(Tabla1[[#This Row],[MESES DE ADEUDO DEL AÑO EN CURSO ]]&gt;0,1,0)</f>
        <v>0</v>
      </c>
      <c r="AW374" s="42"/>
      <c r="AX374" s="42"/>
      <c r="AY374" s="42"/>
      <c r="AZ374" s="43"/>
    </row>
    <row r="375" spans="1:52" ht="21.75" thickBot="1" x14ac:dyDescent="0.35">
      <c r="A375" s="106">
        <v>369</v>
      </c>
      <c r="B375" s="5" t="s">
        <v>553</v>
      </c>
      <c r="C375" s="2" t="s">
        <v>549</v>
      </c>
      <c r="D375" s="32"/>
      <c r="E375" s="35" t="s">
        <v>455</v>
      </c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24">
        <f>SUM(Tabla1[[#This Row],[ENERO ]:[DICIEMBRE]])</f>
        <v>0</v>
      </c>
      <c r="W375">
        <v>8</v>
      </c>
      <c r="X375" s="21">
        <f>COUNTIF(Tabla1[[#This Row],[ENERO ]:[DICIEMBRE]],0)-(AS375)-IF(Tabla1[[#This Row],[BAJAS]]="BAJA",IF(Tabla1[[#This Row],[ALTAS]]="ALTA",VLOOKUP(Tabla1[[#This Row],[MES DE ALTA ]],$AW$6:$AX$17,2,FALSE),12)-VLOOKUP(Tabla1[[#This Row],[MES DE BAJA ]],$AW$6:$AX$17,2,FALSE),0)</f>
        <v>0</v>
      </c>
      <c r="Y375" s="68">
        <f>SUM(Tabla1[[#This Row],[MES ADEUDO DE AÑOS PASADOS ]:[MESES DE ADEUDO DEL AÑO EN CURSO ]])-Tabla1[[#This Row],[PAGO DE DEUDA ANTERIOR EN MESES]]</f>
        <v>8</v>
      </c>
      <c r="Z375" s="15">
        <f>Tabla1[[#This Row],[MES ADEUDO DE AÑOS PASADOS ]]*$T$2</f>
        <v>360</v>
      </c>
      <c r="AA375" s="15">
        <f>Tabla1[[#This Row],[MESES DE ADEUDO DEL AÑO EN CURSO ]]*$T$2</f>
        <v>0</v>
      </c>
      <c r="AB375" s="69">
        <f>SUM(Tabla1[[#This Row],[DEUDA DE LOS MESES PASADOS EN $$]:[DEUDA DEL AÑO 2013 $$ ]])</f>
        <v>360</v>
      </c>
      <c r="AD375">
        <f>Tabla1[[#This Row],[PAGO DE DEUDA ANTERIOR EN MESES]]*$T$2</f>
        <v>0</v>
      </c>
      <c r="AG375" s="100">
        <f>IF(Tabla1[[#This Row],[TIPO DE CONSUMIDOR]]="MEDIO",IF(Tabla1[[#This Row],[ENERO ]]&gt;22.5,Tabla1[[#This Row],[ENERO ]]/22.5-1,0),IF(Tabla1[[#This Row],[ENERO ]]&gt;45,Tabla1[[#This Row],[ENERO ]]/45-1,0))</f>
        <v>0</v>
      </c>
      <c r="AH37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5" s="100">
        <f>IF(Tabla1[[#This Row],[TIPO DE CONSUMIDOR]]="MEDIO",IF(Tabla1[[#This Row],[MARZO]]&gt;22.5,Tabla1[[#This Row],[MARZO]]/22.5-1,0),IF(Tabla1[[#This Row],[MARZO]]&gt;45,Tabla1[[#This Row],[MARZO]]/45-1,0))</f>
        <v>0</v>
      </c>
      <c r="AJ375" s="100">
        <f>IF(Tabla1[[#This Row],[TIPO DE CONSUMIDOR]]="MEDIO",IF(Tabla1[[#This Row],[ABRIL]]&gt;22.5,Tabla1[[#This Row],[ABRIL]]/22.5-1,0),IF(Tabla1[[#This Row],[ABRIL]]&gt;45,Tabla1[[#This Row],[ABRIL]]/45-1,0))</f>
        <v>0</v>
      </c>
      <c r="AK375" s="100">
        <f>IF(Tabla1[[#This Row],[TIPO DE CONSUMIDOR]]="MEDIO",IF(Tabla1[[#This Row],[MAYO ]]&gt;22.5,Tabla1[[#This Row],[MAYO ]]/22.5-1,0),IF(Tabla1[[#This Row],[MAYO ]]&gt;45,Tabla1[[#This Row],[MAYO ]]/45-1,0))</f>
        <v>0</v>
      </c>
      <c r="AL375" s="100">
        <f>IF(Tabla1[[#This Row],[TIPO DE CONSUMIDOR]]="MEDIO",IF(Tabla1[[#This Row],[JUNIO ]]&gt;22.5,Tabla1[[#This Row],[JUNIO ]]/22.5-1,0),IF(Tabla1[[#This Row],[JUNIO ]]&gt;45,Tabla1[[#This Row],[JUNIO ]]/45-1,0))</f>
        <v>0</v>
      </c>
      <c r="AM375" s="100">
        <f>IF(Tabla1[[#This Row],[TIPO DE CONSUMIDOR]]="MEDIO",IF(Tabla1[[#This Row],[JULIO ]]&gt;22.5,Tabla1[[#This Row],[JULIO ]]/22.5-1,0),IF(Tabla1[[#This Row],[JULIO ]]&gt;45,Tabla1[[#This Row],[JULIO ]]/45-1,0))</f>
        <v>0</v>
      </c>
      <c r="AN375" s="100">
        <f>IF(Tabla1[[#This Row],[TIPO DE CONSUMIDOR]]="MEDIO",IF(Tabla1[[#This Row],[AGOSTO]]&gt;22.5,Tabla1[[#This Row],[AGOSTO]]/22.5-1,0),IF(Tabla1[[#This Row],[AGOSTO]]&gt;45,Tabla1[[#This Row],[AGOSTO]]/45-1,0))</f>
        <v>0</v>
      </c>
      <c r="AO37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5" s="101">
        <f t="shared" si="11"/>
        <v>0</v>
      </c>
      <c r="AT375">
        <f>IF(Tabla1[[#This Row],[MES ADEUDO DE AÑOS PASADOS ]]&gt;0,1,0)</f>
        <v>1</v>
      </c>
      <c r="AU375" s="9">
        <f t="shared" si="12"/>
        <v>1</v>
      </c>
      <c r="AV375" s="60">
        <f>IF(Tabla1[[#This Row],[MESES DE ADEUDO DEL AÑO EN CURSO ]]&gt;0,1,0)</f>
        <v>0</v>
      </c>
      <c r="AW375" s="42"/>
      <c r="AX375" s="42"/>
      <c r="AY375" s="42"/>
      <c r="AZ375" s="43"/>
    </row>
    <row r="376" spans="1:52" ht="21.75" thickBot="1" x14ac:dyDescent="0.35">
      <c r="A376" s="106">
        <v>370</v>
      </c>
      <c r="B376" s="5" t="s">
        <v>363</v>
      </c>
      <c r="C376" s="2" t="s">
        <v>549</v>
      </c>
      <c r="D376" s="32"/>
      <c r="E376" s="35" t="s">
        <v>455</v>
      </c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24">
        <f>SUM(Tabla1[[#This Row],[ENERO ]:[DICIEMBRE]])</f>
        <v>0</v>
      </c>
      <c r="W376">
        <v>9</v>
      </c>
      <c r="X376" s="21">
        <f>COUNTIF(Tabla1[[#This Row],[ENERO ]:[DICIEMBRE]],0)-(AS376)-IF(Tabla1[[#This Row],[BAJAS]]="BAJA",IF(Tabla1[[#This Row],[ALTAS]]="ALTA",VLOOKUP(Tabla1[[#This Row],[MES DE ALTA ]],$AW$6:$AX$17,2,FALSE),12)-VLOOKUP(Tabla1[[#This Row],[MES DE BAJA ]],$AW$6:$AX$17,2,FALSE),0)</f>
        <v>0</v>
      </c>
      <c r="Y376" s="68">
        <f>SUM(Tabla1[[#This Row],[MES ADEUDO DE AÑOS PASADOS ]:[MESES DE ADEUDO DEL AÑO EN CURSO ]])-Tabla1[[#This Row],[PAGO DE DEUDA ANTERIOR EN MESES]]</f>
        <v>9</v>
      </c>
      <c r="Z376" s="15">
        <f>Tabla1[[#This Row],[MES ADEUDO DE AÑOS PASADOS ]]*$T$2</f>
        <v>405</v>
      </c>
      <c r="AA376" s="15">
        <f>Tabla1[[#This Row],[MESES DE ADEUDO DEL AÑO EN CURSO ]]*$T$2</f>
        <v>0</v>
      </c>
      <c r="AB376" s="69">
        <f>SUM(Tabla1[[#This Row],[DEUDA DE LOS MESES PASADOS EN $$]:[DEUDA DEL AÑO 2013 $$ ]])</f>
        <v>405</v>
      </c>
      <c r="AD376">
        <f>Tabla1[[#This Row],[PAGO DE DEUDA ANTERIOR EN MESES]]*$T$2</f>
        <v>0</v>
      </c>
      <c r="AG376" s="100">
        <f>IF(Tabla1[[#This Row],[TIPO DE CONSUMIDOR]]="MEDIO",IF(Tabla1[[#This Row],[ENERO ]]&gt;22.5,Tabla1[[#This Row],[ENERO ]]/22.5-1,0),IF(Tabla1[[#This Row],[ENERO ]]&gt;45,Tabla1[[#This Row],[ENERO ]]/45-1,0))</f>
        <v>0</v>
      </c>
      <c r="AH37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6" s="100">
        <f>IF(Tabla1[[#This Row],[TIPO DE CONSUMIDOR]]="MEDIO",IF(Tabla1[[#This Row],[MARZO]]&gt;22.5,Tabla1[[#This Row],[MARZO]]/22.5-1,0),IF(Tabla1[[#This Row],[MARZO]]&gt;45,Tabla1[[#This Row],[MARZO]]/45-1,0))</f>
        <v>0</v>
      </c>
      <c r="AJ376" s="100">
        <f>IF(Tabla1[[#This Row],[TIPO DE CONSUMIDOR]]="MEDIO",IF(Tabla1[[#This Row],[ABRIL]]&gt;22.5,Tabla1[[#This Row],[ABRIL]]/22.5-1,0),IF(Tabla1[[#This Row],[ABRIL]]&gt;45,Tabla1[[#This Row],[ABRIL]]/45-1,0))</f>
        <v>0</v>
      </c>
      <c r="AK376" s="100">
        <f>IF(Tabla1[[#This Row],[TIPO DE CONSUMIDOR]]="MEDIO",IF(Tabla1[[#This Row],[MAYO ]]&gt;22.5,Tabla1[[#This Row],[MAYO ]]/22.5-1,0),IF(Tabla1[[#This Row],[MAYO ]]&gt;45,Tabla1[[#This Row],[MAYO ]]/45-1,0))</f>
        <v>0</v>
      </c>
      <c r="AL376" s="100">
        <f>IF(Tabla1[[#This Row],[TIPO DE CONSUMIDOR]]="MEDIO",IF(Tabla1[[#This Row],[JUNIO ]]&gt;22.5,Tabla1[[#This Row],[JUNIO ]]/22.5-1,0),IF(Tabla1[[#This Row],[JUNIO ]]&gt;45,Tabla1[[#This Row],[JUNIO ]]/45-1,0))</f>
        <v>0</v>
      </c>
      <c r="AM376" s="100">
        <f>IF(Tabla1[[#This Row],[TIPO DE CONSUMIDOR]]="MEDIO",IF(Tabla1[[#This Row],[JULIO ]]&gt;22.5,Tabla1[[#This Row],[JULIO ]]/22.5-1,0),IF(Tabla1[[#This Row],[JULIO ]]&gt;45,Tabla1[[#This Row],[JULIO ]]/45-1,0))</f>
        <v>0</v>
      </c>
      <c r="AN376" s="100">
        <f>IF(Tabla1[[#This Row],[TIPO DE CONSUMIDOR]]="MEDIO",IF(Tabla1[[#This Row],[AGOSTO]]&gt;22.5,Tabla1[[#This Row],[AGOSTO]]/22.5-1,0),IF(Tabla1[[#This Row],[AGOSTO]]&gt;45,Tabla1[[#This Row],[AGOSTO]]/45-1,0))</f>
        <v>0</v>
      </c>
      <c r="AO37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6" s="101">
        <f t="shared" si="11"/>
        <v>0</v>
      </c>
      <c r="AT376">
        <f>IF(Tabla1[[#This Row],[MES ADEUDO DE AÑOS PASADOS ]]&gt;0,1,0)</f>
        <v>1</v>
      </c>
      <c r="AU376" s="9">
        <f t="shared" si="12"/>
        <v>1</v>
      </c>
      <c r="AV376" s="60">
        <f>IF(Tabla1[[#This Row],[MESES DE ADEUDO DEL AÑO EN CURSO ]]&gt;0,1,0)</f>
        <v>0</v>
      </c>
      <c r="AW376" s="42"/>
      <c r="AX376" s="42"/>
      <c r="AY376" s="42"/>
      <c r="AZ376" s="43"/>
    </row>
    <row r="377" spans="1:52" ht="21.75" thickBot="1" x14ac:dyDescent="0.35">
      <c r="A377" s="106">
        <v>371</v>
      </c>
      <c r="B377" s="5" t="s">
        <v>231</v>
      </c>
      <c r="C377" s="2" t="s">
        <v>549</v>
      </c>
      <c r="D377" s="32"/>
      <c r="E377" s="35" t="s">
        <v>455</v>
      </c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58">
        <f>SUM(Tabla1[[#This Row],[ENERO ]:[DICIEMBRE]])</f>
        <v>0</v>
      </c>
      <c r="W377">
        <v>10</v>
      </c>
      <c r="X377" s="21">
        <f>COUNTIF(Tabla1[[#This Row],[ENERO ]:[DICIEMBRE]],0)-(AS377)-IF(Tabla1[[#This Row],[BAJAS]]="BAJA",IF(Tabla1[[#This Row],[ALTAS]]="ALTA",VLOOKUP(Tabla1[[#This Row],[MES DE ALTA ]],$AW$6:$AX$17,2,FALSE),12)-VLOOKUP(Tabla1[[#This Row],[MES DE BAJA ]],$AW$6:$AX$17,2,FALSE),0)</f>
        <v>0</v>
      </c>
      <c r="Y377" s="68">
        <f>SUM(Tabla1[[#This Row],[MES ADEUDO DE AÑOS PASADOS ]:[MESES DE ADEUDO DEL AÑO EN CURSO ]])-Tabla1[[#This Row],[PAGO DE DEUDA ANTERIOR EN MESES]]</f>
        <v>10</v>
      </c>
      <c r="Z377" s="15">
        <f>Tabla1[[#This Row],[MES ADEUDO DE AÑOS PASADOS ]]*$T$2</f>
        <v>450</v>
      </c>
      <c r="AA377" s="15">
        <f>Tabla1[[#This Row],[MESES DE ADEUDO DEL AÑO EN CURSO ]]*$T$2</f>
        <v>0</v>
      </c>
      <c r="AB377" s="69">
        <f>SUM(Tabla1[[#This Row],[DEUDA DE LOS MESES PASADOS EN $$]:[DEUDA DEL AÑO 2013 $$ ]])</f>
        <v>450</v>
      </c>
      <c r="AD377">
        <f>Tabla1[[#This Row],[PAGO DE DEUDA ANTERIOR EN MESES]]*$T$2</f>
        <v>0</v>
      </c>
      <c r="AG377" s="100">
        <f>IF(Tabla1[[#This Row],[TIPO DE CONSUMIDOR]]="MEDIO",IF(Tabla1[[#This Row],[ENERO ]]&gt;22.5,Tabla1[[#This Row],[ENERO ]]/22.5-1,0),IF(Tabla1[[#This Row],[ENERO ]]&gt;45,Tabla1[[#This Row],[ENERO ]]/45-1,0))</f>
        <v>0</v>
      </c>
      <c r="AH37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7" s="100">
        <f>IF(Tabla1[[#This Row],[TIPO DE CONSUMIDOR]]="MEDIO",IF(Tabla1[[#This Row],[MARZO]]&gt;22.5,Tabla1[[#This Row],[MARZO]]/22.5-1,0),IF(Tabla1[[#This Row],[MARZO]]&gt;45,Tabla1[[#This Row],[MARZO]]/45-1,0))</f>
        <v>0</v>
      </c>
      <c r="AJ377" s="100">
        <f>IF(Tabla1[[#This Row],[TIPO DE CONSUMIDOR]]="MEDIO",IF(Tabla1[[#This Row],[ABRIL]]&gt;22.5,Tabla1[[#This Row],[ABRIL]]/22.5-1,0),IF(Tabla1[[#This Row],[ABRIL]]&gt;45,Tabla1[[#This Row],[ABRIL]]/45-1,0))</f>
        <v>0</v>
      </c>
      <c r="AK377" s="100">
        <f>IF(Tabla1[[#This Row],[TIPO DE CONSUMIDOR]]="MEDIO",IF(Tabla1[[#This Row],[MAYO ]]&gt;22.5,Tabla1[[#This Row],[MAYO ]]/22.5-1,0),IF(Tabla1[[#This Row],[MAYO ]]&gt;45,Tabla1[[#This Row],[MAYO ]]/45-1,0))</f>
        <v>0</v>
      </c>
      <c r="AL377" s="100">
        <f>IF(Tabla1[[#This Row],[TIPO DE CONSUMIDOR]]="MEDIO",IF(Tabla1[[#This Row],[JUNIO ]]&gt;22.5,Tabla1[[#This Row],[JUNIO ]]/22.5-1,0),IF(Tabla1[[#This Row],[JUNIO ]]&gt;45,Tabla1[[#This Row],[JUNIO ]]/45-1,0))</f>
        <v>0</v>
      </c>
      <c r="AM377" s="100">
        <f>IF(Tabla1[[#This Row],[TIPO DE CONSUMIDOR]]="MEDIO",IF(Tabla1[[#This Row],[JULIO ]]&gt;22.5,Tabla1[[#This Row],[JULIO ]]/22.5-1,0),IF(Tabla1[[#This Row],[JULIO ]]&gt;45,Tabla1[[#This Row],[JULIO ]]/45-1,0))</f>
        <v>0</v>
      </c>
      <c r="AN377" s="100">
        <f>IF(Tabla1[[#This Row],[TIPO DE CONSUMIDOR]]="MEDIO",IF(Tabla1[[#This Row],[AGOSTO]]&gt;22.5,Tabla1[[#This Row],[AGOSTO]]/22.5-1,0),IF(Tabla1[[#This Row],[AGOSTO]]&gt;45,Tabla1[[#This Row],[AGOSTO]]/45-1,0))</f>
        <v>0</v>
      </c>
      <c r="AO37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7" s="101">
        <f t="shared" si="11"/>
        <v>0</v>
      </c>
      <c r="AT377">
        <f>IF(Tabla1[[#This Row],[MES ADEUDO DE AÑOS PASADOS ]]&gt;0,1,0)</f>
        <v>1</v>
      </c>
      <c r="AU377" s="9">
        <f t="shared" si="12"/>
        <v>1</v>
      </c>
      <c r="AV377" s="60">
        <f>IF(Tabla1[[#This Row],[MESES DE ADEUDO DEL AÑO EN CURSO ]]&gt;0,1,0)</f>
        <v>0</v>
      </c>
      <c r="AW377" s="42"/>
      <c r="AX377" s="42"/>
      <c r="AY377" s="42"/>
      <c r="AZ377" s="43"/>
    </row>
    <row r="378" spans="1:52" ht="21.75" thickBot="1" x14ac:dyDescent="0.35">
      <c r="A378" s="106">
        <v>372</v>
      </c>
      <c r="B378" s="5" t="s">
        <v>156</v>
      </c>
      <c r="C378" s="2" t="s">
        <v>549</v>
      </c>
      <c r="D378" s="32"/>
      <c r="E378" s="35" t="s">
        <v>455</v>
      </c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24">
        <f>SUM(Tabla1[[#This Row],[ENERO ]:[DICIEMBRE]])</f>
        <v>0</v>
      </c>
      <c r="W378">
        <v>11</v>
      </c>
      <c r="X378" s="21">
        <f>COUNTIF(Tabla1[[#This Row],[ENERO ]:[DICIEMBRE]],0)-(AS378)-IF(Tabla1[[#This Row],[BAJAS]]="BAJA",IF(Tabla1[[#This Row],[ALTAS]]="ALTA",VLOOKUP(Tabla1[[#This Row],[MES DE ALTA ]],$AW$6:$AX$17,2,FALSE),12)-VLOOKUP(Tabla1[[#This Row],[MES DE BAJA ]],$AW$6:$AX$17,2,FALSE),0)</f>
        <v>0</v>
      </c>
      <c r="Y378" s="68">
        <f>SUM(Tabla1[[#This Row],[MES ADEUDO DE AÑOS PASADOS ]:[MESES DE ADEUDO DEL AÑO EN CURSO ]])-Tabla1[[#This Row],[PAGO DE DEUDA ANTERIOR EN MESES]]</f>
        <v>11</v>
      </c>
      <c r="Z378" s="15">
        <f>Tabla1[[#This Row],[MES ADEUDO DE AÑOS PASADOS ]]*$T$2</f>
        <v>495</v>
      </c>
      <c r="AA378" s="15">
        <f>Tabla1[[#This Row],[MESES DE ADEUDO DEL AÑO EN CURSO ]]*$T$2</f>
        <v>0</v>
      </c>
      <c r="AB378" s="69">
        <f>SUM(Tabla1[[#This Row],[DEUDA DE LOS MESES PASADOS EN $$]:[DEUDA DEL AÑO 2013 $$ ]])</f>
        <v>495</v>
      </c>
      <c r="AD378">
        <f>Tabla1[[#This Row],[PAGO DE DEUDA ANTERIOR EN MESES]]*$T$2</f>
        <v>0</v>
      </c>
      <c r="AG378" s="100">
        <f>IF(Tabla1[[#This Row],[TIPO DE CONSUMIDOR]]="MEDIO",IF(Tabla1[[#This Row],[ENERO ]]&gt;22.5,Tabla1[[#This Row],[ENERO ]]/22.5-1,0),IF(Tabla1[[#This Row],[ENERO ]]&gt;45,Tabla1[[#This Row],[ENERO ]]/45-1,0))</f>
        <v>0</v>
      </c>
      <c r="AH37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8" s="100">
        <f>IF(Tabla1[[#This Row],[TIPO DE CONSUMIDOR]]="MEDIO",IF(Tabla1[[#This Row],[MARZO]]&gt;22.5,Tabla1[[#This Row],[MARZO]]/22.5-1,0),IF(Tabla1[[#This Row],[MARZO]]&gt;45,Tabla1[[#This Row],[MARZO]]/45-1,0))</f>
        <v>0</v>
      </c>
      <c r="AJ378" s="100">
        <f>IF(Tabla1[[#This Row],[TIPO DE CONSUMIDOR]]="MEDIO",IF(Tabla1[[#This Row],[ABRIL]]&gt;22.5,Tabla1[[#This Row],[ABRIL]]/22.5-1,0),IF(Tabla1[[#This Row],[ABRIL]]&gt;45,Tabla1[[#This Row],[ABRIL]]/45-1,0))</f>
        <v>0</v>
      </c>
      <c r="AK378" s="100">
        <f>IF(Tabla1[[#This Row],[TIPO DE CONSUMIDOR]]="MEDIO",IF(Tabla1[[#This Row],[MAYO ]]&gt;22.5,Tabla1[[#This Row],[MAYO ]]/22.5-1,0),IF(Tabla1[[#This Row],[MAYO ]]&gt;45,Tabla1[[#This Row],[MAYO ]]/45-1,0))</f>
        <v>0</v>
      </c>
      <c r="AL378" s="100">
        <f>IF(Tabla1[[#This Row],[TIPO DE CONSUMIDOR]]="MEDIO",IF(Tabla1[[#This Row],[JUNIO ]]&gt;22.5,Tabla1[[#This Row],[JUNIO ]]/22.5-1,0),IF(Tabla1[[#This Row],[JUNIO ]]&gt;45,Tabla1[[#This Row],[JUNIO ]]/45-1,0))</f>
        <v>0</v>
      </c>
      <c r="AM378" s="100">
        <f>IF(Tabla1[[#This Row],[TIPO DE CONSUMIDOR]]="MEDIO",IF(Tabla1[[#This Row],[JULIO ]]&gt;22.5,Tabla1[[#This Row],[JULIO ]]/22.5-1,0),IF(Tabla1[[#This Row],[JULIO ]]&gt;45,Tabla1[[#This Row],[JULIO ]]/45-1,0))</f>
        <v>0</v>
      </c>
      <c r="AN378" s="100">
        <f>IF(Tabla1[[#This Row],[TIPO DE CONSUMIDOR]]="MEDIO",IF(Tabla1[[#This Row],[AGOSTO]]&gt;22.5,Tabla1[[#This Row],[AGOSTO]]/22.5-1,0),IF(Tabla1[[#This Row],[AGOSTO]]&gt;45,Tabla1[[#This Row],[AGOSTO]]/45-1,0))</f>
        <v>0</v>
      </c>
      <c r="AO37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8" s="101">
        <f t="shared" si="11"/>
        <v>0</v>
      </c>
      <c r="AT378">
        <f>IF(Tabla1[[#This Row],[MES ADEUDO DE AÑOS PASADOS ]]&gt;0,1,0)</f>
        <v>1</v>
      </c>
      <c r="AU378" s="9">
        <f t="shared" si="12"/>
        <v>1</v>
      </c>
      <c r="AV378" s="60">
        <f>IF(Tabla1[[#This Row],[MESES DE ADEUDO DEL AÑO EN CURSO ]]&gt;0,1,0)</f>
        <v>0</v>
      </c>
      <c r="AW378" s="42"/>
      <c r="AX378" s="42"/>
      <c r="AY378" s="42"/>
      <c r="AZ378" s="43"/>
    </row>
    <row r="379" spans="1:52" ht="21.75" thickBot="1" x14ac:dyDescent="0.35">
      <c r="A379" s="106">
        <v>373</v>
      </c>
      <c r="B379" s="5" t="s">
        <v>149</v>
      </c>
      <c r="C379" s="2" t="s">
        <v>549</v>
      </c>
      <c r="D379" s="32"/>
      <c r="E379" s="35" t="s">
        <v>455</v>
      </c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24">
        <f>SUM(Tabla1[[#This Row],[ENERO ]:[DICIEMBRE]])</f>
        <v>0</v>
      </c>
      <c r="W379">
        <v>12</v>
      </c>
      <c r="X379" s="21">
        <f>COUNTIF(Tabla1[[#This Row],[ENERO ]:[DICIEMBRE]],0)-(AS379)-IF(Tabla1[[#This Row],[BAJAS]]="BAJA",IF(Tabla1[[#This Row],[ALTAS]]="ALTA",VLOOKUP(Tabla1[[#This Row],[MES DE ALTA ]],$AW$6:$AX$17,2,FALSE),12)-VLOOKUP(Tabla1[[#This Row],[MES DE BAJA ]],$AW$6:$AX$17,2,FALSE),0)</f>
        <v>0</v>
      </c>
      <c r="Y379" s="68">
        <f>SUM(Tabla1[[#This Row],[MES ADEUDO DE AÑOS PASADOS ]:[MESES DE ADEUDO DEL AÑO EN CURSO ]])-Tabla1[[#This Row],[PAGO DE DEUDA ANTERIOR EN MESES]]</f>
        <v>12</v>
      </c>
      <c r="Z379" s="15">
        <f>Tabla1[[#This Row],[MES ADEUDO DE AÑOS PASADOS ]]*$T$2</f>
        <v>540</v>
      </c>
      <c r="AA379" s="15">
        <f>Tabla1[[#This Row],[MESES DE ADEUDO DEL AÑO EN CURSO ]]*$T$2</f>
        <v>0</v>
      </c>
      <c r="AB379" s="69">
        <f>SUM(Tabla1[[#This Row],[DEUDA DE LOS MESES PASADOS EN $$]:[DEUDA DEL AÑO 2013 $$ ]])</f>
        <v>540</v>
      </c>
      <c r="AD379">
        <f>Tabla1[[#This Row],[PAGO DE DEUDA ANTERIOR EN MESES]]*$T$2</f>
        <v>0</v>
      </c>
      <c r="AG379" s="100">
        <f>IF(Tabla1[[#This Row],[TIPO DE CONSUMIDOR]]="MEDIO",IF(Tabla1[[#This Row],[ENERO ]]&gt;22.5,Tabla1[[#This Row],[ENERO ]]/22.5-1,0),IF(Tabla1[[#This Row],[ENERO ]]&gt;45,Tabla1[[#This Row],[ENERO ]]/45-1,0))</f>
        <v>0</v>
      </c>
      <c r="AH37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79" s="100">
        <f>IF(Tabla1[[#This Row],[TIPO DE CONSUMIDOR]]="MEDIO",IF(Tabla1[[#This Row],[MARZO]]&gt;22.5,Tabla1[[#This Row],[MARZO]]/22.5-1,0),IF(Tabla1[[#This Row],[MARZO]]&gt;45,Tabla1[[#This Row],[MARZO]]/45-1,0))</f>
        <v>0</v>
      </c>
      <c r="AJ379" s="100">
        <f>IF(Tabla1[[#This Row],[TIPO DE CONSUMIDOR]]="MEDIO",IF(Tabla1[[#This Row],[ABRIL]]&gt;22.5,Tabla1[[#This Row],[ABRIL]]/22.5-1,0),IF(Tabla1[[#This Row],[ABRIL]]&gt;45,Tabla1[[#This Row],[ABRIL]]/45-1,0))</f>
        <v>0</v>
      </c>
      <c r="AK379" s="100">
        <f>IF(Tabla1[[#This Row],[TIPO DE CONSUMIDOR]]="MEDIO",IF(Tabla1[[#This Row],[MAYO ]]&gt;22.5,Tabla1[[#This Row],[MAYO ]]/22.5-1,0),IF(Tabla1[[#This Row],[MAYO ]]&gt;45,Tabla1[[#This Row],[MAYO ]]/45-1,0))</f>
        <v>0</v>
      </c>
      <c r="AL379" s="100">
        <f>IF(Tabla1[[#This Row],[TIPO DE CONSUMIDOR]]="MEDIO",IF(Tabla1[[#This Row],[JUNIO ]]&gt;22.5,Tabla1[[#This Row],[JUNIO ]]/22.5-1,0),IF(Tabla1[[#This Row],[JUNIO ]]&gt;45,Tabla1[[#This Row],[JUNIO ]]/45-1,0))</f>
        <v>0</v>
      </c>
      <c r="AM379" s="100">
        <f>IF(Tabla1[[#This Row],[TIPO DE CONSUMIDOR]]="MEDIO",IF(Tabla1[[#This Row],[JULIO ]]&gt;22.5,Tabla1[[#This Row],[JULIO ]]/22.5-1,0),IF(Tabla1[[#This Row],[JULIO ]]&gt;45,Tabla1[[#This Row],[JULIO ]]/45-1,0))</f>
        <v>0</v>
      </c>
      <c r="AN379" s="100">
        <f>IF(Tabla1[[#This Row],[TIPO DE CONSUMIDOR]]="MEDIO",IF(Tabla1[[#This Row],[AGOSTO]]&gt;22.5,Tabla1[[#This Row],[AGOSTO]]/22.5-1,0),IF(Tabla1[[#This Row],[AGOSTO]]&gt;45,Tabla1[[#This Row],[AGOSTO]]/45-1,0))</f>
        <v>0</v>
      </c>
      <c r="AO37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7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7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7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79" s="101">
        <f t="shared" si="11"/>
        <v>0</v>
      </c>
      <c r="AT379">
        <f>IF(Tabla1[[#This Row],[MES ADEUDO DE AÑOS PASADOS ]]&gt;0,1,0)</f>
        <v>1</v>
      </c>
      <c r="AU379" s="9">
        <f t="shared" si="12"/>
        <v>1</v>
      </c>
      <c r="AV379" s="60">
        <f>IF(Tabla1[[#This Row],[MESES DE ADEUDO DEL AÑO EN CURSO ]]&gt;0,1,0)</f>
        <v>0</v>
      </c>
      <c r="AW379" s="42"/>
      <c r="AX379" s="42"/>
      <c r="AY379" s="42"/>
      <c r="AZ379" s="43"/>
    </row>
    <row r="380" spans="1:52" ht="21.75" thickBot="1" x14ac:dyDescent="0.35">
      <c r="A380" s="106">
        <v>374</v>
      </c>
      <c r="B380" s="5" t="s">
        <v>294</v>
      </c>
      <c r="C380" s="2" t="s">
        <v>549</v>
      </c>
      <c r="D380" s="32"/>
      <c r="E380" s="35" t="s">
        <v>455</v>
      </c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58">
        <f>SUM(Tabla1[[#This Row],[ENERO ]:[DICIEMBRE]])</f>
        <v>0</v>
      </c>
      <c r="W380">
        <v>12</v>
      </c>
      <c r="X380" s="21">
        <f>COUNTIF(Tabla1[[#This Row],[ENERO ]:[DICIEMBRE]],0)-(AS380)-IF(Tabla1[[#This Row],[BAJAS]]="BAJA",IF(Tabla1[[#This Row],[ALTAS]]="ALTA",VLOOKUP(Tabla1[[#This Row],[MES DE ALTA ]],$AW$6:$AX$17,2,FALSE),12)-VLOOKUP(Tabla1[[#This Row],[MES DE BAJA ]],$AW$6:$AX$17,2,FALSE),0)</f>
        <v>0</v>
      </c>
      <c r="Y380" s="68">
        <f>SUM(Tabla1[[#This Row],[MES ADEUDO DE AÑOS PASADOS ]:[MESES DE ADEUDO DEL AÑO EN CURSO ]])-Tabla1[[#This Row],[PAGO DE DEUDA ANTERIOR EN MESES]]</f>
        <v>12</v>
      </c>
      <c r="Z380" s="15">
        <f>Tabla1[[#This Row],[MES ADEUDO DE AÑOS PASADOS ]]*$T$2</f>
        <v>540</v>
      </c>
      <c r="AA380" s="15">
        <f>Tabla1[[#This Row],[MESES DE ADEUDO DEL AÑO EN CURSO ]]*$T$2</f>
        <v>0</v>
      </c>
      <c r="AB380" s="69">
        <f>SUM(Tabla1[[#This Row],[DEUDA DE LOS MESES PASADOS EN $$]:[DEUDA DEL AÑO 2013 $$ ]])</f>
        <v>540</v>
      </c>
      <c r="AD380">
        <f>Tabla1[[#This Row],[PAGO DE DEUDA ANTERIOR EN MESES]]*$T$2</f>
        <v>0</v>
      </c>
      <c r="AG380" s="100">
        <f>IF(Tabla1[[#This Row],[TIPO DE CONSUMIDOR]]="MEDIO",IF(Tabla1[[#This Row],[ENERO ]]&gt;22.5,Tabla1[[#This Row],[ENERO ]]/22.5-1,0),IF(Tabla1[[#This Row],[ENERO ]]&gt;45,Tabla1[[#This Row],[ENERO ]]/45-1,0))</f>
        <v>0</v>
      </c>
      <c r="AH38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0" s="100">
        <f>IF(Tabla1[[#This Row],[TIPO DE CONSUMIDOR]]="MEDIO",IF(Tabla1[[#This Row],[MARZO]]&gt;22.5,Tabla1[[#This Row],[MARZO]]/22.5-1,0),IF(Tabla1[[#This Row],[MARZO]]&gt;45,Tabla1[[#This Row],[MARZO]]/45-1,0))</f>
        <v>0</v>
      </c>
      <c r="AJ380" s="100">
        <f>IF(Tabla1[[#This Row],[TIPO DE CONSUMIDOR]]="MEDIO",IF(Tabla1[[#This Row],[ABRIL]]&gt;22.5,Tabla1[[#This Row],[ABRIL]]/22.5-1,0),IF(Tabla1[[#This Row],[ABRIL]]&gt;45,Tabla1[[#This Row],[ABRIL]]/45-1,0))</f>
        <v>0</v>
      </c>
      <c r="AK380" s="100">
        <f>IF(Tabla1[[#This Row],[TIPO DE CONSUMIDOR]]="MEDIO",IF(Tabla1[[#This Row],[MAYO ]]&gt;22.5,Tabla1[[#This Row],[MAYO ]]/22.5-1,0),IF(Tabla1[[#This Row],[MAYO ]]&gt;45,Tabla1[[#This Row],[MAYO ]]/45-1,0))</f>
        <v>0</v>
      </c>
      <c r="AL380" s="100">
        <f>IF(Tabla1[[#This Row],[TIPO DE CONSUMIDOR]]="MEDIO",IF(Tabla1[[#This Row],[JUNIO ]]&gt;22.5,Tabla1[[#This Row],[JUNIO ]]/22.5-1,0),IF(Tabla1[[#This Row],[JUNIO ]]&gt;45,Tabla1[[#This Row],[JUNIO ]]/45-1,0))</f>
        <v>0</v>
      </c>
      <c r="AM380" s="100">
        <f>IF(Tabla1[[#This Row],[TIPO DE CONSUMIDOR]]="MEDIO",IF(Tabla1[[#This Row],[JULIO ]]&gt;22.5,Tabla1[[#This Row],[JULIO ]]/22.5-1,0),IF(Tabla1[[#This Row],[JULIO ]]&gt;45,Tabla1[[#This Row],[JULIO ]]/45-1,0))</f>
        <v>0</v>
      </c>
      <c r="AN380" s="100">
        <f>IF(Tabla1[[#This Row],[TIPO DE CONSUMIDOR]]="MEDIO",IF(Tabla1[[#This Row],[AGOSTO]]&gt;22.5,Tabla1[[#This Row],[AGOSTO]]/22.5-1,0),IF(Tabla1[[#This Row],[AGOSTO]]&gt;45,Tabla1[[#This Row],[AGOSTO]]/45-1,0))</f>
        <v>0</v>
      </c>
      <c r="AO38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0" s="101">
        <f t="shared" si="11"/>
        <v>0</v>
      </c>
      <c r="AT380">
        <f>IF(Tabla1[[#This Row],[MES ADEUDO DE AÑOS PASADOS ]]&gt;0,1,0)</f>
        <v>1</v>
      </c>
      <c r="AU380" s="9">
        <f t="shared" si="12"/>
        <v>1</v>
      </c>
      <c r="AV380" s="60">
        <f>IF(Tabla1[[#This Row],[MESES DE ADEUDO DEL AÑO EN CURSO ]]&gt;0,1,0)</f>
        <v>0</v>
      </c>
      <c r="AW380" s="42"/>
      <c r="AX380" s="42"/>
      <c r="AY380" s="42"/>
      <c r="AZ380" s="43"/>
    </row>
    <row r="381" spans="1:52" ht="21.75" thickBot="1" x14ac:dyDescent="0.35">
      <c r="A381" s="106">
        <v>375</v>
      </c>
      <c r="B381" s="5" t="s">
        <v>296</v>
      </c>
      <c r="C381" s="2" t="s">
        <v>549</v>
      </c>
      <c r="D381" s="32"/>
      <c r="E381" s="35" t="s">
        <v>455</v>
      </c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58">
        <f>SUM(Tabla1[[#This Row],[ENERO ]:[DICIEMBRE]])</f>
        <v>0</v>
      </c>
      <c r="W381">
        <v>12</v>
      </c>
      <c r="X381" s="21">
        <f>COUNTIF(Tabla1[[#This Row],[ENERO ]:[DICIEMBRE]],0)-(AS381)-IF(Tabla1[[#This Row],[BAJAS]]="BAJA",IF(Tabla1[[#This Row],[ALTAS]]="ALTA",VLOOKUP(Tabla1[[#This Row],[MES DE ALTA ]],$AW$6:$AX$17,2,FALSE),12)-VLOOKUP(Tabla1[[#This Row],[MES DE BAJA ]],$AW$6:$AX$17,2,FALSE),0)</f>
        <v>0</v>
      </c>
      <c r="Y381" s="68">
        <f>SUM(Tabla1[[#This Row],[MES ADEUDO DE AÑOS PASADOS ]:[MESES DE ADEUDO DEL AÑO EN CURSO ]])-Tabla1[[#This Row],[PAGO DE DEUDA ANTERIOR EN MESES]]</f>
        <v>12</v>
      </c>
      <c r="Z381" s="15">
        <f>Tabla1[[#This Row],[MES ADEUDO DE AÑOS PASADOS ]]*$T$2</f>
        <v>540</v>
      </c>
      <c r="AA381" s="15">
        <f>Tabla1[[#This Row],[MESES DE ADEUDO DEL AÑO EN CURSO ]]*$T$2</f>
        <v>0</v>
      </c>
      <c r="AB381" s="69">
        <f>SUM(Tabla1[[#This Row],[DEUDA DE LOS MESES PASADOS EN $$]:[DEUDA DEL AÑO 2013 $$ ]])</f>
        <v>540</v>
      </c>
      <c r="AD381">
        <f>Tabla1[[#This Row],[PAGO DE DEUDA ANTERIOR EN MESES]]*$T$2</f>
        <v>0</v>
      </c>
      <c r="AG381" s="100">
        <f>IF(Tabla1[[#This Row],[TIPO DE CONSUMIDOR]]="MEDIO",IF(Tabla1[[#This Row],[ENERO ]]&gt;22.5,Tabla1[[#This Row],[ENERO ]]/22.5-1,0),IF(Tabla1[[#This Row],[ENERO ]]&gt;45,Tabla1[[#This Row],[ENERO ]]/45-1,0))</f>
        <v>0</v>
      </c>
      <c r="AH38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1" s="100">
        <f>IF(Tabla1[[#This Row],[TIPO DE CONSUMIDOR]]="MEDIO",IF(Tabla1[[#This Row],[MARZO]]&gt;22.5,Tabla1[[#This Row],[MARZO]]/22.5-1,0),IF(Tabla1[[#This Row],[MARZO]]&gt;45,Tabla1[[#This Row],[MARZO]]/45-1,0))</f>
        <v>0</v>
      </c>
      <c r="AJ381" s="100">
        <f>IF(Tabla1[[#This Row],[TIPO DE CONSUMIDOR]]="MEDIO",IF(Tabla1[[#This Row],[ABRIL]]&gt;22.5,Tabla1[[#This Row],[ABRIL]]/22.5-1,0),IF(Tabla1[[#This Row],[ABRIL]]&gt;45,Tabla1[[#This Row],[ABRIL]]/45-1,0))</f>
        <v>0</v>
      </c>
      <c r="AK381" s="100">
        <f>IF(Tabla1[[#This Row],[TIPO DE CONSUMIDOR]]="MEDIO",IF(Tabla1[[#This Row],[MAYO ]]&gt;22.5,Tabla1[[#This Row],[MAYO ]]/22.5-1,0),IF(Tabla1[[#This Row],[MAYO ]]&gt;45,Tabla1[[#This Row],[MAYO ]]/45-1,0))</f>
        <v>0</v>
      </c>
      <c r="AL381" s="100">
        <f>IF(Tabla1[[#This Row],[TIPO DE CONSUMIDOR]]="MEDIO",IF(Tabla1[[#This Row],[JUNIO ]]&gt;22.5,Tabla1[[#This Row],[JUNIO ]]/22.5-1,0),IF(Tabla1[[#This Row],[JUNIO ]]&gt;45,Tabla1[[#This Row],[JUNIO ]]/45-1,0))</f>
        <v>0</v>
      </c>
      <c r="AM381" s="100">
        <f>IF(Tabla1[[#This Row],[TIPO DE CONSUMIDOR]]="MEDIO",IF(Tabla1[[#This Row],[JULIO ]]&gt;22.5,Tabla1[[#This Row],[JULIO ]]/22.5-1,0),IF(Tabla1[[#This Row],[JULIO ]]&gt;45,Tabla1[[#This Row],[JULIO ]]/45-1,0))</f>
        <v>0</v>
      </c>
      <c r="AN381" s="100">
        <f>IF(Tabla1[[#This Row],[TIPO DE CONSUMIDOR]]="MEDIO",IF(Tabla1[[#This Row],[AGOSTO]]&gt;22.5,Tabla1[[#This Row],[AGOSTO]]/22.5-1,0),IF(Tabla1[[#This Row],[AGOSTO]]&gt;45,Tabla1[[#This Row],[AGOSTO]]/45-1,0))</f>
        <v>0</v>
      </c>
      <c r="AO38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1" s="101">
        <f t="shared" si="11"/>
        <v>0</v>
      </c>
      <c r="AT381">
        <f>IF(Tabla1[[#This Row],[MES ADEUDO DE AÑOS PASADOS ]]&gt;0,1,0)</f>
        <v>1</v>
      </c>
      <c r="AU381" s="9">
        <f t="shared" si="12"/>
        <v>1</v>
      </c>
      <c r="AV381" s="60">
        <f>IF(Tabla1[[#This Row],[MESES DE ADEUDO DEL AÑO EN CURSO ]]&gt;0,1,0)</f>
        <v>0</v>
      </c>
      <c r="AW381" s="42"/>
      <c r="AX381" s="42"/>
      <c r="AY381" s="42"/>
      <c r="AZ381" s="43"/>
    </row>
    <row r="382" spans="1:52" ht="21.75" thickBot="1" x14ac:dyDescent="0.35">
      <c r="A382" s="106">
        <v>376</v>
      </c>
      <c r="B382" s="5" t="s">
        <v>189</v>
      </c>
      <c r="C382" s="2" t="s">
        <v>549</v>
      </c>
      <c r="D382" s="32"/>
      <c r="E382" s="35" t="s">
        <v>455</v>
      </c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24">
        <f>SUM(Tabla1[[#This Row],[ENERO ]:[DICIEMBRE]])</f>
        <v>0</v>
      </c>
      <c r="W382">
        <v>13</v>
      </c>
      <c r="X382" s="21">
        <f>COUNTIF(Tabla1[[#This Row],[ENERO ]:[DICIEMBRE]],0)-(AS382)-IF(Tabla1[[#This Row],[BAJAS]]="BAJA",IF(Tabla1[[#This Row],[ALTAS]]="ALTA",VLOOKUP(Tabla1[[#This Row],[MES DE ALTA ]],$AW$6:$AX$17,2,FALSE),12)-VLOOKUP(Tabla1[[#This Row],[MES DE BAJA ]],$AW$6:$AX$17,2,FALSE),0)</f>
        <v>0</v>
      </c>
      <c r="Y382" s="68">
        <f>SUM(Tabla1[[#This Row],[MES ADEUDO DE AÑOS PASADOS ]:[MESES DE ADEUDO DEL AÑO EN CURSO ]])-Tabla1[[#This Row],[PAGO DE DEUDA ANTERIOR EN MESES]]</f>
        <v>13</v>
      </c>
      <c r="Z382" s="15">
        <f>Tabla1[[#This Row],[MES ADEUDO DE AÑOS PASADOS ]]*$T$2</f>
        <v>585</v>
      </c>
      <c r="AA382" s="15">
        <f>Tabla1[[#This Row],[MESES DE ADEUDO DEL AÑO EN CURSO ]]*$T$2</f>
        <v>0</v>
      </c>
      <c r="AB382" s="69">
        <f>SUM(Tabla1[[#This Row],[DEUDA DE LOS MESES PASADOS EN $$]:[DEUDA DEL AÑO 2013 $$ ]])</f>
        <v>585</v>
      </c>
      <c r="AD382">
        <f>Tabla1[[#This Row],[PAGO DE DEUDA ANTERIOR EN MESES]]*$T$2</f>
        <v>0</v>
      </c>
      <c r="AG382" s="100">
        <f>IF(Tabla1[[#This Row],[TIPO DE CONSUMIDOR]]="MEDIO",IF(Tabla1[[#This Row],[ENERO ]]&gt;22.5,Tabla1[[#This Row],[ENERO ]]/22.5-1,0),IF(Tabla1[[#This Row],[ENERO ]]&gt;45,Tabla1[[#This Row],[ENERO ]]/45-1,0))</f>
        <v>0</v>
      </c>
      <c r="AH38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2" s="100">
        <f>IF(Tabla1[[#This Row],[TIPO DE CONSUMIDOR]]="MEDIO",IF(Tabla1[[#This Row],[MARZO]]&gt;22.5,Tabla1[[#This Row],[MARZO]]/22.5-1,0),IF(Tabla1[[#This Row],[MARZO]]&gt;45,Tabla1[[#This Row],[MARZO]]/45-1,0))</f>
        <v>0</v>
      </c>
      <c r="AJ382" s="100">
        <f>IF(Tabla1[[#This Row],[TIPO DE CONSUMIDOR]]="MEDIO",IF(Tabla1[[#This Row],[ABRIL]]&gt;22.5,Tabla1[[#This Row],[ABRIL]]/22.5-1,0),IF(Tabla1[[#This Row],[ABRIL]]&gt;45,Tabla1[[#This Row],[ABRIL]]/45-1,0))</f>
        <v>0</v>
      </c>
      <c r="AK382" s="100">
        <f>IF(Tabla1[[#This Row],[TIPO DE CONSUMIDOR]]="MEDIO",IF(Tabla1[[#This Row],[MAYO ]]&gt;22.5,Tabla1[[#This Row],[MAYO ]]/22.5-1,0),IF(Tabla1[[#This Row],[MAYO ]]&gt;45,Tabla1[[#This Row],[MAYO ]]/45-1,0))</f>
        <v>0</v>
      </c>
      <c r="AL382" s="100">
        <f>IF(Tabla1[[#This Row],[TIPO DE CONSUMIDOR]]="MEDIO",IF(Tabla1[[#This Row],[JUNIO ]]&gt;22.5,Tabla1[[#This Row],[JUNIO ]]/22.5-1,0),IF(Tabla1[[#This Row],[JUNIO ]]&gt;45,Tabla1[[#This Row],[JUNIO ]]/45-1,0))</f>
        <v>0</v>
      </c>
      <c r="AM382" s="100">
        <f>IF(Tabla1[[#This Row],[TIPO DE CONSUMIDOR]]="MEDIO",IF(Tabla1[[#This Row],[JULIO ]]&gt;22.5,Tabla1[[#This Row],[JULIO ]]/22.5-1,0),IF(Tabla1[[#This Row],[JULIO ]]&gt;45,Tabla1[[#This Row],[JULIO ]]/45-1,0))</f>
        <v>0</v>
      </c>
      <c r="AN382" s="100">
        <f>IF(Tabla1[[#This Row],[TIPO DE CONSUMIDOR]]="MEDIO",IF(Tabla1[[#This Row],[AGOSTO]]&gt;22.5,Tabla1[[#This Row],[AGOSTO]]/22.5-1,0),IF(Tabla1[[#This Row],[AGOSTO]]&gt;45,Tabla1[[#This Row],[AGOSTO]]/45-1,0))</f>
        <v>0</v>
      </c>
      <c r="AO38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2" s="101">
        <f t="shared" si="11"/>
        <v>0</v>
      </c>
      <c r="AT382">
        <f>IF(Tabla1[[#This Row],[MES ADEUDO DE AÑOS PASADOS ]]&gt;0,1,0)</f>
        <v>1</v>
      </c>
      <c r="AU382" s="9">
        <f t="shared" si="12"/>
        <v>1</v>
      </c>
      <c r="AV382" s="60">
        <f>IF(Tabla1[[#This Row],[MESES DE ADEUDO DEL AÑO EN CURSO ]]&gt;0,1,0)</f>
        <v>0</v>
      </c>
      <c r="AW382" s="42"/>
      <c r="AX382" s="42"/>
      <c r="AY382" s="42"/>
      <c r="AZ382" s="43"/>
    </row>
    <row r="383" spans="1:52" ht="21.75" thickBot="1" x14ac:dyDescent="0.35">
      <c r="A383" s="106">
        <v>377</v>
      </c>
      <c r="B383" s="5" t="s">
        <v>120</v>
      </c>
      <c r="C383" s="2" t="s">
        <v>549</v>
      </c>
      <c r="D383" s="32"/>
      <c r="E383" s="35" t="s">
        <v>455</v>
      </c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24">
        <f>SUM(Tabla1[[#This Row],[ENERO ]:[DICIEMBRE]])</f>
        <v>0</v>
      </c>
      <c r="W383">
        <v>17</v>
      </c>
      <c r="X383" s="21">
        <f>COUNTIF(Tabla1[[#This Row],[ENERO ]:[DICIEMBRE]],0)-(AS383)-IF(Tabla1[[#This Row],[BAJAS]]="BAJA",IF(Tabla1[[#This Row],[ALTAS]]="ALTA",VLOOKUP(Tabla1[[#This Row],[MES DE ALTA ]],$AW$6:$AX$17,2,FALSE),12)-VLOOKUP(Tabla1[[#This Row],[MES DE BAJA ]],$AW$6:$AX$17,2,FALSE),0)</f>
        <v>0</v>
      </c>
      <c r="Y383" s="68">
        <f>SUM(Tabla1[[#This Row],[MES ADEUDO DE AÑOS PASADOS ]:[MESES DE ADEUDO DEL AÑO EN CURSO ]])-Tabla1[[#This Row],[PAGO DE DEUDA ANTERIOR EN MESES]]</f>
        <v>17</v>
      </c>
      <c r="Z383" s="15">
        <f>Tabla1[[#This Row],[MES ADEUDO DE AÑOS PASADOS ]]*$T$2</f>
        <v>765</v>
      </c>
      <c r="AA383" s="15">
        <f>Tabla1[[#This Row],[MESES DE ADEUDO DEL AÑO EN CURSO ]]*$T$2</f>
        <v>0</v>
      </c>
      <c r="AB383" s="69">
        <f>SUM(Tabla1[[#This Row],[DEUDA DE LOS MESES PASADOS EN $$]:[DEUDA DEL AÑO 2013 $$ ]])</f>
        <v>765</v>
      </c>
      <c r="AD383">
        <f>Tabla1[[#This Row],[PAGO DE DEUDA ANTERIOR EN MESES]]*$T$2</f>
        <v>0</v>
      </c>
      <c r="AG383" s="100">
        <f>IF(Tabla1[[#This Row],[TIPO DE CONSUMIDOR]]="MEDIO",IF(Tabla1[[#This Row],[ENERO ]]&gt;22.5,Tabla1[[#This Row],[ENERO ]]/22.5-1,0),IF(Tabla1[[#This Row],[ENERO ]]&gt;45,Tabla1[[#This Row],[ENERO ]]/45-1,0))</f>
        <v>0</v>
      </c>
      <c r="AH38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3" s="100">
        <f>IF(Tabla1[[#This Row],[TIPO DE CONSUMIDOR]]="MEDIO",IF(Tabla1[[#This Row],[MARZO]]&gt;22.5,Tabla1[[#This Row],[MARZO]]/22.5-1,0),IF(Tabla1[[#This Row],[MARZO]]&gt;45,Tabla1[[#This Row],[MARZO]]/45-1,0))</f>
        <v>0</v>
      </c>
      <c r="AJ383" s="100">
        <f>IF(Tabla1[[#This Row],[TIPO DE CONSUMIDOR]]="MEDIO",IF(Tabla1[[#This Row],[ABRIL]]&gt;22.5,Tabla1[[#This Row],[ABRIL]]/22.5-1,0),IF(Tabla1[[#This Row],[ABRIL]]&gt;45,Tabla1[[#This Row],[ABRIL]]/45-1,0))</f>
        <v>0</v>
      </c>
      <c r="AK383" s="100">
        <f>IF(Tabla1[[#This Row],[TIPO DE CONSUMIDOR]]="MEDIO",IF(Tabla1[[#This Row],[MAYO ]]&gt;22.5,Tabla1[[#This Row],[MAYO ]]/22.5-1,0),IF(Tabla1[[#This Row],[MAYO ]]&gt;45,Tabla1[[#This Row],[MAYO ]]/45-1,0))</f>
        <v>0</v>
      </c>
      <c r="AL383" s="100">
        <f>IF(Tabla1[[#This Row],[TIPO DE CONSUMIDOR]]="MEDIO",IF(Tabla1[[#This Row],[JUNIO ]]&gt;22.5,Tabla1[[#This Row],[JUNIO ]]/22.5-1,0),IF(Tabla1[[#This Row],[JUNIO ]]&gt;45,Tabla1[[#This Row],[JUNIO ]]/45-1,0))</f>
        <v>0</v>
      </c>
      <c r="AM383" s="100">
        <f>IF(Tabla1[[#This Row],[TIPO DE CONSUMIDOR]]="MEDIO",IF(Tabla1[[#This Row],[JULIO ]]&gt;22.5,Tabla1[[#This Row],[JULIO ]]/22.5-1,0),IF(Tabla1[[#This Row],[JULIO ]]&gt;45,Tabla1[[#This Row],[JULIO ]]/45-1,0))</f>
        <v>0</v>
      </c>
      <c r="AN383" s="100">
        <f>IF(Tabla1[[#This Row],[TIPO DE CONSUMIDOR]]="MEDIO",IF(Tabla1[[#This Row],[AGOSTO]]&gt;22.5,Tabla1[[#This Row],[AGOSTO]]/22.5-1,0),IF(Tabla1[[#This Row],[AGOSTO]]&gt;45,Tabla1[[#This Row],[AGOSTO]]/45-1,0))</f>
        <v>0</v>
      </c>
      <c r="AO38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3" s="101">
        <f t="shared" si="11"/>
        <v>0</v>
      </c>
      <c r="AT383">
        <f>IF(Tabla1[[#This Row],[MES ADEUDO DE AÑOS PASADOS ]]&gt;0,1,0)</f>
        <v>1</v>
      </c>
      <c r="AU383" s="9">
        <f t="shared" si="12"/>
        <v>1</v>
      </c>
      <c r="AV383" s="60">
        <f>IF(Tabla1[[#This Row],[MESES DE ADEUDO DEL AÑO EN CURSO ]]&gt;0,1,0)</f>
        <v>0</v>
      </c>
      <c r="AW383" s="42"/>
      <c r="AX383" s="42"/>
      <c r="AY383" s="42"/>
      <c r="AZ383" s="43"/>
    </row>
    <row r="384" spans="1:52" ht="21.75" thickBot="1" x14ac:dyDescent="0.35">
      <c r="A384" s="106">
        <v>378</v>
      </c>
      <c r="B384" s="5" t="s">
        <v>54</v>
      </c>
      <c r="C384" s="2" t="s">
        <v>549</v>
      </c>
      <c r="D384" s="32"/>
      <c r="E384" s="35" t="s">
        <v>455</v>
      </c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58">
        <f>SUM(Tabla1[[#This Row],[ENERO ]:[DICIEMBRE]])</f>
        <v>0</v>
      </c>
      <c r="W384">
        <v>19</v>
      </c>
      <c r="X384" s="21">
        <f>COUNTIF(Tabla1[[#This Row],[ENERO ]:[DICIEMBRE]],0)-(AS384)-IF(Tabla1[[#This Row],[BAJAS]]="BAJA",IF(Tabla1[[#This Row],[ALTAS]]="ALTA",VLOOKUP(Tabla1[[#This Row],[MES DE ALTA ]],$AW$6:$AX$17,2,FALSE),12)-VLOOKUP(Tabla1[[#This Row],[MES DE BAJA ]],$AW$6:$AX$17,2,FALSE),0)</f>
        <v>0</v>
      </c>
      <c r="Y384" s="68">
        <f>SUM(Tabla1[[#This Row],[MES ADEUDO DE AÑOS PASADOS ]:[MESES DE ADEUDO DEL AÑO EN CURSO ]])-Tabla1[[#This Row],[PAGO DE DEUDA ANTERIOR EN MESES]]</f>
        <v>19</v>
      </c>
      <c r="Z384" s="15">
        <f>Tabla1[[#This Row],[MES ADEUDO DE AÑOS PASADOS ]]*$T$2</f>
        <v>855</v>
      </c>
      <c r="AA384" s="15">
        <f>Tabla1[[#This Row],[MESES DE ADEUDO DEL AÑO EN CURSO ]]*$T$2</f>
        <v>0</v>
      </c>
      <c r="AB384" s="69">
        <f>SUM(Tabla1[[#This Row],[DEUDA DE LOS MESES PASADOS EN $$]:[DEUDA DEL AÑO 2013 $$ ]])</f>
        <v>855</v>
      </c>
      <c r="AD384">
        <f>Tabla1[[#This Row],[PAGO DE DEUDA ANTERIOR EN MESES]]*$T$2</f>
        <v>0</v>
      </c>
      <c r="AG384" s="100">
        <f>IF(Tabla1[[#This Row],[TIPO DE CONSUMIDOR]]="MEDIO",IF(Tabla1[[#This Row],[ENERO ]]&gt;22.5,Tabla1[[#This Row],[ENERO ]]/22.5-1,0),IF(Tabla1[[#This Row],[ENERO ]]&gt;45,Tabla1[[#This Row],[ENERO ]]/45-1,0))</f>
        <v>0</v>
      </c>
      <c r="AH38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4" s="100">
        <f>IF(Tabla1[[#This Row],[TIPO DE CONSUMIDOR]]="MEDIO",IF(Tabla1[[#This Row],[MARZO]]&gt;22.5,Tabla1[[#This Row],[MARZO]]/22.5-1,0),IF(Tabla1[[#This Row],[MARZO]]&gt;45,Tabla1[[#This Row],[MARZO]]/45-1,0))</f>
        <v>0</v>
      </c>
      <c r="AJ384" s="100">
        <f>IF(Tabla1[[#This Row],[TIPO DE CONSUMIDOR]]="MEDIO",IF(Tabla1[[#This Row],[ABRIL]]&gt;22.5,Tabla1[[#This Row],[ABRIL]]/22.5-1,0),IF(Tabla1[[#This Row],[ABRIL]]&gt;45,Tabla1[[#This Row],[ABRIL]]/45-1,0))</f>
        <v>0</v>
      </c>
      <c r="AK384" s="100">
        <f>IF(Tabla1[[#This Row],[TIPO DE CONSUMIDOR]]="MEDIO",IF(Tabla1[[#This Row],[MAYO ]]&gt;22.5,Tabla1[[#This Row],[MAYO ]]/22.5-1,0),IF(Tabla1[[#This Row],[MAYO ]]&gt;45,Tabla1[[#This Row],[MAYO ]]/45-1,0))</f>
        <v>0</v>
      </c>
      <c r="AL384" s="100">
        <f>IF(Tabla1[[#This Row],[TIPO DE CONSUMIDOR]]="MEDIO",IF(Tabla1[[#This Row],[JUNIO ]]&gt;22.5,Tabla1[[#This Row],[JUNIO ]]/22.5-1,0),IF(Tabla1[[#This Row],[JUNIO ]]&gt;45,Tabla1[[#This Row],[JUNIO ]]/45-1,0))</f>
        <v>0</v>
      </c>
      <c r="AM384" s="100">
        <f>IF(Tabla1[[#This Row],[TIPO DE CONSUMIDOR]]="MEDIO",IF(Tabla1[[#This Row],[JULIO ]]&gt;22.5,Tabla1[[#This Row],[JULIO ]]/22.5-1,0),IF(Tabla1[[#This Row],[JULIO ]]&gt;45,Tabla1[[#This Row],[JULIO ]]/45-1,0))</f>
        <v>0</v>
      </c>
      <c r="AN384" s="100">
        <f>IF(Tabla1[[#This Row],[TIPO DE CONSUMIDOR]]="MEDIO",IF(Tabla1[[#This Row],[AGOSTO]]&gt;22.5,Tabla1[[#This Row],[AGOSTO]]/22.5-1,0),IF(Tabla1[[#This Row],[AGOSTO]]&gt;45,Tabla1[[#This Row],[AGOSTO]]/45-1,0))</f>
        <v>0</v>
      </c>
      <c r="AO38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4" s="101">
        <f t="shared" si="11"/>
        <v>0</v>
      </c>
      <c r="AT384">
        <f>IF(Tabla1[[#This Row],[MES ADEUDO DE AÑOS PASADOS ]]&gt;0,1,0)</f>
        <v>1</v>
      </c>
      <c r="AU384" s="9">
        <f t="shared" si="12"/>
        <v>1</v>
      </c>
      <c r="AV384" s="60">
        <f>IF(Tabla1[[#This Row],[MESES DE ADEUDO DEL AÑO EN CURSO ]]&gt;0,1,0)</f>
        <v>0</v>
      </c>
      <c r="AW384" s="42"/>
      <c r="AX384" s="42"/>
      <c r="AY384" s="42"/>
      <c r="AZ384" s="43"/>
    </row>
    <row r="385" spans="1:52" ht="21.75" thickBot="1" x14ac:dyDescent="0.35">
      <c r="A385" s="106">
        <v>379</v>
      </c>
      <c r="B385" s="5" t="s">
        <v>550</v>
      </c>
      <c r="C385" s="2" t="s">
        <v>549</v>
      </c>
      <c r="D385" s="32"/>
      <c r="E385" s="35" t="s">
        <v>455</v>
      </c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24">
        <f>SUM(Tabla1[[#This Row],[ENERO ]:[DICIEMBRE]])</f>
        <v>0</v>
      </c>
      <c r="W385">
        <v>23</v>
      </c>
      <c r="X385" s="21">
        <f>COUNTIF(Tabla1[[#This Row],[ENERO ]:[DICIEMBRE]],0)-(AS385)-IF(Tabla1[[#This Row],[BAJAS]]="BAJA",IF(Tabla1[[#This Row],[ALTAS]]="ALTA",VLOOKUP(Tabla1[[#This Row],[MES DE ALTA ]],$AW$6:$AX$17,2,FALSE),12)-VLOOKUP(Tabla1[[#This Row],[MES DE BAJA ]],$AW$6:$AX$17,2,FALSE),0)</f>
        <v>0</v>
      </c>
      <c r="Y385" s="68">
        <f>SUM(Tabla1[[#This Row],[MES ADEUDO DE AÑOS PASADOS ]:[MESES DE ADEUDO DEL AÑO EN CURSO ]])-Tabla1[[#This Row],[PAGO DE DEUDA ANTERIOR EN MESES]]</f>
        <v>23</v>
      </c>
      <c r="Z385" s="15">
        <f>Tabla1[[#This Row],[MES ADEUDO DE AÑOS PASADOS ]]*$T$2</f>
        <v>1035</v>
      </c>
      <c r="AA385" s="15">
        <f>Tabla1[[#This Row],[MESES DE ADEUDO DEL AÑO EN CURSO ]]*$T$2</f>
        <v>0</v>
      </c>
      <c r="AB385" s="69">
        <f>SUM(Tabla1[[#This Row],[DEUDA DE LOS MESES PASADOS EN $$]:[DEUDA DEL AÑO 2013 $$ ]])</f>
        <v>1035</v>
      </c>
      <c r="AD385">
        <f>Tabla1[[#This Row],[PAGO DE DEUDA ANTERIOR EN MESES]]*$T$2</f>
        <v>0</v>
      </c>
      <c r="AG385" s="100">
        <f>IF(Tabla1[[#This Row],[TIPO DE CONSUMIDOR]]="MEDIO",IF(Tabla1[[#This Row],[ENERO ]]&gt;22.5,Tabla1[[#This Row],[ENERO ]]/22.5-1,0),IF(Tabla1[[#This Row],[ENERO ]]&gt;45,Tabla1[[#This Row],[ENERO ]]/45-1,0))</f>
        <v>0</v>
      </c>
      <c r="AH38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5" s="100">
        <f>IF(Tabla1[[#This Row],[TIPO DE CONSUMIDOR]]="MEDIO",IF(Tabla1[[#This Row],[MARZO]]&gt;22.5,Tabla1[[#This Row],[MARZO]]/22.5-1,0),IF(Tabla1[[#This Row],[MARZO]]&gt;45,Tabla1[[#This Row],[MARZO]]/45-1,0))</f>
        <v>0</v>
      </c>
      <c r="AJ385" s="100">
        <f>IF(Tabla1[[#This Row],[TIPO DE CONSUMIDOR]]="MEDIO",IF(Tabla1[[#This Row],[ABRIL]]&gt;22.5,Tabla1[[#This Row],[ABRIL]]/22.5-1,0),IF(Tabla1[[#This Row],[ABRIL]]&gt;45,Tabla1[[#This Row],[ABRIL]]/45-1,0))</f>
        <v>0</v>
      </c>
      <c r="AK385" s="100">
        <f>IF(Tabla1[[#This Row],[TIPO DE CONSUMIDOR]]="MEDIO",IF(Tabla1[[#This Row],[MAYO ]]&gt;22.5,Tabla1[[#This Row],[MAYO ]]/22.5-1,0),IF(Tabla1[[#This Row],[MAYO ]]&gt;45,Tabla1[[#This Row],[MAYO ]]/45-1,0))</f>
        <v>0</v>
      </c>
      <c r="AL385" s="100">
        <f>IF(Tabla1[[#This Row],[TIPO DE CONSUMIDOR]]="MEDIO",IF(Tabla1[[#This Row],[JUNIO ]]&gt;22.5,Tabla1[[#This Row],[JUNIO ]]/22.5-1,0),IF(Tabla1[[#This Row],[JUNIO ]]&gt;45,Tabla1[[#This Row],[JUNIO ]]/45-1,0))</f>
        <v>0</v>
      </c>
      <c r="AM385" s="100">
        <f>IF(Tabla1[[#This Row],[TIPO DE CONSUMIDOR]]="MEDIO",IF(Tabla1[[#This Row],[JULIO ]]&gt;22.5,Tabla1[[#This Row],[JULIO ]]/22.5-1,0),IF(Tabla1[[#This Row],[JULIO ]]&gt;45,Tabla1[[#This Row],[JULIO ]]/45-1,0))</f>
        <v>0</v>
      </c>
      <c r="AN385" s="100">
        <f>IF(Tabla1[[#This Row],[TIPO DE CONSUMIDOR]]="MEDIO",IF(Tabla1[[#This Row],[AGOSTO]]&gt;22.5,Tabla1[[#This Row],[AGOSTO]]/22.5-1,0),IF(Tabla1[[#This Row],[AGOSTO]]&gt;45,Tabla1[[#This Row],[AGOSTO]]/45-1,0))</f>
        <v>0</v>
      </c>
      <c r="AO38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5" s="101">
        <f t="shared" si="11"/>
        <v>0</v>
      </c>
      <c r="AT385">
        <f>IF(Tabla1[[#This Row],[MES ADEUDO DE AÑOS PASADOS ]]&gt;0,1,0)</f>
        <v>1</v>
      </c>
      <c r="AU385" s="9">
        <f t="shared" si="12"/>
        <v>1</v>
      </c>
      <c r="AV385" s="60">
        <f>IF(Tabla1[[#This Row],[MESES DE ADEUDO DEL AÑO EN CURSO ]]&gt;0,1,0)</f>
        <v>0</v>
      </c>
      <c r="AW385" s="42"/>
      <c r="AX385" s="42"/>
      <c r="AY385" s="42"/>
      <c r="AZ385" s="43"/>
    </row>
    <row r="386" spans="1:52" ht="21.75" thickBot="1" x14ac:dyDescent="0.35">
      <c r="A386" s="106">
        <v>380</v>
      </c>
      <c r="B386" s="5" t="s">
        <v>616</v>
      </c>
      <c r="C386" s="2" t="s">
        <v>549</v>
      </c>
      <c r="D386" s="32"/>
      <c r="E386" s="35" t="s">
        <v>455</v>
      </c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58">
        <f>SUM(Tabla1[[#This Row],[ENERO ]:[DICIEMBRE]])</f>
        <v>0</v>
      </c>
      <c r="W386">
        <v>36</v>
      </c>
      <c r="X386" s="21">
        <f>COUNTIF(Tabla1[[#This Row],[ENERO ]:[DICIEMBRE]],0)-(AS386)-IF(Tabla1[[#This Row],[BAJAS]]="BAJA",IF(Tabla1[[#This Row],[ALTAS]]="ALTA",VLOOKUP(Tabla1[[#This Row],[MES DE ALTA ]],$AW$6:$AX$17,2,FALSE),12)-VLOOKUP(Tabla1[[#This Row],[MES DE BAJA ]],$AW$6:$AX$17,2,FALSE),0)</f>
        <v>0</v>
      </c>
      <c r="Y386" s="68">
        <f>SUM(Tabla1[[#This Row],[MES ADEUDO DE AÑOS PASADOS ]:[MESES DE ADEUDO DEL AÑO EN CURSO ]])-Tabla1[[#This Row],[PAGO DE DEUDA ANTERIOR EN MESES]]</f>
        <v>36</v>
      </c>
      <c r="Z386" s="15">
        <f>Tabla1[[#This Row],[MES ADEUDO DE AÑOS PASADOS ]]*$T$2</f>
        <v>1620</v>
      </c>
      <c r="AA386" s="15">
        <f>Tabla1[[#This Row],[MESES DE ADEUDO DEL AÑO EN CURSO ]]*$T$2</f>
        <v>0</v>
      </c>
      <c r="AB386" s="69">
        <f>SUM(Tabla1[[#This Row],[DEUDA DE LOS MESES PASADOS EN $$]:[DEUDA DEL AÑO 2013 $$ ]])</f>
        <v>1620</v>
      </c>
      <c r="AD386">
        <f>Tabla1[[#This Row],[PAGO DE DEUDA ANTERIOR EN MESES]]*$T$2</f>
        <v>0</v>
      </c>
      <c r="AG386" s="100">
        <f>IF(Tabla1[[#This Row],[TIPO DE CONSUMIDOR]]="MEDIO",IF(Tabla1[[#This Row],[ENERO ]]&gt;22.5,Tabla1[[#This Row],[ENERO ]]/22.5-1,0),IF(Tabla1[[#This Row],[ENERO ]]&gt;45,Tabla1[[#This Row],[ENERO ]]/45-1,0))</f>
        <v>0</v>
      </c>
      <c r="AH38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6" s="100">
        <f>IF(Tabla1[[#This Row],[TIPO DE CONSUMIDOR]]="MEDIO",IF(Tabla1[[#This Row],[MARZO]]&gt;22.5,Tabla1[[#This Row],[MARZO]]/22.5-1,0),IF(Tabla1[[#This Row],[MARZO]]&gt;45,Tabla1[[#This Row],[MARZO]]/45-1,0))</f>
        <v>0</v>
      </c>
      <c r="AJ386" s="100">
        <f>IF(Tabla1[[#This Row],[TIPO DE CONSUMIDOR]]="MEDIO",IF(Tabla1[[#This Row],[ABRIL]]&gt;22.5,Tabla1[[#This Row],[ABRIL]]/22.5-1,0),IF(Tabla1[[#This Row],[ABRIL]]&gt;45,Tabla1[[#This Row],[ABRIL]]/45-1,0))</f>
        <v>0</v>
      </c>
      <c r="AK386" s="100">
        <f>IF(Tabla1[[#This Row],[TIPO DE CONSUMIDOR]]="MEDIO",IF(Tabla1[[#This Row],[MAYO ]]&gt;22.5,Tabla1[[#This Row],[MAYO ]]/22.5-1,0),IF(Tabla1[[#This Row],[MAYO ]]&gt;45,Tabla1[[#This Row],[MAYO ]]/45-1,0))</f>
        <v>0</v>
      </c>
      <c r="AL386" s="100">
        <f>IF(Tabla1[[#This Row],[TIPO DE CONSUMIDOR]]="MEDIO",IF(Tabla1[[#This Row],[JUNIO ]]&gt;22.5,Tabla1[[#This Row],[JUNIO ]]/22.5-1,0),IF(Tabla1[[#This Row],[JUNIO ]]&gt;45,Tabla1[[#This Row],[JUNIO ]]/45-1,0))</f>
        <v>0</v>
      </c>
      <c r="AM386" s="100">
        <f>IF(Tabla1[[#This Row],[TIPO DE CONSUMIDOR]]="MEDIO",IF(Tabla1[[#This Row],[JULIO ]]&gt;22.5,Tabla1[[#This Row],[JULIO ]]/22.5-1,0),IF(Tabla1[[#This Row],[JULIO ]]&gt;45,Tabla1[[#This Row],[JULIO ]]/45-1,0))</f>
        <v>0</v>
      </c>
      <c r="AN386" s="100">
        <f>IF(Tabla1[[#This Row],[TIPO DE CONSUMIDOR]]="MEDIO",IF(Tabla1[[#This Row],[AGOSTO]]&gt;22.5,Tabla1[[#This Row],[AGOSTO]]/22.5-1,0),IF(Tabla1[[#This Row],[AGOSTO]]&gt;45,Tabla1[[#This Row],[AGOSTO]]/45-1,0))</f>
        <v>0</v>
      </c>
      <c r="AO38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6" s="101">
        <f t="shared" si="11"/>
        <v>0</v>
      </c>
      <c r="AT386">
        <f>IF(Tabla1[[#This Row],[MES ADEUDO DE AÑOS PASADOS ]]&gt;0,1,0)</f>
        <v>1</v>
      </c>
      <c r="AU386" s="9">
        <f t="shared" si="12"/>
        <v>1</v>
      </c>
      <c r="AV386" s="60">
        <f>IF(Tabla1[[#This Row],[MESES DE ADEUDO DEL AÑO EN CURSO ]]&gt;0,1,0)</f>
        <v>0</v>
      </c>
      <c r="AW386" s="42"/>
      <c r="AX386" s="42"/>
      <c r="AY386" s="42"/>
      <c r="AZ386" s="43"/>
    </row>
    <row r="387" spans="1:52" ht="21.75" thickBot="1" x14ac:dyDescent="0.35">
      <c r="A387" s="106">
        <v>381</v>
      </c>
      <c r="B387" s="93" t="s">
        <v>644</v>
      </c>
      <c r="C387" s="2" t="s">
        <v>549</v>
      </c>
      <c r="D387" s="32"/>
      <c r="E387" s="35" t="s">
        <v>455</v>
      </c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118">
        <f>SUM(Tabla1[[#This Row],[ENERO ]:[DICIEMBRE]])</f>
        <v>0</v>
      </c>
      <c r="V387" s="37"/>
      <c r="W387">
        <v>44</v>
      </c>
      <c r="X387" s="21">
        <f>COUNTIF(Tabla1[[#This Row],[ENERO ]:[DICIEMBRE]],0)-(AS387)-IF(Tabla1[[#This Row],[BAJAS]]="BAJA",IF(Tabla1[[#This Row],[ALTAS]]="ALTA",VLOOKUP(Tabla1[[#This Row],[MES DE ALTA ]],$AW$6:$AX$17,2,FALSE),12)-VLOOKUP(Tabla1[[#This Row],[MES DE BAJA ]],$AW$6:$AX$17,2,FALSE),0)</f>
        <v>0</v>
      </c>
      <c r="Y387" s="91">
        <f>SUM(Tabla1[[#This Row],[MES ADEUDO DE AÑOS PASADOS ]:[MESES DE ADEUDO DEL AÑO EN CURSO ]])-Tabla1[[#This Row],[PAGO DE DEUDA ANTERIOR EN MESES]]</f>
        <v>44</v>
      </c>
      <c r="Z387" s="15">
        <f>Tabla1[[#This Row],[MES ADEUDO DE AÑOS PASADOS ]]*$T$2</f>
        <v>1980</v>
      </c>
      <c r="AA387" s="15">
        <f>Tabla1[[#This Row],[MESES DE ADEUDO DEL AÑO EN CURSO ]]*$T$2</f>
        <v>0</v>
      </c>
      <c r="AB387" s="69">
        <f>SUM(Tabla1[[#This Row],[DEUDA DE LOS MESES PASADOS EN $$]:[DEUDA DEL AÑO 2013 $$ ]])</f>
        <v>1980</v>
      </c>
      <c r="AD387">
        <f>Tabla1[[#This Row],[PAGO DE DEUDA ANTERIOR EN MESES]]*$T$2</f>
        <v>0</v>
      </c>
      <c r="AG387" s="100">
        <f>IF(Tabla1[[#This Row],[TIPO DE CONSUMIDOR]]="MEDIO",IF(Tabla1[[#This Row],[ENERO ]]&gt;22.5,Tabla1[[#This Row],[ENERO ]]/22.5-1,0),IF(Tabla1[[#This Row],[ENERO ]]&gt;45,Tabla1[[#This Row],[ENERO ]]/45-1,0))</f>
        <v>0</v>
      </c>
      <c r="AH38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7" s="100">
        <f>IF(Tabla1[[#This Row],[TIPO DE CONSUMIDOR]]="MEDIO",IF(Tabla1[[#This Row],[MARZO]]&gt;22.5,Tabla1[[#This Row],[MARZO]]/22.5-1,0),IF(Tabla1[[#This Row],[MARZO]]&gt;45,Tabla1[[#This Row],[MARZO]]/45-1,0))</f>
        <v>0</v>
      </c>
      <c r="AJ387" s="100">
        <f>IF(Tabla1[[#This Row],[TIPO DE CONSUMIDOR]]="MEDIO",IF(Tabla1[[#This Row],[ABRIL]]&gt;22.5,Tabla1[[#This Row],[ABRIL]]/22.5-1,0),IF(Tabla1[[#This Row],[ABRIL]]&gt;45,Tabla1[[#This Row],[ABRIL]]/45-1,0))</f>
        <v>0</v>
      </c>
      <c r="AK387" s="100">
        <f>IF(Tabla1[[#This Row],[TIPO DE CONSUMIDOR]]="MEDIO",IF(Tabla1[[#This Row],[MAYO ]]&gt;22.5,Tabla1[[#This Row],[MAYO ]]/22.5-1,0),IF(Tabla1[[#This Row],[MAYO ]]&gt;45,Tabla1[[#This Row],[MAYO ]]/45-1,0))</f>
        <v>0</v>
      </c>
      <c r="AL387" s="100">
        <f>IF(Tabla1[[#This Row],[TIPO DE CONSUMIDOR]]="MEDIO",IF(Tabla1[[#This Row],[JUNIO ]]&gt;22.5,Tabla1[[#This Row],[JUNIO ]]/22.5-1,0),IF(Tabla1[[#This Row],[JUNIO ]]&gt;45,Tabla1[[#This Row],[JUNIO ]]/45-1,0))</f>
        <v>0</v>
      </c>
      <c r="AM387" s="100">
        <f>IF(Tabla1[[#This Row],[TIPO DE CONSUMIDOR]]="MEDIO",IF(Tabla1[[#This Row],[JULIO ]]&gt;22.5,Tabla1[[#This Row],[JULIO ]]/22.5-1,0),IF(Tabla1[[#This Row],[JULIO ]]&gt;45,Tabla1[[#This Row],[JULIO ]]/45-1,0))</f>
        <v>0</v>
      </c>
      <c r="AN387" s="100">
        <f>IF(Tabla1[[#This Row],[TIPO DE CONSUMIDOR]]="MEDIO",IF(Tabla1[[#This Row],[AGOSTO]]&gt;22.5,Tabla1[[#This Row],[AGOSTO]]/22.5-1,0),IF(Tabla1[[#This Row],[AGOSTO]]&gt;45,Tabla1[[#This Row],[AGOSTO]]/45-1,0))</f>
        <v>0</v>
      </c>
      <c r="AO38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7" s="101">
        <f t="shared" si="11"/>
        <v>0</v>
      </c>
      <c r="AT387">
        <f>IF(Tabla1[[#This Row],[MES ADEUDO DE AÑOS PASADOS ]]&gt;0,1,0)</f>
        <v>1</v>
      </c>
      <c r="AU387" s="9">
        <f t="shared" si="12"/>
        <v>1</v>
      </c>
      <c r="AV387" s="60">
        <f>IF(Tabla1[[#This Row],[MESES DE ADEUDO DEL AÑO EN CURSO ]]&gt;0,1,0)</f>
        <v>0</v>
      </c>
      <c r="AW387" s="42"/>
      <c r="AX387" s="42"/>
      <c r="AY387" s="42"/>
      <c r="AZ387" s="43"/>
    </row>
    <row r="388" spans="1:52" ht="21.75" thickBot="1" x14ac:dyDescent="0.35">
      <c r="A388" s="106">
        <v>382</v>
      </c>
      <c r="B388" s="5" t="s">
        <v>643</v>
      </c>
      <c r="C388" s="2" t="s">
        <v>549</v>
      </c>
      <c r="D388" s="32"/>
      <c r="E388" s="35" t="s">
        <v>455</v>
      </c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24">
        <f>SUM(Tabla1[[#This Row],[ENERO ]:[DICIEMBRE]])</f>
        <v>0</v>
      </c>
      <c r="W388">
        <v>46</v>
      </c>
      <c r="X388" s="21">
        <f>COUNTIF(Tabla1[[#This Row],[ENERO ]:[DICIEMBRE]],0)-(AS388)-IF(Tabla1[[#This Row],[BAJAS]]="BAJA",IF(Tabla1[[#This Row],[ALTAS]]="ALTA",VLOOKUP(Tabla1[[#This Row],[MES DE ALTA ]],$AW$6:$AX$17,2,FALSE),12)-VLOOKUP(Tabla1[[#This Row],[MES DE BAJA ]],$AW$6:$AX$17,2,FALSE),0)</f>
        <v>0</v>
      </c>
      <c r="Y388" s="68">
        <f>SUM(Tabla1[[#This Row],[MES ADEUDO DE AÑOS PASADOS ]:[MESES DE ADEUDO DEL AÑO EN CURSO ]])-Tabla1[[#This Row],[PAGO DE DEUDA ANTERIOR EN MESES]]</f>
        <v>46</v>
      </c>
      <c r="Z388" s="15">
        <f>Tabla1[[#This Row],[MES ADEUDO DE AÑOS PASADOS ]]*$T$2</f>
        <v>2070</v>
      </c>
      <c r="AA388" s="15">
        <f>Tabla1[[#This Row],[MESES DE ADEUDO DEL AÑO EN CURSO ]]*$T$2</f>
        <v>0</v>
      </c>
      <c r="AB388" s="69">
        <f>SUM(Tabla1[[#This Row],[DEUDA DE LOS MESES PASADOS EN $$]:[DEUDA DEL AÑO 2013 $$ ]])</f>
        <v>2070</v>
      </c>
      <c r="AD388">
        <f>Tabla1[[#This Row],[PAGO DE DEUDA ANTERIOR EN MESES]]*$T$2</f>
        <v>0</v>
      </c>
      <c r="AG388" s="100">
        <f>IF(Tabla1[[#This Row],[TIPO DE CONSUMIDOR]]="MEDIO",IF(Tabla1[[#This Row],[ENERO ]]&gt;22.5,Tabla1[[#This Row],[ENERO ]]/22.5-1,0),IF(Tabla1[[#This Row],[ENERO ]]&gt;45,Tabla1[[#This Row],[ENERO ]]/45-1,0))</f>
        <v>0</v>
      </c>
      <c r="AH38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8" s="100">
        <f>IF(Tabla1[[#This Row],[TIPO DE CONSUMIDOR]]="MEDIO",IF(Tabla1[[#This Row],[MARZO]]&gt;22.5,Tabla1[[#This Row],[MARZO]]/22.5-1,0),IF(Tabla1[[#This Row],[MARZO]]&gt;45,Tabla1[[#This Row],[MARZO]]/45-1,0))</f>
        <v>0</v>
      </c>
      <c r="AJ388" s="100">
        <f>IF(Tabla1[[#This Row],[TIPO DE CONSUMIDOR]]="MEDIO",IF(Tabla1[[#This Row],[ABRIL]]&gt;22.5,Tabla1[[#This Row],[ABRIL]]/22.5-1,0),IF(Tabla1[[#This Row],[ABRIL]]&gt;45,Tabla1[[#This Row],[ABRIL]]/45-1,0))</f>
        <v>0</v>
      </c>
      <c r="AK388" s="100">
        <f>IF(Tabla1[[#This Row],[TIPO DE CONSUMIDOR]]="MEDIO",IF(Tabla1[[#This Row],[MAYO ]]&gt;22.5,Tabla1[[#This Row],[MAYO ]]/22.5-1,0),IF(Tabla1[[#This Row],[MAYO ]]&gt;45,Tabla1[[#This Row],[MAYO ]]/45-1,0))</f>
        <v>0</v>
      </c>
      <c r="AL388" s="100">
        <f>IF(Tabla1[[#This Row],[TIPO DE CONSUMIDOR]]="MEDIO",IF(Tabla1[[#This Row],[JUNIO ]]&gt;22.5,Tabla1[[#This Row],[JUNIO ]]/22.5-1,0),IF(Tabla1[[#This Row],[JUNIO ]]&gt;45,Tabla1[[#This Row],[JUNIO ]]/45-1,0))</f>
        <v>0</v>
      </c>
      <c r="AM388" s="100">
        <f>IF(Tabla1[[#This Row],[TIPO DE CONSUMIDOR]]="MEDIO",IF(Tabla1[[#This Row],[JULIO ]]&gt;22.5,Tabla1[[#This Row],[JULIO ]]/22.5-1,0),IF(Tabla1[[#This Row],[JULIO ]]&gt;45,Tabla1[[#This Row],[JULIO ]]/45-1,0))</f>
        <v>0</v>
      </c>
      <c r="AN388" s="100">
        <f>IF(Tabla1[[#This Row],[TIPO DE CONSUMIDOR]]="MEDIO",IF(Tabla1[[#This Row],[AGOSTO]]&gt;22.5,Tabla1[[#This Row],[AGOSTO]]/22.5-1,0),IF(Tabla1[[#This Row],[AGOSTO]]&gt;45,Tabla1[[#This Row],[AGOSTO]]/45-1,0))</f>
        <v>0</v>
      </c>
      <c r="AO38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8" s="101">
        <f t="shared" si="11"/>
        <v>0</v>
      </c>
      <c r="AT388">
        <f>IF(Tabla1[[#This Row],[MES ADEUDO DE AÑOS PASADOS ]]&gt;0,1,0)</f>
        <v>1</v>
      </c>
      <c r="AU388" s="9">
        <f t="shared" si="12"/>
        <v>1</v>
      </c>
      <c r="AV388" s="60">
        <f>IF(Tabla1[[#This Row],[MESES DE ADEUDO DEL AÑO EN CURSO ]]&gt;0,1,0)</f>
        <v>0</v>
      </c>
      <c r="AW388" s="42"/>
      <c r="AX388" s="42"/>
      <c r="AY388" s="42"/>
      <c r="AZ388" s="43"/>
    </row>
    <row r="389" spans="1:52" ht="21.75" thickBot="1" x14ac:dyDescent="0.35">
      <c r="A389" s="106">
        <v>383</v>
      </c>
      <c r="B389" s="5" t="s">
        <v>33</v>
      </c>
      <c r="C389" s="2" t="s">
        <v>556</v>
      </c>
      <c r="D389" s="32"/>
      <c r="E389" s="35" t="s">
        <v>489</v>
      </c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24">
        <f>SUM(Tabla1[[#This Row],[ENERO ]:[DICIEMBRE]])</f>
        <v>0</v>
      </c>
      <c r="W389">
        <v>0</v>
      </c>
      <c r="X389" s="21">
        <f>COUNTIF(Tabla1[[#This Row],[ENERO ]:[DICIEMBRE]],0)-(AS389)-IF(Tabla1[[#This Row],[BAJAS]]="BAJA",IF(Tabla1[[#This Row],[ALTAS]]="ALTA",VLOOKUP(Tabla1[[#This Row],[MES DE ALTA ]],$AW$6:$AX$17,2,FALSE),12)-VLOOKUP(Tabla1[[#This Row],[MES DE BAJA ]],$AW$6:$AX$17,2,FALSE),0)</f>
        <v>0</v>
      </c>
      <c r="Y389" s="68">
        <f>SUM(Tabla1[[#This Row],[MES ADEUDO DE AÑOS PASADOS ]:[MESES DE ADEUDO DEL AÑO EN CURSO ]])-Tabla1[[#This Row],[PAGO DE DEUDA ANTERIOR EN MESES]]</f>
        <v>0</v>
      </c>
      <c r="Z389" s="15">
        <f>Tabla1[[#This Row],[MES ADEUDO DE AÑOS PASADOS ]]*$T$2</f>
        <v>0</v>
      </c>
      <c r="AA389" s="15">
        <f>Tabla1[[#This Row],[MESES DE ADEUDO DEL AÑO EN CURSO ]]*$T$2</f>
        <v>0</v>
      </c>
      <c r="AB389" s="69">
        <f>SUM(Tabla1[[#This Row],[DEUDA DE LOS MESES PASADOS EN $$]:[DEUDA DEL AÑO 2013 $$ ]])</f>
        <v>0</v>
      </c>
      <c r="AD389">
        <f>Tabla1[[#This Row],[PAGO DE DEUDA ANTERIOR EN MESES]]*$T$2</f>
        <v>0</v>
      </c>
      <c r="AG389" s="100">
        <f>IF(Tabla1[[#This Row],[TIPO DE CONSUMIDOR]]="MEDIO",IF(Tabla1[[#This Row],[ENERO ]]&gt;22.5,Tabla1[[#This Row],[ENERO ]]/22.5-1,0),IF(Tabla1[[#This Row],[ENERO ]]&gt;45,Tabla1[[#This Row],[ENERO ]]/45-1,0))</f>
        <v>0</v>
      </c>
      <c r="AH38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89" s="100">
        <f>IF(Tabla1[[#This Row],[TIPO DE CONSUMIDOR]]="MEDIO",IF(Tabla1[[#This Row],[MARZO]]&gt;22.5,Tabla1[[#This Row],[MARZO]]/22.5-1,0),IF(Tabla1[[#This Row],[MARZO]]&gt;45,Tabla1[[#This Row],[MARZO]]/45-1,0))</f>
        <v>0</v>
      </c>
      <c r="AJ389" s="100">
        <f>IF(Tabla1[[#This Row],[TIPO DE CONSUMIDOR]]="MEDIO",IF(Tabla1[[#This Row],[ABRIL]]&gt;22.5,Tabla1[[#This Row],[ABRIL]]/22.5-1,0),IF(Tabla1[[#This Row],[ABRIL]]&gt;45,Tabla1[[#This Row],[ABRIL]]/45-1,0))</f>
        <v>0</v>
      </c>
      <c r="AK389" s="100">
        <f>IF(Tabla1[[#This Row],[TIPO DE CONSUMIDOR]]="MEDIO",IF(Tabla1[[#This Row],[MAYO ]]&gt;22.5,Tabla1[[#This Row],[MAYO ]]/22.5-1,0),IF(Tabla1[[#This Row],[MAYO ]]&gt;45,Tabla1[[#This Row],[MAYO ]]/45-1,0))</f>
        <v>0</v>
      </c>
      <c r="AL389" s="100">
        <f>IF(Tabla1[[#This Row],[TIPO DE CONSUMIDOR]]="MEDIO",IF(Tabla1[[#This Row],[JUNIO ]]&gt;22.5,Tabla1[[#This Row],[JUNIO ]]/22.5-1,0),IF(Tabla1[[#This Row],[JUNIO ]]&gt;45,Tabla1[[#This Row],[JUNIO ]]/45-1,0))</f>
        <v>0</v>
      </c>
      <c r="AM389" s="100">
        <f>IF(Tabla1[[#This Row],[TIPO DE CONSUMIDOR]]="MEDIO",IF(Tabla1[[#This Row],[JULIO ]]&gt;22.5,Tabla1[[#This Row],[JULIO ]]/22.5-1,0),IF(Tabla1[[#This Row],[JULIO ]]&gt;45,Tabla1[[#This Row],[JULIO ]]/45-1,0))</f>
        <v>0</v>
      </c>
      <c r="AN389" s="100">
        <f>IF(Tabla1[[#This Row],[TIPO DE CONSUMIDOR]]="MEDIO",IF(Tabla1[[#This Row],[AGOSTO]]&gt;22.5,Tabla1[[#This Row],[AGOSTO]]/22.5-1,0),IF(Tabla1[[#This Row],[AGOSTO]]&gt;45,Tabla1[[#This Row],[AGOSTO]]/45-1,0))</f>
        <v>0</v>
      </c>
      <c r="AO38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8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8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8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89" s="101">
        <f t="shared" si="11"/>
        <v>0</v>
      </c>
      <c r="AT389">
        <f>IF(Tabla1[[#This Row],[MES ADEUDO DE AÑOS PASADOS ]]&gt;0,1,0)</f>
        <v>0</v>
      </c>
      <c r="AU389" s="9">
        <f t="shared" si="12"/>
        <v>0</v>
      </c>
      <c r="AV389" s="60">
        <f>IF(Tabla1[[#This Row],[MESES DE ADEUDO DEL AÑO EN CURSO ]]&gt;0,1,0)</f>
        <v>0</v>
      </c>
      <c r="AW389" s="42"/>
      <c r="AX389" s="42"/>
      <c r="AY389" s="42"/>
      <c r="AZ389" s="43"/>
    </row>
    <row r="390" spans="1:52" ht="21.75" thickBot="1" x14ac:dyDescent="0.35">
      <c r="A390" s="106">
        <v>384</v>
      </c>
      <c r="B390" s="5" t="s">
        <v>25</v>
      </c>
      <c r="C390" s="2" t="s">
        <v>556</v>
      </c>
      <c r="D390" s="32"/>
      <c r="E390" s="35" t="s">
        <v>455</v>
      </c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24">
        <f>SUM(Tabla1[[#This Row],[ENERO ]:[DICIEMBRE]])</f>
        <v>0</v>
      </c>
      <c r="W390">
        <v>0</v>
      </c>
      <c r="X390" s="21">
        <f>COUNTIF(Tabla1[[#This Row],[ENERO ]:[DICIEMBRE]],0)-(AS390)-IF(Tabla1[[#This Row],[BAJAS]]="BAJA",IF(Tabla1[[#This Row],[ALTAS]]="ALTA",VLOOKUP(Tabla1[[#This Row],[MES DE ALTA ]],$AW$6:$AX$17,2,FALSE),12)-VLOOKUP(Tabla1[[#This Row],[MES DE BAJA ]],$AW$6:$AX$17,2,FALSE),0)</f>
        <v>0</v>
      </c>
      <c r="Y390" s="68">
        <f>SUM(Tabla1[[#This Row],[MES ADEUDO DE AÑOS PASADOS ]:[MESES DE ADEUDO DEL AÑO EN CURSO ]])-Tabla1[[#This Row],[PAGO DE DEUDA ANTERIOR EN MESES]]</f>
        <v>0</v>
      </c>
      <c r="Z390" s="15">
        <f>Tabla1[[#This Row],[MES ADEUDO DE AÑOS PASADOS ]]*$T$2</f>
        <v>0</v>
      </c>
      <c r="AA390" s="15">
        <f>Tabla1[[#This Row],[MESES DE ADEUDO DEL AÑO EN CURSO ]]*$T$2</f>
        <v>0</v>
      </c>
      <c r="AB390" s="69">
        <f>SUM(Tabla1[[#This Row],[DEUDA DE LOS MESES PASADOS EN $$]:[DEUDA DEL AÑO 2013 $$ ]])</f>
        <v>0</v>
      </c>
      <c r="AD390">
        <f>Tabla1[[#This Row],[PAGO DE DEUDA ANTERIOR EN MESES]]*$T$2</f>
        <v>0</v>
      </c>
      <c r="AG390" s="100">
        <f>IF(Tabla1[[#This Row],[TIPO DE CONSUMIDOR]]="MEDIO",IF(Tabla1[[#This Row],[ENERO ]]&gt;22.5,Tabla1[[#This Row],[ENERO ]]/22.5-1,0),IF(Tabla1[[#This Row],[ENERO ]]&gt;45,Tabla1[[#This Row],[ENERO ]]/45-1,0))</f>
        <v>0</v>
      </c>
      <c r="AH39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0" s="100">
        <f>IF(Tabla1[[#This Row],[TIPO DE CONSUMIDOR]]="MEDIO",IF(Tabla1[[#This Row],[MARZO]]&gt;22.5,Tabla1[[#This Row],[MARZO]]/22.5-1,0),IF(Tabla1[[#This Row],[MARZO]]&gt;45,Tabla1[[#This Row],[MARZO]]/45-1,0))</f>
        <v>0</v>
      </c>
      <c r="AJ390" s="100">
        <f>IF(Tabla1[[#This Row],[TIPO DE CONSUMIDOR]]="MEDIO",IF(Tabla1[[#This Row],[ABRIL]]&gt;22.5,Tabla1[[#This Row],[ABRIL]]/22.5-1,0),IF(Tabla1[[#This Row],[ABRIL]]&gt;45,Tabla1[[#This Row],[ABRIL]]/45-1,0))</f>
        <v>0</v>
      </c>
      <c r="AK390" s="100">
        <f>IF(Tabla1[[#This Row],[TIPO DE CONSUMIDOR]]="MEDIO",IF(Tabla1[[#This Row],[MAYO ]]&gt;22.5,Tabla1[[#This Row],[MAYO ]]/22.5-1,0),IF(Tabla1[[#This Row],[MAYO ]]&gt;45,Tabla1[[#This Row],[MAYO ]]/45-1,0))</f>
        <v>0</v>
      </c>
      <c r="AL390" s="100">
        <f>IF(Tabla1[[#This Row],[TIPO DE CONSUMIDOR]]="MEDIO",IF(Tabla1[[#This Row],[JUNIO ]]&gt;22.5,Tabla1[[#This Row],[JUNIO ]]/22.5-1,0),IF(Tabla1[[#This Row],[JUNIO ]]&gt;45,Tabla1[[#This Row],[JUNIO ]]/45-1,0))</f>
        <v>0</v>
      </c>
      <c r="AM390" s="100">
        <f>IF(Tabla1[[#This Row],[TIPO DE CONSUMIDOR]]="MEDIO",IF(Tabla1[[#This Row],[JULIO ]]&gt;22.5,Tabla1[[#This Row],[JULIO ]]/22.5-1,0),IF(Tabla1[[#This Row],[JULIO ]]&gt;45,Tabla1[[#This Row],[JULIO ]]/45-1,0))</f>
        <v>0</v>
      </c>
      <c r="AN390" s="100">
        <f>IF(Tabla1[[#This Row],[TIPO DE CONSUMIDOR]]="MEDIO",IF(Tabla1[[#This Row],[AGOSTO]]&gt;22.5,Tabla1[[#This Row],[AGOSTO]]/22.5-1,0),IF(Tabla1[[#This Row],[AGOSTO]]&gt;45,Tabla1[[#This Row],[AGOSTO]]/45-1,0))</f>
        <v>0</v>
      </c>
      <c r="AO39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0" s="101">
        <f t="shared" si="11"/>
        <v>0</v>
      </c>
      <c r="AT390">
        <f>IF(Tabla1[[#This Row],[MES ADEUDO DE AÑOS PASADOS ]]&gt;0,1,0)</f>
        <v>0</v>
      </c>
      <c r="AU390" s="9">
        <f t="shared" si="12"/>
        <v>0</v>
      </c>
      <c r="AV390" s="60">
        <f>IF(Tabla1[[#This Row],[MESES DE ADEUDO DEL AÑO EN CURSO ]]&gt;0,1,0)</f>
        <v>0</v>
      </c>
      <c r="AW390" s="42"/>
      <c r="AX390" s="42"/>
      <c r="AY390" s="42"/>
      <c r="AZ390" s="43"/>
    </row>
    <row r="391" spans="1:52" ht="21.75" thickBot="1" x14ac:dyDescent="0.35">
      <c r="A391" s="106">
        <v>385</v>
      </c>
      <c r="B391" s="5" t="s">
        <v>80</v>
      </c>
      <c r="C391" s="2" t="s">
        <v>556</v>
      </c>
      <c r="D391" s="32"/>
      <c r="E391" s="35" t="s">
        <v>455</v>
      </c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58">
        <f>SUM(Tabla1[[#This Row],[ENERO ]:[DICIEMBRE]])</f>
        <v>0</v>
      </c>
      <c r="W391">
        <v>0</v>
      </c>
      <c r="X391" s="21">
        <f>COUNTIF(Tabla1[[#This Row],[ENERO ]:[DICIEMBRE]],0)-(AS391)-IF(Tabla1[[#This Row],[BAJAS]]="BAJA",IF(Tabla1[[#This Row],[ALTAS]]="ALTA",VLOOKUP(Tabla1[[#This Row],[MES DE ALTA ]],$AW$6:$AX$17,2,FALSE),12)-VLOOKUP(Tabla1[[#This Row],[MES DE BAJA ]],$AW$6:$AX$17,2,FALSE),0)</f>
        <v>0</v>
      </c>
      <c r="Y391" s="68">
        <f>SUM(Tabla1[[#This Row],[MES ADEUDO DE AÑOS PASADOS ]:[MESES DE ADEUDO DEL AÑO EN CURSO ]])-Tabla1[[#This Row],[PAGO DE DEUDA ANTERIOR EN MESES]]</f>
        <v>0</v>
      </c>
      <c r="Z391" s="15">
        <f>Tabla1[[#This Row],[MES ADEUDO DE AÑOS PASADOS ]]*$T$2</f>
        <v>0</v>
      </c>
      <c r="AA391" s="15">
        <f>Tabla1[[#This Row],[MESES DE ADEUDO DEL AÑO EN CURSO ]]*$T$2</f>
        <v>0</v>
      </c>
      <c r="AB391" s="69">
        <f>SUM(Tabla1[[#This Row],[DEUDA DE LOS MESES PASADOS EN $$]:[DEUDA DEL AÑO 2013 $$ ]])</f>
        <v>0</v>
      </c>
      <c r="AD391">
        <f>Tabla1[[#This Row],[PAGO DE DEUDA ANTERIOR EN MESES]]*$T$2</f>
        <v>0</v>
      </c>
      <c r="AG391" s="100">
        <f>IF(Tabla1[[#This Row],[TIPO DE CONSUMIDOR]]="MEDIO",IF(Tabla1[[#This Row],[ENERO ]]&gt;22.5,Tabla1[[#This Row],[ENERO ]]/22.5-1,0),IF(Tabla1[[#This Row],[ENERO ]]&gt;45,Tabla1[[#This Row],[ENERO ]]/45-1,0))</f>
        <v>0</v>
      </c>
      <c r="AH39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1" s="100">
        <f>IF(Tabla1[[#This Row],[TIPO DE CONSUMIDOR]]="MEDIO",IF(Tabla1[[#This Row],[MARZO]]&gt;22.5,Tabla1[[#This Row],[MARZO]]/22.5-1,0),IF(Tabla1[[#This Row],[MARZO]]&gt;45,Tabla1[[#This Row],[MARZO]]/45-1,0))</f>
        <v>0</v>
      </c>
      <c r="AJ391" s="100">
        <f>IF(Tabla1[[#This Row],[TIPO DE CONSUMIDOR]]="MEDIO",IF(Tabla1[[#This Row],[ABRIL]]&gt;22.5,Tabla1[[#This Row],[ABRIL]]/22.5-1,0),IF(Tabla1[[#This Row],[ABRIL]]&gt;45,Tabla1[[#This Row],[ABRIL]]/45-1,0))</f>
        <v>0</v>
      </c>
      <c r="AK391" s="100">
        <f>IF(Tabla1[[#This Row],[TIPO DE CONSUMIDOR]]="MEDIO",IF(Tabla1[[#This Row],[MAYO ]]&gt;22.5,Tabla1[[#This Row],[MAYO ]]/22.5-1,0),IF(Tabla1[[#This Row],[MAYO ]]&gt;45,Tabla1[[#This Row],[MAYO ]]/45-1,0))</f>
        <v>0</v>
      </c>
      <c r="AL391" s="100">
        <f>IF(Tabla1[[#This Row],[TIPO DE CONSUMIDOR]]="MEDIO",IF(Tabla1[[#This Row],[JUNIO ]]&gt;22.5,Tabla1[[#This Row],[JUNIO ]]/22.5-1,0),IF(Tabla1[[#This Row],[JUNIO ]]&gt;45,Tabla1[[#This Row],[JUNIO ]]/45-1,0))</f>
        <v>0</v>
      </c>
      <c r="AM391" s="100">
        <f>IF(Tabla1[[#This Row],[TIPO DE CONSUMIDOR]]="MEDIO",IF(Tabla1[[#This Row],[JULIO ]]&gt;22.5,Tabla1[[#This Row],[JULIO ]]/22.5-1,0),IF(Tabla1[[#This Row],[JULIO ]]&gt;45,Tabla1[[#This Row],[JULIO ]]/45-1,0))</f>
        <v>0</v>
      </c>
      <c r="AN391" s="100">
        <f>IF(Tabla1[[#This Row],[TIPO DE CONSUMIDOR]]="MEDIO",IF(Tabla1[[#This Row],[AGOSTO]]&gt;22.5,Tabla1[[#This Row],[AGOSTO]]/22.5-1,0),IF(Tabla1[[#This Row],[AGOSTO]]&gt;45,Tabla1[[#This Row],[AGOSTO]]/45-1,0))</f>
        <v>0</v>
      </c>
      <c r="AO39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1" s="101">
        <f t="shared" ref="AS391:AS454" si="13">SUM(AG391:AR391)</f>
        <v>0</v>
      </c>
      <c r="AT391">
        <f>IF(Tabla1[[#This Row],[MES ADEUDO DE AÑOS PASADOS ]]&gt;0,1,0)</f>
        <v>0</v>
      </c>
      <c r="AU391" s="9">
        <f t="shared" ref="AU391:AU454" si="14">IF(Y391&gt;0,1,0)</f>
        <v>0</v>
      </c>
      <c r="AV391" s="60">
        <f>IF(Tabla1[[#This Row],[MESES DE ADEUDO DEL AÑO EN CURSO ]]&gt;0,1,0)</f>
        <v>0</v>
      </c>
      <c r="AW391" s="42"/>
      <c r="AX391" s="42"/>
      <c r="AY391" s="42"/>
      <c r="AZ391" s="43"/>
    </row>
    <row r="392" spans="1:52" ht="21.75" thickBot="1" x14ac:dyDescent="0.35">
      <c r="A392" s="106">
        <v>386</v>
      </c>
      <c r="B392" s="5" t="s">
        <v>94</v>
      </c>
      <c r="C392" s="2" t="s">
        <v>556</v>
      </c>
      <c r="D392" s="32"/>
      <c r="E392" s="35" t="s">
        <v>455</v>
      </c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24">
        <f>SUM(Tabla1[[#This Row],[ENERO ]:[DICIEMBRE]])</f>
        <v>0</v>
      </c>
      <c r="W392">
        <v>0</v>
      </c>
      <c r="X392" s="21">
        <f>COUNTIF(Tabla1[[#This Row],[ENERO ]:[DICIEMBRE]],0)-(AS392)-IF(Tabla1[[#This Row],[BAJAS]]="BAJA",IF(Tabla1[[#This Row],[ALTAS]]="ALTA",VLOOKUP(Tabla1[[#This Row],[MES DE ALTA ]],$AW$6:$AX$17,2,FALSE),12)-VLOOKUP(Tabla1[[#This Row],[MES DE BAJA ]],$AW$6:$AX$17,2,FALSE),0)</f>
        <v>0</v>
      </c>
      <c r="Y392" s="68">
        <f>SUM(Tabla1[[#This Row],[MES ADEUDO DE AÑOS PASADOS ]:[MESES DE ADEUDO DEL AÑO EN CURSO ]])-Tabla1[[#This Row],[PAGO DE DEUDA ANTERIOR EN MESES]]</f>
        <v>0</v>
      </c>
      <c r="Z392" s="15">
        <f>Tabla1[[#This Row],[MES ADEUDO DE AÑOS PASADOS ]]*$T$2</f>
        <v>0</v>
      </c>
      <c r="AA392" s="15">
        <f>Tabla1[[#This Row],[MESES DE ADEUDO DEL AÑO EN CURSO ]]*$T$2</f>
        <v>0</v>
      </c>
      <c r="AB392" s="69">
        <f>SUM(Tabla1[[#This Row],[DEUDA DE LOS MESES PASADOS EN $$]:[DEUDA DEL AÑO 2013 $$ ]])</f>
        <v>0</v>
      </c>
      <c r="AD392">
        <f>Tabla1[[#This Row],[PAGO DE DEUDA ANTERIOR EN MESES]]*$T$2</f>
        <v>0</v>
      </c>
      <c r="AG392" s="100">
        <f>IF(Tabla1[[#This Row],[TIPO DE CONSUMIDOR]]="MEDIO",IF(Tabla1[[#This Row],[ENERO ]]&gt;22.5,Tabla1[[#This Row],[ENERO ]]/22.5-1,0),IF(Tabla1[[#This Row],[ENERO ]]&gt;45,Tabla1[[#This Row],[ENERO ]]/45-1,0))</f>
        <v>0</v>
      </c>
      <c r="AH39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2" s="100">
        <f>IF(Tabla1[[#This Row],[TIPO DE CONSUMIDOR]]="MEDIO",IF(Tabla1[[#This Row],[MARZO]]&gt;22.5,Tabla1[[#This Row],[MARZO]]/22.5-1,0),IF(Tabla1[[#This Row],[MARZO]]&gt;45,Tabla1[[#This Row],[MARZO]]/45-1,0))</f>
        <v>0</v>
      </c>
      <c r="AJ392" s="100">
        <f>IF(Tabla1[[#This Row],[TIPO DE CONSUMIDOR]]="MEDIO",IF(Tabla1[[#This Row],[ABRIL]]&gt;22.5,Tabla1[[#This Row],[ABRIL]]/22.5-1,0),IF(Tabla1[[#This Row],[ABRIL]]&gt;45,Tabla1[[#This Row],[ABRIL]]/45-1,0))</f>
        <v>0</v>
      </c>
      <c r="AK392" s="100">
        <f>IF(Tabla1[[#This Row],[TIPO DE CONSUMIDOR]]="MEDIO",IF(Tabla1[[#This Row],[MAYO ]]&gt;22.5,Tabla1[[#This Row],[MAYO ]]/22.5-1,0),IF(Tabla1[[#This Row],[MAYO ]]&gt;45,Tabla1[[#This Row],[MAYO ]]/45-1,0))</f>
        <v>0</v>
      </c>
      <c r="AL392" s="100">
        <f>IF(Tabla1[[#This Row],[TIPO DE CONSUMIDOR]]="MEDIO",IF(Tabla1[[#This Row],[JUNIO ]]&gt;22.5,Tabla1[[#This Row],[JUNIO ]]/22.5-1,0),IF(Tabla1[[#This Row],[JUNIO ]]&gt;45,Tabla1[[#This Row],[JUNIO ]]/45-1,0))</f>
        <v>0</v>
      </c>
      <c r="AM392" s="100">
        <f>IF(Tabla1[[#This Row],[TIPO DE CONSUMIDOR]]="MEDIO",IF(Tabla1[[#This Row],[JULIO ]]&gt;22.5,Tabla1[[#This Row],[JULIO ]]/22.5-1,0),IF(Tabla1[[#This Row],[JULIO ]]&gt;45,Tabla1[[#This Row],[JULIO ]]/45-1,0))</f>
        <v>0</v>
      </c>
      <c r="AN392" s="100">
        <f>IF(Tabla1[[#This Row],[TIPO DE CONSUMIDOR]]="MEDIO",IF(Tabla1[[#This Row],[AGOSTO]]&gt;22.5,Tabla1[[#This Row],[AGOSTO]]/22.5-1,0),IF(Tabla1[[#This Row],[AGOSTO]]&gt;45,Tabla1[[#This Row],[AGOSTO]]/45-1,0))</f>
        <v>0</v>
      </c>
      <c r="AO39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2" s="101">
        <f t="shared" si="13"/>
        <v>0</v>
      </c>
      <c r="AT392">
        <f>IF(Tabla1[[#This Row],[MES ADEUDO DE AÑOS PASADOS ]]&gt;0,1,0)</f>
        <v>0</v>
      </c>
      <c r="AU392" s="9">
        <f t="shared" si="14"/>
        <v>0</v>
      </c>
      <c r="AV392" s="60">
        <f>IF(Tabla1[[#This Row],[MESES DE ADEUDO DEL AÑO EN CURSO ]]&gt;0,1,0)</f>
        <v>0</v>
      </c>
      <c r="AW392" s="42"/>
      <c r="AX392" s="42"/>
      <c r="AY392" s="42"/>
      <c r="AZ392" s="43"/>
    </row>
    <row r="393" spans="1:52" ht="21.75" thickBot="1" x14ac:dyDescent="0.35">
      <c r="A393" s="106">
        <v>387</v>
      </c>
      <c r="B393" s="5" t="s">
        <v>104</v>
      </c>
      <c r="C393" s="2" t="s">
        <v>556</v>
      </c>
      <c r="D393" s="32"/>
      <c r="E393" s="35" t="s">
        <v>455</v>
      </c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24">
        <f>SUM(Tabla1[[#This Row],[ENERO ]:[DICIEMBRE]])</f>
        <v>0</v>
      </c>
      <c r="W393">
        <v>0</v>
      </c>
      <c r="X393" s="21">
        <f>COUNTIF(Tabla1[[#This Row],[ENERO ]:[DICIEMBRE]],0)-(AS393)-IF(Tabla1[[#This Row],[BAJAS]]="BAJA",IF(Tabla1[[#This Row],[ALTAS]]="ALTA",VLOOKUP(Tabla1[[#This Row],[MES DE ALTA ]],$AW$6:$AX$17,2,FALSE),12)-VLOOKUP(Tabla1[[#This Row],[MES DE BAJA ]],$AW$6:$AX$17,2,FALSE),0)</f>
        <v>0</v>
      </c>
      <c r="Y393" s="68">
        <f>SUM(Tabla1[[#This Row],[MES ADEUDO DE AÑOS PASADOS ]:[MESES DE ADEUDO DEL AÑO EN CURSO ]])-Tabla1[[#This Row],[PAGO DE DEUDA ANTERIOR EN MESES]]</f>
        <v>0</v>
      </c>
      <c r="Z393" s="15">
        <f>Tabla1[[#This Row],[MES ADEUDO DE AÑOS PASADOS ]]*$T$2</f>
        <v>0</v>
      </c>
      <c r="AA393" s="15">
        <f>Tabla1[[#This Row],[MESES DE ADEUDO DEL AÑO EN CURSO ]]*$T$2</f>
        <v>0</v>
      </c>
      <c r="AB393" s="69">
        <f>SUM(Tabla1[[#This Row],[DEUDA DE LOS MESES PASADOS EN $$]:[DEUDA DEL AÑO 2013 $$ ]])</f>
        <v>0</v>
      </c>
      <c r="AD393">
        <f>Tabla1[[#This Row],[PAGO DE DEUDA ANTERIOR EN MESES]]*$T$2</f>
        <v>0</v>
      </c>
      <c r="AG393" s="100">
        <f>IF(Tabla1[[#This Row],[TIPO DE CONSUMIDOR]]="MEDIO",IF(Tabla1[[#This Row],[ENERO ]]&gt;22.5,Tabla1[[#This Row],[ENERO ]]/22.5-1,0),IF(Tabla1[[#This Row],[ENERO ]]&gt;45,Tabla1[[#This Row],[ENERO ]]/45-1,0))</f>
        <v>0</v>
      </c>
      <c r="AH39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3" s="100">
        <f>IF(Tabla1[[#This Row],[TIPO DE CONSUMIDOR]]="MEDIO",IF(Tabla1[[#This Row],[MARZO]]&gt;22.5,Tabla1[[#This Row],[MARZO]]/22.5-1,0),IF(Tabla1[[#This Row],[MARZO]]&gt;45,Tabla1[[#This Row],[MARZO]]/45-1,0))</f>
        <v>0</v>
      </c>
      <c r="AJ393" s="100">
        <f>IF(Tabla1[[#This Row],[TIPO DE CONSUMIDOR]]="MEDIO",IF(Tabla1[[#This Row],[ABRIL]]&gt;22.5,Tabla1[[#This Row],[ABRIL]]/22.5-1,0),IF(Tabla1[[#This Row],[ABRIL]]&gt;45,Tabla1[[#This Row],[ABRIL]]/45-1,0))</f>
        <v>0</v>
      </c>
      <c r="AK393" s="100">
        <f>IF(Tabla1[[#This Row],[TIPO DE CONSUMIDOR]]="MEDIO",IF(Tabla1[[#This Row],[MAYO ]]&gt;22.5,Tabla1[[#This Row],[MAYO ]]/22.5-1,0),IF(Tabla1[[#This Row],[MAYO ]]&gt;45,Tabla1[[#This Row],[MAYO ]]/45-1,0))</f>
        <v>0</v>
      </c>
      <c r="AL393" s="100">
        <f>IF(Tabla1[[#This Row],[TIPO DE CONSUMIDOR]]="MEDIO",IF(Tabla1[[#This Row],[JUNIO ]]&gt;22.5,Tabla1[[#This Row],[JUNIO ]]/22.5-1,0),IF(Tabla1[[#This Row],[JUNIO ]]&gt;45,Tabla1[[#This Row],[JUNIO ]]/45-1,0))</f>
        <v>0</v>
      </c>
      <c r="AM393" s="100">
        <f>IF(Tabla1[[#This Row],[TIPO DE CONSUMIDOR]]="MEDIO",IF(Tabla1[[#This Row],[JULIO ]]&gt;22.5,Tabla1[[#This Row],[JULIO ]]/22.5-1,0),IF(Tabla1[[#This Row],[JULIO ]]&gt;45,Tabla1[[#This Row],[JULIO ]]/45-1,0))</f>
        <v>0</v>
      </c>
      <c r="AN393" s="100">
        <f>IF(Tabla1[[#This Row],[TIPO DE CONSUMIDOR]]="MEDIO",IF(Tabla1[[#This Row],[AGOSTO]]&gt;22.5,Tabla1[[#This Row],[AGOSTO]]/22.5-1,0),IF(Tabla1[[#This Row],[AGOSTO]]&gt;45,Tabla1[[#This Row],[AGOSTO]]/45-1,0))</f>
        <v>0</v>
      </c>
      <c r="AO39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3" s="101">
        <f t="shared" si="13"/>
        <v>0</v>
      </c>
      <c r="AT393">
        <f>IF(Tabla1[[#This Row],[MES ADEUDO DE AÑOS PASADOS ]]&gt;0,1,0)</f>
        <v>0</v>
      </c>
      <c r="AU393" s="9">
        <f t="shared" si="14"/>
        <v>0</v>
      </c>
      <c r="AV393" s="60">
        <f>IF(Tabla1[[#This Row],[MESES DE ADEUDO DEL AÑO EN CURSO ]]&gt;0,1,0)</f>
        <v>0</v>
      </c>
      <c r="AW393" s="42"/>
      <c r="AX393" s="42"/>
      <c r="AY393" s="42"/>
      <c r="AZ393" s="43"/>
    </row>
    <row r="394" spans="1:52" ht="21.75" thickBot="1" x14ac:dyDescent="0.35">
      <c r="A394" s="106">
        <v>388</v>
      </c>
      <c r="B394" s="5" t="s">
        <v>558</v>
      </c>
      <c r="C394" s="2" t="s">
        <v>556</v>
      </c>
      <c r="D394" s="32"/>
      <c r="E394" s="35" t="s">
        <v>455</v>
      </c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24">
        <f>SUM(Tabla1[[#This Row],[ENERO ]:[DICIEMBRE]])</f>
        <v>0</v>
      </c>
      <c r="W394">
        <v>0</v>
      </c>
      <c r="X394" s="21">
        <f>COUNTIF(Tabla1[[#This Row],[ENERO ]:[DICIEMBRE]],0)-(AS394)-IF(Tabla1[[#This Row],[BAJAS]]="BAJA",IF(Tabla1[[#This Row],[ALTAS]]="ALTA",VLOOKUP(Tabla1[[#This Row],[MES DE ALTA ]],$AW$6:$AX$17,2,FALSE),12)-VLOOKUP(Tabla1[[#This Row],[MES DE BAJA ]],$AW$6:$AX$17,2,FALSE),0)</f>
        <v>0</v>
      </c>
      <c r="Y394" s="68">
        <f>SUM(Tabla1[[#This Row],[MES ADEUDO DE AÑOS PASADOS ]:[MESES DE ADEUDO DEL AÑO EN CURSO ]])-Tabla1[[#This Row],[PAGO DE DEUDA ANTERIOR EN MESES]]</f>
        <v>0</v>
      </c>
      <c r="Z394" s="15">
        <f>Tabla1[[#This Row],[MES ADEUDO DE AÑOS PASADOS ]]*$T$2</f>
        <v>0</v>
      </c>
      <c r="AA394" s="15">
        <f>Tabla1[[#This Row],[MESES DE ADEUDO DEL AÑO EN CURSO ]]*$T$2</f>
        <v>0</v>
      </c>
      <c r="AB394" s="69">
        <f>SUM(Tabla1[[#This Row],[DEUDA DE LOS MESES PASADOS EN $$]:[DEUDA DEL AÑO 2013 $$ ]])</f>
        <v>0</v>
      </c>
      <c r="AD394">
        <f>Tabla1[[#This Row],[PAGO DE DEUDA ANTERIOR EN MESES]]*$T$2</f>
        <v>0</v>
      </c>
      <c r="AG394" s="100">
        <f>IF(Tabla1[[#This Row],[TIPO DE CONSUMIDOR]]="MEDIO",IF(Tabla1[[#This Row],[ENERO ]]&gt;22.5,Tabla1[[#This Row],[ENERO ]]/22.5-1,0),IF(Tabla1[[#This Row],[ENERO ]]&gt;45,Tabla1[[#This Row],[ENERO ]]/45-1,0))</f>
        <v>0</v>
      </c>
      <c r="AH39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4" s="100">
        <f>IF(Tabla1[[#This Row],[TIPO DE CONSUMIDOR]]="MEDIO",IF(Tabla1[[#This Row],[MARZO]]&gt;22.5,Tabla1[[#This Row],[MARZO]]/22.5-1,0),IF(Tabla1[[#This Row],[MARZO]]&gt;45,Tabla1[[#This Row],[MARZO]]/45-1,0))</f>
        <v>0</v>
      </c>
      <c r="AJ394" s="100">
        <f>IF(Tabla1[[#This Row],[TIPO DE CONSUMIDOR]]="MEDIO",IF(Tabla1[[#This Row],[ABRIL]]&gt;22.5,Tabla1[[#This Row],[ABRIL]]/22.5-1,0),IF(Tabla1[[#This Row],[ABRIL]]&gt;45,Tabla1[[#This Row],[ABRIL]]/45-1,0))</f>
        <v>0</v>
      </c>
      <c r="AK394" s="100">
        <f>IF(Tabla1[[#This Row],[TIPO DE CONSUMIDOR]]="MEDIO",IF(Tabla1[[#This Row],[MAYO ]]&gt;22.5,Tabla1[[#This Row],[MAYO ]]/22.5-1,0),IF(Tabla1[[#This Row],[MAYO ]]&gt;45,Tabla1[[#This Row],[MAYO ]]/45-1,0))</f>
        <v>0</v>
      </c>
      <c r="AL394" s="100">
        <f>IF(Tabla1[[#This Row],[TIPO DE CONSUMIDOR]]="MEDIO",IF(Tabla1[[#This Row],[JUNIO ]]&gt;22.5,Tabla1[[#This Row],[JUNIO ]]/22.5-1,0),IF(Tabla1[[#This Row],[JUNIO ]]&gt;45,Tabla1[[#This Row],[JUNIO ]]/45-1,0))</f>
        <v>0</v>
      </c>
      <c r="AM394" s="100">
        <f>IF(Tabla1[[#This Row],[TIPO DE CONSUMIDOR]]="MEDIO",IF(Tabla1[[#This Row],[JULIO ]]&gt;22.5,Tabla1[[#This Row],[JULIO ]]/22.5-1,0),IF(Tabla1[[#This Row],[JULIO ]]&gt;45,Tabla1[[#This Row],[JULIO ]]/45-1,0))</f>
        <v>0</v>
      </c>
      <c r="AN394" s="100">
        <f>IF(Tabla1[[#This Row],[TIPO DE CONSUMIDOR]]="MEDIO",IF(Tabla1[[#This Row],[AGOSTO]]&gt;22.5,Tabla1[[#This Row],[AGOSTO]]/22.5-1,0),IF(Tabla1[[#This Row],[AGOSTO]]&gt;45,Tabla1[[#This Row],[AGOSTO]]/45-1,0))</f>
        <v>0</v>
      </c>
      <c r="AO39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4" s="101">
        <f t="shared" si="13"/>
        <v>0</v>
      </c>
      <c r="AT394">
        <f>IF(Tabla1[[#This Row],[MES ADEUDO DE AÑOS PASADOS ]]&gt;0,1,0)</f>
        <v>0</v>
      </c>
      <c r="AU394" s="9">
        <f t="shared" si="14"/>
        <v>0</v>
      </c>
      <c r="AV394" s="60">
        <f>IF(Tabla1[[#This Row],[MESES DE ADEUDO DEL AÑO EN CURSO ]]&gt;0,1,0)</f>
        <v>0</v>
      </c>
      <c r="AW394" s="42"/>
      <c r="AX394" s="42"/>
      <c r="AY394" s="42"/>
      <c r="AZ394" s="43"/>
    </row>
    <row r="395" spans="1:52" ht="21.75" thickBot="1" x14ac:dyDescent="0.35">
      <c r="A395" s="106">
        <v>389</v>
      </c>
      <c r="B395" s="5" t="s">
        <v>161</v>
      </c>
      <c r="C395" s="2" t="s">
        <v>556</v>
      </c>
      <c r="D395" s="32"/>
      <c r="E395" s="35" t="s">
        <v>455</v>
      </c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24">
        <f>SUM(Tabla1[[#This Row],[ENERO ]:[DICIEMBRE]])</f>
        <v>0</v>
      </c>
      <c r="W395">
        <v>0</v>
      </c>
      <c r="X395" s="21">
        <f>COUNTIF(Tabla1[[#This Row],[ENERO ]:[DICIEMBRE]],0)-(AS395)-IF(Tabla1[[#This Row],[BAJAS]]="BAJA",IF(Tabla1[[#This Row],[ALTAS]]="ALTA",VLOOKUP(Tabla1[[#This Row],[MES DE ALTA ]],$AW$6:$AX$17,2,FALSE),12)-VLOOKUP(Tabla1[[#This Row],[MES DE BAJA ]],$AW$6:$AX$17,2,FALSE),0)</f>
        <v>0</v>
      </c>
      <c r="Y395" s="68">
        <f>SUM(Tabla1[[#This Row],[MES ADEUDO DE AÑOS PASADOS ]:[MESES DE ADEUDO DEL AÑO EN CURSO ]])-Tabla1[[#This Row],[PAGO DE DEUDA ANTERIOR EN MESES]]</f>
        <v>0</v>
      </c>
      <c r="Z395" s="15">
        <f>Tabla1[[#This Row],[MES ADEUDO DE AÑOS PASADOS ]]*$T$2</f>
        <v>0</v>
      </c>
      <c r="AA395" s="15">
        <f>Tabla1[[#This Row],[MESES DE ADEUDO DEL AÑO EN CURSO ]]*$T$2</f>
        <v>0</v>
      </c>
      <c r="AB395" s="69">
        <f>SUM(Tabla1[[#This Row],[DEUDA DE LOS MESES PASADOS EN $$]:[DEUDA DEL AÑO 2013 $$ ]])</f>
        <v>0</v>
      </c>
      <c r="AD395">
        <f>Tabla1[[#This Row],[PAGO DE DEUDA ANTERIOR EN MESES]]*$T$2</f>
        <v>0</v>
      </c>
      <c r="AG395" s="100">
        <f>IF(Tabla1[[#This Row],[TIPO DE CONSUMIDOR]]="MEDIO",IF(Tabla1[[#This Row],[ENERO ]]&gt;22.5,Tabla1[[#This Row],[ENERO ]]/22.5-1,0),IF(Tabla1[[#This Row],[ENERO ]]&gt;45,Tabla1[[#This Row],[ENERO ]]/45-1,0))</f>
        <v>0</v>
      </c>
      <c r="AH39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5" s="100">
        <f>IF(Tabla1[[#This Row],[TIPO DE CONSUMIDOR]]="MEDIO",IF(Tabla1[[#This Row],[MARZO]]&gt;22.5,Tabla1[[#This Row],[MARZO]]/22.5-1,0),IF(Tabla1[[#This Row],[MARZO]]&gt;45,Tabla1[[#This Row],[MARZO]]/45-1,0))</f>
        <v>0</v>
      </c>
      <c r="AJ395" s="100">
        <f>IF(Tabla1[[#This Row],[TIPO DE CONSUMIDOR]]="MEDIO",IF(Tabla1[[#This Row],[ABRIL]]&gt;22.5,Tabla1[[#This Row],[ABRIL]]/22.5-1,0),IF(Tabla1[[#This Row],[ABRIL]]&gt;45,Tabla1[[#This Row],[ABRIL]]/45-1,0))</f>
        <v>0</v>
      </c>
      <c r="AK395" s="100">
        <f>IF(Tabla1[[#This Row],[TIPO DE CONSUMIDOR]]="MEDIO",IF(Tabla1[[#This Row],[MAYO ]]&gt;22.5,Tabla1[[#This Row],[MAYO ]]/22.5-1,0),IF(Tabla1[[#This Row],[MAYO ]]&gt;45,Tabla1[[#This Row],[MAYO ]]/45-1,0))</f>
        <v>0</v>
      </c>
      <c r="AL395" s="100">
        <f>IF(Tabla1[[#This Row],[TIPO DE CONSUMIDOR]]="MEDIO",IF(Tabla1[[#This Row],[JUNIO ]]&gt;22.5,Tabla1[[#This Row],[JUNIO ]]/22.5-1,0),IF(Tabla1[[#This Row],[JUNIO ]]&gt;45,Tabla1[[#This Row],[JUNIO ]]/45-1,0))</f>
        <v>0</v>
      </c>
      <c r="AM395" s="100">
        <f>IF(Tabla1[[#This Row],[TIPO DE CONSUMIDOR]]="MEDIO",IF(Tabla1[[#This Row],[JULIO ]]&gt;22.5,Tabla1[[#This Row],[JULIO ]]/22.5-1,0),IF(Tabla1[[#This Row],[JULIO ]]&gt;45,Tabla1[[#This Row],[JULIO ]]/45-1,0))</f>
        <v>0</v>
      </c>
      <c r="AN395" s="100">
        <f>IF(Tabla1[[#This Row],[TIPO DE CONSUMIDOR]]="MEDIO",IF(Tabla1[[#This Row],[AGOSTO]]&gt;22.5,Tabla1[[#This Row],[AGOSTO]]/22.5-1,0),IF(Tabla1[[#This Row],[AGOSTO]]&gt;45,Tabla1[[#This Row],[AGOSTO]]/45-1,0))</f>
        <v>0</v>
      </c>
      <c r="AO39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5" s="101">
        <f t="shared" si="13"/>
        <v>0</v>
      </c>
      <c r="AT395">
        <f>IF(Tabla1[[#This Row],[MES ADEUDO DE AÑOS PASADOS ]]&gt;0,1,0)</f>
        <v>0</v>
      </c>
      <c r="AU395" s="9">
        <f t="shared" si="14"/>
        <v>0</v>
      </c>
      <c r="AV395" s="60">
        <f>IF(Tabla1[[#This Row],[MESES DE ADEUDO DEL AÑO EN CURSO ]]&gt;0,1,0)</f>
        <v>0</v>
      </c>
      <c r="AW395" s="42"/>
      <c r="AX395" s="42"/>
      <c r="AY395" s="42"/>
      <c r="AZ395" s="43"/>
    </row>
    <row r="396" spans="1:52" ht="21.75" thickBot="1" x14ac:dyDescent="0.35">
      <c r="A396" s="106">
        <v>390</v>
      </c>
      <c r="B396" s="5" t="s">
        <v>208</v>
      </c>
      <c r="C396" s="2" t="s">
        <v>556</v>
      </c>
      <c r="D396" s="46"/>
      <c r="E396" s="36" t="s">
        <v>455</v>
      </c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58">
        <f>SUM(Tabla1[[#This Row],[ENERO ]:[DICIEMBRE]])</f>
        <v>0</v>
      </c>
      <c r="W396">
        <v>0</v>
      </c>
      <c r="X396" s="21">
        <f>COUNTIF(Tabla1[[#This Row],[ENERO ]:[DICIEMBRE]],0)-(AS396)-IF(Tabla1[[#This Row],[BAJAS]]="BAJA",IF(Tabla1[[#This Row],[ALTAS]]="ALTA",VLOOKUP(Tabla1[[#This Row],[MES DE ALTA ]],$AW$6:$AX$17,2,FALSE),12)-VLOOKUP(Tabla1[[#This Row],[MES DE BAJA ]],$AW$6:$AX$17,2,FALSE),0)</f>
        <v>0</v>
      </c>
      <c r="Y396" s="68">
        <f>SUM(Tabla1[[#This Row],[MES ADEUDO DE AÑOS PASADOS ]:[MESES DE ADEUDO DEL AÑO EN CURSO ]])-Tabla1[[#This Row],[PAGO DE DEUDA ANTERIOR EN MESES]]</f>
        <v>0</v>
      </c>
      <c r="Z396" s="15">
        <f>Tabla1[[#This Row],[MES ADEUDO DE AÑOS PASADOS ]]*$T$2</f>
        <v>0</v>
      </c>
      <c r="AA396" s="15">
        <f>Tabla1[[#This Row],[MESES DE ADEUDO DEL AÑO EN CURSO ]]*$T$2</f>
        <v>0</v>
      </c>
      <c r="AB396" s="69">
        <f>SUM(Tabla1[[#This Row],[DEUDA DE LOS MESES PASADOS EN $$]:[DEUDA DEL AÑO 2013 $$ ]])</f>
        <v>0</v>
      </c>
      <c r="AD396">
        <f>Tabla1[[#This Row],[PAGO DE DEUDA ANTERIOR EN MESES]]*$T$2</f>
        <v>0</v>
      </c>
      <c r="AG396" s="100">
        <f>IF(Tabla1[[#This Row],[TIPO DE CONSUMIDOR]]="MEDIO",IF(Tabla1[[#This Row],[ENERO ]]&gt;22.5,Tabla1[[#This Row],[ENERO ]]/22.5-1,0),IF(Tabla1[[#This Row],[ENERO ]]&gt;45,Tabla1[[#This Row],[ENERO ]]/45-1,0))</f>
        <v>0</v>
      </c>
      <c r="AH39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6" s="100">
        <f>IF(Tabla1[[#This Row],[TIPO DE CONSUMIDOR]]="MEDIO",IF(Tabla1[[#This Row],[MARZO]]&gt;22.5,Tabla1[[#This Row],[MARZO]]/22.5-1,0),IF(Tabla1[[#This Row],[MARZO]]&gt;45,Tabla1[[#This Row],[MARZO]]/45-1,0))</f>
        <v>0</v>
      </c>
      <c r="AJ396" s="100">
        <f>IF(Tabla1[[#This Row],[TIPO DE CONSUMIDOR]]="MEDIO",IF(Tabla1[[#This Row],[ABRIL]]&gt;22.5,Tabla1[[#This Row],[ABRIL]]/22.5-1,0),IF(Tabla1[[#This Row],[ABRIL]]&gt;45,Tabla1[[#This Row],[ABRIL]]/45-1,0))</f>
        <v>0</v>
      </c>
      <c r="AK396" s="100">
        <f>IF(Tabla1[[#This Row],[TIPO DE CONSUMIDOR]]="MEDIO",IF(Tabla1[[#This Row],[MAYO ]]&gt;22.5,Tabla1[[#This Row],[MAYO ]]/22.5-1,0),IF(Tabla1[[#This Row],[MAYO ]]&gt;45,Tabla1[[#This Row],[MAYO ]]/45-1,0))</f>
        <v>0</v>
      </c>
      <c r="AL396" s="100">
        <f>IF(Tabla1[[#This Row],[TIPO DE CONSUMIDOR]]="MEDIO",IF(Tabla1[[#This Row],[JUNIO ]]&gt;22.5,Tabla1[[#This Row],[JUNIO ]]/22.5-1,0),IF(Tabla1[[#This Row],[JUNIO ]]&gt;45,Tabla1[[#This Row],[JUNIO ]]/45-1,0))</f>
        <v>0</v>
      </c>
      <c r="AM396" s="100">
        <f>IF(Tabla1[[#This Row],[TIPO DE CONSUMIDOR]]="MEDIO",IF(Tabla1[[#This Row],[JULIO ]]&gt;22.5,Tabla1[[#This Row],[JULIO ]]/22.5-1,0),IF(Tabla1[[#This Row],[JULIO ]]&gt;45,Tabla1[[#This Row],[JULIO ]]/45-1,0))</f>
        <v>0</v>
      </c>
      <c r="AN396" s="100">
        <f>IF(Tabla1[[#This Row],[TIPO DE CONSUMIDOR]]="MEDIO",IF(Tabla1[[#This Row],[AGOSTO]]&gt;22.5,Tabla1[[#This Row],[AGOSTO]]/22.5-1,0),IF(Tabla1[[#This Row],[AGOSTO]]&gt;45,Tabla1[[#This Row],[AGOSTO]]/45-1,0))</f>
        <v>0</v>
      </c>
      <c r="AO39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6" s="101">
        <f t="shared" si="13"/>
        <v>0</v>
      </c>
      <c r="AT396">
        <f>IF(Tabla1[[#This Row],[MES ADEUDO DE AÑOS PASADOS ]]&gt;0,1,0)</f>
        <v>0</v>
      </c>
      <c r="AU396" s="9">
        <f t="shared" si="14"/>
        <v>0</v>
      </c>
      <c r="AV396" s="60">
        <f>IF(Tabla1[[#This Row],[MESES DE ADEUDO DEL AÑO EN CURSO ]]&gt;0,1,0)</f>
        <v>0</v>
      </c>
      <c r="AW396" s="42"/>
      <c r="AX396" s="42"/>
      <c r="AY396" s="42"/>
      <c r="AZ396" s="43"/>
    </row>
    <row r="397" spans="1:52" ht="21.75" thickBot="1" x14ac:dyDescent="0.35">
      <c r="A397" s="106">
        <v>391</v>
      </c>
      <c r="B397" s="5" t="s">
        <v>561</v>
      </c>
      <c r="C397" s="2" t="s">
        <v>556</v>
      </c>
      <c r="D397" s="32"/>
      <c r="E397" s="35" t="s">
        <v>455</v>
      </c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24">
        <f>SUM(Tabla1[[#This Row],[ENERO ]:[DICIEMBRE]])</f>
        <v>0</v>
      </c>
      <c r="W397">
        <v>0</v>
      </c>
      <c r="X397" s="21">
        <f>COUNTIF(Tabla1[[#This Row],[ENERO ]:[DICIEMBRE]],0)-(AS397)-IF(Tabla1[[#This Row],[BAJAS]]="BAJA",IF(Tabla1[[#This Row],[ALTAS]]="ALTA",VLOOKUP(Tabla1[[#This Row],[MES DE ALTA ]],$AW$6:$AX$17,2,FALSE),12)-VLOOKUP(Tabla1[[#This Row],[MES DE BAJA ]],$AW$6:$AX$17,2,FALSE),0)</f>
        <v>0</v>
      </c>
      <c r="Y397" s="68">
        <f>SUM(Tabla1[[#This Row],[MES ADEUDO DE AÑOS PASADOS ]:[MESES DE ADEUDO DEL AÑO EN CURSO ]])-Tabla1[[#This Row],[PAGO DE DEUDA ANTERIOR EN MESES]]</f>
        <v>0</v>
      </c>
      <c r="Z397" s="15">
        <f>Tabla1[[#This Row],[MES ADEUDO DE AÑOS PASADOS ]]*$T$2</f>
        <v>0</v>
      </c>
      <c r="AA397" s="15">
        <f>Tabla1[[#This Row],[MESES DE ADEUDO DEL AÑO EN CURSO ]]*$T$2</f>
        <v>0</v>
      </c>
      <c r="AB397" s="69">
        <f>SUM(Tabla1[[#This Row],[DEUDA DE LOS MESES PASADOS EN $$]:[DEUDA DEL AÑO 2013 $$ ]])</f>
        <v>0</v>
      </c>
      <c r="AD397">
        <f>Tabla1[[#This Row],[PAGO DE DEUDA ANTERIOR EN MESES]]*$T$2</f>
        <v>0</v>
      </c>
      <c r="AG397" s="100">
        <f>IF(Tabla1[[#This Row],[TIPO DE CONSUMIDOR]]="MEDIO",IF(Tabla1[[#This Row],[ENERO ]]&gt;22.5,Tabla1[[#This Row],[ENERO ]]/22.5-1,0),IF(Tabla1[[#This Row],[ENERO ]]&gt;45,Tabla1[[#This Row],[ENERO ]]/45-1,0))</f>
        <v>0</v>
      </c>
      <c r="AH39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7" s="100">
        <f>IF(Tabla1[[#This Row],[TIPO DE CONSUMIDOR]]="MEDIO",IF(Tabla1[[#This Row],[MARZO]]&gt;22.5,Tabla1[[#This Row],[MARZO]]/22.5-1,0),IF(Tabla1[[#This Row],[MARZO]]&gt;45,Tabla1[[#This Row],[MARZO]]/45-1,0))</f>
        <v>0</v>
      </c>
      <c r="AJ397" s="100">
        <f>IF(Tabla1[[#This Row],[TIPO DE CONSUMIDOR]]="MEDIO",IF(Tabla1[[#This Row],[ABRIL]]&gt;22.5,Tabla1[[#This Row],[ABRIL]]/22.5-1,0),IF(Tabla1[[#This Row],[ABRIL]]&gt;45,Tabla1[[#This Row],[ABRIL]]/45-1,0))</f>
        <v>0</v>
      </c>
      <c r="AK397" s="100">
        <f>IF(Tabla1[[#This Row],[TIPO DE CONSUMIDOR]]="MEDIO",IF(Tabla1[[#This Row],[MAYO ]]&gt;22.5,Tabla1[[#This Row],[MAYO ]]/22.5-1,0),IF(Tabla1[[#This Row],[MAYO ]]&gt;45,Tabla1[[#This Row],[MAYO ]]/45-1,0))</f>
        <v>0</v>
      </c>
      <c r="AL397" s="100">
        <f>IF(Tabla1[[#This Row],[TIPO DE CONSUMIDOR]]="MEDIO",IF(Tabla1[[#This Row],[JUNIO ]]&gt;22.5,Tabla1[[#This Row],[JUNIO ]]/22.5-1,0),IF(Tabla1[[#This Row],[JUNIO ]]&gt;45,Tabla1[[#This Row],[JUNIO ]]/45-1,0))</f>
        <v>0</v>
      </c>
      <c r="AM397" s="100">
        <f>IF(Tabla1[[#This Row],[TIPO DE CONSUMIDOR]]="MEDIO",IF(Tabla1[[#This Row],[JULIO ]]&gt;22.5,Tabla1[[#This Row],[JULIO ]]/22.5-1,0),IF(Tabla1[[#This Row],[JULIO ]]&gt;45,Tabla1[[#This Row],[JULIO ]]/45-1,0))</f>
        <v>0</v>
      </c>
      <c r="AN397" s="100">
        <f>IF(Tabla1[[#This Row],[TIPO DE CONSUMIDOR]]="MEDIO",IF(Tabla1[[#This Row],[AGOSTO]]&gt;22.5,Tabla1[[#This Row],[AGOSTO]]/22.5-1,0),IF(Tabla1[[#This Row],[AGOSTO]]&gt;45,Tabla1[[#This Row],[AGOSTO]]/45-1,0))</f>
        <v>0</v>
      </c>
      <c r="AO39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7" s="101">
        <f t="shared" si="13"/>
        <v>0</v>
      </c>
      <c r="AT397">
        <f>IF(Tabla1[[#This Row],[MES ADEUDO DE AÑOS PASADOS ]]&gt;0,1,0)</f>
        <v>0</v>
      </c>
      <c r="AU397" s="9">
        <f t="shared" si="14"/>
        <v>0</v>
      </c>
      <c r="AV397" s="60">
        <f>IF(Tabla1[[#This Row],[MESES DE ADEUDO DEL AÑO EN CURSO ]]&gt;0,1,0)</f>
        <v>0</v>
      </c>
      <c r="AW397" s="42"/>
      <c r="AX397" s="42"/>
      <c r="AY397" s="42"/>
      <c r="AZ397" s="43"/>
    </row>
    <row r="398" spans="1:52" ht="21.75" thickBot="1" x14ac:dyDescent="0.35">
      <c r="A398" s="106">
        <v>392</v>
      </c>
      <c r="B398" s="5" t="s">
        <v>366</v>
      </c>
      <c r="C398" s="2" t="s">
        <v>556</v>
      </c>
      <c r="D398" s="32"/>
      <c r="E398" s="35" t="s">
        <v>455</v>
      </c>
      <c r="F398" s="34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7"/>
      <c r="R398" s="24">
        <f>SUM(Tabla1[[#This Row],[ENERO ]:[DICIEMBRE]])</f>
        <v>0</v>
      </c>
      <c r="W398">
        <v>0</v>
      </c>
      <c r="X398" s="21">
        <f>COUNTIF(Tabla1[[#This Row],[ENERO ]:[DICIEMBRE]],0)-(AS398)-IF(Tabla1[[#This Row],[BAJAS]]="BAJA",IF(Tabla1[[#This Row],[ALTAS]]="ALTA",VLOOKUP(Tabla1[[#This Row],[MES DE ALTA ]],$AW$6:$AX$17,2,FALSE),12)-VLOOKUP(Tabla1[[#This Row],[MES DE BAJA ]],$AW$6:$AX$17,2,FALSE),0)</f>
        <v>0</v>
      </c>
      <c r="Y398" s="68">
        <f>SUM(Tabla1[[#This Row],[MES ADEUDO DE AÑOS PASADOS ]:[MESES DE ADEUDO DEL AÑO EN CURSO ]])-Tabla1[[#This Row],[PAGO DE DEUDA ANTERIOR EN MESES]]</f>
        <v>0</v>
      </c>
      <c r="Z398" s="15">
        <f>Tabla1[[#This Row],[MES ADEUDO DE AÑOS PASADOS ]]*$T$2</f>
        <v>0</v>
      </c>
      <c r="AA398" s="15">
        <f>Tabla1[[#This Row],[MESES DE ADEUDO DEL AÑO EN CURSO ]]*$T$2</f>
        <v>0</v>
      </c>
      <c r="AB398" s="69">
        <f>SUM(Tabla1[[#This Row],[DEUDA DE LOS MESES PASADOS EN $$]:[DEUDA DEL AÑO 2013 $$ ]])</f>
        <v>0</v>
      </c>
      <c r="AD398">
        <f>Tabla1[[#This Row],[PAGO DE DEUDA ANTERIOR EN MESES]]*$T$2</f>
        <v>0</v>
      </c>
      <c r="AG398" s="100">
        <f>IF(Tabla1[[#This Row],[TIPO DE CONSUMIDOR]]="MEDIO",IF(Tabla1[[#This Row],[ENERO ]]&gt;22.5,Tabla1[[#This Row],[ENERO ]]/22.5-1,0),IF(Tabla1[[#This Row],[ENERO ]]&gt;45,Tabla1[[#This Row],[ENERO ]]/45-1,0))</f>
        <v>0</v>
      </c>
      <c r="AH39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8" s="100">
        <f>IF(Tabla1[[#This Row],[TIPO DE CONSUMIDOR]]="MEDIO",IF(Tabla1[[#This Row],[MARZO]]&gt;22.5,Tabla1[[#This Row],[MARZO]]/22.5-1,0),IF(Tabla1[[#This Row],[MARZO]]&gt;45,Tabla1[[#This Row],[MARZO]]/45-1,0))</f>
        <v>0</v>
      </c>
      <c r="AJ398" s="100">
        <f>IF(Tabla1[[#This Row],[TIPO DE CONSUMIDOR]]="MEDIO",IF(Tabla1[[#This Row],[ABRIL]]&gt;22.5,Tabla1[[#This Row],[ABRIL]]/22.5-1,0),IF(Tabla1[[#This Row],[ABRIL]]&gt;45,Tabla1[[#This Row],[ABRIL]]/45-1,0))</f>
        <v>0</v>
      </c>
      <c r="AK398" s="100">
        <f>IF(Tabla1[[#This Row],[TIPO DE CONSUMIDOR]]="MEDIO",IF(Tabla1[[#This Row],[MAYO ]]&gt;22.5,Tabla1[[#This Row],[MAYO ]]/22.5-1,0),IF(Tabla1[[#This Row],[MAYO ]]&gt;45,Tabla1[[#This Row],[MAYO ]]/45-1,0))</f>
        <v>0</v>
      </c>
      <c r="AL398" s="100">
        <f>IF(Tabla1[[#This Row],[TIPO DE CONSUMIDOR]]="MEDIO",IF(Tabla1[[#This Row],[JUNIO ]]&gt;22.5,Tabla1[[#This Row],[JUNIO ]]/22.5-1,0),IF(Tabla1[[#This Row],[JUNIO ]]&gt;45,Tabla1[[#This Row],[JUNIO ]]/45-1,0))</f>
        <v>0</v>
      </c>
      <c r="AM398" s="100">
        <f>IF(Tabla1[[#This Row],[TIPO DE CONSUMIDOR]]="MEDIO",IF(Tabla1[[#This Row],[JULIO ]]&gt;22.5,Tabla1[[#This Row],[JULIO ]]/22.5-1,0),IF(Tabla1[[#This Row],[JULIO ]]&gt;45,Tabla1[[#This Row],[JULIO ]]/45-1,0))</f>
        <v>0</v>
      </c>
      <c r="AN398" s="100">
        <f>IF(Tabla1[[#This Row],[TIPO DE CONSUMIDOR]]="MEDIO",IF(Tabla1[[#This Row],[AGOSTO]]&gt;22.5,Tabla1[[#This Row],[AGOSTO]]/22.5-1,0),IF(Tabla1[[#This Row],[AGOSTO]]&gt;45,Tabla1[[#This Row],[AGOSTO]]/45-1,0))</f>
        <v>0</v>
      </c>
      <c r="AO39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8" s="101">
        <f t="shared" si="13"/>
        <v>0</v>
      </c>
      <c r="AT398">
        <f>IF(Tabla1[[#This Row],[MES ADEUDO DE AÑOS PASADOS ]]&gt;0,1,0)</f>
        <v>0</v>
      </c>
      <c r="AU398" s="9">
        <f t="shared" si="14"/>
        <v>0</v>
      </c>
      <c r="AV398" s="60">
        <f>IF(Tabla1[[#This Row],[MESES DE ADEUDO DEL AÑO EN CURSO ]]&gt;0,1,0)</f>
        <v>0</v>
      </c>
      <c r="AW398" s="42"/>
      <c r="AX398" s="42"/>
      <c r="AY398" s="42"/>
      <c r="AZ398" s="43"/>
    </row>
    <row r="399" spans="1:52" ht="21.75" thickBot="1" x14ac:dyDescent="0.35">
      <c r="A399" s="106">
        <v>393</v>
      </c>
      <c r="B399" s="5" t="s">
        <v>407</v>
      </c>
      <c r="C399" s="2" t="s">
        <v>556</v>
      </c>
      <c r="D399" s="32"/>
      <c r="E399" s="35" t="s">
        <v>455</v>
      </c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24">
        <f>SUM(Tabla1[[#This Row],[ENERO ]:[DICIEMBRE]])</f>
        <v>0</v>
      </c>
      <c r="W399">
        <v>0</v>
      </c>
      <c r="X399" s="21">
        <f>COUNTIF(Tabla1[[#This Row],[ENERO ]:[DICIEMBRE]],0)-(AS399)-IF(Tabla1[[#This Row],[BAJAS]]="BAJA",IF(Tabla1[[#This Row],[ALTAS]]="ALTA",VLOOKUP(Tabla1[[#This Row],[MES DE ALTA ]],$AW$6:$AX$17,2,FALSE),12)-VLOOKUP(Tabla1[[#This Row],[MES DE BAJA ]],$AW$6:$AX$17,2,FALSE),0)</f>
        <v>0</v>
      </c>
      <c r="Y399" s="68">
        <f>SUM(Tabla1[[#This Row],[MES ADEUDO DE AÑOS PASADOS ]:[MESES DE ADEUDO DEL AÑO EN CURSO ]])-Tabla1[[#This Row],[PAGO DE DEUDA ANTERIOR EN MESES]]</f>
        <v>0</v>
      </c>
      <c r="Z399" s="15">
        <f>Tabla1[[#This Row],[MES ADEUDO DE AÑOS PASADOS ]]*$T$2</f>
        <v>0</v>
      </c>
      <c r="AA399" s="15">
        <f>Tabla1[[#This Row],[MESES DE ADEUDO DEL AÑO EN CURSO ]]*$T$2</f>
        <v>0</v>
      </c>
      <c r="AB399" s="69">
        <f>SUM(Tabla1[[#This Row],[DEUDA DE LOS MESES PASADOS EN $$]:[DEUDA DEL AÑO 2013 $$ ]])</f>
        <v>0</v>
      </c>
      <c r="AD399">
        <f>Tabla1[[#This Row],[PAGO DE DEUDA ANTERIOR EN MESES]]*$T$2</f>
        <v>0</v>
      </c>
      <c r="AG399" s="100">
        <f>IF(Tabla1[[#This Row],[TIPO DE CONSUMIDOR]]="MEDIO",IF(Tabla1[[#This Row],[ENERO ]]&gt;22.5,Tabla1[[#This Row],[ENERO ]]/22.5-1,0),IF(Tabla1[[#This Row],[ENERO ]]&gt;45,Tabla1[[#This Row],[ENERO ]]/45-1,0))</f>
        <v>0</v>
      </c>
      <c r="AH39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399" s="100">
        <f>IF(Tabla1[[#This Row],[TIPO DE CONSUMIDOR]]="MEDIO",IF(Tabla1[[#This Row],[MARZO]]&gt;22.5,Tabla1[[#This Row],[MARZO]]/22.5-1,0),IF(Tabla1[[#This Row],[MARZO]]&gt;45,Tabla1[[#This Row],[MARZO]]/45-1,0))</f>
        <v>0</v>
      </c>
      <c r="AJ399" s="100">
        <f>IF(Tabla1[[#This Row],[TIPO DE CONSUMIDOR]]="MEDIO",IF(Tabla1[[#This Row],[ABRIL]]&gt;22.5,Tabla1[[#This Row],[ABRIL]]/22.5-1,0),IF(Tabla1[[#This Row],[ABRIL]]&gt;45,Tabla1[[#This Row],[ABRIL]]/45-1,0))</f>
        <v>0</v>
      </c>
      <c r="AK399" s="100">
        <f>IF(Tabla1[[#This Row],[TIPO DE CONSUMIDOR]]="MEDIO",IF(Tabla1[[#This Row],[MAYO ]]&gt;22.5,Tabla1[[#This Row],[MAYO ]]/22.5-1,0),IF(Tabla1[[#This Row],[MAYO ]]&gt;45,Tabla1[[#This Row],[MAYO ]]/45-1,0))</f>
        <v>0</v>
      </c>
      <c r="AL399" s="100">
        <f>IF(Tabla1[[#This Row],[TIPO DE CONSUMIDOR]]="MEDIO",IF(Tabla1[[#This Row],[JUNIO ]]&gt;22.5,Tabla1[[#This Row],[JUNIO ]]/22.5-1,0),IF(Tabla1[[#This Row],[JUNIO ]]&gt;45,Tabla1[[#This Row],[JUNIO ]]/45-1,0))</f>
        <v>0</v>
      </c>
      <c r="AM399" s="100">
        <f>IF(Tabla1[[#This Row],[TIPO DE CONSUMIDOR]]="MEDIO",IF(Tabla1[[#This Row],[JULIO ]]&gt;22.5,Tabla1[[#This Row],[JULIO ]]/22.5-1,0),IF(Tabla1[[#This Row],[JULIO ]]&gt;45,Tabla1[[#This Row],[JULIO ]]/45-1,0))</f>
        <v>0</v>
      </c>
      <c r="AN399" s="100">
        <f>IF(Tabla1[[#This Row],[TIPO DE CONSUMIDOR]]="MEDIO",IF(Tabla1[[#This Row],[AGOSTO]]&gt;22.5,Tabla1[[#This Row],[AGOSTO]]/22.5-1,0),IF(Tabla1[[#This Row],[AGOSTO]]&gt;45,Tabla1[[#This Row],[AGOSTO]]/45-1,0))</f>
        <v>0</v>
      </c>
      <c r="AO39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39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39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39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399" s="101">
        <f t="shared" si="13"/>
        <v>0</v>
      </c>
      <c r="AT399">
        <f>IF(Tabla1[[#This Row],[MES ADEUDO DE AÑOS PASADOS ]]&gt;0,1,0)</f>
        <v>0</v>
      </c>
      <c r="AU399" s="9">
        <f t="shared" si="14"/>
        <v>0</v>
      </c>
      <c r="AV399" s="60">
        <f>IF(Tabla1[[#This Row],[MESES DE ADEUDO DEL AÑO EN CURSO ]]&gt;0,1,0)</f>
        <v>0</v>
      </c>
      <c r="AW399" s="42"/>
      <c r="AX399" s="42"/>
      <c r="AY399" s="42"/>
      <c r="AZ399" s="43"/>
    </row>
    <row r="400" spans="1:52" ht="21.75" thickBot="1" x14ac:dyDescent="0.35">
      <c r="A400" s="106">
        <v>394</v>
      </c>
      <c r="B400" s="5" t="s">
        <v>559</v>
      </c>
      <c r="C400" s="2" t="s">
        <v>556</v>
      </c>
      <c r="D400" s="32"/>
      <c r="E400" s="35" t="s">
        <v>455</v>
      </c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24">
        <f>SUM(Tabla1[[#This Row],[ENERO ]:[DICIEMBRE]])</f>
        <v>0</v>
      </c>
      <c r="W400">
        <v>1</v>
      </c>
      <c r="X400" s="21">
        <f>COUNTIF(Tabla1[[#This Row],[ENERO ]:[DICIEMBRE]],0)-(AS400)-IF(Tabla1[[#This Row],[BAJAS]]="BAJA",IF(Tabla1[[#This Row],[ALTAS]]="ALTA",VLOOKUP(Tabla1[[#This Row],[MES DE ALTA ]],$AW$6:$AX$17,2,FALSE),12)-VLOOKUP(Tabla1[[#This Row],[MES DE BAJA ]],$AW$6:$AX$17,2,FALSE),0)</f>
        <v>0</v>
      </c>
      <c r="Y400" s="68">
        <f>SUM(Tabla1[[#This Row],[MES ADEUDO DE AÑOS PASADOS ]:[MESES DE ADEUDO DEL AÑO EN CURSO ]])-Tabla1[[#This Row],[PAGO DE DEUDA ANTERIOR EN MESES]]</f>
        <v>1</v>
      </c>
      <c r="Z400" s="15">
        <f>Tabla1[[#This Row],[MES ADEUDO DE AÑOS PASADOS ]]*$T$2</f>
        <v>45</v>
      </c>
      <c r="AA400" s="15">
        <f>Tabla1[[#This Row],[MESES DE ADEUDO DEL AÑO EN CURSO ]]*$T$2</f>
        <v>0</v>
      </c>
      <c r="AB400" s="69">
        <f>SUM(Tabla1[[#This Row],[DEUDA DE LOS MESES PASADOS EN $$]:[DEUDA DEL AÑO 2013 $$ ]])</f>
        <v>45</v>
      </c>
      <c r="AD400">
        <f>Tabla1[[#This Row],[PAGO DE DEUDA ANTERIOR EN MESES]]*$T$2</f>
        <v>0</v>
      </c>
      <c r="AG400" s="100">
        <f>IF(Tabla1[[#This Row],[TIPO DE CONSUMIDOR]]="MEDIO",IF(Tabla1[[#This Row],[ENERO ]]&gt;22.5,Tabla1[[#This Row],[ENERO ]]/22.5-1,0),IF(Tabla1[[#This Row],[ENERO ]]&gt;45,Tabla1[[#This Row],[ENERO ]]/45-1,0))</f>
        <v>0</v>
      </c>
      <c r="AH40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0" s="100">
        <f>IF(Tabla1[[#This Row],[TIPO DE CONSUMIDOR]]="MEDIO",IF(Tabla1[[#This Row],[MARZO]]&gt;22.5,Tabla1[[#This Row],[MARZO]]/22.5-1,0),IF(Tabla1[[#This Row],[MARZO]]&gt;45,Tabla1[[#This Row],[MARZO]]/45-1,0))</f>
        <v>0</v>
      </c>
      <c r="AJ400" s="100">
        <f>IF(Tabla1[[#This Row],[TIPO DE CONSUMIDOR]]="MEDIO",IF(Tabla1[[#This Row],[ABRIL]]&gt;22.5,Tabla1[[#This Row],[ABRIL]]/22.5-1,0),IF(Tabla1[[#This Row],[ABRIL]]&gt;45,Tabla1[[#This Row],[ABRIL]]/45-1,0))</f>
        <v>0</v>
      </c>
      <c r="AK400" s="100">
        <f>IF(Tabla1[[#This Row],[TIPO DE CONSUMIDOR]]="MEDIO",IF(Tabla1[[#This Row],[MAYO ]]&gt;22.5,Tabla1[[#This Row],[MAYO ]]/22.5-1,0),IF(Tabla1[[#This Row],[MAYO ]]&gt;45,Tabla1[[#This Row],[MAYO ]]/45-1,0))</f>
        <v>0</v>
      </c>
      <c r="AL400" s="100">
        <f>IF(Tabla1[[#This Row],[TIPO DE CONSUMIDOR]]="MEDIO",IF(Tabla1[[#This Row],[JUNIO ]]&gt;22.5,Tabla1[[#This Row],[JUNIO ]]/22.5-1,0),IF(Tabla1[[#This Row],[JUNIO ]]&gt;45,Tabla1[[#This Row],[JUNIO ]]/45-1,0))</f>
        <v>0</v>
      </c>
      <c r="AM400" s="100">
        <f>IF(Tabla1[[#This Row],[TIPO DE CONSUMIDOR]]="MEDIO",IF(Tabla1[[#This Row],[JULIO ]]&gt;22.5,Tabla1[[#This Row],[JULIO ]]/22.5-1,0),IF(Tabla1[[#This Row],[JULIO ]]&gt;45,Tabla1[[#This Row],[JULIO ]]/45-1,0))</f>
        <v>0</v>
      </c>
      <c r="AN400" s="100">
        <f>IF(Tabla1[[#This Row],[TIPO DE CONSUMIDOR]]="MEDIO",IF(Tabla1[[#This Row],[AGOSTO]]&gt;22.5,Tabla1[[#This Row],[AGOSTO]]/22.5-1,0),IF(Tabla1[[#This Row],[AGOSTO]]&gt;45,Tabla1[[#This Row],[AGOSTO]]/45-1,0))</f>
        <v>0</v>
      </c>
      <c r="AO40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0" s="101">
        <f t="shared" si="13"/>
        <v>0</v>
      </c>
      <c r="AT400">
        <f>IF(Tabla1[[#This Row],[MES ADEUDO DE AÑOS PASADOS ]]&gt;0,1,0)</f>
        <v>1</v>
      </c>
      <c r="AU400" s="9">
        <f t="shared" si="14"/>
        <v>1</v>
      </c>
      <c r="AV400" s="60">
        <f>IF(Tabla1[[#This Row],[MESES DE ADEUDO DEL AÑO EN CURSO ]]&gt;0,1,0)</f>
        <v>0</v>
      </c>
      <c r="AW400" s="42"/>
      <c r="AX400" s="42"/>
      <c r="AY400" s="42"/>
      <c r="AZ400" s="43"/>
    </row>
    <row r="401" spans="1:52" ht="21.75" thickBot="1" x14ac:dyDescent="0.35">
      <c r="A401" s="106">
        <v>395</v>
      </c>
      <c r="B401" s="5" t="s">
        <v>256</v>
      </c>
      <c r="C401" s="2" t="s">
        <v>556</v>
      </c>
      <c r="D401" s="32"/>
      <c r="E401" s="35" t="s">
        <v>455</v>
      </c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24">
        <f>SUM(Tabla1[[#This Row],[ENERO ]:[DICIEMBRE]])</f>
        <v>0</v>
      </c>
      <c r="W401">
        <v>1</v>
      </c>
      <c r="X401" s="21">
        <f>COUNTIF(Tabla1[[#This Row],[ENERO ]:[DICIEMBRE]],0)-(AS401)-IF(Tabla1[[#This Row],[BAJAS]]="BAJA",IF(Tabla1[[#This Row],[ALTAS]]="ALTA",VLOOKUP(Tabla1[[#This Row],[MES DE ALTA ]],$AW$6:$AX$17,2,FALSE),12)-VLOOKUP(Tabla1[[#This Row],[MES DE BAJA ]],$AW$6:$AX$17,2,FALSE),0)</f>
        <v>0</v>
      </c>
      <c r="Y401" s="68">
        <f>SUM(Tabla1[[#This Row],[MES ADEUDO DE AÑOS PASADOS ]:[MESES DE ADEUDO DEL AÑO EN CURSO ]])-Tabla1[[#This Row],[PAGO DE DEUDA ANTERIOR EN MESES]]</f>
        <v>1</v>
      </c>
      <c r="Z401" s="15">
        <f>Tabla1[[#This Row],[MES ADEUDO DE AÑOS PASADOS ]]*$T$2</f>
        <v>45</v>
      </c>
      <c r="AA401" s="15">
        <f>Tabla1[[#This Row],[MESES DE ADEUDO DEL AÑO EN CURSO ]]*$T$2</f>
        <v>0</v>
      </c>
      <c r="AB401" s="69">
        <f>SUM(Tabla1[[#This Row],[DEUDA DE LOS MESES PASADOS EN $$]:[DEUDA DEL AÑO 2013 $$ ]])</f>
        <v>45</v>
      </c>
      <c r="AD401">
        <f>Tabla1[[#This Row],[PAGO DE DEUDA ANTERIOR EN MESES]]*$T$2</f>
        <v>0</v>
      </c>
      <c r="AG401" s="100">
        <f>IF(Tabla1[[#This Row],[TIPO DE CONSUMIDOR]]="MEDIO",IF(Tabla1[[#This Row],[ENERO ]]&gt;22.5,Tabla1[[#This Row],[ENERO ]]/22.5-1,0),IF(Tabla1[[#This Row],[ENERO ]]&gt;45,Tabla1[[#This Row],[ENERO ]]/45-1,0))</f>
        <v>0</v>
      </c>
      <c r="AH40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1" s="100">
        <f>IF(Tabla1[[#This Row],[TIPO DE CONSUMIDOR]]="MEDIO",IF(Tabla1[[#This Row],[MARZO]]&gt;22.5,Tabla1[[#This Row],[MARZO]]/22.5-1,0),IF(Tabla1[[#This Row],[MARZO]]&gt;45,Tabla1[[#This Row],[MARZO]]/45-1,0))</f>
        <v>0</v>
      </c>
      <c r="AJ401" s="100">
        <f>IF(Tabla1[[#This Row],[TIPO DE CONSUMIDOR]]="MEDIO",IF(Tabla1[[#This Row],[ABRIL]]&gt;22.5,Tabla1[[#This Row],[ABRIL]]/22.5-1,0),IF(Tabla1[[#This Row],[ABRIL]]&gt;45,Tabla1[[#This Row],[ABRIL]]/45-1,0))</f>
        <v>0</v>
      </c>
      <c r="AK401" s="100">
        <f>IF(Tabla1[[#This Row],[TIPO DE CONSUMIDOR]]="MEDIO",IF(Tabla1[[#This Row],[MAYO ]]&gt;22.5,Tabla1[[#This Row],[MAYO ]]/22.5-1,0),IF(Tabla1[[#This Row],[MAYO ]]&gt;45,Tabla1[[#This Row],[MAYO ]]/45-1,0))</f>
        <v>0</v>
      </c>
      <c r="AL401" s="100">
        <f>IF(Tabla1[[#This Row],[TIPO DE CONSUMIDOR]]="MEDIO",IF(Tabla1[[#This Row],[JUNIO ]]&gt;22.5,Tabla1[[#This Row],[JUNIO ]]/22.5-1,0),IF(Tabla1[[#This Row],[JUNIO ]]&gt;45,Tabla1[[#This Row],[JUNIO ]]/45-1,0))</f>
        <v>0</v>
      </c>
      <c r="AM401" s="100">
        <f>IF(Tabla1[[#This Row],[TIPO DE CONSUMIDOR]]="MEDIO",IF(Tabla1[[#This Row],[JULIO ]]&gt;22.5,Tabla1[[#This Row],[JULIO ]]/22.5-1,0),IF(Tabla1[[#This Row],[JULIO ]]&gt;45,Tabla1[[#This Row],[JULIO ]]/45-1,0))</f>
        <v>0</v>
      </c>
      <c r="AN401" s="100">
        <f>IF(Tabla1[[#This Row],[TIPO DE CONSUMIDOR]]="MEDIO",IF(Tabla1[[#This Row],[AGOSTO]]&gt;22.5,Tabla1[[#This Row],[AGOSTO]]/22.5-1,0),IF(Tabla1[[#This Row],[AGOSTO]]&gt;45,Tabla1[[#This Row],[AGOSTO]]/45-1,0))</f>
        <v>0</v>
      </c>
      <c r="AO40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1" s="101">
        <f t="shared" si="13"/>
        <v>0</v>
      </c>
      <c r="AT401">
        <f>IF(Tabla1[[#This Row],[MES ADEUDO DE AÑOS PASADOS ]]&gt;0,1,0)</f>
        <v>1</v>
      </c>
      <c r="AU401" s="9">
        <f t="shared" si="14"/>
        <v>1</v>
      </c>
      <c r="AV401" s="60">
        <f>IF(Tabla1[[#This Row],[MESES DE ADEUDO DEL AÑO EN CURSO ]]&gt;0,1,0)</f>
        <v>0</v>
      </c>
      <c r="AW401" s="42"/>
      <c r="AX401" s="42"/>
      <c r="AY401" s="42"/>
      <c r="AZ401" s="43"/>
    </row>
    <row r="402" spans="1:52" ht="21.75" thickBot="1" x14ac:dyDescent="0.35">
      <c r="A402" s="106">
        <v>396</v>
      </c>
      <c r="B402" s="5" t="s">
        <v>374</v>
      </c>
      <c r="C402" s="2" t="s">
        <v>556</v>
      </c>
      <c r="D402" s="32"/>
      <c r="E402" s="35" t="s">
        <v>455</v>
      </c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24">
        <f>SUM(Tabla1[[#This Row],[ENERO ]:[DICIEMBRE]])</f>
        <v>0</v>
      </c>
      <c r="W402">
        <v>1</v>
      </c>
      <c r="X402" s="21">
        <f>COUNTIF(Tabla1[[#This Row],[ENERO ]:[DICIEMBRE]],0)-(AS402)-IF(Tabla1[[#This Row],[BAJAS]]="BAJA",IF(Tabla1[[#This Row],[ALTAS]]="ALTA",VLOOKUP(Tabla1[[#This Row],[MES DE ALTA ]],$AW$6:$AX$17,2,FALSE),12)-VLOOKUP(Tabla1[[#This Row],[MES DE BAJA ]],$AW$6:$AX$17,2,FALSE),0)</f>
        <v>0</v>
      </c>
      <c r="Y402" s="68">
        <f>SUM(Tabla1[[#This Row],[MES ADEUDO DE AÑOS PASADOS ]:[MESES DE ADEUDO DEL AÑO EN CURSO ]])-Tabla1[[#This Row],[PAGO DE DEUDA ANTERIOR EN MESES]]</f>
        <v>1</v>
      </c>
      <c r="Z402" s="15">
        <f>Tabla1[[#This Row],[MES ADEUDO DE AÑOS PASADOS ]]*$T$2</f>
        <v>45</v>
      </c>
      <c r="AA402" s="15">
        <f>Tabla1[[#This Row],[MESES DE ADEUDO DEL AÑO EN CURSO ]]*$T$2</f>
        <v>0</v>
      </c>
      <c r="AB402" s="69">
        <f>SUM(Tabla1[[#This Row],[DEUDA DE LOS MESES PASADOS EN $$]:[DEUDA DEL AÑO 2013 $$ ]])</f>
        <v>45</v>
      </c>
      <c r="AD402">
        <f>Tabla1[[#This Row],[PAGO DE DEUDA ANTERIOR EN MESES]]*$T$2</f>
        <v>0</v>
      </c>
      <c r="AG402" s="100">
        <f>IF(Tabla1[[#This Row],[TIPO DE CONSUMIDOR]]="MEDIO",IF(Tabla1[[#This Row],[ENERO ]]&gt;22.5,Tabla1[[#This Row],[ENERO ]]/22.5-1,0),IF(Tabla1[[#This Row],[ENERO ]]&gt;45,Tabla1[[#This Row],[ENERO ]]/45-1,0))</f>
        <v>0</v>
      </c>
      <c r="AH40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2" s="100">
        <f>IF(Tabla1[[#This Row],[TIPO DE CONSUMIDOR]]="MEDIO",IF(Tabla1[[#This Row],[MARZO]]&gt;22.5,Tabla1[[#This Row],[MARZO]]/22.5-1,0),IF(Tabla1[[#This Row],[MARZO]]&gt;45,Tabla1[[#This Row],[MARZO]]/45-1,0))</f>
        <v>0</v>
      </c>
      <c r="AJ402" s="100">
        <f>IF(Tabla1[[#This Row],[TIPO DE CONSUMIDOR]]="MEDIO",IF(Tabla1[[#This Row],[ABRIL]]&gt;22.5,Tabla1[[#This Row],[ABRIL]]/22.5-1,0),IF(Tabla1[[#This Row],[ABRIL]]&gt;45,Tabla1[[#This Row],[ABRIL]]/45-1,0))</f>
        <v>0</v>
      </c>
      <c r="AK402" s="100">
        <f>IF(Tabla1[[#This Row],[TIPO DE CONSUMIDOR]]="MEDIO",IF(Tabla1[[#This Row],[MAYO ]]&gt;22.5,Tabla1[[#This Row],[MAYO ]]/22.5-1,0),IF(Tabla1[[#This Row],[MAYO ]]&gt;45,Tabla1[[#This Row],[MAYO ]]/45-1,0))</f>
        <v>0</v>
      </c>
      <c r="AL402" s="100">
        <f>IF(Tabla1[[#This Row],[TIPO DE CONSUMIDOR]]="MEDIO",IF(Tabla1[[#This Row],[JUNIO ]]&gt;22.5,Tabla1[[#This Row],[JUNIO ]]/22.5-1,0),IF(Tabla1[[#This Row],[JUNIO ]]&gt;45,Tabla1[[#This Row],[JUNIO ]]/45-1,0))</f>
        <v>0</v>
      </c>
      <c r="AM402" s="100">
        <f>IF(Tabla1[[#This Row],[TIPO DE CONSUMIDOR]]="MEDIO",IF(Tabla1[[#This Row],[JULIO ]]&gt;22.5,Tabla1[[#This Row],[JULIO ]]/22.5-1,0),IF(Tabla1[[#This Row],[JULIO ]]&gt;45,Tabla1[[#This Row],[JULIO ]]/45-1,0))</f>
        <v>0</v>
      </c>
      <c r="AN402" s="100">
        <f>IF(Tabla1[[#This Row],[TIPO DE CONSUMIDOR]]="MEDIO",IF(Tabla1[[#This Row],[AGOSTO]]&gt;22.5,Tabla1[[#This Row],[AGOSTO]]/22.5-1,0),IF(Tabla1[[#This Row],[AGOSTO]]&gt;45,Tabla1[[#This Row],[AGOSTO]]/45-1,0))</f>
        <v>0</v>
      </c>
      <c r="AO40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2" s="101">
        <f t="shared" si="13"/>
        <v>0</v>
      </c>
      <c r="AT402">
        <f>IF(Tabla1[[#This Row],[MES ADEUDO DE AÑOS PASADOS ]]&gt;0,1,0)</f>
        <v>1</v>
      </c>
      <c r="AU402" s="9">
        <f t="shared" si="14"/>
        <v>1</v>
      </c>
      <c r="AV402" s="60">
        <f>IF(Tabla1[[#This Row],[MESES DE ADEUDO DEL AÑO EN CURSO ]]&gt;0,1,0)</f>
        <v>0</v>
      </c>
      <c r="AW402" s="42"/>
      <c r="AX402" s="42"/>
      <c r="AY402" s="42"/>
      <c r="AZ402" s="43"/>
    </row>
    <row r="403" spans="1:52" ht="21.75" thickBot="1" x14ac:dyDescent="0.35">
      <c r="A403" s="106">
        <v>397</v>
      </c>
      <c r="B403" s="5" t="s">
        <v>16</v>
      </c>
      <c r="C403" s="2" t="s">
        <v>556</v>
      </c>
      <c r="D403" s="32"/>
      <c r="E403" s="35" t="s">
        <v>455</v>
      </c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24">
        <f>SUM(Tabla1[[#This Row],[ENERO ]:[DICIEMBRE]])</f>
        <v>0</v>
      </c>
      <c r="W403">
        <v>2</v>
      </c>
      <c r="X403" s="21">
        <f>COUNTIF(Tabla1[[#This Row],[ENERO ]:[DICIEMBRE]],0)-(AS403)-IF(Tabla1[[#This Row],[BAJAS]]="BAJA",IF(Tabla1[[#This Row],[ALTAS]]="ALTA",VLOOKUP(Tabla1[[#This Row],[MES DE ALTA ]],$AW$6:$AX$17,2,FALSE),12)-VLOOKUP(Tabla1[[#This Row],[MES DE BAJA ]],$AW$6:$AX$17,2,FALSE),0)</f>
        <v>0</v>
      </c>
      <c r="Y403" s="68">
        <f>SUM(Tabla1[[#This Row],[MES ADEUDO DE AÑOS PASADOS ]:[MESES DE ADEUDO DEL AÑO EN CURSO ]])-Tabla1[[#This Row],[PAGO DE DEUDA ANTERIOR EN MESES]]</f>
        <v>2</v>
      </c>
      <c r="Z403" s="15">
        <f>Tabla1[[#This Row],[MES ADEUDO DE AÑOS PASADOS ]]*$T$2</f>
        <v>90</v>
      </c>
      <c r="AA403" s="15">
        <f>Tabla1[[#This Row],[MESES DE ADEUDO DEL AÑO EN CURSO ]]*$T$2</f>
        <v>0</v>
      </c>
      <c r="AB403" s="69">
        <f>SUM(Tabla1[[#This Row],[DEUDA DE LOS MESES PASADOS EN $$]:[DEUDA DEL AÑO 2013 $$ ]])</f>
        <v>90</v>
      </c>
      <c r="AD403">
        <f>Tabla1[[#This Row],[PAGO DE DEUDA ANTERIOR EN MESES]]*$T$2</f>
        <v>0</v>
      </c>
      <c r="AG403" s="100">
        <f>IF(Tabla1[[#This Row],[TIPO DE CONSUMIDOR]]="MEDIO",IF(Tabla1[[#This Row],[ENERO ]]&gt;22.5,Tabla1[[#This Row],[ENERO ]]/22.5-1,0),IF(Tabla1[[#This Row],[ENERO ]]&gt;45,Tabla1[[#This Row],[ENERO ]]/45-1,0))</f>
        <v>0</v>
      </c>
      <c r="AH40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3" s="100">
        <f>IF(Tabla1[[#This Row],[TIPO DE CONSUMIDOR]]="MEDIO",IF(Tabla1[[#This Row],[MARZO]]&gt;22.5,Tabla1[[#This Row],[MARZO]]/22.5-1,0),IF(Tabla1[[#This Row],[MARZO]]&gt;45,Tabla1[[#This Row],[MARZO]]/45-1,0))</f>
        <v>0</v>
      </c>
      <c r="AJ403" s="100">
        <f>IF(Tabla1[[#This Row],[TIPO DE CONSUMIDOR]]="MEDIO",IF(Tabla1[[#This Row],[ABRIL]]&gt;22.5,Tabla1[[#This Row],[ABRIL]]/22.5-1,0),IF(Tabla1[[#This Row],[ABRIL]]&gt;45,Tabla1[[#This Row],[ABRIL]]/45-1,0))</f>
        <v>0</v>
      </c>
      <c r="AK403" s="100">
        <f>IF(Tabla1[[#This Row],[TIPO DE CONSUMIDOR]]="MEDIO",IF(Tabla1[[#This Row],[MAYO ]]&gt;22.5,Tabla1[[#This Row],[MAYO ]]/22.5-1,0),IF(Tabla1[[#This Row],[MAYO ]]&gt;45,Tabla1[[#This Row],[MAYO ]]/45-1,0))</f>
        <v>0</v>
      </c>
      <c r="AL403" s="100">
        <f>IF(Tabla1[[#This Row],[TIPO DE CONSUMIDOR]]="MEDIO",IF(Tabla1[[#This Row],[JUNIO ]]&gt;22.5,Tabla1[[#This Row],[JUNIO ]]/22.5-1,0),IF(Tabla1[[#This Row],[JUNIO ]]&gt;45,Tabla1[[#This Row],[JUNIO ]]/45-1,0))</f>
        <v>0</v>
      </c>
      <c r="AM403" s="100">
        <f>IF(Tabla1[[#This Row],[TIPO DE CONSUMIDOR]]="MEDIO",IF(Tabla1[[#This Row],[JULIO ]]&gt;22.5,Tabla1[[#This Row],[JULIO ]]/22.5-1,0),IF(Tabla1[[#This Row],[JULIO ]]&gt;45,Tabla1[[#This Row],[JULIO ]]/45-1,0))</f>
        <v>0</v>
      </c>
      <c r="AN403" s="100">
        <f>IF(Tabla1[[#This Row],[TIPO DE CONSUMIDOR]]="MEDIO",IF(Tabla1[[#This Row],[AGOSTO]]&gt;22.5,Tabla1[[#This Row],[AGOSTO]]/22.5-1,0),IF(Tabla1[[#This Row],[AGOSTO]]&gt;45,Tabla1[[#This Row],[AGOSTO]]/45-1,0))</f>
        <v>0</v>
      </c>
      <c r="AO40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3" s="101">
        <f t="shared" si="13"/>
        <v>0</v>
      </c>
      <c r="AT403">
        <f>IF(Tabla1[[#This Row],[MES ADEUDO DE AÑOS PASADOS ]]&gt;0,1,0)</f>
        <v>1</v>
      </c>
      <c r="AU403" s="9">
        <f t="shared" si="14"/>
        <v>1</v>
      </c>
      <c r="AV403" s="60">
        <f>IF(Tabla1[[#This Row],[MESES DE ADEUDO DEL AÑO EN CURSO ]]&gt;0,1,0)</f>
        <v>0</v>
      </c>
      <c r="AW403" s="42"/>
      <c r="AX403" s="42"/>
      <c r="AY403" s="42"/>
      <c r="AZ403" s="43"/>
    </row>
    <row r="404" spans="1:52" ht="21.75" thickBot="1" x14ac:dyDescent="0.35">
      <c r="A404" s="106">
        <v>398</v>
      </c>
      <c r="B404" s="5" t="s">
        <v>148</v>
      </c>
      <c r="C404" s="2" t="s">
        <v>556</v>
      </c>
      <c r="D404" s="32"/>
      <c r="E404" s="35" t="s">
        <v>455</v>
      </c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58">
        <f>SUM(Tabla1[[#This Row],[ENERO ]:[DICIEMBRE]])</f>
        <v>0</v>
      </c>
      <c r="W404">
        <v>2</v>
      </c>
      <c r="X404" s="21">
        <f>COUNTIF(Tabla1[[#This Row],[ENERO ]:[DICIEMBRE]],0)-(AS404)-IF(Tabla1[[#This Row],[BAJAS]]="BAJA",IF(Tabla1[[#This Row],[ALTAS]]="ALTA",VLOOKUP(Tabla1[[#This Row],[MES DE ALTA ]],$AW$6:$AX$17,2,FALSE),12)-VLOOKUP(Tabla1[[#This Row],[MES DE BAJA ]],$AW$6:$AX$17,2,FALSE),0)</f>
        <v>0</v>
      </c>
      <c r="Y404" s="68">
        <f>SUM(Tabla1[[#This Row],[MES ADEUDO DE AÑOS PASADOS ]:[MESES DE ADEUDO DEL AÑO EN CURSO ]])-Tabla1[[#This Row],[PAGO DE DEUDA ANTERIOR EN MESES]]</f>
        <v>2</v>
      </c>
      <c r="Z404" s="15">
        <f>Tabla1[[#This Row],[MES ADEUDO DE AÑOS PASADOS ]]*$T$2</f>
        <v>90</v>
      </c>
      <c r="AA404" s="15">
        <f>Tabla1[[#This Row],[MESES DE ADEUDO DEL AÑO EN CURSO ]]*$T$2</f>
        <v>0</v>
      </c>
      <c r="AB404" s="69">
        <f>SUM(Tabla1[[#This Row],[DEUDA DE LOS MESES PASADOS EN $$]:[DEUDA DEL AÑO 2013 $$ ]])</f>
        <v>90</v>
      </c>
      <c r="AD404">
        <f>Tabla1[[#This Row],[PAGO DE DEUDA ANTERIOR EN MESES]]*$T$2</f>
        <v>0</v>
      </c>
      <c r="AG404" s="100">
        <f>IF(Tabla1[[#This Row],[TIPO DE CONSUMIDOR]]="MEDIO",IF(Tabla1[[#This Row],[ENERO ]]&gt;22.5,Tabla1[[#This Row],[ENERO ]]/22.5-1,0),IF(Tabla1[[#This Row],[ENERO ]]&gt;45,Tabla1[[#This Row],[ENERO ]]/45-1,0))</f>
        <v>0</v>
      </c>
      <c r="AH40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4" s="100">
        <f>IF(Tabla1[[#This Row],[TIPO DE CONSUMIDOR]]="MEDIO",IF(Tabla1[[#This Row],[MARZO]]&gt;22.5,Tabla1[[#This Row],[MARZO]]/22.5-1,0),IF(Tabla1[[#This Row],[MARZO]]&gt;45,Tabla1[[#This Row],[MARZO]]/45-1,0))</f>
        <v>0</v>
      </c>
      <c r="AJ404" s="100">
        <f>IF(Tabla1[[#This Row],[TIPO DE CONSUMIDOR]]="MEDIO",IF(Tabla1[[#This Row],[ABRIL]]&gt;22.5,Tabla1[[#This Row],[ABRIL]]/22.5-1,0),IF(Tabla1[[#This Row],[ABRIL]]&gt;45,Tabla1[[#This Row],[ABRIL]]/45-1,0))</f>
        <v>0</v>
      </c>
      <c r="AK404" s="100">
        <f>IF(Tabla1[[#This Row],[TIPO DE CONSUMIDOR]]="MEDIO",IF(Tabla1[[#This Row],[MAYO ]]&gt;22.5,Tabla1[[#This Row],[MAYO ]]/22.5-1,0),IF(Tabla1[[#This Row],[MAYO ]]&gt;45,Tabla1[[#This Row],[MAYO ]]/45-1,0))</f>
        <v>0</v>
      </c>
      <c r="AL404" s="100">
        <f>IF(Tabla1[[#This Row],[TIPO DE CONSUMIDOR]]="MEDIO",IF(Tabla1[[#This Row],[JUNIO ]]&gt;22.5,Tabla1[[#This Row],[JUNIO ]]/22.5-1,0),IF(Tabla1[[#This Row],[JUNIO ]]&gt;45,Tabla1[[#This Row],[JUNIO ]]/45-1,0))</f>
        <v>0</v>
      </c>
      <c r="AM404" s="100">
        <f>IF(Tabla1[[#This Row],[TIPO DE CONSUMIDOR]]="MEDIO",IF(Tabla1[[#This Row],[JULIO ]]&gt;22.5,Tabla1[[#This Row],[JULIO ]]/22.5-1,0),IF(Tabla1[[#This Row],[JULIO ]]&gt;45,Tabla1[[#This Row],[JULIO ]]/45-1,0))</f>
        <v>0</v>
      </c>
      <c r="AN404" s="100">
        <f>IF(Tabla1[[#This Row],[TIPO DE CONSUMIDOR]]="MEDIO",IF(Tabla1[[#This Row],[AGOSTO]]&gt;22.5,Tabla1[[#This Row],[AGOSTO]]/22.5-1,0),IF(Tabla1[[#This Row],[AGOSTO]]&gt;45,Tabla1[[#This Row],[AGOSTO]]/45-1,0))</f>
        <v>0</v>
      </c>
      <c r="AO40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4" s="101">
        <f t="shared" si="13"/>
        <v>0</v>
      </c>
      <c r="AT404">
        <f>IF(Tabla1[[#This Row],[MES ADEUDO DE AÑOS PASADOS ]]&gt;0,1,0)</f>
        <v>1</v>
      </c>
      <c r="AU404" s="9">
        <f t="shared" si="14"/>
        <v>1</v>
      </c>
      <c r="AV404" s="60">
        <f>IF(Tabla1[[#This Row],[MESES DE ADEUDO DEL AÑO EN CURSO ]]&gt;0,1,0)</f>
        <v>0</v>
      </c>
      <c r="AW404" s="42"/>
      <c r="AX404" s="42"/>
      <c r="AY404" s="42"/>
      <c r="AZ404" s="43"/>
    </row>
    <row r="405" spans="1:52" ht="21.75" thickBot="1" x14ac:dyDescent="0.35">
      <c r="A405" s="106">
        <v>399</v>
      </c>
      <c r="B405" s="5" t="s">
        <v>560</v>
      </c>
      <c r="C405" s="2" t="s">
        <v>556</v>
      </c>
      <c r="D405" s="32"/>
      <c r="E405" s="35" t="s">
        <v>455</v>
      </c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58">
        <f>SUM(Tabla1[[#This Row],[ENERO ]:[DICIEMBRE]])</f>
        <v>0</v>
      </c>
      <c r="W405">
        <v>3</v>
      </c>
      <c r="X405" s="21">
        <f>COUNTIF(Tabla1[[#This Row],[ENERO ]:[DICIEMBRE]],0)-(AS405)-IF(Tabla1[[#This Row],[BAJAS]]="BAJA",IF(Tabla1[[#This Row],[ALTAS]]="ALTA",VLOOKUP(Tabla1[[#This Row],[MES DE ALTA ]],$AW$6:$AX$17,2,FALSE),12)-VLOOKUP(Tabla1[[#This Row],[MES DE BAJA ]],$AW$6:$AX$17,2,FALSE),0)</f>
        <v>0</v>
      </c>
      <c r="Y405" s="68">
        <f>SUM(Tabla1[[#This Row],[MES ADEUDO DE AÑOS PASADOS ]:[MESES DE ADEUDO DEL AÑO EN CURSO ]])-Tabla1[[#This Row],[PAGO DE DEUDA ANTERIOR EN MESES]]</f>
        <v>3</v>
      </c>
      <c r="Z405" s="15">
        <f>Tabla1[[#This Row],[MES ADEUDO DE AÑOS PASADOS ]]*$T$2</f>
        <v>135</v>
      </c>
      <c r="AA405" s="15">
        <f>Tabla1[[#This Row],[MESES DE ADEUDO DEL AÑO EN CURSO ]]*$T$2</f>
        <v>0</v>
      </c>
      <c r="AB405" s="69">
        <f>SUM(Tabla1[[#This Row],[DEUDA DE LOS MESES PASADOS EN $$]:[DEUDA DEL AÑO 2013 $$ ]])</f>
        <v>135</v>
      </c>
      <c r="AD405">
        <f>Tabla1[[#This Row],[PAGO DE DEUDA ANTERIOR EN MESES]]*$T$2</f>
        <v>0</v>
      </c>
      <c r="AG405" s="100">
        <f>IF(Tabla1[[#This Row],[TIPO DE CONSUMIDOR]]="MEDIO",IF(Tabla1[[#This Row],[ENERO ]]&gt;22.5,Tabla1[[#This Row],[ENERO ]]/22.5-1,0),IF(Tabla1[[#This Row],[ENERO ]]&gt;45,Tabla1[[#This Row],[ENERO ]]/45-1,0))</f>
        <v>0</v>
      </c>
      <c r="AH40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5" s="100">
        <f>IF(Tabla1[[#This Row],[TIPO DE CONSUMIDOR]]="MEDIO",IF(Tabla1[[#This Row],[MARZO]]&gt;22.5,Tabla1[[#This Row],[MARZO]]/22.5-1,0),IF(Tabla1[[#This Row],[MARZO]]&gt;45,Tabla1[[#This Row],[MARZO]]/45-1,0))</f>
        <v>0</v>
      </c>
      <c r="AJ405" s="100">
        <f>IF(Tabla1[[#This Row],[TIPO DE CONSUMIDOR]]="MEDIO",IF(Tabla1[[#This Row],[ABRIL]]&gt;22.5,Tabla1[[#This Row],[ABRIL]]/22.5-1,0),IF(Tabla1[[#This Row],[ABRIL]]&gt;45,Tabla1[[#This Row],[ABRIL]]/45-1,0))</f>
        <v>0</v>
      </c>
      <c r="AK405" s="100">
        <f>IF(Tabla1[[#This Row],[TIPO DE CONSUMIDOR]]="MEDIO",IF(Tabla1[[#This Row],[MAYO ]]&gt;22.5,Tabla1[[#This Row],[MAYO ]]/22.5-1,0),IF(Tabla1[[#This Row],[MAYO ]]&gt;45,Tabla1[[#This Row],[MAYO ]]/45-1,0))</f>
        <v>0</v>
      </c>
      <c r="AL405" s="100">
        <f>IF(Tabla1[[#This Row],[TIPO DE CONSUMIDOR]]="MEDIO",IF(Tabla1[[#This Row],[JUNIO ]]&gt;22.5,Tabla1[[#This Row],[JUNIO ]]/22.5-1,0),IF(Tabla1[[#This Row],[JUNIO ]]&gt;45,Tabla1[[#This Row],[JUNIO ]]/45-1,0))</f>
        <v>0</v>
      </c>
      <c r="AM405" s="100">
        <f>IF(Tabla1[[#This Row],[TIPO DE CONSUMIDOR]]="MEDIO",IF(Tabla1[[#This Row],[JULIO ]]&gt;22.5,Tabla1[[#This Row],[JULIO ]]/22.5-1,0),IF(Tabla1[[#This Row],[JULIO ]]&gt;45,Tabla1[[#This Row],[JULIO ]]/45-1,0))</f>
        <v>0</v>
      </c>
      <c r="AN405" s="100">
        <f>IF(Tabla1[[#This Row],[TIPO DE CONSUMIDOR]]="MEDIO",IF(Tabla1[[#This Row],[AGOSTO]]&gt;22.5,Tabla1[[#This Row],[AGOSTO]]/22.5-1,0),IF(Tabla1[[#This Row],[AGOSTO]]&gt;45,Tabla1[[#This Row],[AGOSTO]]/45-1,0))</f>
        <v>0</v>
      </c>
      <c r="AO40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5" s="101">
        <f t="shared" si="13"/>
        <v>0</v>
      </c>
      <c r="AT405">
        <f>IF(Tabla1[[#This Row],[MES ADEUDO DE AÑOS PASADOS ]]&gt;0,1,0)</f>
        <v>1</v>
      </c>
      <c r="AU405" s="9">
        <f t="shared" si="14"/>
        <v>1</v>
      </c>
      <c r="AV405" s="60">
        <f>IF(Tabla1[[#This Row],[MESES DE ADEUDO DEL AÑO EN CURSO ]]&gt;0,1,0)</f>
        <v>0</v>
      </c>
      <c r="AW405" s="42"/>
      <c r="AX405" s="42"/>
      <c r="AY405" s="42"/>
      <c r="AZ405" s="43"/>
    </row>
    <row r="406" spans="1:52" ht="21.75" thickBot="1" x14ac:dyDescent="0.35">
      <c r="A406" s="106">
        <v>400</v>
      </c>
      <c r="B406" s="5" t="s">
        <v>241</v>
      </c>
      <c r="C406" s="2" t="s">
        <v>556</v>
      </c>
      <c r="D406" s="32"/>
      <c r="E406" s="35" t="s">
        <v>455</v>
      </c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58">
        <f>SUM(Tabla1[[#This Row],[ENERO ]:[DICIEMBRE]])</f>
        <v>0</v>
      </c>
      <c r="W406">
        <v>5</v>
      </c>
      <c r="X406" s="21">
        <f>COUNTIF(Tabla1[[#This Row],[ENERO ]:[DICIEMBRE]],0)-(AS406)-IF(Tabla1[[#This Row],[BAJAS]]="BAJA",IF(Tabla1[[#This Row],[ALTAS]]="ALTA",VLOOKUP(Tabla1[[#This Row],[MES DE ALTA ]],$AW$6:$AX$17,2,FALSE),12)-VLOOKUP(Tabla1[[#This Row],[MES DE BAJA ]],$AW$6:$AX$17,2,FALSE),0)</f>
        <v>0</v>
      </c>
      <c r="Y406" s="68">
        <f>SUM(Tabla1[[#This Row],[MES ADEUDO DE AÑOS PASADOS ]:[MESES DE ADEUDO DEL AÑO EN CURSO ]])-Tabla1[[#This Row],[PAGO DE DEUDA ANTERIOR EN MESES]]</f>
        <v>5</v>
      </c>
      <c r="Z406" s="15">
        <f>Tabla1[[#This Row],[MES ADEUDO DE AÑOS PASADOS ]]*$T$2</f>
        <v>225</v>
      </c>
      <c r="AA406" s="15">
        <f>Tabla1[[#This Row],[MESES DE ADEUDO DEL AÑO EN CURSO ]]*$T$2</f>
        <v>0</v>
      </c>
      <c r="AB406" s="69">
        <f>SUM(Tabla1[[#This Row],[DEUDA DE LOS MESES PASADOS EN $$]:[DEUDA DEL AÑO 2013 $$ ]])</f>
        <v>225</v>
      </c>
      <c r="AD406">
        <f>Tabla1[[#This Row],[PAGO DE DEUDA ANTERIOR EN MESES]]*$T$2</f>
        <v>0</v>
      </c>
      <c r="AG406" s="100">
        <f>IF(Tabla1[[#This Row],[TIPO DE CONSUMIDOR]]="MEDIO",IF(Tabla1[[#This Row],[ENERO ]]&gt;22.5,Tabla1[[#This Row],[ENERO ]]/22.5-1,0),IF(Tabla1[[#This Row],[ENERO ]]&gt;45,Tabla1[[#This Row],[ENERO ]]/45-1,0))</f>
        <v>0</v>
      </c>
      <c r="AH40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6" s="100">
        <f>IF(Tabla1[[#This Row],[TIPO DE CONSUMIDOR]]="MEDIO",IF(Tabla1[[#This Row],[MARZO]]&gt;22.5,Tabla1[[#This Row],[MARZO]]/22.5-1,0),IF(Tabla1[[#This Row],[MARZO]]&gt;45,Tabla1[[#This Row],[MARZO]]/45-1,0))</f>
        <v>0</v>
      </c>
      <c r="AJ406" s="100">
        <f>IF(Tabla1[[#This Row],[TIPO DE CONSUMIDOR]]="MEDIO",IF(Tabla1[[#This Row],[ABRIL]]&gt;22.5,Tabla1[[#This Row],[ABRIL]]/22.5-1,0),IF(Tabla1[[#This Row],[ABRIL]]&gt;45,Tabla1[[#This Row],[ABRIL]]/45-1,0))</f>
        <v>0</v>
      </c>
      <c r="AK406" s="100">
        <f>IF(Tabla1[[#This Row],[TIPO DE CONSUMIDOR]]="MEDIO",IF(Tabla1[[#This Row],[MAYO ]]&gt;22.5,Tabla1[[#This Row],[MAYO ]]/22.5-1,0),IF(Tabla1[[#This Row],[MAYO ]]&gt;45,Tabla1[[#This Row],[MAYO ]]/45-1,0))</f>
        <v>0</v>
      </c>
      <c r="AL406" s="100">
        <f>IF(Tabla1[[#This Row],[TIPO DE CONSUMIDOR]]="MEDIO",IF(Tabla1[[#This Row],[JUNIO ]]&gt;22.5,Tabla1[[#This Row],[JUNIO ]]/22.5-1,0),IF(Tabla1[[#This Row],[JUNIO ]]&gt;45,Tabla1[[#This Row],[JUNIO ]]/45-1,0))</f>
        <v>0</v>
      </c>
      <c r="AM406" s="100">
        <f>IF(Tabla1[[#This Row],[TIPO DE CONSUMIDOR]]="MEDIO",IF(Tabla1[[#This Row],[JULIO ]]&gt;22.5,Tabla1[[#This Row],[JULIO ]]/22.5-1,0),IF(Tabla1[[#This Row],[JULIO ]]&gt;45,Tabla1[[#This Row],[JULIO ]]/45-1,0))</f>
        <v>0</v>
      </c>
      <c r="AN406" s="100">
        <f>IF(Tabla1[[#This Row],[TIPO DE CONSUMIDOR]]="MEDIO",IF(Tabla1[[#This Row],[AGOSTO]]&gt;22.5,Tabla1[[#This Row],[AGOSTO]]/22.5-1,0),IF(Tabla1[[#This Row],[AGOSTO]]&gt;45,Tabla1[[#This Row],[AGOSTO]]/45-1,0))</f>
        <v>0</v>
      </c>
      <c r="AO40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6" s="101">
        <f t="shared" si="13"/>
        <v>0</v>
      </c>
      <c r="AT406">
        <f>IF(Tabla1[[#This Row],[MES ADEUDO DE AÑOS PASADOS ]]&gt;0,1,0)</f>
        <v>1</v>
      </c>
      <c r="AU406" s="9">
        <f t="shared" si="14"/>
        <v>1</v>
      </c>
      <c r="AV406" s="60">
        <f>IF(Tabla1[[#This Row],[MESES DE ADEUDO DEL AÑO EN CURSO ]]&gt;0,1,0)</f>
        <v>0</v>
      </c>
      <c r="AW406" s="42"/>
      <c r="AX406" s="42"/>
      <c r="AY406" s="42"/>
      <c r="AZ406" s="43"/>
    </row>
    <row r="407" spans="1:52" ht="21.75" thickBot="1" x14ac:dyDescent="0.35">
      <c r="A407" s="106">
        <v>401</v>
      </c>
      <c r="B407" s="5" t="s">
        <v>56</v>
      </c>
      <c r="C407" s="2" t="s">
        <v>556</v>
      </c>
      <c r="D407" s="32"/>
      <c r="E407" s="35" t="s">
        <v>455</v>
      </c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24">
        <f>SUM(Tabla1[[#This Row],[ENERO ]:[DICIEMBRE]])</f>
        <v>0</v>
      </c>
      <c r="W407">
        <v>6</v>
      </c>
      <c r="X407" s="21">
        <f>COUNTIF(Tabla1[[#This Row],[ENERO ]:[DICIEMBRE]],0)-(AS407)-IF(Tabla1[[#This Row],[BAJAS]]="BAJA",IF(Tabla1[[#This Row],[ALTAS]]="ALTA",VLOOKUP(Tabla1[[#This Row],[MES DE ALTA ]],$AW$6:$AX$17,2,FALSE),12)-VLOOKUP(Tabla1[[#This Row],[MES DE BAJA ]],$AW$6:$AX$17,2,FALSE),0)</f>
        <v>0</v>
      </c>
      <c r="Y407" s="68">
        <f>SUM(Tabla1[[#This Row],[MES ADEUDO DE AÑOS PASADOS ]:[MESES DE ADEUDO DEL AÑO EN CURSO ]])-Tabla1[[#This Row],[PAGO DE DEUDA ANTERIOR EN MESES]]</f>
        <v>6</v>
      </c>
      <c r="Z407" s="15">
        <f>Tabla1[[#This Row],[MES ADEUDO DE AÑOS PASADOS ]]*$T$2</f>
        <v>270</v>
      </c>
      <c r="AA407" s="15">
        <f>Tabla1[[#This Row],[MESES DE ADEUDO DEL AÑO EN CURSO ]]*$T$2</f>
        <v>0</v>
      </c>
      <c r="AB407" s="69">
        <f>SUM(Tabla1[[#This Row],[DEUDA DE LOS MESES PASADOS EN $$]:[DEUDA DEL AÑO 2013 $$ ]])</f>
        <v>270</v>
      </c>
      <c r="AD407">
        <f>Tabla1[[#This Row],[PAGO DE DEUDA ANTERIOR EN MESES]]*$T$2</f>
        <v>0</v>
      </c>
      <c r="AG407" s="100">
        <f>IF(Tabla1[[#This Row],[TIPO DE CONSUMIDOR]]="MEDIO",IF(Tabla1[[#This Row],[ENERO ]]&gt;22.5,Tabla1[[#This Row],[ENERO ]]/22.5-1,0),IF(Tabla1[[#This Row],[ENERO ]]&gt;45,Tabla1[[#This Row],[ENERO ]]/45-1,0))</f>
        <v>0</v>
      </c>
      <c r="AH40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7" s="100">
        <f>IF(Tabla1[[#This Row],[TIPO DE CONSUMIDOR]]="MEDIO",IF(Tabla1[[#This Row],[MARZO]]&gt;22.5,Tabla1[[#This Row],[MARZO]]/22.5-1,0),IF(Tabla1[[#This Row],[MARZO]]&gt;45,Tabla1[[#This Row],[MARZO]]/45-1,0))</f>
        <v>0</v>
      </c>
      <c r="AJ407" s="100">
        <f>IF(Tabla1[[#This Row],[TIPO DE CONSUMIDOR]]="MEDIO",IF(Tabla1[[#This Row],[ABRIL]]&gt;22.5,Tabla1[[#This Row],[ABRIL]]/22.5-1,0),IF(Tabla1[[#This Row],[ABRIL]]&gt;45,Tabla1[[#This Row],[ABRIL]]/45-1,0))</f>
        <v>0</v>
      </c>
      <c r="AK407" s="100">
        <f>IF(Tabla1[[#This Row],[TIPO DE CONSUMIDOR]]="MEDIO",IF(Tabla1[[#This Row],[MAYO ]]&gt;22.5,Tabla1[[#This Row],[MAYO ]]/22.5-1,0),IF(Tabla1[[#This Row],[MAYO ]]&gt;45,Tabla1[[#This Row],[MAYO ]]/45-1,0))</f>
        <v>0</v>
      </c>
      <c r="AL407" s="100">
        <f>IF(Tabla1[[#This Row],[TIPO DE CONSUMIDOR]]="MEDIO",IF(Tabla1[[#This Row],[JUNIO ]]&gt;22.5,Tabla1[[#This Row],[JUNIO ]]/22.5-1,0),IF(Tabla1[[#This Row],[JUNIO ]]&gt;45,Tabla1[[#This Row],[JUNIO ]]/45-1,0))</f>
        <v>0</v>
      </c>
      <c r="AM407" s="100">
        <f>IF(Tabla1[[#This Row],[TIPO DE CONSUMIDOR]]="MEDIO",IF(Tabla1[[#This Row],[JULIO ]]&gt;22.5,Tabla1[[#This Row],[JULIO ]]/22.5-1,0),IF(Tabla1[[#This Row],[JULIO ]]&gt;45,Tabla1[[#This Row],[JULIO ]]/45-1,0))</f>
        <v>0</v>
      </c>
      <c r="AN407" s="100">
        <f>IF(Tabla1[[#This Row],[TIPO DE CONSUMIDOR]]="MEDIO",IF(Tabla1[[#This Row],[AGOSTO]]&gt;22.5,Tabla1[[#This Row],[AGOSTO]]/22.5-1,0),IF(Tabla1[[#This Row],[AGOSTO]]&gt;45,Tabla1[[#This Row],[AGOSTO]]/45-1,0))</f>
        <v>0</v>
      </c>
      <c r="AO40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7" s="101">
        <f t="shared" si="13"/>
        <v>0</v>
      </c>
      <c r="AT407">
        <f>IF(Tabla1[[#This Row],[MES ADEUDO DE AÑOS PASADOS ]]&gt;0,1,0)</f>
        <v>1</v>
      </c>
      <c r="AU407" s="9">
        <f t="shared" si="14"/>
        <v>1</v>
      </c>
      <c r="AV407" s="60">
        <f>IF(Tabla1[[#This Row],[MESES DE ADEUDO DEL AÑO EN CURSO ]]&gt;0,1,0)</f>
        <v>0</v>
      </c>
      <c r="AW407" s="42"/>
      <c r="AX407" s="42"/>
      <c r="AY407" s="42"/>
      <c r="AZ407" s="43"/>
    </row>
    <row r="408" spans="1:52" ht="21.75" thickBot="1" x14ac:dyDescent="0.35">
      <c r="A408" s="106">
        <v>402</v>
      </c>
      <c r="B408" s="5" t="s">
        <v>557</v>
      </c>
      <c r="C408" s="2" t="s">
        <v>556</v>
      </c>
      <c r="D408" s="32"/>
      <c r="E408" s="35" t="s">
        <v>455</v>
      </c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24">
        <f>SUM(Tabla1[[#This Row],[ENERO ]:[DICIEMBRE]])</f>
        <v>0</v>
      </c>
      <c r="W408">
        <v>10</v>
      </c>
      <c r="X408" s="21">
        <f>COUNTIF(Tabla1[[#This Row],[ENERO ]:[DICIEMBRE]],0)-(AS408)-IF(Tabla1[[#This Row],[BAJAS]]="BAJA",IF(Tabla1[[#This Row],[ALTAS]]="ALTA",VLOOKUP(Tabla1[[#This Row],[MES DE ALTA ]],$AW$6:$AX$17,2,FALSE),12)-VLOOKUP(Tabla1[[#This Row],[MES DE BAJA ]],$AW$6:$AX$17,2,FALSE),0)</f>
        <v>0</v>
      </c>
      <c r="Y408" s="68">
        <f>SUM(Tabla1[[#This Row],[MES ADEUDO DE AÑOS PASADOS ]:[MESES DE ADEUDO DEL AÑO EN CURSO ]])-Tabla1[[#This Row],[PAGO DE DEUDA ANTERIOR EN MESES]]</f>
        <v>10</v>
      </c>
      <c r="Z408" s="15">
        <f>Tabla1[[#This Row],[MES ADEUDO DE AÑOS PASADOS ]]*$T$2</f>
        <v>450</v>
      </c>
      <c r="AA408" s="15">
        <f>Tabla1[[#This Row],[MESES DE ADEUDO DEL AÑO EN CURSO ]]*$T$2</f>
        <v>0</v>
      </c>
      <c r="AB408" s="69">
        <f>SUM(Tabla1[[#This Row],[DEUDA DE LOS MESES PASADOS EN $$]:[DEUDA DEL AÑO 2013 $$ ]])</f>
        <v>450</v>
      </c>
      <c r="AD408">
        <f>Tabla1[[#This Row],[PAGO DE DEUDA ANTERIOR EN MESES]]*$T$2</f>
        <v>0</v>
      </c>
      <c r="AG408" s="100">
        <f>IF(Tabla1[[#This Row],[TIPO DE CONSUMIDOR]]="MEDIO",IF(Tabla1[[#This Row],[ENERO ]]&gt;22.5,Tabla1[[#This Row],[ENERO ]]/22.5-1,0),IF(Tabla1[[#This Row],[ENERO ]]&gt;45,Tabla1[[#This Row],[ENERO ]]/45-1,0))</f>
        <v>0</v>
      </c>
      <c r="AH40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8" s="100">
        <f>IF(Tabla1[[#This Row],[TIPO DE CONSUMIDOR]]="MEDIO",IF(Tabla1[[#This Row],[MARZO]]&gt;22.5,Tabla1[[#This Row],[MARZO]]/22.5-1,0),IF(Tabla1[[#This Row],[MARZO]]&gt;45,Tabla1[[#This Row],[MARZO]]/45-1,0))</f>
        <v>0</v>
      </c>
      <c r="AJ408" s="100">
        <f>IF(Tabla1[[#This Row],[TIPO DE CONSUMIDOR]]="MEDIO",IF(Tabla1[[#This Row],[ABRIL]]&gt;22.5,Tabla1[[#This Row],[ABRIL]]/22.5-1,0),IF(Tabla1[[#This Row],[ABRIL]]&gt;45,Tabla1[[#This Row],[ABRIL]]/45-1,0))</f>
        <v>0</v>
      </c>
      <c r="AK408" s="100">
        <f>IF(Tabla1[[#This Row],[TIPO DE CONSUMIDOR]]="MEDIO",IF(Tabla1[[#This Row],[MAYO ]]&gt;22.5,Tabla1[[#This Row],[MAYO ]]/22.5-1,0),IF(Tabla1[[#This Row],[MAYO ]]&gt;45,Tabla1[[#This Row],[MAYO ]]/45-1,0))</f>
        <v>0</v>
      </c>
      <c r="AL408" s="100">
        <f>IF(Tabla1[[#This Row],[TIPO DE CONSUMIDOR]]="MEDIO",IF(Tabla1[[#This Row],[JUNIO ]]&gt;22.5,Tabla1[[#This Row],[JUNIO ]]/22.5-1,0),IF(Tabla1[[#This Row],[JUNIO ]]&gt;45,Tabla1[[#This Row],[JUNIO ]]/45-1,0))</f>
        <v>0</v>
      </c>
      <c r="AM408" s="100">
        <f>IF(Tabla1[[#This Row],[TIPO DE CONSUMIDOR]]="MEDIO",IF(Tabla1[[#This Row],[JULIO ]]&gt;22.5,Tabla1[[#This Row],[JULIO ]]/22.5-1,0),IF(Tabla1[[#This Row],[JULIO ]]&gt;45,Tabla1[[#This Row],[JULIO ]]/45-1,0))</f>
        <v>0</v>
      </c>
      <c r="AN408" s="100">
        <f>IF(Tabla1[[#This Row],[TIPO DE CONSUMIDOR]]="MEDIO",IF(Tabla1[[#This Row],[AGOSTO]]&gt;22.5,Tabla1[[#This Row],[AGOSTO]]/22.5-1,0),IF(Tabla1[[#This Row],[AGOSTO]]&gt;45,Tabla1[[#This Row],[AGOSTO]]/45-1,0))</f>
        <v>0</v>
      </c>
      <c r="AO40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8" s="101">
        <f t="shared" si="13"/>
        <v>0</v>
      </c>
      <c r="AT408">
        <f>IF(Tabla1[[#This Row],[MES ADEUDO DE AÑOS PASADOS ]]&gt;0,1,0)</f>
        <v>1</v>
      </c>
      <c r="AU408" s="9">
        <f t="shared" si="14"/>
        <v>1</v>
      </c>
      <c r="AV408" s="60">
        <f>IF(Tabla1[[#This Row],[MESES DE ADEUDO DEL AÑO EN CURSO ]]&gt;0,1,0)</f>
        <v>0</v>
      </c>
      <c r="AW408" s="42"/>
      <c r="AX408" s="42"/>
      <c r="AY408" s="42"/>
      <c r="AZ408" s="43"/>
    </row>
    <row r="409" spans="1:52" ht="21.75" thickBot="1" x14ac:dyDescent="0.35">
      <c r="A409" s="106">
        <v>403</v>
      </c>
      <c r="B409" s="5" t="s">
        <v>617</v>
      </c>
      <c r="C409" s="2" t="s">
        <v>556</v>
      </c>
      <c r="D409" s="32"/>
      <c r="E409" s="35" t="s">
        <v>489</v>
      </c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24">
        <f>SUM(Tabla1[[#This Row],[ENERO ]:[DICIEMBRE]])</f>
        <v>0</v>
      </c>
      <c r="W409">
        <v>10</v>
      </c>
      <c r="X409" s="21">
        <f>COUNTIF(Tabla1[[#This Row],[ENERO ]:[DICIEMBRE]],0)-(AS409)-IF(Tabla1[[#This Row],[BAJAS]]="BAJA",IF(Tabla1[[#This Row],[ALTAS]]="ALTA",VLOOKUP(Tabla1[[#This Row],[MES DE ALTA ]],$AW$6:$AX$17,2,FALSE),12)-VLOOKUP(Tabla1[[#This Row],[MES DE BAJA ]],$AW$6:$AX$17,2,FALSE),0)</f>
        <v>0</v>
      </c>
      <c r="Y409" s="68">
        <f>SUM(Tabla1[[#This Row],[MES ADEUDO DE AÑOS PASADOS ]:[MESES DE ADEUDO DEL AÑO EN CURSO ]])-Tabla1[[#This Row],[PAGO DE DEUDA ANTERIOR EN MESES]]</f>
        <v>10</v>
      </c>
      <c r="Z409" s="15">
        <f>Tabla1[[#This Row],[MES ADEUDO DE AÑOS PASADOS ]]*$T$2</f>
        <v>450</v>
      </c>
      <c r="AA409" s="15">
        <f>Tabla1[[#This Row],[MESES DE ADEUDO DEL AÑO EN CURSO ]]*$T$2</f>
        <v>0</v>
      </c>
      <c r="AB409" s="69">
        <f>SUM(Tabla1[[#This Row],[DEUDA DE LOS MESES PASADOS EN $$]:[DEUDA DEL AÑO 2013 $$ ]])</f>
        <v>450</v>
      </c>
      <c r="AD409">
        <f>Tabla1[[#This Row],[PAGO DE DEUDA ANTERIOR EN MESES]]*$T$2</f>
        <v>0</v>
      </c>
      <c r="AG409" s="100">
        <f>IF(Tabla1[[#This Row],[TIPO DE CONSUMIDOR]]="MEDIO",IF(Tabla1[[#This Row],[ENERO ]]&gt;22.5,Tabla1[[#This Row],[ENERO ]]/22.5-1,0),IF(Tabla1[[#This Row],[ENERO ]]&gt;45,Tabla1[[#This Row],[ENERO ]]/45-1,0))</f>
        <v>0</v>
      </c>
      <c r="AH40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09" s="100">
        <f>IF(Tabla1[[#This Row],[TIPO DE CONSUMIDOR]]="MEDIO",IF(Tabla1[[#This Row],[MARZO]]&gt;22.5,Tabla1[[#This Row],[MARZO]]/22.5-1,0),IF(Tabla1[[#This Row],[MARZO]]&gt;45,Tabla1[[#This Row],[MARZO]]/45-1,0))</f>
        <v>0</v>
      </c>
      <c r="AJ409" s="100">
        <f>IF(Tabla1[[#This Row],[TIPO DE CONSUMIDOR]]="MEDIO",IF(Tabla1[[#This Row],[ABRIL]]&gt;22.5,Tabla1[[#This Row],[ABRIL]]/22.5-1,0),IF(Tabla1[[#This Row],[ABRIL]]&gt;45,Tabla1[[#This Row],[ABRIL]]/45-1,0))</f>
        <v>0</v>
      </c>
      <c r="AK409" s="100">
        <f>IF(Tabla1[[#This Row],[TIPO DE CONSUMIDOR]]="MEDIO",IF(Tabla1[[#This Row],[MAYO ]]&gt;22.5,Tabla1[[#This Row],[MAYO ]]/22.5-1,0),IF(Tabla1[[#This Row],[MAYO ]]&gt;45,Tabla1[[#This Row],[MAYO ]]/45-1,0))</f>
        <v>0</v>
      </c>
      <c r="AL409" s="100">
        <f>IF(Tabla1[[#This Row],[TIPO DE CONSUMIDOR]]="MEDIO",IF(Tabla1[[#This Row],[JUNIO ]]&gt;22.5,Tabla1[[#This Row],[JUNIO ]]/22.5-1,0),IF(Tabla1[[#This Row],[JUNIO ]]&gt;45,Tabla1[[#This Row],[JUNIO ]]/45-1,0))</f>
        <v>0</v>
      </c>
      <c r="AM409" s="100">
        <f>IF(Tabla1[[#This Row],[TIPO DE CONSUMIDOR]]="MEDIO",IF(Tabla1[[#This Row],[JULIO ]]&gt;22.5,Tabla1[[#This Row],[JULIO ]]/22.5-1,0),IF(Tabla1[[#This Row],[JULIO ]]&gt;45,Tabla1[[#This Row],[JULIO ]]/45-1,0))</f>
        <v>0</v>
      </c>
      <c r="AN409" s="100">
        <f>IF(Tabla1[[#This Row],[TIPO DE CONSUMIDOR]]="MEDIO",IF(Tabla1[[#This Row],[AGOSTO]]&gt;22.5,Tabla1[[#This Row],[AGOSTO]]/22.5-1,0),IF(Tabla1[[#This Row],[AGOSTO]]&gt;45,Tabla1[[#This Row],[AGOSTO]]/45-1,0))</f>
        <v>0</v>
      </c>
      <c r="AO40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0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0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0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09" s="101">
        <f t="shared" si="13"/>
        <v>0</v>
      </c>
      <c r="AT409">
        <f>IF(Tabla1[[#This Row],[MES ADEUDO DE AÑOS PASADOS ]]&gt;0,1,0)</f>
        <v>1</v>
      </c>
      <c r="AU409" s="9">
        <f t="shared" si="14"/>
        <v>1</v>
      </c>
      <c r="AV409" s="60">
        <f>IF(Tabla1[[#This Row],[MESES DE ADEUDO DEL AÑO EN CURSO ]]&gt;0,1,0)</f>
        <v>0</v>
      </c>
      <c r="AW409" s="42"/>
      <c r="AX409" s="42"/>
      <c r="AY409" s="42"/>
      <c r="AZ409" s="43"/>
    </row>
    <row r="410" spans="1:52" ht="21.75" thickBot="1" x14ac:dyDescent="0.35">
      <c r="A410" s="106">
        <v>404</v>
      </c>
      <c r="B410" s="5" t="s">
        <v>314</v>
      </c>
      <c r="C410" s="2" t="s">
        <v>556</v>
      </c>
      <c r="D410" s="32"/>
      <c r="E410" s="35" t="s">
        <v>455</v>
      </c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24">
        <f>SUM(Tabla1[[#This Row],[ENERO ]:[DICIEMBRE]])</f>
        <v>0</v>
      </c>
      <c r="W410">
        <v>11</v>
      </c>
      <c r="X410" s="21">
        <f>COUNTIF(Tabla1[[#This Row],[ENERO ]:[DICIEMBRE]],0)-(AS410)-IF(Tabla1[[#This Row],[BAJAS]]="BAJA",IF(Tabla1[[#This Row],[ALTAS]]="ALTA",VLOOKUP(Tabla1[[#This Row],[MES DE ALTA ]],$AW$6:$AX$17,2,FALSE),12)-VLOOKUP(Tabla1[[#This Row],[MES DE BAJA ]],$AW$6:$AX$17,2,FALSE),0)</f>
        <v>0</v>
      </c>
      <c r="Y410" s="68">
        <f>SUM(Tabla1[[#This Row],[MES ADEUDO DE AÑOS PASADOS ]:[MESES DE ADEUDO DEL AÑO EN CURSO ]])-Tabla1[[#This Row],[PAGO DE DEUDA ANTERIOR EN MESES]]</f>
        <v>11</v>
      </c>
      <c r="Z410" s="15">
        <f>Tabla1[[#This Row],[MES ADEUDO DE AÑOS PASADOS ]]*$T$2</f>
        <v>495</v>
      </c>
      <c r="AA410" s="15">
        <f>Tabla1[[#This Row],[MESES DE ADEUDO DEL AÑO EN CURSO ]]*$T$2</f>
        <v>0</v>
      </c>
      <c r="AB410" s="69">
        <f>SUM(Tabla1[[#This Row],[DEUDA DE LOS MESES PASADOS EN $$]:[DEUDA DEL AÑO 2013 $$ ]])</f>
        <v>495</v>
      </c>
      <c r="AD410">
        <f>Tabla1[[#This Row],[PAGO DE DEUDA ANTERIOR EN MESES]]*$T$2</f>
        <v>0</v>
      </c>
      <c r="AG410" s="100">
        <f>IF(Tabla1[[#This Row],[TIPO DE CONSUMIDOR]]="MEDIO",IF(Tabla1[[#This Row],[ENERO ]]&gt;22.5,Tabla1[[#This Row],[ENERO ]]/22.5-1,0),IF(Tabla1[[#This Row],[ENERO ]]&gt;45,Tabla1[[#This Row],[ENERO ]]/45-1,0))</f>
        <v>0</v>
      </c>
      <c r="AH41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0" s="100">
        <f>IF(Tabla1[[#This Row],[TIPO DE CONSUMIDOR]]="MEDIO",IF(Tabla1[[#This Row],[MARZO]]&gt;22.5,Tabla1[[#This Row],[MARZO]]/22.5-1,0),IF(Tabla1[[#This Row],[MARZO]]&gt;45,Tabla1[[#This Row],[MARZO]]/45-1,0))</f>
        <v>0</v>
      </c>
      <c r="AJ410" s="100">
        <f>IF(Tabla1[[#This Row],[TIPO DE CONSUMIDOR]]="MEDIO",IF(Tabla1[[#This Row],[ABRIL]]&gt;22.5,Tabla1[[#This Row],[ABRIL]]/22.5-1,0),IF(Tabla1[[#This Row],[ABRIL]]&gt;45,Tabla1[[#This Row],[ABRIL]]/45-1,0))</f>
        <v>0</v>
      </c>
      <c r="AK410" s="100">
        <f>IF(Tabla1[[#This Row],[TIPO DE CONSUMIDOR]]="MEDIO",IF(Tabla1[[#This Row],[MAYO ]]&gt;22.5,Tabla1[[#This Row],[MAYO ]]/22.5-1,0),IF(Tabla1[[#This Row],[MAYO ]]&gt;45,Tabla1[[#This Row],[MAYO ]]/45-1,0))</f>
        <v>0</v>
      </c>
      <c r="AL410" s="100">
        <f>IF(Tabla1[[#This Row],[TIPO DE CONSUMIDOR]]="MEDIO",IF(Tabla1[[#This Row],[JUNIO ]]&gt;22.5,Tabla1[[#This Row],[JUNIO ]]/22.5-1,0),IF(Tabla1[[#This Row],[JUNIO ]]&gt;45,Tabla1[[#This Row],[JUNIO ]]/45-1,0))</f>
        <v>0</v>
      </c>
      <c r="AM410" s="100">
        <f>IF(Tabla1[[#This Row],[TIPO DE CONSUMIDOR]]="MEDIO",IF(Tabla1[[#This Row],[JULIO ]]&gt;22.5,Tabla1[[#This Row],[JULIO ]]/22.5-1,0),IF(Tabla1[[#This Row],[JULIO ]]&gt;45,Tabla1[[#This Row],[JULIO ]]/45-1,0))</f>
        <v>0</v>
      </c>
      <c r="AN410" s="100">
        <f>IF(Tabla1[[#This Row],[TIPO DE CONSUMIDOR]]="MEDIO",IF(Tabla1[[#This Row],[AGOSTO]]&gt;22.5,Tabla1[[#This Row],[AGOSTO]]/22.5-1,0),IF(Tabla1[[#This Row],[AGOSTO]]&gt;45,Tabla1[[#This Row],[AGOSTO]]/45-1,0))</f>
        <v>0</v>
      </c>
      <c r="AO41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0" s="101">
        <f t="shared" si="13"/>
        <v>0</v>
      </c>
      <c r="AT410">
        <f>IF(Tabla1[[#This Row],[MES ADEUDO DE AÑOS PASADOS ]]&gt;0,1,0)</f>
        <v>1</v>
      </c>
      <c r="AU410" s="9">
        <f t="shared" si="14"/>
        <v>1</v>
      </c>
      <c r="AV410" s="60">
        <f>IF(Tabla1[[#This Row],[MESES DE ADEUDO DEL AÑO EN CURSO ]]&gt;0,1,0)</f>
        <v>0</v>
      </c>
      <c r="AW410" s="42"/>
      <c r="AX410" s="42"/>
      <c r="AY410" s="42"/>
      <c r="AZ410" s="43"/>
    </row>
    <row r="411" spans="1:52" ht="21.75" thickBot="1" x14ac:dyDescent="0.35">
      <c r="A411" s="106">
        <v>405</v>
      </c>
      <c r="B411" s="5" t="s">
        <v>147</v>
      </c>
      <c r="C411" s="2" t="s">
        <v>556</v>
      </c>
      <c r="D411" s="32"/>
      <c r="E411" s="35" t="s">
        <v>455</v>
      </c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58">
        <f>SUM(Tabla1[[#This Row],[ENERO ]:[DICIEMBRE]])</f>
        <v>0</v>
      </c>
      <c r="W411">
        <v>12</v>
      </c>
      <c r="X411" s="21">
        <f>COUNTIF(Tabla1[[#This Row],[ENERO ]:[DICIEMBRE]],0)-(AS411)-IF(Tabla1[[#This Row],[BAJAS]]="BAJA",IF(Tabla1[[#This Row],[ALTAS]]="ALTA",VLOOKUP(Tabla1[[#This Row],[MES DE ALTA ]],$AW$6:$AX$17,2,FALSE),12)-VLOOKUP(Tabla1[[#This Row],[MES DE BAJA ]],$AW$6:$AX$17,2,FALSE),0)</f>
        <v>0</v>
      </c>
      <c r="Y411" s="68">
        <f>SUM(Tabla1[[#This Row],[MES ADEUDO DE AÑOS PASADOS ]:[MESES DE ADEUDO DEL AÑO EN CURSO ]])-Tabla1[[#This Row],[PAGO DE DEUDA ANTERIOR EN MESES]]</f>
        <v>12</v>
      </c>
      <c r="Z411" s="15">
        <f>Tabla1[[#This Row],[MES ADEUDO DE AÑOS PASADOS ]]*$T$2</f>
        <v>540</v>
      </c>
      <c r="AA411" s="15">
        <f>Tabla1[[#This Row],[MESES DE ADEUDO DEL AÑO EN CURSO ]]*$T$2</f>
        <v>0</v>
      </c>
      <c r="AB411" s="69">
        <f>SUM(Tabla1[[#This Row],[DEUDA DE LOS MESES PASADOS EN $$]:[DEUDA DEL AÑO 2013 $$ ]])</f>
        <v>540</v>
      </c>
      <c r="AD411">
        <f>Tabla1[[#This Row],[PAGO DE DEUDA ANTERIOR EN MESES]]*$T$2</f>
        <v>0</v>
      </c>
      <c r="AG411" s="100">
        <f>IF(Tabla1[[#This Row],[TIPO DE CONSUMIDOR]]="MEDIO",IF(Tabla1[[#This Row],[ENERO ]]&gt;22.5,Tabla1[[#This Row],[ENERO ]]/22.5-1,0),IF(Tabla1[[#This Row],[ENERO ]]&gt;45,Tabla1[[#This Row],[ENERO ]]/45-1,0))</f>
        <v>0</v>
      </c>
      <c r="AH41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1" s="100">
        <f>IF(Tabla1[[#This Row],[TIPO DE CONSUMIDOR]]="MEDIO",IF(Tabla1[[#This Row],[MARZO]]&gt;22.5,Tabla1[[#This Row],[MARZO]]/22.5-1,0),IF(Tabla1[[#This Row],[MARZO]]&gt;45,Tabla1[[#This Row],[MARZO]]/45-1,0))</f>
        <v>0</v>
      </c>
      <c r="AJ411" s="100">
        <f>IF(Tabla1[[#This Row],[TIPO DE CONSUMIDOR]]="MEDIO",IF(Tabla1[[#This Row],[ABRIL]]&gt;22.5,Tabla1[[#This Row],[ABRIL]]/22.5-1,0),IF(Tabla1[[#This Row],[ABRIL]]&gt;45,Tabla1[[#This Row],[ABRIL]]/45-1,0))</f>
        <v>0</v>
      </c>
      <c r="AK411" s="100">
        <f>IF(Tabla1[[#This Row],[TIPO DE CONSUMIDOR]]="MEDIO",IF(Tabla1[[#This Row],[MAYO ]]&gt;22.5,Tabla1[[#This Row],[MAYO ]]/22.5-1,0),IF(Tabla1[[#This Row],[MAYO ]]&gt;45,Tabla1[[#This Row],[MAYO ]]/45-1,0))</f>
        <v>0</v>
      </c>
      <c r="AL411" s="100">
        <f>IF(Tabla1[[#This Row],[TIPO DE CONSUMIDOR]]="MEDIO",IF(Tabla1[[#This Row],[JUNIO ]]&gt;22.5,Tabla1[[#This Row],[JUNIO ]]/22.5-1,0),IF(Tabla1[[#This Row],[JUNIO ]]&gt;45,Tabla1[[#This Row],[JUNIO ]]/45-1,0))</f>
        <v>0</v>
      </c>
      <c r="AM411" s="100">
        <f>IF(Tabla1[[#This Row],[TIPO DE CONSUMIDOR]]="MEDIO",IF(Tabla1[[#This Row],[JULIO ]]&gt;22.5,Tabla1[[#This Row],[JULIO ]]/22.5-1,0),IF(Tabla1[[#This Row],[JULIO ]]&gt;45,Tabla1[[#This Row],[JULIO ]]/45-1,0))</f>
        <v>0</v>
      </c>
      <c r="AN411" s="100">
        <f>IF(Tabla1[[#This Row],[TIPO DE CONSUMIDOR]]="MEDIO",IF(Tabla1[[#This Row],[AGOSTO]]&gt;22.5,Tabla1[[#This Row],[AGOSTO]]/22.5-1,0),IF(Tabla1[[#This Row],[AGOSTO]]&gt;45,Tabla1[[#This Row],[AGOSTO]]/45-1,0))</f>
        <v>0</v>
      </c>
      <c r="AO41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1" s="101">
        <f t="shared" si="13"/>
        <v>0</v>
      </c>
      <c r="AT411">
        <f>IF(Tabla1[[#This Row],[MES ADEUDO DE AÑOS PASADOS ]]&gt;0,1,0)</f>
        <v>1</v>
      </c>
      <c r="AU411" s="9">
        <f t="shared" si="14"/>
        <v>1</v>
      </c>
      <c r="AV411" s="60">
        <f>IF(Tabla1[[#This Row],[MESES DE ADEUDO DEL AÑO EN CURSO ]]&gt;0,1,0)</f>
        <v>0</v>
      </c>
      <c r="AW411" s="42"/>
      <c r="AX411" s="42"/>
      <c r="AY411" s="42"/>
      <c r="AZ411" s="43"/>
    </row>
    <row r="412" spans="1:52" ht="21.75" thickBot="1" x14ac:dyDescent="0.35">
      <c r="A412" s="106">
        <v>406</v>
      </c>
      <c r="B412" s="5" t="s">
        <v>337</v>
      </c>
      <c r="C412" s="2" t="s">
        <v>556</v>
      </c>
      <c r="D412" s="32"/>
      <c r="E412" s="35" t="s">
        <v>455</v>
      </c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24">
        <f>SUM(Tabla1[[#This Row],[ENERO ]:[DICIEMBRE]])</f>
        <v>0</v>
      </c>
      <c r="W412">
        <v>18</v>
      </c>
      <c r="X412" s="21">
        <f>COUNTIF(Tabla1[[#This Row],[ENERO ]:[DICIEMBRE]],0)-(AS412)-IF(Tabla1[[#This Row],[BAJAS]]="BAJA",IF(Tabla1[[#This Row],[ALTAS]]="ALTA",VLOOKUP(Tabla1[[#This Row],[MES DE ALTA ]],$AW$6:$AX$17,2,FALSE),12)-VLOOKUP(Tabla1[[#This Row],[MES DE BAJA ]],$AW$6:$AX$17,2,FALSE),0)</f>
        <v>0</v>
      </c>
      <c r="Y412" s="68">
        <f>SUM(Tabla1[[#This Row],[MES ADEUDO DE AÑOS PASADOS ]:[MESES DE ADEUDO DEL AÑO EN CURSO ]])-Tabla1[[#This Row],[PAGO DE DEUDA ANTERIOR EN MESES]]</f>
        <v>18</v>
      </c>
      <c r="Z412" s="15">
        <f>Tabla1[[#This Row],[MES ADEUDO DE AÑOS PASADOS ]]*$T$2</f>
        <v>810</v>
      </c>
      <c r="AA412" s="15">
        <f>Tabla1[[#This Row],[MESES DE ADEUDO DEL AÑO EN CURSO ]]*$T$2</f>
        <v>0</v>
      </c>
      <c r="AB412" s="69">
        <f>SUM(Tabla1[[#This Row],[DEUDA DE LOS MESES PASADOS EN $$]:[DEUDA DEL AÑO 2013 $$ ]])</f>
        <v>810</v>
      </c>
      <c r="AD412">
        <f>Tabla1[[#This Row],[PAGO DE DEUDA ANTERIOR EN MESES]]*$T$2</f>
        <v>0</v>
      </c>
      <c r="AG412" s="100">
        <f>IF(Tabla1[[#This Row],[TIPO DE CONSUMIDOR]]="MEDIO",IF(Tabla1[[#This Row],[ENERO ]]&gt;22.5,Tabla1[[#This Row],[ENERO ]]/22.5-1,0),IF(Tabla1[[#This Row],[ENERO ]]&gt;45,Tabla1[[#This Row],[ENERO ]]/45-1,0))</f>
        <v>0</v>
      </c>
      <c r="AH41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2" s="100">
        <f>IF(Tabla1[[#This Row],[TIPO DE CONSUMIDOR]]="MEDIO",IF(Tabla1[[#This Row],[MARZO]]&gt;22.5,Tabla1[[#This Row],[MARZO]]/22.5-1,0),IF(Tabla1[[#This Row],[MARZO]]&gt;45,Tabla1[[#This Row],[MARZO]]/45-1,0))</f>
        <v>0</v>
      </c>
      <c r="AJ412" s="100">
        <f>IF(Tabla1[[#This Row],[TIPO DE CONSUMIDOR]]="MEDIO",IF(Tabla1[[#This Row],[ABRIL]]&gt;22.5,Tabla1[[#This Row],[ABRIL]]/22.5-1,0),IF(Tabla1[[#This Row],[ABRIL]]&gt;45,Tabla1[[#This Row],[ABRIL]]/45-1,0))</f>
        <v>0</v>
      </c>
      <c r="AK412" s="100">
        <f>IF(Tabla1[[#This Row],[TIPO DE CONSUMIDOR]]="MEDIO",IF(Tabla1[[#This Row],[MAYO ]]&gt;22.5,Tabla1[[#This Row],[MAYO ]]/22.5-1,0),IF(Tabla1[[#This Row],[MAYO ]]&gt;45,Tabla1[[#This Row],[MAYO ]]/45-1,0))</f>
        <v>0</v>
      </c>
      <c r="AL412" s="100">
        <f>IF(Tabla1[[#This Row],[TIPO DE CONSUMIDOR]]="MEDIO",IF(Tabla1[[#This Row],[JUNIO ]]&gt;22.5,Tabla1[[#This Row],[JUNIO ]]/22.5-1,0),IF(Tabla1[[#This Row],[JUNIO ]]&gt;45,Tabla1[[#This Row],[JUNIO ]]/45-1,0))</f>
        <v>0</v>
      </c>
      <c r="AM412" s="100">
        <f>IF(Tabla1[[#This Row],[TIPO DE CONSUMIDOR]]="MEDIO",IF(Tabla1[[#This Row],[JULIO ]]&gt;22.5,Tabla1[[#This Row],[JULIO ]]/22.5-1,0),IF(Tabla1[[#This Row],[JULIO ]]&gt;45,Tabla1[[#This Row],[JULIO ]]/45-1,0))</f>
        <v>0</v>
      </c>
      <c r="AN412" s="100">
        <f>IF(Tabla1[[#This Row],[TIPO DE CONSUMIDOR]]="MEDIO",IF(Tabla1[[#This Row],[AGOSTO]]&gt;22.5,Tabla1[[#This Row],[AGOSTO]]/22.5-1,0),IF(Tabla1[[#This Row],[AGOSTO]]&gt;45,Tabla1[[#This Row],[AGOSTO]]/45-1,0))</f>
        <v>0</v>
      </c>
      <c r="AO41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2" s="101">
        <f t="shared" si="13"/>
        <v>0</v>
      </c>
      <c r="AT412">
        <f>IF(Tabla1[[#This Row],[MES ADEUDO DE AÑOS PASADOS ]]&gt;0,1,0)</f>
        <v>1</v>
      </c>
      <c r="AU412" s="9">
        <f t="shared" si="14"/>
        <v>1</v>
      </c>
      <c r="AV412" s="60">
        <f>IF(Tabla1[[#This Row],[MESES DE ADEUDO DEL AÑO EN CURSO ]]&gt;0,1,0)</f>
        <v>0</v>
      </c>
      <c r="AW412" s="42"/>
      <c r="AX412" s="42"/>
      <c r="AY412" s="42"/>
      <c r="AZ412" s="43"/>
    </row>
    <row r="413" spans="1:52" ht="21.75" thickBot="1" x14ac:dyDescent="0.35">
      <c r="A413" s="106">
        <v>407</v>
      </c>
      <c r="B413" s="5" t="s">
        <v>332</v>
      </c>
      <c r="C413" s="2" t="s">
        <v>562</v>
      </c>
      <c r="D413" s="32"/>
      <c r="E413" s="35" t="s">
        <v>455</v>
      </c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24">
        <f>SUM(Tabla1[[#This Row],[ENERO ]:[DICIEMBRE]])</f>
        <v>0</v>
      </c>
      <c r="W413">
        <v>0</v>
      </c>
      <c r="X413" s="21">
        <f>COUNTIF(Tabla1[[#This Row],[ENERO ]:[DICIEMBRE]],0)-(AS413)-IF(Tabla1[[#This Row],[BAJAS]]="BAJA",IF(Tabla1[[#This Row],[ALTAS]]="ALTA",VLOOKUP(Tabla1[[#This Row],[MES DE ALTA ]],$AW$6:$AX$17,2,FALSE),12)-VLOOKUP(Tabla1[[#This Row],[MES DE BAJA ]],$AW$6:$AX$17,2,FALSE),0)</f>
        <v>0</v>
      </c>
      <c r="Y413" s="68">
        <f>SUM(Tabla1[[#This Row],[MES ADEUDO DE AÑOS PASADOS ]:[MESES DE ADEUDO DEL AÑO EN CURSO ]])-Tabla1[[#This Row],[PAGO DE DEUDA ANTERIOR EN MESES]]</f>
        <v>0</v>
      </c>
      <c r="Z413" s="15">
        <f>Tabla1[[#This Row],[MES ADEUDO DE AÑOS PASADOS ]]*$T$2</f>
        <v>0</v>
      </c>
      <c r="AA413" s="15">
        <f>Tabla1[[#This Row],[MESES DE ADEUDO DEL AÑO EN CURSO ]]*$T$2</f>
        <v>0</v>
      </c>
      <c r="AB413" s="69">
        <f>SUM(Tabla1[[#This Row],[DEUDA DE LOS MESES PASADOS EN $$]:[DEUDA DEL AÑO 2013 $$ ]])</f>
        <v>0</v>
      </c>
      <c r="AD413">
        <f>Tabla1[[#This Row],[PAGO DE DEUDA ANTERIOR EN MESES]]*$T$2</f>
        <v>0</v>
      </c>
      <c r="AG413" s="100">
        <f>IF(Tabla1[[#This Row],[TIPO DE CONSUMIDOR]]="MEDIO",IF(Tabla1[[#This Row],[ENERO ]]&gt;22.5,Tabla1[[#This Row],[ENERO ]]/22.5-1,0),IF(Tabla1[[#This Row],[ENERO ]]&gt;45,Tabla1[[#This Row],[ENERO ]]/45-1,0))</f>
        <v>0</v>
      </c>
      <c r="AH41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3" s="100">
        <f>IF(Tabla1[[#This Row],[TIPO DE CONSUMIDOR]]="MEDIO",IF(Tabla1[[#This Row],[MARZO]]&gt;22.5,Tabla1[[#This Row],[MARZO]]/22.5-1,0),IF(Tabla1[[#This Row],[MARZO]]&gt;45,Tabla1[[#This Row],[MARZO]]/45-1,0))</f>
        <v>0</v>
      </c>
      <c r="AJ413" s="100">
        <f>IF(Tabla1[[#This Row],[TIPO DE CONSUMIDOR]]="MEDIO",IF(Tabla1[[#This Row],[ABRIL]]&gt;22.5,Tabla1[[#This Row],[ABRIL]]/22.5-1,0),IF(Tabla1[[#This Row],[ABRIL]]&gt;45,Tabla1[[#This Row],[ABRIL]]/45-1,0))</f>
        <v>0</v>
      </c>
      <c r="AK413" s="100">
        <f>IF(Tabla1[[#This Row],[TIPO DE CONSUMIDOR]]="MEDIO",IF(Tabla1[[#This Row],[MAYO ]]&gt;22.5,Tabla1[[#This Row],[MAYO ]]/22.5-1,0),IF(Tabla1[[#This Row],[MAYO ]]&gt;45,Tabla1[[#This Row],[MAYO ]]/45-1,0))</f>
        <v>0</v>
      </c>
      <c r="AL413" s="100">
        <f>IF(Tabla1[[#This Row],[TIPO DE CONSUMIDOR]]="MEDIO",IF(Tabla1[[#This Row],[JUNIO ]]&gt;22.5,Tabla1[[#This Row],[JUNIO ]]/22.5-1,0),IF(Tabla1[[#This Row],[JUNIO ]]&gt;45,Tabla1[[#This Row],[JUNIO ]]/45-1,0))</f>
        <v>0</v>
      </c>
      <c r="AM413" s="100">
        <f>IF(Tabla1[[#This Row],[TIPO DE CONSUMIDOR]]="MEDIO",IF(Tabla1[[#This Row],[JULIO ]]&gt;22.5,Tabla1[[#This Row],[JULIO ]]/22.5-1,0),IF(Tabla1[[#This Row],[JULIO ]]&gt;45,Tabla1[[#This Row],[JULIO ]]/45-1,0))</f>
        <v>0</v>
      </c>
      <c r="AN413" s="100">
        <f>IF(Tabla1[[#This Row],[TIPO DE CONSUMIDOR]]="MEDIO",IF(Tabla1[[#This Row],[AGOSTO]]&gt;22.5,Tabla1[[#This Row],[AGOSTO]]/22.5-1,0),IF(Tabla1[[#This Row],[AGOSTO]]&gt;45,Tabla1[[#This Row],[AGOSTO]]/45-1,0))</f>
        <v>0</v>
      </c>
      <c r="AO41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3" s="101">
        <f t="shared" si="13"/>
        <v>0</v>
      </c>
      <c r="AT413">
        <f>IF(Tabla1[[#This Row],[MES ADEUDO DE AÑOS PASADOS ]]&gt;0,1,0)</f>
        <v>0</v>
      </c>
      <c r="AU413" s="9">
        <f t="shared" si="14"/>
        <v>0</v>
      </c>
      <c r="AV413" s="60">
        <f>IF(Tabla1[[#This Row],[MESES DE ADEUDO DEL AÑO EN CURSO ]]&gt;0,1,0)</f>
        <v>0</v>
      </c>
      <c r="AW413" s="42"/>
      <c r="AX413" s="42"/>
      <c r="AY413" s="42"/>
      <c r="AZ413" s="43"/>
    </row>
    <row r="414" spans="1:52" ht="21.75" thickBot="1" x14ac:dyDescent="0.35">
      <c r="A414" s="106">
        <v>408</v>
      </c>
      <c r="B414" s="5" t="s">
        <v>14</v>
      </c>
      <c r="C414" s="2" t="s">
        <v>562</v>
      </c>
      <c r="D414" s="32"/>
      <c r="E414" s="35" t="s">
        <v>455</v>
      </c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24">
        <f>SUM(Tabla1[[#This Row],[ENERO ]:[DICIEMBRE]])</f>
        <v>0</v>
      </c>
      <c r="W414">
        <v>0</v>
      </c>
      <c r="X414" s="21">
        <f>COUNTIF(Tabla1[[#This Row],[ENERO ]:[DICIEMBRE]],0)-(AS414)-IF(Tabla1[[#This Row],[BAJAS]]="BAJA",IF(Tabla1[[#This Row],[ALTAS]]="ALTA",VLOOKUP(Tabla1[[#This Row],[MES DE ALTA ]],$AW$6:$AX$17,2,FALSE),12)-VLOOKUP(Tabla1[[#This Row],[MES DE BAJA ]],$AW$6:$AX$17,2,FALSE),0)</f>
        <v>0</v>
      </c>
      <c r="Y414" s="68">
        <f>SUM(Tabla1[[#This Row],[MES ADEUDO DE AÑOS PASADOS ]:[MESES DE ADEUDO DEL AÑO EN CURSO ]])-Tabla1[[#This Row],[PAGO DE DEUDA ANTERIOR EN MESES]]</f>
        <v>0</v>
      </c>
      <c r="Z414" s="15">
        <f>Tabla1[[#This Row],[MES ADEUDO DE AÑOS PASADOS ]]*$T$2</f>
        <v>0</v>
      </c>
      <c r="AA414" s="15">
        <f>Tabla1[[#This Row],[MESES DE ADEUDO DEL AÑO EN CURSO ]]*$T$2</f>
        <v>0</v>
      </c>
      <c r="AB414" s="69">
        <f>SUM(Tabla1[[#This Row],[DEUDA DE LOS MESES PASADOS EN $$]:[DEUDA DEL AÑO 2013 $$ ]])</f>
        <v>0</v>
      </c>
      <c r="AD414">
        <f>Tabla1[[#This Row],[PAGO DE DEUDA ANTERIOR EN MESES]]*$T$2</f>
        <v>0</v>
      </c>
      <c r="AG414" s="100">
        <f>IF(Tabla1[[#This Row],[TIPO DE CONSUMIDOR]]="MEDIO",IF(Tabla1[[#This Row],[ENERO ]]&gt;22.5,Tabla1[[#This Row],[ENERO ]]/22.5-1,0),IF(Tabla1[[#This Row],[ENERO ]]&gt;45,Tabla1[[#This Row],[ENERO ]]/45-1,0))</f>
        <v>0</v>
      </c>
      <c r="AH41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4" s="100">
        <f>IF(Tabla1[[#This Row],[TIPO DE CONSUMIDOR]]="MEDIO",IF(Tabla1[[#This Row],[MARZO]]&gt;22.5,Tabla1[[#This Row],[MARZO]]/22.5-1,0),IF(Tabla1[[#This Row],[MARZO]]&gt;45,Tabla1[[#This Row],[MARZO]]/45-1,0))</f>
        <v>0</v>
      </c>
      <c r="AJ414" s="100">
        <f>IF(Tabla1[[#This Row],[TIPO DE CONSUMIDOR]]="MEDIO",IF(Tabla1[[#This Row],[ABRIL]]&gt;22.5,Tabla1[[#This Row],[ABRIL]]/22.5-1,0),IF(Tabla1[[#This Row],[ABRIL]]&gt;45,Tabla1[[#This Row],[ABRIL]]/45-1,0))</f>
        <v>0</v>
      </c>
      <c r="AK414" s="100">
        <f>IF(Tabla1[[#This Row],[TIPO DE CONSUMIDOR]]="MEDIO",IF(Tabla1[[#This Row],[MAYO ]]&gt;22.5,Tabla1[[#This Row],[MAYO ]]/22.5-1,0),IF(Tabla1[[#This Row],[MAYO ]]&gt;45,Tabla1[[#This Row],[MAYO ]]/45-1,0))</f>
        <v>0</v>
      </c>
      <c r="AL414" s="100">
        <f>IF(Tabla1[[#This Row],[TIPO DE CONSUMIDOR]]="MEDIO",IF(Tabla1[[#This Row],[JUNIO ]]&gt;22.5,Tabla1[[#This Row],[JUNIO ]]/22.5-1,0),IF(Tabla1[[#This Row],[JUNIO ]]&gt;45,Tabla1[[#This Row],[JUNIO ]]/45-1,0))</f>
        <v>0</v>
      </c>
      <c r="AM414" s="100">
        <f>IF(Tabla1[[#This Row],[TIPO DE CONSUMIDOR]]="MEDIO",IF(Tabla1[[#This Row],[JULIO ]]&gt;22.5,Tabla1[[#This Row],[JULIO ]]/22.5-1,0),IF(Tabla1[[#This Row],[JULIO ]]&gt;45,Tabla1[[#This Row],[JULIO ]]/45-1,0))</f>
        <v>0</v>
      </c>
      <c r="AN414" s="100">
        <f>IF(Tabla1[[#This Row],[TIPO DE CONSUMIDOR]]="MEDIO",IF(Tabla1[[#This Row],[AGOSTO]]&gt;22.5,Tabla1[[#This Row],[AGOSTO]]/22.5-1,0),IF(Tabla1[[#This Row],[AGOSTO]]&gt;45,Tabla1[[#This Row],[AGOSTO]]/45-1,0))</f>
        <v>0</v>
      </c>
      <c r="AO41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4" s="101">
        <f t="shared" si="13"/>
        <v>0</v>
      </c>
      <c r="AT414">
        <f>IF(Tabla1[[#This Row],[MES ADEUDO DE AÑOS PASADOS ]]&gt;0,1,0)</f>
        <v>0</v>
      </c>
      <c r="AU414" s="9">
        <f t="shared" si="14"/>
        <v>0</v>
      </c>
      <c r="AV414" s="60">
        <f>IF(Tabla1[[#This Row],[MESES DE ADEUDO DEL AÑO EN CURSO ]]&gt;0,1,0)</f>
        <v>0</v>
      </c>
      <c r="AW414" s="42"/>
      <c r="AX414" s="42"/>
      <c r="AY414" s="42"/>
      <c r="AZ414" s="43"/>
    </row>
    <row r="415" spans="1:52" ht="21.75" thickBot="1" x14ac:dyDescent="0.35">
      <c r="A415" s="106">
        <v>409</v>
      </c>
      <c r="B415" s="5" t="s">
        <v>13</v>
      </c>
      <c r="C415" s="2" t="s">
        <v>562</v>
      </c>
      <c r="D415" s="32"/>
      <c r="E415" s="35" t="s">
        <v>455</v>
      </c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24">
        <f>SUM(Tabla1[[#This Row],[ENERO ]:[DICIEMBRE]])</f>
        <v>0</v>
      </c>
      <c r="W415">
        <v>0</v>
      </c>
      <c r="X415" s="21">
        <f>COUNTIF(Tabla1[[#This Row],[ENERO ]:[DICIEMBRE]],0)-(AS415)-IF(Tabla1[[#This Row],[BAJAS]]="BAJA",IF(Tabla1[[#This Row],[ALTAS]]="ALTA",VLOOKUP(Tabla1[[#This Row],[MES DE ALTA ]],$AW$6:$AX$17,2,FALSE),12)-VLOOKUP(Tabla1[[#This Row],[MES DE BAJA ]],$AW$6:$AX$17,2,FALSE),0)</f>
        <v>0</v>
      </c>
      <c r="Y415" s="68">
        <f>SUM(Tabla1[[#This Row],[MES ADEUDO DE AÑOS PASADOS ]:[MESES DE ADEUDO DEL AÑO EN CURSO ]])-Tabla1[[#This Row],[PAGO DE DEUDA ANTERIOR EN MESES]]</f>
        <v>0</v>
      </c>
      <c r="Z415" s="15">
        <f>Tabla1[[#This Row],[MES ADEUDO DE AÑOS PASADOS ]]*$T$2</f>
        <v>0</v>
      </c>
      <c r="AA415" s="15">
        <f>Tabla1[[#This Row],[MESES DE ADEUDO DEL AÑO EN CURSO ]]*$T$2</f>
        <v>0</v>
      </c>
      <c r="AB415" s="69">
        <f>SUM(Tabla1[[#This Row],[DEUDA DE LOS MESES PASADOS EN $$]:[DEUDA DEL AÑO 2013 $$ ]])</f>
        <v>0</v>
      </c>
      <c r="AD415">
        <f>Tabla1[[#This Row],[PAGO DE DEUDA ANTERIOR EN MESES]]*$T$2</f>
        <v>0</v>
      </c>
      <c r="AG415" s="100">
        <f>IF(Tabla1[[#This Row],[TIPO DE CONSUMIDOR]]="MEDIO",IF(Tabla1[[#This Row],[ENERO ]]&gt;22.5,Tabla1[[#This Row],[ENERO ]]/22.5-1,0),IF(Tabla1[[#This Row],[ENERO ]]&gt;45,Tabla1[[#This Row],[ENERO ]]/45-1,0))</f>
        <v>0</v>
      </c>
      <c r="AH41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5" s="100">
        <f>IF(Tabla1[[#This Row],[TIPO DE CONSUMIDOR]]="MEDIO",IF(Tabla1[[#This Row],[MARZO]]&gt;22.5,Tabla1[[#This Row],[MARZO]]/22.5-1,0),IF(Tabla1[[#This Row],[MARZO]]&gt;45,Tabla1[[#This Row],[MARZO]]/45-1,0))</f>
        <v>0</v>
      </c>
      <c r="AJ415" s="100">
        <f>IF(Tabla1[[#This Row],[TIPO DE CONSUMIDOR]]="MEDIO",IF(Tabla1[[#This Row],[ABRIL]]&gt;22.5,Tabla1[[#This Row],[ABRIL]]/22.5-1,0),IF(Tabla1[[#This Row],[ABRIL]]&gt;45,Tabla1[[#This Row],[ABRIL]]/45-1,0))</f>
        <v>0</v>
      </c>
      <c r="AK415" s="100">
        <f>IF(Tabla1[[#This Row],[TIPO DE CONSUMIDOR]]="MEDIO",IF(Tabla1[[#This Row],[MAYO ]]&gt;22.5,Tabla1[[#This Row],[MAYO ]]/22.5-1,0),IF(Tabla1[[#This Row],[MAYO ]]&gt;45,Tabla1[[#This Row],[MAYO ]]/45-1,0))</f>
        <v>0</v>
      </c>
      <c r="AL415" s="100">
        <f>IF(Tabla1[[#This Row],[TIPO DE CONSUMIDOR]]="MEDIO",IF(Tabla1[[#This Row],[JUNIO ]]&gt;22.5,Tabla1[[#This Row],[JUNIO ]]/22.5-1,0),IF(Tabla1[[#This Row],[JUNIO ]]&gt;45,Tabla1[[#This Row],[JUNIO ]]/45-1,0))</f>
        <v>0</v>
      </c>
      <c r="AM415" s="100">
        <f>IF(Tabla1[[#This Row],[TIPO DE CONSUMIDOR]]="MEDIO",IF(Tabla1[[#This Row],[JULIO ]]&gt;22.5,Tabla1[[#This Row],[JULIO ]]/22.5-1,0),IF(Tabla1[[#This Row],[JULIO ]]&gt;45,Tabla1[[#This Row],[JULIO ]]/45-1,0))</f>
        <v>0</v>
      </c>
      <c r="AN415" s="100">
        <f>IF(Tabla1[[#This Row],[TIPO DE CONSUMIDOR]]="MEDIO",IF(Tabla1[[#This Row],[AGOSTO]]&gt;22.5,Tabla1[[#This Row],[AGOSTO]]/22.5-1,0),IF(Tabla1[[#This Row],[AGOSTO]]&gt;45,Tabla1[[#This Row],[AGOSTO]]/45-1,0))</f>
        <v>0</v>
      </c>
      <c r="AO41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5" s="101">
        <f t="shared" si="13"/>
        <v>0</v>
      </c>
      <c r="AT415">
        <f>IF(Tabla1[[#This Row],[MES ADEUDO DE AÑOS PASADOS ]]&gt;0,1,0)</f>
        <v>0</v>
      </c>
      <c r="AU415" s="9">
        <f t="shared" si="14"/>
        <v>0</v>
      </c>
      <c r="AV415" s="60">
        <f>IF(Tabla1[[#This Row],[MESES DE ADEUDO DEL AÑO EN CURSO ]]&gt;0,1,0)</f>
        <v>0</v>
      </c>
      <c r="AW415" s="42"/>
      <c r="AX415" s="42"/>
      <c r="AY415" s="42"/>
      <c r="AZ415" s="43"/>
    </row>
    <row r="416" spans="1:52" ht="21.75" thickBot="1" x14ac:dyDescent="0.35">
      <c r="A416" s="106">
        <v>410</v>
      </c>
      <c r="B416" s="5" t="s">
        <v>18</v>
      </c>
      <c r="C416" s="2" t="s">
        <v>562</v>
      </c>
      <c r="D416" s="32"/>
      <c r="E416" s="35" t="s">
        <v>455</v>
      </c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24">
        <f>SUM(Tabla1[[#This Row],[ENERO ]:[DICIEMBRE]])</f>
        <v>0</v>
      </c>
      <c r="W416">
        <v>0</v>
      </c>
      <c r="X416" s="21">
        <f>COUNTIF(Tabla1[[#This Row],[ENERO ]:[DICIEMBRE]],0)-(AS416)-IF(Tabla1[[#This Row],[BAJAS]]="BAJA",IF(Tabla1[[#This Row],[ALTAS]]="ALTA",VLOOKUP(Tabla1[[#This Row],[MES DE ALTA ]],$AW$6:$AX$17,2,FALSE),12)-VLOOKUP(Tabla1[[#This Row],[MES DE BAJA ]],$AW$6:$AX$17,2,FALSE),0)</f>
        <v>0</v>
      </c>
      <c r="Y416" s="68">
        <f>SUM(Tabla1[[#This Row],[MES ADEUDO DE AÑOS PASADOS ]:[MESES DE ADEUDO DEL AÑO EN CURSO ]])-Tabla1[[#This Row],[PAGO DE DEUDA ANTERIOR EN MESES]]</f>
        <v>0</v>
      </c>
      <c r="Z416" s="15">
        <f>Tabla1[[#This Row],[MES ADEUDO DE AÑOS PASADOS ]]*$T$2</f>
        <v>0</v>
      </c>
      <c r="AA416" s="15">
        <f>Tabla1[[#This Row],[MESES DE ADEUDO DEL AÑO EN CURSO ]]*$T$2</f>
        <v>0</v>
      </c>
      <c r="AB416" s="69">
        <f>SUM(Tabla1[[#This Row],[DEUDA DE LOS MESES PASADOS EN $$]:[DEUDA DEL AÑO 2013 $$ ]])</f>
        <v>0</v>
      </c>
      <c r="AD416">
        <f>Tabla1[[#This Row],[PAGO DE DEUDA ANTERIOR EN MESES]]*$T$2</f>
        <v>0</v>
      </c>
      <c r="AG416" s="100">
        <f>IF(Tabla1[[#This Row],[TIPO DE CONSUMIDOR]]="MEDIO",IF(Tabla1[[#This Row],[ENERO ]]&gt;22.5,Tabla1[[#This Row],[ENERO ]]/22.5-1,0),IF(Tabla1[[#This Row],[ENERO ]]&gt;45,Tabla1[[#This Row],[ENERO ]]/45-1,0))</f>
        <v>0</v>
      </c>
      <c r="AH41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6" s="100">
        <f>IF(Tabla1[[#This Row],[TIPO DE CONSUMIDOR]]="MEDIO",IF(Tabla1[[#This Row],[MARZO]]&gt;22.5,Tabla1[[#This Row],[MARZO]]/22.5-1,0),IF(Tabla1[[#This Row],[MARZO]]&gt;45,Tabla1[[#This Row],[MARZO]]/45-1,0))</f>
        <v>0</v>
      </c>
      <c r="AJ416" s="100">
        <f>IF(Tabla1[[#This Row],[TIPO DE CONSUMIDOR]]="MEDIO",IF(Tabla1[[#This Row],[ABRIL]]&gt;22.5,Tabla1[[#This Row],[ABRIL]]/22.5-1,0),IF(Tabla1[[#This Row],[ABRIL]]&gt;45,Tabla1[[#This Row],[ABRIL]]/45-1,0))</f>
        <v>0</v>
      </c>
      <c r="AK416" s="100">
        <f>IF(Tabla1[[#This Row],[TIPO DE CONSUMIDOR]]="MEDIO",IF(Tabla1[[#This Row],[MAYO ]]&gt;22.5,Tabla1[[#This Row],[MAYO ]]/22.5-1,0),IF(Tabla1[[#This Row],[MAYO ]]&gt;45,Tabla1[[#This Row],[MAYO ]]/45-1,0))</f>
        <v>0</v>
      </c>
      <c r="AL416" s="100">
        <f>IF(Tabla1[[#This Row],[TIPO DE CONSUMIDOR]]="MEDIO",IF(Tabla1[[#This Row],[JUNIO ]]&gt;22.5,Tabla1[[#This Row],[JUNIO ]]/22.5-1,0),IF(Tabla1[[#This Row],[JUNIO ]]&gt;45,Tabla1[[#This Row],[JUNIO ]]/45-1,0))</f>
        <v>0</v>
      </c>
      <c r="AM416" s="100">
        <f>IF(Tabla1[[#This Row],[TIPO DE CONSUMIDOR]]="MEDIO",IF(Tabla1[[#This Row],[JULIO ]]&gt;22.5,Tabla1[[#This Row],[JULIO ]]/22.5-1,0),IF(Tabla1[[#This Row],[JULIO ]]&gt;45,Tabla1[[#This Row],[JULIO ]]/45-1,0))</f>
        <v>0</v>
      </c>
      <c r="AN416" s="100">
        <f>IF(Tabla1[[#This Row],[TIPO DE CONSUMIDOR]]="MEDIO",IF(Tabla1[[#This Row],[AGOSTO]]&gt;22.5,Tabla1[[#This Row],[AGOSTO]]/22.5-1,0),IF(Tabla1[[#This Row],[AGOSTO]]&gt;45,Tabla1[[#This Row],[AGOSTO]]/45-1,0))</f>
        <v>0</v>
      </c>
      <c r="AO41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6" s="101">
        <f t="shared" si="13"/>
        <v>0</v>
      </c>
      <c r="AT416">
        <f>IF(Tabla1[[#This Row],[MES ADEUDO DE AÑOS PASADOS ]]&gt;0,1,0)</f>
        <v>0</v>
      </c>
      <c r="AU416" s="9">
        <f t="shared" si="14"/>
        <v>0</v>
      </c>
      <c r="AV416" s="60">
        <f>IF(Tabla1[[#This Row],[MESES DE ADEUDO DEL AÑO EN CURSO ]]&gt;0,1,0)</f>
        <v>0</v>
      </c>
      <c r="AW416" s="42"/>
      <c r="AX416" s="42"/>
      <c r="AY416" s="42"/>
      <c r="AZ416" s="43"/>
    </row>
    <row r="417" spans="1:52" ht="21.75" thickBot="1" x14ac:dyDescent="0.35">
      <c r="A417" s="106">
        <v>411</v>
      </c>
      <c r="B417" s="5" t="s">
        <v>23</v>
      </c>
      <c r="C417" s="2" t="s">
        <v>562</v>
      </c>
      <c r="D417" s="32"/>
      <c r="E417" s="35" t="s">
        <v>455</v>
      </c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58">
        <f>SUM(Tabla1[[#This Row],[ENERO ]:[DICIEMBRE]])</f>
        <v>0</v>
      </c>
      <c r="W417">
        <v>0</v>
      </c>
      <c r="X417" s="21">
        <f>COUNTIF(Tabla1[[#This Row],[ENERO ]:[DICIEMBRE]],0)-(AS417)-IF(Tabla1[[#This Row],[BAJAS]]="BAJA",IF(Tabla1[[#This Row],[ALTAS]]="ALTA",VLOOKUP(Tabla1[[#This Row],[MES DE ALTA ]],$AW$6:$AX$17,2,FALSE),12)-VLOOKUP(Tabla1[[#This Row],[MES DE BAJA ]],$AW$6:$AX$17,2,FALSE),0)</f>
        <v>0</v>
      </c>
      <c r="Y417" s="68">
        <f>SUM(Tabla1[[#This Row],[MES ADEUDO DE AÑOS PASADOS ]:[MESES DE ADEUDO DEL AÑO EN CURSO ]])-Tabla1[[#This Row],[PAGO DE DEUDA ANTERIOR EN MESES]]</f>
        <v>0</v>
      </c>
      <c r="Z417" s="15">
        <f>Tabla1[[#This Row],[MES ADEUDO DE AÑOS PASADOS ]]*$T$2</f>
        <v>0</v>
      </c>
      <c r="AA417" s="15">
        <f>Tabla1[[#This Row],[MESES DE ADEUDO DEL AÑO EN CURSO ]]*$T$2</f>
        <v>0</v>
      </c>
      <c r="AB417" s="69">
        <f>SUM(Tabla1[[#This Row],[DEUDA DE LOS MESES PASADOS EN $$]:[DEUDA DEL AÑO 2013 $$ ]])</f>
        <v>0</v>
      </c>
      <c r="AD417">
        <f>Tabla1[[#This Row],[PAGO DE DEUDA ANTERIOR EN MESES]]*$T$2</f>
        <v>0</v>
      </c>
      <c r="AG417" s="100">
        <f>IF(Tabla1[[#This Row],[TIPO DE CONSUMIDOR]]="MEDIO",IF(Tabla1[[#This Row],[ENERO ]]&gt;22.5,Tabla1[[#This Row],[ENERO ]]/22.5-1,0),IF(Tabla1[[#This Row],[ENERO ]]&gt;45,Tabla1[[#This Row],[ENERO ]]/45-1,0))</f>
        <v>0</v>
      </c>
      <c r="AH41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7" s="100">
        <f>IF(Tabla1[[#This Row],[TIPO DE CONSUMIDOR]]="MEDIO",IF(Tabla1[[#This Row],[MARZO]]&gt;22.5,Tabla1[[#This Row],[MARZO]]/22.5-1,0),IF(Tabla1[[#This Row],[MARZO]]&gt;45,Tabla1[[#This Row],[MARZO]]/45-1,0))</f>
        <v>0</v>
      </c>
      <c r="AJ417" s="100">
        <f>IF(Tabla1[[#This Row],[TIPO DE CONSUMIDOR]]="MEDIO",IF(Tabla1[[#This Row],[ABRIL]]&gt;22.5,Tabla1[[#This Row],[ABRIL]]/22.5-1,0),IF(Tabla1[[#This Row],[ABRIL]]&gt;45,Tabla1[[#This Row],[ABRIL]]/45-1,0))</f>
        <v>0</v>
      </c>
      <c r="AK417" s="100">
        <f>IF(Tabla1[[#This Row],[TIPO DE CONSUMIDOR]]="MEDIO",IF(Tabla1[[#This Row],[MAYO ]]&gt;22.5,Tabla1[[#This Row],[MAYO ]]/22.5-1,0),IF(Tabla1[[#This Row],[MAYO ]]&gt;45,Tabla1[[#This Row],[MAYO ]]/45-1,0))</f>
        <v>0</v>
      </c>
      <c r="AL417" s="100">
        <f>IF(Tabla1[[#This Row],[TIPO DE CONSUMIDOR]]="MEDIO",IF(Tabla1[[#This Row],[JUNIO ]]&gt;22.5,Tabla1[[#This Row],[JUNIO ]]/22.5-1,0),IF(Tabla1[[#This Row],[JUNIO ]]&gt;45,Tabla1[[#This Row],[JUNIO ]]/45-1,0))</f>
        <v>0</v>
      </c>
      <c r="AM417" s="100">
        <f>IF(Tabla1[[#This Row],[TIPO DE CONSUMIDOR]]="MEDIO",IF(Tabla1[[#This Row],[JULIO ]]&gt;22.5,Tabla1[[#This Row],[JULIO ]]/22.5-1,0),IF(Tabla1[[#This Row],[JULIO ]]&gt;45,Tabla1[[#This Row],[JULIO ]]/45-1,0))</f>
        <v>0</v>
      </c>
      <c r="AN417" s="100">
        <f>IF(Tabla1[[#This Row],[TIPO DE CONSUMIDOR]]="MEDIO",IF(Tabla1[[#This Row],[AGOSTO]]&gt;22.5,Tabla1[[#This Row],[AGOSTO]]/22.5-1,0),IF(Tabla1[[#This Row],[AGOSTO]]&gt;45,Tabla1[[#This Row],[AGOSTO]]/45-1,0))</f>
        <v>0</v>
      </c>
      <c r="AO41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7" s="101">
        <f t="shared" si="13"/>
        <v>0</v>
      </c>
      <c r="AT417">
        <f>IF(Tabla1[[#This Row],[MES ADEUDO DE AÑOS PASADOS ]]&gt;0,1,0)</f>
        <v>0</v>
      </c>
      <c r="AU417" s="9">
        <f t="shared" si="14"/>
        <v>0</v>
      </c>
      <c r="AV417" s="60">
        <f>IF(Tabla1[[#This Row],[MESES DE ADEUDO DEL AÑO EN CURSO ]]&gt;0,1,0)</f>
        <v>0</v>
      </c>
      <c r="AW417" s="42"/>
      <c r="AX417" s="42"/>
      <c r="AY417" s="42"/>
      <c r="AZ417" s="43"/>
    </row>
    <row r="418" spans="1:52" ht="21.75" thickBot="1" x14ac:dyDescent="0.35">
      <c r="A418" s="106">
        <v>412</v>
      </c>
      <c r="B418" s="5" t="s">
        <v>63</v>
      </c>
      <c r="C418" s="2" t="s">
        <v>562</v>
      </c>
      <c r="D418" s="32"/>
      <c r="E418" s="35" t="s">
        <v>455</v>
      </c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24">
        <f>SUM(Tabla1[[#This Row],[ENERO ]:[DICIEMBRE]])</f>
        <v>0</v>
      </c>
      <c r="W418">
        <v>0</v>
      </c>
      <c r="X418" s="21">
        <f>COUNTIF(Tabla1[[#This Row],[ENERO ]:[DICIEMBRE]],0)-(AS418)-IF(Tabla1[[#This Row],[BAJAS]]="BAJA",IF(Tabla1[[#This Row],[ALTAS]]="ALTA",VLOOKUP(Tabla1[[#This Row],[MES DE ALTA ]],$AW$6:$AX$17,2,FALSE),12)-VLOOKUP(Tabla1[[#This Row],[MES DE BAJA ]],$AW$6:$AX$17,2,FALSE),0)</f>
        <v>0</v>
      </c>
      <c r="Y418" s="68">
        <f>SUM(Tabla1[[#This Row],[MES ADEUDO DE AÑOS PASADOS ]:[MESES DE ADEUDO DEL AÑO EN CURSO ]])-Tabla1[[#This Row],[PAGO DE DEUDA ANTERIOR EN MESES]]</f>
        <v>0</v>
      </c>
      <c r="Z418" s="15">
        <f>Tabla1[[#This Row],[MES ADEUDO DE AÑOS PASADOS ]]*$T$2</f>
        <v>0</v>
      </c>
      <c r="AA418" s="15">
        <f>Tabla1[[#This Row],[MESES DE ADEUDO DEL AÑO EN CURSO ]]*$T$2</f>
        <v>0</v>
      </c>
      <c r="AB418" s="69">
        <f>SUM(Tabla1[[#This Row],[DEUDA DE LOS MESES PASADOS EN $$]:[DEUDA DEL AÑO 2013 $$ ]])</f>
        <v>0</v>
      </c>
      <c r="AD418">
        <f>Tabla1[[#This Row],[PAGO DE DEUDA ANTERIOR EN MESES]]*$T$2</f>
        <v>0</v>
      </c>
      <c r="AG418" s="100">
        <f>IF(Tabla1[[#This Row],[TIPO DE CONSUMIDOR]]="MEDIO",IF(Tabla1[[#This Row],[ENERO ]]&gt;22.5,Tabla1[[#This Row],[ENERO ]]/22.5-1,0),IF(Tabla1[[#This Row],[ENERO ]]&gt;45,Tabla1[[#This Row],[ENERO ]]/45-1,0))</f>
        <v>0</v>
      </c>
      <c r="AH41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8" s="100">
        <f>IF(Tabla1[[#This Row],[TIPO DE CONSUMIDOR]]="MEDIO",IF(Tabla1[[#This Row],[MARZO]]&gt;22.5,Tabla1[[#This Row],[MARZO]]/22.5-1,0),IF(Tabla1[[#This Row],[MARZO]]&gt;45,Tabla1[[#This Row],[MARZO]]/45-1,0))</f>
        <v>0</v>
      </c>
      <c r="AJ418" s="100">
        <f>IF(Tabla1[[#This Row],[TIPO DE CONSUMIDOR]]="MEDIO",IF(Tabla1[[#This Row],[ABRIL]]&gt;22.5,Tabla1[[#This Row],[ABRIL]]/22.5-1,0),IF(Tabla1[[#This Row],[ABRIL]]&gt;45,Tabla1[[#This Row],[ABRIL]]/45-1,0))</f>
        <v>0</v>
      </c>
      <c r="AK418" s="100">
        <f>IF(Tabla1[[#This Row],[TIPO DE CONSUMIDOR]]="MEDIO",IF(Tabla1[[#This Row],[MAYO ]]&gt;22.5,Tabla1[[#This Row],[MAYO ]]/22.5-1,0),IF(Tabla1[[#This Row],[MAYO ]]&gt;45,Tabla1[[#This Row],[MAYO ]]/45-1,0))</f>
        <v>0</v>
      </c>
      <c r="AL418" s="100">
        <f>IF(Tabla1[[#This Row],[TIPO DE CONSUMIDOR]]="MEDIO",IF(Tabla1[[#This Row],[JUNIO ]]&gt;22.5,Tabla1[[#This Row],[JUNIO ]]/22.5-1,0),IF(Tabla1[[#This Row],[JUNIO ]]&gt;45,Tabla1[[#This Row],[JUNIO ]]/45-1,0))</f>
        <v>0</v>
      </c>
      <c r="AM418" s="100">
        <f>IF(Tabla1[[#This Row],[TIPO DE CONSUMIDOR]]="MEDIO",IF(Tabla1[[#This Row],[JULIO ]]&gt;22.5,Tabla1[[#This Row],[JULIO ]]/22.5-1,0),IF(Tabla1[[#This Row],[JULIO ]]&gt;45,Tabla1[[#This Row],[JULIO ]]/45-1,0))</f>
        <v>0</v>
      </c>
      <c r="AN418" s="100">
        <f>IF(Tabla1[[#This Row],[TIPO DE CONSUMIDOR]]="MEDIO",IF(Tabla1[[#This Row],[AGOSTO]]&gt;22.5,Tabla1[[#This Row],[AGOSTO]]/22.5-1,0),IF(Tabla1[[#This Row],[AGOSTO]]&gt;45,Tabla1[[#This Row],[AGOSTO]]/45-1,0))</f>
        <v>0</v>
      </c>
      <c r="AO41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8" s="101">
        <f t="shared" si="13"/>
        <v>0</v>
      </c>
      <c r="AT418">
        <f>IF(Tabla1[[#This Row],[MES ADEUDO DE AÑOS PASADOS ]]&gt;0,1,0)</f>
        <v>0</v>
      </c>
      <c r="AU418" s="9">
        <f t="shared" si="14"/>
        <v>0</v>
      </c>
      <c r="AV418" s="60">
        <f>IF(Tabla1[[#This Row],[MESES DE ADEUDO DEL AÑO EN CURSO ]]&gt;0,1,0)</f>
        <v>0</v>
      </c>
      <c r="AW418" s="42"/>
      <c r="AX418" s="42"/>
      <c r="AY418" s="42"/>
      <c r="AZ418" s="43"/>
    </row>
    <row r="419" spans="1:52" ht="21.75" thickBot="1" x14ac:dyDescent="0.35">
      <c r="A419" s="106">
        <v>413</v>
      </c>
      <c r="B419" s="5" t="s">
        <v>59</v>
      </c>
      <c r="C419" s="2" t="s">
        <v>562</v>
      </c>
      <c r="D419" s="32"/>
      <c r="E419" s="35" t="s">
        <v>455</v>
      </c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24">
        <f>SUM(Tabla1[[#This Row],[ENERO ]:[DICIEMBRE]])</f>
        <v>0</v>
      </c>
      <c r="W419">
        <v>0</v>
      </c>
      <c r="X419" s="21">
        <f>COUNTIF(Tabla1[[#This Row],[ENERO ]:[DICIEMBRE]],0)-(AS419)-IF(Tabla1[[#This Row],[BAJAS]]="BAJA",IF(Tabla1[[#This Row],[ALTAS]]="ALTA",VLOOKUP(Tabla1[[#This Row],[MES DE ALTA ]],$AW$6:$AX$17,2,FALSE),12)-VLOOKUP(Tabla1[[#This Row],[MES DE BAJA ]],$AW$6:$AX$17,2,FALSE),0)</f>
        <v>0</v>
      </c>
      <c r="Y419" s="68">
        <f>SUM(Tabla1[[#This Row],[MES ADEUDO DE AÑOS PASADOS ]:[MESES DE ADEUDO DEL AÑO EN CURSO ]])-Tabla1[[#This Row],[PAGO DE DEUDA ANTERIOR EN MESES]]</f>
        <v>0</v>
      </c>
      <c r="Z419" s="15">
        <f>Tabla1[[#This Row],[MES ADEUDO DE AÑOS PASADOS ]]*$T$2</f>
        <v>0</v>
      </c>
      <c r="AA419" s="15">
        <f>Tabla1[[#This Row],[MESES DE ADEUDO DEL AÑO EN CURSO ]]*$T$2</f>
        <v>0</v>
      </c>
      <c r="AB419" s="69">
        <f>SUM(Tabla1[[#This Row],[DEUDA DE LOS MESES PASADOS EN $$]:[DEUDA DEL AÑO 2013 $$ ]])</f>
        <v>0</v>
      </c>
      <c r="AD419">
        <f>Tabla1[[#This Row],[PAGO DE DEUDA ANTERIOR EN MESES]]*$T$2</f>
        <v>0</v>
      </c>
      <c r="AG419" s="100">
        <f>IF(Tabla1[[#This Row],[TIPO DE CONSUMIDOR]]="MEDIO",IF(Tabla1[[#This Row],[ENERO ]]&gt;22.5,Tabla1[[#This Row],[ENERO ]]/22.5-1,0),IF(Tabla1[[#This Row],[ENERO ]]&gt;45,Tabla1[[#This Row],[ENERO ]]/45-1,0))</f>
        <v>0</v>
      </c>
      <c r="AH41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19" s="100">
        <f>IF(Tabla1[[#This Row],[TIPO DE CONSUMIDOR]]="MEDIO",IF(Tabla1[[#This Row],[MARZO]]&gt;22.5,Tabla1[[#This Row],[MARZO]]/22.5-1,0),IF(Tabla1[[#This Row],[MARZO]]&gt;45,Tabla1[[#This Row],[MARZO]]/45-1,0))</f>
        <v>0</v>
      </c>
      <c r="AJ419" s="100">
        <f>IF(Tabla1[[#This Row],[TIPO DE CONSUMIDOR]]="MEDIO",IF(Tabla1[[#This Row],[ABRIL]]&gt;22.5,Tabla1[[#This Row],[ABRIL]]/22.5-1,0),IF(Tabla1[[#This Row],[ABRIL]]&gt;45,Tabla1[[#This Row],[ABRIL]]/45-1,0))</f>
        <v>0</v>
      </c>
      <c r="AK419" s="100">
        <f>IF(Tabla1[[#This Row],[TIPO DE CONSUMIDOR]]="MEDIO",IF(Tabla1[[#This Row],[MAYO ]]&gt;22.5,Tabla1[[#This Row],[MAYO ]]/22.5-1,0),IF(Tabla1[[#This Row],[MAYO ]]&gt;45,Tabla1[[#This Row],[MAYO ]]/45-1,0))</f>
        <v>0</v>
      </c>
      <c r="AL419" s="100">
        <f>IF(Tabla1[[#This Row],[TIPO DE CONSUMIDOR]]="MEDIO",IF(Tabla1[[#This Row],[JUNIO ]]&gt;22.5,Tabla1[[#This Row],[JUNIO ]]/22.5-1,0),IF(Tabla1[[#This Row],[JUNIO ]]&gt;45,Tabla1[[#This Row],[JUNIO ]]/45-1,0))</f>
        <v>0</v>
      </c>
      <c r="AM419" s="100">
        <f>IF(Tabla1[[#This Row],[TIPO DE CONSUMIDOR]]="MEDIO",IF(Tabla1[[#This Row],[JULIO ]]&gt;22.5,Tabla1[[#This Row],[JULIO ]]/22.5-1,0),IF(Tabla1[[#This Row],[JULIO ]]&gt;45,Tabla1[[#This Row],[JULIO ]]/45-1,0))</f>
        <v>0</v>
      </c>
      <c r="AN419" s="100">
        <f>IF(Tabla1[[#This Row],[TIPO DE CONSUMIDOR]]="MEDIO",IF(Tabla1[[#This Row],[AGOSTO]]&gt;22.5,Tabla1[[#This Row],[AGOSTO]]/22.5-1,0),IF(Tabla1[[#This Row],[AGOSTO]]&gt;45,Tabla1[[#This Row],[AGOSTO]]/45-1,0))</f>
        <v>0</v>
      </c>
      <c r="AO41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1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1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1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19" s="101">
        <f t="shared" si="13"/>
        <v>0</v>
      </c>
      <c r="AT419">
        <f>IF(Tabla1[[#This Row],[MES ADEUDO DE AÑOS PASADOS ]]&gt;0,1,0)</f>
        <v>0</v>
      </c>
      <c r="AU419" s="9">
        <f t="shared" si="14"/>
        <v>0</v>
      </c>
      <c r="AV419" s="60">
        <f>IF(Tabla1[[#This Row],[MESES DE ADEUDO DEL AÑO EN CURSO ]]&gt;0,1,0)</f>
        <v>0</v>
      </c>
      <c r="AW419" s="42"/>
      <c r="AX419" s="42"/>
      <c r="AY419" s="42"/>
      <c r="AZ419" s="43"/>
    </row>
    <row r="420" spans="1:52" ht="21.75" thickBot="1" x14ac:dyDescent="0.35">
      <c r="A420" s="106">
        <v>414</v>
      </c>
      <c r="B420" s="5" t="s">
        <v>79</v>
      </c>
      <c r="C420" s="2" t="s">
        <v>562</v>
      </c>
      <c r="D420" s="32"/>
      <c r="E420" s="35" t="s">
        <v>489</v>
      </c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24">
        <f>SUM(Tabla1[[#This Row],[ENERO ]:[DICIEMBRE]])</f>
        <v>0</v>
      </c>
      <c r="W420">
        <v>0</v>
      </c>
      <c r="X420" s="21">
        <f>COUNTIF(Tabla1[[#This Row],[ENERO ]:[DICIEMBRE]],0)-(AS420)-IF(Tabla1[[#This Row],[BAJAS]]="BAJA",IF(Tabla1[[#This Row],[ALTAS]]="ALTA",VLOOKUP(Tabla1[[#This Row],[MES DE ALTA ]],$AW$6:$AX$17,2,FALSE),12)-VLOOKUP(Tabla1[[#This Row],[MES DE BAJA ]],$AW$6:$AX$17,2,FALSE),0)</f>
        <v>0</v>
      </c>
      <c r="Y420" s="68">
        <f>SUM(Tabla1[[#This Row],[MES ADEUDO DE AÑOS PASADOS ]:[MESES DE ADEUDO DEL AÑO EN CURSO ]])-Tabla1[[#This Row],[PAGO DE DEUDA ANTERIOR EN MESES]]</f>
        <v>0</v>
      </c>
      <c r="Z420" s="15">
        <f>Tabla1[[#This Row],[MES ADEUDO DE AÑOS PASADOS ]]*$T$2</f>
        <v>0</v>
      </c>
      <c r="AA420" s="15">
        <f>Tabla1[[#This Row],[MESES DE ADEUDO DEL AÑO EN CURSO ]]*$T$2</f>
        <v>0</v>
      </c>
      <c r="AB420" s="69">
        <f>SUM(Tabla1[[#This Row],[DEUDA DE LOS MESES PASADOS EN $$]:[DEUDA DEL AÑO 2013 $$ ]])</f>
        <v>0</v>
      </c>
      <c r="AD420">
        <f>Tabla1[[#This Row],[PAGO DE DEUDA ANTERIOR EN MESES]]*$T$2</f>
        <v>0</v>
      </c>
      <c r="AG420" s="100">
        <f>IF(Tabla1[[#This Row],[TIPO DE CONSUMIDOR]]="MEDIO",IF(Tabla1[[#This Row],[ENERO ]]&gt;22.5,Tabla1[[#This Row],[ENERO ]]/22.5-1,0),IF(Tabla1[[#This Row],[ENERO ]]&gt;45,Tabla1[[#This Row],[ENERO ]]/45-1,0))</f>
        <v>0</v>
      </c>
      <c r="AH42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0" s="100">
        <f>IF(Tabla1[[#This Row],[TIPO DE CONSUMIDOR]]="MEDIO",IF(Tabla1[[#This Row],[MARZO]]&gt;22.5,Tabla1[[#This Row],[MARZO]]/22.5-1,0),IF(Tabla1[[#This Row],[MARZO]]&gt;45,Tabla1[[#This Row],[MARZO]]/45-1,0))</f>
        <v>0</v>
      </c>
      <c r="AJ420" s="100">
        <f>IF(Tabla1[[#This Row],[TIPO DE CONSUMIDOR]]="MEDIO",IF(Tabla1[[#This Row],[ABRIL]]&gt;22.5,Tabla1[[#This Row],[ABRIL]]/22.5-1,0),IF(Tabla1[[#This Row],[ABRIL]]&gt;45,Tabla1[[#This Row],[ABRIL]]/45-1,0))</f>
        <v>0</v>
      </c>
      <c r="AK420" s="100">
        <f>IF(Tabla1[[#This Row],[TIPO DE CONSUMIDOR]]="MEDIO",IF(Tabla1[[#This Row],[MAYO ]]&gt;22.5,Tabla1[[#This Row],[MAYO ]]/22.5-1,0),IF(Tabla1[[#This Row],[MAYO ]]&gt;45,Tabla1[[#This Row],[MAYO ]]/45-1,0))</f>
        <v>0</v>
      </c>
      <c r="AL420" s="100">
        <f>IF(Tabla1[[#This Row],[TIPO DE CONSUMIDOR]]="MEDIO",IF(Tabla1[[#This Row],[JUNIO ]]&gt;22.5,Tabla1[[#This Row],[JUNIO ]]/22.5-1,0),IF(Tabla1[[#This Row],[JUNIO ]]&gt;45,Tabla1[[#This Row],[JUNIO ]]/45-1,0))</f>
        <v>0</v>
      </c>
      <c r="AM420" s="100">
        <f>IF(Tabla1[[#This Row],[TIPO DE CONSUMIDOR]]="MEDIO",IF(Tabla1[[#This Row],[JULIO ]]&gt;22.5,Tabla1[[#This Row],[JULIO ]]/22.5-1,0),IF(Tabla1[[#This Row],[JULIO ]]&gt;45,Tabla1[[#This Row],[JULIO ]]/45-1,0))</f>
        <v>0</v>
      </c>
      <c r="AN420" s="100">
        <f>IF(Tabla1[[#This Row],[TIPO DE CONSUMIDOR]]="MEDIO",IF(Tabla1[[#This Row],[AGOSTO]]&gt;22.5,Tabla1[[#This Row],[AGOSTO]]/22.5-1,0),IF(Tabla1[[#This Row],[AGOSTO]]&gt;45,Tabla1[[#This Row],[AGOSTO]]/45-1,0))</f>
        <v>0</v>
      </c>
      <c r="AO42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0" s="101">
        <f t="shared" si="13"/>
        <v>0</v>
      </c>
      <c r="AT420">
        <f>IF(Tabla1[[#This Row],[MES ADEUDO DE AÑOS PASADOS ]]&gt;0,1,0)</f>
        <v>0</v>
      </c>
      <c r="AU420" s="9">
        <f t="shared" si="14"/>
        <v>0</v>
      </c>
      <c r="AV420" s="60">
        <f>IF(Tabla1[[#This Row],[MESES DE ADEUDO DEL AÑO EN CURSO ]]&gt;0,1,0)</f>
        <v>0</v>
      </c>
      <c r="AW420" s="42"/>
      <c r="AX420" s="42"/>
      <c r="AY420" s="42"/>
      <c r="AZ420" s="43"/>
    </row>
    <row r="421" spans="1:52" ht="21.75" thickBot="1" x14ac:dyDescent="0.35">
      <c r="A421" s="106">
        <v>415</v>
      </c>
      <c r="B421" s="5" t="s">
        <v>91</v>
      </c>
      <c r="C421" s="2" t="s">
        <v>562</v>
      </c>
      <c r="D421" s="32"/>
      <c r="E421" s="35" t="s">
        <v>455</v>
      </c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24">
        <f>SUM(Tabla1[[#This Row],[ENERO ]:[DICIEMBRE]])</f>
        <v>0</v>
      </c>
      <c r="W421">
        <v>0</v>
      </c>
      <c r="X421" s="21">
        <f>COUNTIF(Tabla1[[#This Row],[ENERO ]:[DICIEMBRE]],0)-(AS421)-IF(Tabla1[[#This Row],[BAJAS]]="BAJA",IF(Tabla1[[#This Row],[ALTAS]]="ALTA",VLOOKUP(Tabla1[[#This Row],[MES DE ALTA ]],$AW$6:$AX$17,2,FALSE),12)-VLOOKUP(Tabla1[[#This Row],[MES DE BAJA ]],$AW$6:$AX$17,2,FALSE),0)</f>
        <v>0</v>
      </c>
      <c r="Y421" s="68">
        <f>SUM(Tabla1[[#This Row],[MES ADEUDO DE AÑOS PASADOS ]:[MESES DE ADEUDO DEL AÑO EN CURSO ]])-Tabla1[[#This Row],[PAGO DE DEUDA ANTERIOR EN MESES]]</f>
        <v>0</v>
      </c>
      <c r="Z421" s="15">
        <f>Tabla1[[#This Row],[MES ADEUDO DE AÑOS PASADOS ]]*$T$2</f>
        <v>0</v>
      </c>
      <c r="AA421" s="15">
        <f>Tabla1[[#This Row],[MESES DE ADEUDO DEL AÑO EN CURSO ]]*$T$2</f>
        <v>0</v>
      </c>
      <c r="AB421" s="69">
        <f>SUM(Tabla1[[#This Row],[DEUDA DE LOS MESES PASADOS EN $$]:[DEUDA DEL AÑO 2013 $$ ]])</f>
        <v>0</v>
      </c>
      <c r="AD421">
        <f>Tabla1[[#This Row],[PAGO DE DEUDA ANTERIOR EN MESES]]*$T$2</f>
        <v>0</v>
      </c>
      <c r="AG421" s="100">
        <f>IF(Tabla1[[#This Row],[TIPO DE CONSUMIDOR]]="MEDIO",IF(Tabla1[[#This Row],[ENERO ]]&gt;22.5,Tabla1[[#This Row],[ENERO ]]/22.5-1,0),IF(Tabla1[[#This Row],[ENERO ]]&gt;45,Tabla1[[#This Row],[ENERO ]]/45-1,0))</f>
        <v>0</v>
      </c>
      <c r="AH42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1" s="100">
        <f>IF(Tabla1[[#This Row],[TIPO DE CONSUMIDOR]]="MEDIO",IF(Tabla1[[#This Row],[MARZO]]&gt;22.5,Tabla1[[#This Row],[MARZO]]/22.5-1,0),IF(Tabla1[[#This Row],[MARZO]]&gt;45,Tabla1[[#This Row],[MARZO]]/45-1,0))</f>
        <v>0</v>
      </c>
      <c r="AJ421" s="100">
        <f>IF(Tabla1[[#This Row],[TIPO DE CONSUMIDOR]]="MEDIO",IF(Tabla1[[#This Row],[ABRIL]]&gt;22.5,Tabla1[[#This Row],[ABRIL]]/22.5-1,0),IF(Tabla1[[#This Row],[ABRIL]]&gt;45,Tabla1[[#This Row],[ABRIL]]/45-1,0))</f>
        <v>0</v>
      </c>
      <c r="AK421" s="100">
        <f>IF(Tabla1[[#This Row],[TIPO DE CONSUMIDOR]]="MEDIO",IF(Tabla1[[#This Row],[MAYO ]]&gt;22.5,Tabla1[[#This Row],[MAYO ]]/22.5-1,0),IF(Tabla1[[#This Row],[MAYO ]]&gt;45,Tabla1[[#This Row],[MAYO ]]/45-1,0))</f>
        <v>0</v>
      </c>
      <c r="AL421" s="100">
        <f>IF(Tabla1[[#This Row],[TIPO DE CONSUMIDOR]]="MEDIO",IF(Tabla1[[#This Row],[JUNIO ]]&gt;22.5,Tabla1[[#This Row],[JUNIO ]]/22.5-1,0),IF(Tabla1[[#This Row],[JUNIO ]]&gt;45,Tabla1[[#This Row],[JUNIO ]]/45-1,0))</f>
        <v>0</v>
      </c>
      <c r="AM421" s="100">
        <f>IF(Tabla1[[#This Row],[TIPO DE CONSUMIDOR]]="MEDIO",IF(Tabla1[[#This Row],[JULIO ]]&gt;22.5,Tabla1[[#This Row],[JULIO ]]/22.5-1,0),IF(Tabla1[[#This Row],[JULIO ]]&gt;45,Tabla1[[#This Row],[JULIO ]]/45-1,0))</f>
        <v>0</v>
      </c>
      <c r="AN421" s="100">
        <f>IF(Tabla1[[#This Row],[TIPO DE CONSUMIDOR]]="MEDIO",IF(Tabla1[[#This Row],[AGOSTO]]&gt;22.5,Tabla1[[#This Row],[AGOSTO]]/22.5-1,0),IF(Tabla1[[#This Row],[AGOSTO]]&gt;45,Tabla1[[#This Row],[AGOSTO]]/45-1,0))</f>
        <v>0</v>
      </c>
      <c r="AO42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1" s="101">
        <f t="shared" si="13"/>
        <v>0</v>
      </c>
      <c r="AT421">
        <f>IF(Tabla1[[#This Row],[MES ADEUDO DE AÑOS PASADOS ]]&gt;0,1,0)</f>
        <v>0</v>
      </c>
      <c r="AU421" s="9">
        <f t="shared" si="14"/>
        <v>0</v>
      </c>
      <c r="AV421" s="60">
        <f>IF(Tabla1[[#This Row],[MESES DE ADEUDO DEL AÑO EN CURSO ]]&gt;0,1,0)</f>
        <v>0</v>
      </c>
      <c r="AW421" s="42"/>
      <c r="AX421" s="42"/>
      <c r="AY421" s="42"/>
      <c r="AZ421" s="43"/>
    </row>
    <row r="422" spans="1:52" ht="21.75" thickBot="1" x14ac:dyDescent="0.35">
      <c r="A422" s="106">
        <v>416</v>
      </c>
      <c r="B422" s="5" t="s">
        <v>82</v>
      </c>
      <c r="C422" s="2" t="s">
        <v>562</v>
      </c>
      <c r="D422" s="32"/>
      <c r="E422" s="35" t="s">
        <v>455</v>
      </c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24">
        <f>SUM(Tabla1[[#This Row],[ENERO ]:[DICIEMBRE]])</f>
        <v>0</v>
      </c>
      <c r="W422">
        <v>0</v>
      </c>
      <c r="X422" s="21">
        <f>COUNTIF(Tabla1[[#This Row],[ENERO ]:[DICIEMBRE]],0)-(AS422)-IF(Tabla1[[#This Row],[BAJAS]]="BAJA",IF(Tabla1[[#This Row],[ALTAS]]="ALTA",VLOOKUP(Tabla1[[#This Row],[MES DE ALTA ]],$AW$6:$AX$17,2,FALSE),12)-VLOOKUP(Tabla1[[#This Row],[MES DE BAJA ]],$AW$6:$AX$17,2,FALSE),0)</f>
        <v>0</v>
      </c>
      <c r="Y422" s="68">
        <f>SUM(Tabla1[[#This Row],[MES ADEUDO DE AÑOS PASADOS ]:[MESES DE ADEUDO DEL AÑO EN CURSO ]])-Tabla1[[#This Row],[PAGO DE DEUDA ANTERIOR EN MESES]]</f>
        <v>0</v>
      </c>
      <c r="Z422" s="15">
        <f>Tabla1[[#This Row],[MES ADEUDO DE AÑOS PASADOS ]]*$T$2</f>
        <v>0</v>
      </c>
      <c r="AA422" s="15">
        <f>Tabla1[[#This Row],[MESES DE ADEUDO DEL AÑO EN CURSO ]]*$T$2</f>
        <v>0</v>
      </c>
      <c r="AB422" s="69">
        <f>SUM(Tabla1[[#This Row],[DEUDA DE LOS MESES PASADOS EN $$]:[DEUDA DEL AÑO 2013 $$ ]])</f>
        <v>0</v>
      </c>
      <c r="AD422">
        <f>Tabla1[[#This Row],[PAGO DE DEUDA ANTERIOR EN MESES]]*$T$2</f>
        <v>0</v>
      </c>
      <c r="AG422" s="100">
        <f>IF(Tabla1[[#This Row],[TIPO DE CONSUMIDOR]]="MEDIO",IF(Tabla1[[#This Row],[ENERO ]]&gt;22.5,Tabla1[[#This Row],[ENERO ]]/22.5-1,0),IF(Tabla1[[#This Row],[ENERO ]]&gt;45,Tabla1[[#This Row],[ENERO ]]/45-1,0))</f>
        <v>0</v>
      </c>
      <c r="AH42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2" s="100">
        <f>IF(Tabla1[[#This Row],[TIPO DE CONSUMIDOR]]="MEDIO",IF(Tabla1[[#This Row],[MARZO]]&gt;22.5,Tabla1[[#This Row],[MARZO]]/22.5-1,0),IF(Tabla1[[#This Row],[MARZO]]&gt;45,Tabla1[[#This Row],[MARZO]]/45-1,0))</f>
        <v>0</v>
      </c>
      <c r="AJ422" s="100">
        <f>IF(Tabla1[[#This Row],[TIPO DE CONSUMIDOR]]="MEDIO",IF(Tabla1[[#This Row],[ABRIL]]&gt;22.5,Tabla1[[#This Row],[ABRIL]]/22.5-1,0),IF(Tabla1[[#This Row],[ABRIL]]&gt;45,Tabla1[[#This Row],[ABRIL]]/45-1,0))</f>
        <v>0</v>
      </c>
      <c r="AK422" s="100">
        <f>IF(Tabla1[[#This Row],[TIPO DE CONSUMIDOR]]="MEDIO",IF(Tabla1[[#This Row],[MAYO ]]&gt;22.5,Tabla1[[#This Row],[MAYO ]]/22.5-1,0),IF(Tabla1[[#This Row],[MAYO ]]&gt;45,Tabla1[[#This Row],[MAYO ]]/45-1,0))</f>
        <v>0</v>
      </c>
      <c r="AL422" s="100">
        <f>IF(Tabla1[[#This Row],[TIPO DE CONSUMIDOR]]="MEDIO",IF(Tabla1[[#This Row],[JUNIO ]]&gt;22.5,Tabla1[[#This Row],[JUNIO ]]/22.5-1,0),IF(Tabla1[[#This Row],[JUNIO ]]&gt;45,Tabla1[[#This Row],[JUNIO ]]/45-1,0))</f>
        <v>0</v>
      </c>
      <c r="AM422" s="100">
        <f>IF(Tabla1[[#This Row],[TIPO DE CONSUMIDOR]]="MEDIO",IF(Tabla1[[#This Row],[JULIO ]]&gt;22.5,Tabla1[[#This Row],[JULIO ]]/22.5-1,0),IF(Tabla1[[#This Row],[JULIO ]]&gt;45,Tabla1[[#This Row],[JULIO ]]/45-1,0))</f>
        <v>0</v>
      </c>
      <c r="AN422" s="100">
        <f>IF(Tabla1[[#This Row],[TIPO DE CONSUMIDOR]]="MEDIO",IF(Tabla1[[#This Row],[AGOSTO]]&gt;22.5,Tabla1[[#This Row],[AGOSTO]]/22.5-1,0),IF(Tabla1[[#This Row],[AGOSTO]]&gt;45,Tabla1[[#This Row],[AGOSTO]]/45-1,0))</f>
        <v>0</v>
      </c>
      <c r="AO42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2" s="101">
        <f t="shared" si="13"/>
        <v>0</v>
      </c>
      <c r="AT422">
        <f>IF(Tabla1[[#This Row],[MES ADEUDO DE AÑOS PASADOS ]]&gt;0,1,0)</f>
        <v>0</v>
      </c>
      <c r="AU422" s="9">
        <f t="shared" si="14"/>
        <v>0</v>
      </c>
      <c r="AV422" s="60">
        <f>IF(Tabla1[[#This Row],[MESES DE ADEUDO DEL AÑO EN CURSO ]]&gt;0,1,0)</f>
        <v>0</v>
      </c>
      <c r="AW422" s="42"/>
      <c r="AX422" s="42"/>
      <c r="AY422" s="42"/>
      <c r="AZ422" s="43"/>
    </row>
    <row r="423" spans="1:52" ht="21.75" thickBot="1" x14ac:dyDescent="0.35">
      <c r="A423" s="106">
        <v>417</v>
      </c>
      <c r="B423" s="5" t="s">
        <v>129</v>
      </c>
      <c r="C423" s="2" t="s">
        <v>562</v>
      </c>
      <c r="D423" s="32"/>
      <c r="E423" s="35" t="s">
        <v>455</v>
      </c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24">
        <f>SUM(Tabla1[[#This Row],[ENERO ]:[DICIEMBRE]])</f>
        <v>0</v>
      </c>
      <c r="W423">
        <v>0</v>
      </c>
      <c r="X423" s="21">
        <f>COUNTIF(Tabla1[[#This Row],[ENERO ]:[DICIEMBRE]],0)-(AS423)-IF(Tabla1[[#This Row],[BAJAS]]="BAJA",IF(Tabla1[[#This Row],[ALTAS]]="ALTA",VLOOKUP(Tabla1[[#This Row],[MES DE ALTA ]],$AW$6:$AX$17,2,FALSE),12)-VLOOKUP(Tabla1[[#This Row],[MES DE BAJA ]],$AW$6:$AX$17,2,FALSE),0)</f>
        <v>0</v>
      </c>
      <c r="Y423" s="68">
        <f>SUM(Tabla1[[#This Row],[MES ADEUDO DE AÑOS PASADOS ]:[MESES DE ADEUDO DEL AÑO EN CURSO ]])-Tabla1[[#This Row],[PAGO DE DEUDA ANTERIOR EN MESES]]</f>
        <v>0</v>
      </c>
      <c r="Z423" s="15">
        <f>Tabla1[[#This Row],[MES ADEUDO DE AÑOS PASADOS ]]*$T$2</f>
        <v>0</v>
      </c>
      <c r="AA423" s="15">
        <f>Tabla1[[#This Row],[MESES DE ADEUDO DEL AÑO EN CURSO ]]*$T$2</f>
        <v>0</v>
      </c>
      <c r="AB423" s="69">
        <f>SUM(Tabla1[[#This Row],[DEUDA DE LOS MESES PASADOS EN $$]:[DEUDA DEL AÑO 2013 $$ ]])</f>
        <v>0</v>
      </c>
      <c r="AD423">
        <f>Tabla1[[#This Row],[PAGO DE DEUDA ANTERIOR EN MESES]]*$T$2</f>
        <v>0</v>
      </c>
      <c r="AG423" s="100">
        <f>IF(Tabla1[[#This Row],[TIPO DE CONSUMIDOR]]="MEDIO",IF(Tabla1[[#This Row],[ENERO ]]&gt;22.5,Tabla1[[#This Row],[ENERO ]]/22.5-1,0),IF(Tabla1[[#This Row],[ENERO ]]&gt;45,Tabla1[[#This Row],[ENERO ]]/45-1,0))</f>
        <v>0</v>
      </c>
      <c r="AH42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3" s="100">
        <f>IF(Tabla1[[#This Row],[TIPO DE CONSUMIDOR]]="MEDIO",IF(Tabla1[[#This Row],[MARZO]]&gt;22.5,Tabla1[[#This Row],[MARZO]]/22.5-1,0),IF(Tabla1[[#This Row],[MARZO]]&gt;45,Tabla1[[#This Row],[MARZO]]/45-1,0))</f>
        <v>0</v>
      </c>
      <c r="AJ423" s="100">
        <f>IF(Tabla1[[#This Row],[TIPO DE CONSUMIDOR]]="MEDIO",IF(Tabla1[[#This Row],[ABRIL]]&gt;22.5,Tabla1[[#This Row],[ABRIL]]/22.5-1,0),IF(Tabla1[[#This Row],[ABRIL]]&gt;45,Tabla1[[#This Row],[ABRIL]]/45-1,0))</f>
        <v>0</v>
      </c>
      <c r="AK423" s="100">
        <f>IF(Tabla1[[#This Row],[TIPO DE CONSUMIDOR]]="MEDIO",IF(Tabla1[[#This Row],[MAYO ]]&gt;22.5,Tabla1[[#This Row],[MAYO ]]/22.5-1,0),IF(Tabla1[[#This Row],[MAYO ]]&gt;45,Tabla1[[#This Row],[MAYO ]]/45-1,0))</f>
        <v>0</v>
      </c>
      <c r="AL423" s="100">
        <f>IF(Tabla1[[#This Row],[TIPO DE CONSUMIDOR]]="MEDIO",IF(Tabla1[[#This Row],[JUNIO ]]&gt;22.5,Tabla1[[#This Row],[JUNIO ]]/22.5-1,0),IF(Tabla1[[#This Row],[JUNIO ]]&gt;45,Tabla1[[#This Row],[JUNIO ]]/45-1,0))</f>
        <v>0</v>
      </c>
      <c r="AM423" s="100">
        <f>IF(Tabla1[[#This Row],[TIPO DE CONSUMIDOR]]="MEDIO",IF(Tabla1[[#This Row],[JULIO ]]&gt;22.5,Tabla1[[#This Row],[JULIO ]]/22.5-1,0),IF(Tabla1[[#This Row],[JULIO ]]&gt;45,Tabla1[[#This Row],[JULIO ]]/45-1,0))</f>
        <v>0</v>
      </c>
      <c r="AN423" s="100">
        <f>IF(Tabla1[[#This Row],[TIPO DE CONSUMIDOR]]="MEDIO",IF(Tabla1[[#This Row],[AGOSTO]]&gt;22.5,Tabla1[[#This Row],[AGOSTO]]/22.5-1,0),IF(Tabla1[[#This Row],[AGOSTO]]&gt;45,Tabla1[[#This Row],[AGOSTO]]/45-1,0))</f>
        <v>0</v>
      </c>
      <c r="AO42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3" s="101">
        <f t="shared" si="13"/>
        <v>0</v>
      </c>
      <c r="AT423">
        <f>IF(Tabla1[[#This Row],[MES ADEUDO DE AÑOS PASADOS ]]&gt;0,1,0)</f>
        <v>0</v>
      </c>
      <c r="AU423" s="9">
        <f t="shared" si="14"/>
        <v>0</v>
      </c>
      <c r="AV423" s="60">
        <f>IF(Tabla1[[#This Row],[MESES DE ADEUDO DEL AÑO EN CURSO ]]&gt;0,1,0)</f>
        <v>0</v>
      </c>
      <c r="AW423" s="42"/>
      <c r="AX423" s="42"/>
      <c r="AY423" s="42"/>
      <c r="AZ423" s="43"/>
    </row>
    <row r="424" spans="1:52" ht="21.75" thickBot="1" x14ac:dyDescent="0.35">
      <c r="A424" s="106">
        <v>418</v>
      </c>
      <c r="B424" s="5" t="s">
        <v>117</v>
      </c>
      <c r="C424" s="2" t="s">
        <v>562</v>
      </c>
      <c r="D424" s="32"/>
      <c r="E424" s="35" t="s">
        <v>489</v>
      </c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58">
        <f>SUM(Tabla1[[#This Row],[ENERO ]:[DICIEMBRE]])</f>
        <v>0</v>
      </c>
      <c r="W424">
        <v>0</v>
      </c>
      <c r="X424" s="21">
        <f>COUNTIF(Tabla1[[#This Row],[ENERO ]:[DICIEMBRE]],0)-(AS424)-IF(Tabla1[[#This Row],[BAJAS]]="BAJA",IF(Tabla1[[#This Row],[ALTAS]]="ALTA",VLOOKUP(Tabla1[[#This Row],[MES DE ALTA ]],$AW$6:$AX$17,2,FALSE),12)-VLOOKUP(Tabla1[[#This Row],[MES DE BAJA ]],$AW$6:$AX$17,2,FALSE),0)</f>
        <v>0</v>
      </c>
      <c r="Y424" s="68">
        <f>SUM(Tabla1[[#This Row],[MES ADEUDO DE AÑOS PASADOS ]:[MESES DE ADEUDO DEL AÑO EN CURSO ]])-Tabla1[[#This Row],[PAGO DE DEUDA ANTERIOR EN MESES]]</f>
        <v>0</v>
      </c>
      <c r="Z424" s="15">
        <f>Tabla1[[#This Row],[MES ADEUDO DE AÑOS PASADOS ]]*$T$2</f>
        <v>0</v>
      </c>
      <c r="AA424" s="15">
        <f>Tabla1[[#This Row],[MESES DE ADEUDO DEL AÑO EN CURSO ]]*$T$2</f>
        <v>0</v>
      </c>
      <c r="AB424" s="69">
        <f>SUM(Tabla1[[#This Row],[DEUDA DE LOS MESES PASADOS EN $$]:[DEUDA DEL AÑO 2013 $$ ]])</f>
        <v>0</v>
      </c>
      <c r="AD424">
        <f>Tabla1[[#This Row],[PAGO DE DEUDA ANTERIOR EN MESES]]*$T$2</f>
        <v>0</v>
      </c>
      <c r="AG424" s="100">
        <f>IF(Tabla1[[#This Row],[TIPO DE CONSUMIDOR]]="MEDIO",IF(Tabla1[[#This Row],[ENERO ]]&gt;22.5,Tabla1[[#This Row],[ENERO ]]/22.5-1,0),IF(Tabla1[[#This Row],[ENERO ]]&gt;45,Tabla1[[#This Row],[ENERO ]]/45-1,0))</f>
        <v>0</v>
      </c>
      <c r="AH42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4" s="100">
        <f>IF(Tabla1[[#This Row],[TIPO DE CONSUMIDOR]]="MEDIO",IF(Tabla1[[#This Row],[MARZO]]&gt;22.5,Tabla1[[#This Row],[MARZO]]/22.5-1,0),IF(Tabla1[[#This Row],[MARZO]]&gt;45,Tabla1[[#This Row],[MARZO]]/45-1,0))</f>
        <v>0</v>
      </c>
      <c r="AJ424" s="100">
        <f>IF(Tabla1[[#This Row],[TIPO DE CONSUMIDOR]]="MEDIO",IF(Tabla1[[#This Row],[ABRIL]]&gt;22.5,Tabla1[[#This Row],[ABRIL]]/22.5-1,0),IF(Tabla1[[#This Row],[ABRIL]]&gt;45,Tabla1[[#This Row],[ABRIL]]/45-1,0))</f>
        <v>0</v>
      </c>
      <c r="AK424" s="100">
        <f>IF(Tabla1[[#This Row],[TIPO DE CONSUMIDOR]]="MEDIO",IF(Tabla1[[#This Row],[MAYO ]]&gt;22.5,Tabla1[[#This Row],[MAYO ]]/22.5-1,0),IF(Tabla1[[#This Row],[MAYO ]]&gt;45,Tabla1[[#This Row],[MAYO ]]/45-1,0))</f>
        <v>0</v>
      </c>
      <c r="AL424" s="100">
        <f>IF(Tabla1[[#This Row],[TIPO DE CONSUMIDOR]]="MEDIO",IF(Tabla1[[#This Row],[JUNIO ]]&gt;22.5,Tabla1[[#This Row],[JUNIO ]]/22.5-1,0),IF(Tabla1[[#This Row],[JUNIO ]]&gt;45,Tabla1[[#This Row],[JUNIO ]]/45-1,0))</f>
        <v>0</v>
      </c>
      <c r="AM424" s="100">
        <f>IF(Tabla1[[#This Row],[TIPO DE CONSUMIDOR]]="MEDIO",IF(Tabla1[[#This Row],[JULIO ]]&gt;22.5,Tabla1[[#This Row],[JULIO ]]/22.5-1,0),IF(Tabla1[[#This Row],[JULIO ]]&gt;45,Tabla1[[#This Row],[JULIO ]]/45-1,0))</f>
        <v>0</v>
      </c>
      <c r="AN424" s="100">
        <f>IF(Tabla1[[#This Row],[TIPO DE CONSUMIDOR]]="MEDIO",IF(Tabla1[[#This Row],[AGOSTO]]&gt;22.5,Tabla1[[#This Row],[AGOSTO]]/22.5-1,0),IF(Tabla1[[#This Row],[AGOSTO]]&gt;45,Tabla1[[#This Row],[AGOSTO]]/45-1,0))</f>
        <v>0</v>
      </c>
      <c r="AO42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4" s="101">
        <f t="shared" si="13"/>
        <v>0</v>
      </c>
      <c r="AT424">
        <f>IF(Tabla1[[#This Row],[MES ADEUDO DE AÑOS PASADOS ]]&gt;0,1,0)</f>
        <v>0</v>
      </c>
      <c r="AU424" s="9">
        <f t="shared" si="14"/>
        <v>0</v>
      </c>
      <c r="AV424" s="60">
        <f>IF(Tabla1[[#This Row],[MESES DE ADEUDO DEL AÑO EN CURSO ]]&gt;0,1,0)</f>
        <v>0</v>
      </c>
      <c r="AW424" s="42"/>
      <c r="AX424" s="42"/>
      <c r="AY424" s="42"/>
      <c r="AZ424" s="43"/>
    </row>
    <row r="425" spans="1:52" ht="21.75" thickBot="1" x14ac:dyDescent="0.35">
      <c r="A425" s="106">
        <v>419</v>
      </c>
      <c r="B425" s="5" t="s">
        <v>118</v>
      </c>
      <c r="C425" s="2" t="s">
        <v>562</v>
      </c>
      <c r="D425" s="32"/>
      <c r="E425" s="35" t="s">
        <v>455</v>
      </c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58">
        <f>SUM(Tabla1[[#This Row],[ENERO ]:[DICIEMBRE]])</f>
        <v>0</v>
      </c>
      <c r="W425">
        <v>0</v>
      </c>
      <c r="X425" s="21">
        <f>COUNTIF(Tabla1[[#This Row],[ENERO ]:[DICIEMBRE]],0)-(AS425)-IF(Tabla1[[#This Row],[BAJAS]]="BAJA",IF(Tabla1[[#This Row],[ALTAS]]="ALTA",VLOOKUP(Tabla1[[#This Row],[MES DE ALTA ]],$AW$6:$AX$17,2,FALSE),12)-VLOOKUP(Tabla1[[#This Row],[MES DE BAJA ]],$AW$6:$AX$17,2,FALSE),0)</f>
        <v>0</v>
      </c>
      <c r="Y425" s="68">
        <f>SUM(Tabla1[[#This Row],[MES ADEUDO DE AÑOS PASADOS ]:[MESES DE ADEUDO DEL AÑO EN CURSO ]])-Tabla1[[#This Row],[PAGO DE DEUDA ANTERIOR EN MESES]]</f>
        <v>0</v>
      </c>
      <c r="Z425" s="15">
        <f>Tabla1[[#This Row],[MES ADEUDO DE AÑOS PASADOS ]]*$T$2</f>
        <v>0</v>
      </c>
      <c r="AA425" s="15">
        <f>Tabla1[[#This Row],[MESES DE ADEUDO DEL AÑO EN CURSO ]]*$T$2</f>
        <v>0</v>
      </c>
      <c r="AB425" s="69">
        <f>SUM(Tabla1[[#This Row],[DEUDA DE LOS MESES PASADOS EN $$]:[DEUDA DEL AÑO 2013 $$ ]])</f>
        <v>0</v>
      </c>
      <c r="AD425">
        <f>Tabla1[[#This Row],[PAGO DE DEUDA ANTERIOR EN MESES]]*$T$2</f>
        <v>0</v>
      </c>
      <c r="AG425" s="100">
        <f>IF(Tabla1[[#This Row],[TIPO DE CONSUMIDOR]]="MEDIO",IF(Tabla1[[#This Row],[ENERO ]]&gt;22.5,Tabla1[[#This Row],[ENERO ]]/22.5-1,0),IF(Tabla1[[#This Row],[ENERO ]]&gt;45,Tabla1[[#This Row],[ENERO ]]/45-1,0))</f>
        <v>0</v>
      </c>
      <c r="AH42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5" s="100">
        <f>IF(Tabla1[[#This Row],[TIPO DE CONSUMIDOR]]="MEDIO",IF(Tabla1[[#This Row],[MARZO]]&gt;22.5,Tabla1[[#This Row],[MARZO]]/22.5-1,0),IF(Tabla1[[#This Row],[MARZO]]&gt;45,Tabla1[[#This Row],[MARZO]]/45-1,0))</f>
        <v>0</v>
      </c>
      <c r="AJ425" s="100">
        <f>IF(Tabla1[[#This Row],[TIPO DE CONSUMIDOR]]="MEDIO",IF(Tabla1[[#This Row],[ABRIL]]&gt;22.5,Tabla1[[#This Row],[ABRIL]]/22.5-1,0),IF(Tabla1[[#This Row],[ABRIL]]&gt;45,Tabla1[[#This Row],[ABRIL]]/45-1,0))</f>
        <v>0</v>
      </c>
      <c r="AK425" s="100">
        <f>IF(Tabla1[[#This Row],[TIPO DE CONSUMIDOR]]="MEDIO",IF(Tabla1[[#This Row],[MAYO ]]&gt;22.5,Tabla1[[#This Row],[MAYO ]]/22.5-1,0),IF(Tabla1[[#This Row],[MAYO ]]&gt;45,Tabla1[[#This Row],[MAYO ]]/45-1,0))</f>
        <v>0</v>
      </c>
      <c r="AL425" s="100">
        <f>IF(Tabla1[[#This Row],[TIPO DE CONSUMIDOR]]="MEDIO",IF(Tabla1[[#This Row],[JUNIO ]]&gt;22.5,Tabla1[[#This Row],[JUNIO ]]/22.5-1,0),IF(Tabla1[[#This Row],[JUNIO ]]&gt;45,Tabla1[[#This Row],[JUNIO ]]/45-1,0))</f>
        <v>0</v>
      </c>
      <c r="AM425" s="100">
        <f>IF(Tabla1[[#This Row],[TIPO DE CONSUMIDOR]]="MEDIO",IF(Tabla1[[#This Row],[JULIO ]]&gt;22.5,Tabla1[[#This Row],[JULIO ]]/22.5-1,0),IF(Tabla1[[#This Row],[JULIO ]]&gt;45,Tabla1[[#This Row],[JULIO ]]/45-1,0))</f>
        <v>0</v>
      </c>
      <c r="AN425" s="100">
        <f>IF(Tabla1[[#This Row],[TIPO DE CONSUMIDOR]]="MEDIO",IF(Tabla1[[#This Row],[AGOSTO]]&gt;22.5,Tabla1[[#This Row],[AGOSTO]]/22.5-1,0),IF(Tabla1[[#This Row],[AGOSTO]]&gt;45,Tabla1[[#This Row],[AGOSTO]]/45-1,0))</f>
        <v>0</v>
      </c>
      <c r="AO42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5" s="101">
        <f t="shared" si="13"/>
        <v>0</v>
      </c>
      <c r="AT425">
        <f>IF(Tabla1[[#This Row],[MES ADEUDO DE AÑOS PASADOS ]]&gt;0,1,0)</f>
        <v>0</v>
      </c>
      <c r="AU425" s="9">
        <f t="shared" si="14"/>
        <v>0</v>
      </c>
      <c r="AV425" s="60">
        <f>IF(Tabla1[[#This Row],[MESES DE ADEUDO DEL AÑO EN CURSO ]]&gt;0,1,0)</f>
        <v>0</v>
      </c>
      <c r="AW425" s="42"/>
      <c r="AX425" s="42"/>
      <c r="AY425" s="42"/>
      <c r="AZ425" s="43"/>
    </row>
    <row r="426" spans="1:52" ht="21.75" thickBot="1" x14ac:dyDescent="0.35">
      <c r="A426" s="106">
        <v>420</v>
      </c>
      <c r="B426" s="5" t="s">
        <v>145</v>
      </c>
      <c r="C426" s="2" t="s">
        <v>562</v>
      </c>
      <c r="D426" s="32"/>
      <c r="E426" s="35" t="s">
        <v>455</v>
      </c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24">
        <f>SUM(Tabla1[[#This Row],[ENERO ]:[DICIEMBRE]])</f>
        <v>0</v>
      </c>
      <c r="W426">
        <v>0</v>
      </c>
      <c r="X426" s="21">
        <f>COUNTIF(Tabla1[[#This Row],[ENERO ]:[DICIEMBRE]],0)-(AS426)-IF(Tabla1[[#This Row],[BAJAS]]="BAJA",IF(Tabla1[[#This Row],[ALTAS]]="ALTA",VLOOKUP(Tabla1[[#This Row],[MES DE ALTA ]],$AW$6:$AX$17,2,FALSE),12)-VLOOKUP(Tabla1[[#This Row],[MES DE BAJA ]],$AW$6:$AX$17,2,FALSE),0)</f>
        <v>0</v>
      </c>
      <c r="Y426" s="68">
        <f>SUM(Tabla1[[#This Row],[MES ADEUDO DE AÑOS PASADOS ]:[MESES DE ADEUDO DEL AÑO EN CURSO ]])-Tabla1[[#This Row],[PAGO DE DEUDA ANTERIOR EN MESES]]</f>
        <v>0</v>
      </c>
      <c r="Z426" s="15">
        <f>Tabla1[[#This Row],[MES ADEUDO DE AÑOS PASADOS ]]*$T$2</f>
        <v>0</v>
      </c>
      <c r="AA426" s="15">
        <f>Tabla1[[#This Row],[MESES DE ADEUDO DEL AÑO EN CURSO ]]*$T$2</f>
        <v>0</v>
      </c>
      <c r="AB426" s="69">
        <f>SUM(Tabla1[[#This Row],[DEUDA DE LOS MESES PASADOS EN $$]:[DEUDA DEL AÑO 2013 $$ ]])</f>
        <v>0</v>
      </c>
      <c r="AD426">
        <f>Tabla1[[#This Row],[PAGO DE DEUDA ANTERIOR EN MESES]]*$T$2</f>
        <v>0</v>
      </c>
      <c r="AG426" s="100">
        <f>IF(Tabla1[[#This Row],[TIPO DE CONSUMIDOR]]="MEDIO",IF(Tabla1[[#This Row],[ENERO ]]&gt;22.5,Tabla1[[#This Row],[ENERO ]]/22.5-1,0),IF(Tabla1[[#This Row],[ENERO ]]&gt;45,Tabla1[[#This Row],[ENERO ]]/45-1,0))</f>
        <v>0</v>
      </c>
      <c r="AH42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6" s="100">
        <f>IF(Tabla1[[#This Row],[TIPO DE CONSUMIDOR]]="MEDIO",IF(Tabla1[[#This Row],[MARZO]]&gt;22.5,Tabla1[[#This Row],[MARZO]]/22.5-1,0),IF(Tabla1[[#This Row],[MARZO]]&gt;45,Tabla1[[#This Row],[MARZO]]/45-1,0))</f>
        <v>0</v>
      </c>
      <c r="AJ426" s="100">
        <f>IF(Tabla1[[#This Row],[TIPO DE CONSUMIDOR]]="MEDIO",IF(Tabla1[[#This Row],[ABRIL]]&gt;22.5,Tabla1[[#This Row],[ABRIL]]/22.5-1,0),IF(Tabla1[[#This Row],[ABRIL]]&gt;45,Tabla1[[#This Row],[ABRIL]]/45-1,0))</f>
        <v>0</v>
      </c>
      <c r="AK426" s="100">
        <f>IF(Tabla1[[#This Row],[TIPO DE CONSUMIDOR]]="MEDIO",IF(Tabla1[[#This Row],[MAYO ]]&gt;22.5,Tabla1[[#This Row],[MAYO ]]/22.5-1,0),IF(Tabla1[[#This Row],[MAYO ]]&gt;45,Tabla1[[#This Row],[MAYO ]]/45-1,0))</f>
        <v>0</v>
      </c>
      <c r="AL426" s="100">
        <f>IF(Tabla1[[#This Row],[TIPO DE CONSUMIDOR]]="MEDIO",IF(Tabla1[[#This Row],[JUNIO ]]&gt;22.5,Tabla1[[#This Row],[JUNIO ]]/22.5-1,0),IF(Tabla1[[#This Row],[JUNIO ]]&gt;45,Tabla1[[#This Row],[JUNIO ]]/45-1,0))</f>
        <v>0</v>
      </c>
      <c r="AM426" s="100">
        <f>IF(Tabla1[[#This Row],[TIPO DE CONSUMIDOR]]="MEDIO",IF(Tabla1[[#This Row],[JULIO ]]&gt;22.5,Tabla1[[#This Row],[JULIO ]]/22.5-1,0),IF(Tabla1[[#This Row],[JULIO ]]&gt;45,Tabla1[[#This Row],[JULIO ]]/45-1,0))</f>
        <v>0</v>
      </c>
      <c r="AN426" s="100">
        <f>IF(Tabla1[[#This Row],[TIPO DE CONSUMIDOR]]="MEDIO",IF(Tabla1[[#This Row],[AGOSTO]]&gt;22.5,Tabla1[[#This Row],[AGOSTO]]/22.5-1,0),IF(Tabla1[[#This Row],[AGOSTO]]&gt;45,Tabla1[[#This Row],[AGOSTO]]/45-1,0))</f>
        <v>0</v>
      </c>
      <c r="AO42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6" s="101">
        <f t="shared" si="13"/>
        <v>0</v>
      </c>
      <c r="AT426">
        <f>IF(Tabla1[[#This Row],[MES ADEUDO DE AÑOS PASADOS ]]&gt;0,1,0)</f>
        <v>0</v>
      </c>
      <c r="AU426" s="9">
        <f t="shared" si="14"/>
        <v>0</v>
      </c>
      <c r="AV426" s="60">
        <f>IF(Tabla1[[#This Row],[MESES DE ADEUDO DEL AÑO EN CURSO ]]&gt;0,1,0)</f>
        <v>0</v>
      </c>
      <c r="AW426" s="42"/>
      <c r="AX426" s="42"/>
      <c r="AY426" s="42"/>
      <c r="AZ426" s="43"/>
    </row>
    <row r="427" spans="1:52" ht="21.75" thickBot="1" x14ac:dyDescent="0.35">
      <c r="A427" s="106">
        <v>421</v>
      </c>
      <c r="B427" s="5" t="s">
        <v>192</v>
      </c>
      <c r="C427" s="2" t="s">
        <v>562</v>
      </c>
      <c r="D427" s="32"/>
      <c r="E427" s="35" t="s">
        <v>455</v>
      </c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24">
        <f>SUM(Tabla1[[#This Row],[ENERO ]:[DICIEMBRE]])</f>
        <v>0</v>
      </c>
      <c r="W427">
        <v>0</v>
      </c>
      <c r="X427" s="21">
        <f>COUNTIF(Tabla1[[#This Row],[ENERO ]:[DICIEMBRE]],0)-(AS427)-IF(Tabla1[[#This Row],[BAJAS]]="BAJA",IF(Tabla1[[#This Row],[ALTAS]]="ALTA",VLOOKUP(Tabla1[[#This Row],[MES DE ALTA ]],$AW$6:$AX$17,2,FALSE),12)-VLOOKUP(Tabla1[[#This Row],[MES DE BAJA ]],$AW$6:$AX$17,2,FALSE),0)</f>
        <v>0</v>
      </c>
      <c r="Y427" s="68">
        <f>SUM(Tabla1[[#This Row],[MES ADEUDO DE AÑOS PASADOS ]:[MESES DE ADEUDO DEL AÑO EN CURSO ]])-Tabla1[[#This Row],[PAGO DE DEUDA ANTERIOR EN MESES]]</f>
        <v>0</v>
      </c>
      <c r="Z427" s="15">
        <f>Tabla1[[#This Row],[MES ADEUDO DE AÑOS PASADOS ]]*$T$2</f>
        <v>0</v>
      </c>
      <c r="AA427" s="15">
        <f>Tabla1[[#This Row],[MESES DE ADEUDO DEL AÑO EN CURSO ]]*$T$2</f>
        <v>0</v>
      </c>
      <c r="AB427" s="69">
        <f>SUM(Tabla1[[#This Row],[DEUDA DE LOS MESES PASADOS EN $$]:[DEUDA DEL AÑO 2013 $$ ]])</f>
        <v>0</v>
      </c>
      <c r="AD427">
        <f>Tabla1[[#This Row],[PAGO DE DEUDA ANTERIOR EN MESES]]*$T$2</f>
        <v>0</v>
      </c>
      <c r="AG427" s="100">
        <f>IF(Tabla1[[#This Row],[TIPO DE CONSUMIDOR]]="MEDIO",IF(Tabla1[[#This Row],[ENERO ]]&gt;22.5,Tabla1[[#This Row],[ENERO ]]/22.5-1,0),IF(Tabla1[[#This Row],[ENERO ]]&gt;45,Tabla1[[#This Row],[ENERO ]]/45-1,0))</f>
        <v>0</v>
      </c>
      <c r="AH42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7" s="100">
        <f>IF(Tabla1[[#This Row],[TIPO DE CONSUMIDOR]]="MEDIO",IF(Tabla1[[#This Row],[MARZO]]&gt;22.5,Tabla1[[#This Row],[MARZO]]/22.5-1,0),IF(Tabla1[[#This Row],[MARZO]]&gt;45,Tabla1[[#This Row],[MARZO]]/45-1,0))</f>
        <v>0</v>
      </c>
      <c r="AJ427" s="100">
        <f>IF(Tabla1[[#This Row],[TIPO DE CONSUMIDOR]]="MEDIO",IF(Tabla1[[#This Row],[ABRIL]]&gt;22.5,Tabla1[[#This Row],[ABRIL]]/22.5-1,0),IF(Tabla1[[#This Row],[ABRIL]]&gt;45,Tabla1[[#This Row],[ABRIL]]/45-1,0))</f>
        <v>0</v>
      </c>
      <c r="AK427" s="100">
        <f>IF(Tabla1[[#This Row],[TIPO DE CONSUMIDOR]]="MEDIO",IF(Tabla1[[#This Row],[MAYO ]]&gt;22.5,Tabla1[[#This Row],[MAYO ]]/22.5-1,0),IF(Tabla1[[#This Row],[MAYO ]]&gt;45,Tabla1[[#This Row],[MAYO ]]/45-1,0))</f>
        <v>0</v>
      </c>
      <c r="AL427" s="100">
        <f>IF(Tabla1[[#This Row],[TIPO DE CONSUMIDOR]]="MEDIO",IF(Tabla1[[#This Row],[JUNIO ]]&gt;22.5,Tabla1[[#This Row],[JUNIO ]]/22.5-1,0),IF(Tabla1[[#This Row],[JUNIO ]]&gt;45,Tabla1[[#This Row],[JUNIO ]]/45-1,0))</f>
        <v>0</v>
      </c>
      <c r="AM427" s="100">
        <f>IF(Tabla1[[#This Row],[TIPO DE CONSUMIDOR]]="MEDIO",IF(Tabla1[[#This Row],[JULIO ]]&gt;22.5,Tabla1[[#This Row],[JULIO ]]/22.5-1,0),IF(Tabla1[[#This Row],[JULIO ]]&gt;45,Tabla1[[#This Row],[JULIO ]]/45-1,0))</f>
        <v>0</v>
      </c>
      <c r="AN427" s="100">
        <f>IF(Tabla1[[#This Row],[TIPO DE CONSUMIDOR]]="MEDIO",IF(Tabla1[[#This Row],[AGOSTO]]&gt;22.5,Tabla1[[#This Row],[AGOSTO]]/22.5-1,0),IF(Tabla1[[#This Row],[AGOSTO]]&gt;45,Tabla1[[#This Row],[AGOSTO]]/45-1,0))</f>
        <v>0</v>
      </c>
      <c r="AO42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7" s="101">
        <f t="shared" si="13"/>
        <v>0</v>
      </c>
      <c r="AT427">
        <f>IF(Tabla1[[#This Row],[MES ADEUDO DE AÑOS PASADOS ]]&gt;0,1,0)</f>
        <v>0</v>
      </c>
      <c r="AU427" s="9">
        <f t="shared" si="14"/>
        <v>0</v>
      </c>
      <c r="AV427" s="60">
        <f>IF(Tabla1[[#This Row],[MESES DE ADEUDO DEL AÑO EN CURSO ]]&gt;0,1,0)</f>
        <v>0</v>
      </c>
      <c r="AW427" s="42"/>
      <c r="AX427" s="42"/>
      <c r="AY427" s="42"/>
      <c r="AZ427" s="43"/>
    </row>
    <row r="428" spans="1:52" ht="21.75" thickBot="1" x14ac:dyDescent="0.35">
      <c r="A428" s="106">
        <v>422</v>
      </c>
      <c r="B428" s="5" t="s">
        <v>202</v>
      </c>
      <c r="C428" s="2" t="s">
        <v>562</v>
      </c>
      <c r="D428" s="32"/>
      <c r="E428" s="35" t="s">
        <v>489</v>
      </c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24">
        <f>SUM(Tabla1[[#This Row],[ENERO ]:[DICIEMBRE]])</f>
        <v>0</v>
      </c>
      <c r="W428">
        <v>0</v>
      </c>
      <c r="X428" s="21">
        <f>COUNTIF(Tabla1[[#This Row],[ENERO ]:[DICIEMBRE]],0)-(AS428)-IF(Tabla1[[#This Row],[BAJAS]]="BAJA",IF(Tabla1[[#This Row],[ALTAS]]="ALTA",VLOOKUP(Tabla1[[#This Row],[MES DE ALTA ]],$AW$6:$AX$17,2,FALSE),12)-VLOOKUP(Tabla1[[#This Row],[MES DE BAJA ]],$AW$6:$AX$17,2,FALSE),0)</f>
        <v>0</v>
      </c>
      <c r="Y428" s="68">
        <f>SUM(Tabla1[[#This Row],[MES ADEUDO DE AÑOS PASADOS ]:[MESES DE ADEUDO DEL AÑO EN CURSO ]])-Tabla1[[#This Row],[PAGO DE DEUDA ANTERIOR EN MESES]]</f>
        <v>0</v>
      </c>
      <c r="Z428" s="15">
        <f>Tabla1[[#This Row],[MES ADEUDO DE AÑOS PASADOS ]]*$T$2</f>
        <v>0</v>
      </c>
      <c r="AA428" s="15">
        <f>Tabla1[[#This Row],[MESES DE ADEUDO DEL AÑO EN CURSO ]]*$T$2</f>
        <v>0</v>
      </c>
      <c r="AB428" s="69">
        <f>SUM(Tabla1[[#This Row],[DEUDA DE LOS MESES PASADOS EN $$]:[DEUDA DEL AÑO 2013 $$ ]])</f>
        <v>0</v>
      </c>
      <c r="AD428">
        <f>Tabla1[[#This Row],[PAGO DE DEUDA ANTERIOR EN MESES]]*$T$2</f>
        <v>0</v>
      </c>
      <c r="AG428" s="100">
        <f>IF(Tabla1[[#This Row],[TIPO DE CONSUMIDOR]]="MEDIO",IF(Tabla1[[#This Row],[ENERO ]]&gt;22.5,Tabla1[[#This Row],[ENERO ]]/22.5-1,0),IF(Tabla1[[#This Row],[ENERO ]]&gt;45,Tabla1[[#This Row],[ENERO ]]/45-1,0))</f>
        <v>0</v>
      </c>
      <c r="AH42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8" s="100">
        <f>IF(Tabla1[[#This Row],[TIPO DE CONSUMIDOR]]="MEDIO",IF(Tabla1[[#This Row],[MARZO]]&gt;22.5,Tabla1[[#This Row],[MARZO]]/22.5-1,0),IF(Tabla1[[#This Row],[MARZO]]&gt;45,Tabla1[[#This Row],[MARZO]]/45-1,0))</f>
        <v>0</v>
      </c>
      <c r="AJ428" s="100">
        <f>IF(Tabla1[[#This Row],[TIPO DE CONSUMIDOR]]="MEDIO",IF(Tabla1[[#This Row],[ABRIL]]&gt;22.5,Tabla1[[#This Row],[ABRIL]]/22.5-1,0),IF(Tabla1[[#This Row],[ABRIL]]&gt;45,Tabla1[[#This Row],[ABRIL]]/45-1,0))</f>
        <v>0</v>
      </c>
      <c r="AK428" s="100">
        <f>IF(Tabla1[[#This Row],[TIPO DE CONSUMIDOR]]="MEDIO",IF(Tabla1[[#This Row],[MAYO ]]&gt;22.5,Tabla1[[#This Row],[MAYO ]]/22.5-1,0),IF(Tabla1[[#This Row],[MAYO ]]&gt;45,Tabla1[[#This Row],[MAYO ]]/45-1,0))</f>
        <v>0</v>
      </c>
      <c r="AL428" s="100">
        <f>IF(Tabla1[[#This Row],[TIPO DE CONSUMIDOR]]="MEDIO",IF(Tabla1[[#This Row],[JUNIO ]]&gt;22.5,Tabla1[[#This Row],[JUNIO ]]/22.5-1,0),IF(Tabla1[[#This Row],[JUNIO ]]&gt;45,Tabla1[[#This Row],[JUNIO ]]/45-1,0))</f>
        <v>0</v>
      </c>
      <c r="AM428" s="100">
        <f>IF(Tabla1[[#This Row],[TIPO DE CONSUMIDOR]]="MEDIO",IF(Tabla1[[#This Row],[JULIO ]]&gt;22.5,Tabla1[[#This Row],[JULIO ]]/22.5-1,0),IF(Tabla1[[#This Row],[JULIO ]]&gt;45,Tabla1[[#This Row],[JULIO ]]/45-1,0))</f>
        <v>0</v>
      </c>
      <c r="AN428" s="100">
        <f>IF(Tabla1[[#This Row],[TIPO DE CONSUMIDOR]]="MEDIO",IF(Tabla1[[#This Row],[AGOSTO]]&gt;22.5,Tabla1[[#This Row],[AGOSTO]]/22.5-1,0),IF(Tabla1[[#This Row],[AGOSTO]]&gt;45,Tabla1[[#This Row],[AGOSTO]]/45-1,0))</f>
        <v>0</v>
      </c>
      <c r="AO42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8" s="101">
        <f t="shared" si="13"/>
        <v>0</v>
      </c>
      <c r="AT428">
        <f>IF(Tabla1[[#This Row],[MES ADEUDO DE AÑOS PASADOS ]]&gt;0,1,0)</f>
        <v>0</v>
      </c>
      <c r="AU428" s="9">
        <f t="shared" si="14"/>
        <v>0</v>
      </c>
      <c r="AV428" s="60">
        <f>IF(Tabla1[[#This Row],[MESES DE ADEUDO DEL AÑO EN CURSO ]]&gt;0,1,0)</f>
        <v>0</v>
      </c>
      <c r="AW428" s="42"/>
      <c r="AX428" s="42"/>
      <c r="AY428" s="42"/>
      <c r="AZ428" s="43"/>
    </row>
    <row r="429" spans="1:52" ht="21.75" thickBot="1" x14ac:dyDescent="0.35">
      <c r="A429" s="106">
        <v>423</v>
      </c>
      <c r="B429" s="5" t="s">
        <v>257</v>
      </c>
      <c r="C429" s="2" t="s">
        <v>562</v>
      </c>
      <c r="D429" s="32"/>
      <c r="E429" s="35" t="s">
        <v>455</v>
      </c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24">
        <f>SUM(Tabla1[[#This Row],[ENERO ]:[DICIEMBRE]])</f>
        <v>0</v>
      </c>
      <c r="W429">
        <v>0</v>
      </c>
      <c r="X429" s="21">
        <f>COUNTIF(Tabla1[[#This Row],[ENERO ]:[DICIEMBRE]],0)-(AS429)-IF(Tabla1[[#This Row],[BAJAS]]="BAJA",IF(Tabla1[[#This Row],[ALTAS]]="ALTA",VLOOKUP(Tabla1[[#This Row],[MES DE ALTA ]],$AW$6:$AX$17,2,FALSE),12)-VLOOKUP(Tabla1[[#This Row],[MES DE BAJA ]],$AW$6:$AX$17,2,FALSE),0)</f>
        <v>0</v>
      </c>
      <c r="Y429" s="68">
        <f>SUM(Tabla1[[#This Row],[MES ADEUDO DE AÑOS PASADOS ]:[MESES DE ADEUDO DEL AÑO EN CURSO ]])-Tabla1[[#This Row],[PAGO DE DEUDA ANTERIOR EN MESES]]</f>
        <v>0</v>
      </c>
      <c r="Z429" s="15">
        <f>Tabla1[[#This Row],[MES ADEUDO DE AÑOS PASADOS ]]*$T$2</f>
        <v>0</v>
      </c>
      <c r="AA429" s="15">
        <f>Tabla1[[#This Row],[MESES DE ADEUDO DEL AÑO EN CURSO ]]*$T$2</f>
        <v>0</v>
      </c>
      <c r="AB429" s="69">
        <f>SUM(Tabla1[[#This Row],[DEUDA DE LOS MESES PASADOS EN $$]:[DEUDA DEL AÑO 2013 $$ ]])</f>
        <v>0</v>
      </c>
      <c r="AD429">
        <f>Tabla1[[#This Row],[PAGO DE DEUDA ANTERIOR EN MESES]]*$T$2</f>
        <v>0</v>
      </c>
      <c r="AG429" s="100">
        <f>IF(Tabla1[[#This Row],[TIPO DE CONSUMIDOR]]="MEDIO",IF(Tabla1[[#This Row],[ENERO ]]&gt;22.5,Tabla1[[#This Row],[ENERO ]]/22.5-1,0),IF(Tabla1[[#This Row],[ENERO ]]&gt;45,Tabla1[[#This Row],[ENERO ]]/45-1,0))</f>
        <v>0</v>
      </c>
      <c r="AH42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29" s="100">
        <f>IF(Tabla1[[#This Row],[TIPO DE CONSUMIDOR]]="MEDIO",IF(Tabla1[[#This Row],[MARZO]]&gt;22.5,Tabla1[[#This Row],[MARZO]]/22.5-1,0),IF(Tabla1[[#This Row],[MARZO]]&gt;45,Tabla1[[#This Row],[MARZO]]/45-1,0))</f>
        <v>0</v>
      </c>
      <c r="AJ429" s="100">
        <f>IF(Tabla1[[#This Row],[TIPO DE CONSUMIDOR]]="MEDIO",IF(Tabla1[[#This Row],[ABRIL]]&gt;22.5,Tabla1[[#This Row],[ABRIL]]/22.5-1,0),IF(Tabla1[[#This Row],[ABRIL]]&gt;45,Tabla1[[#This Row],[ABRIL]]/45-1,0))</f>
        <v>0</v>
      </c>
      <c r="AK429" s="100">
        <f>IF(Tabla1[[#This Row],[TIPO DE CONSUMIDOR]]="MEDIO",IF(Tabla1[[#This Row],[MAYO ]]&gt;22.5,Tabla1[[#This Row],[MAYO ]]/22.5-1,0),IF(Tabla1[[#This Row],[MAYO ]]&gt;45,Tabla1[[#This Row],[MAYO ]]/45-1,0))</f>
        <v>0</v>
      </c>
      <c r="AL429" s="100">
        <f>IF(Tabla1[[#This Row],[TIPO DE CONSUMIDOR]]="MEDIO",IF(Tabla1[[#This Row],[JUNIO ]]&gt;22.5,Tabla1[[#This Row],[JUNIO ]]/22.5-1,0),IF(Tabla1[[#This Row],[JUNIO ]]&gt;45,Tabla1[[#This Row],[JUNIO ]]/45-1,0))</f>
        <v>0</v>
      </c>
      <c r="AM429" s="100">
        <f>IF(Tabla1[[#This Row],[TIPO DE CONSUMIDOR]]="MEDIO",IF(Tabla1[[#This Row],[JULIO ]]&gt;22.5,Tabla1[[#This Row],[JULIO ]]/22.5-1,0),IF(Tabla1[[#This Row],[JULIO ]]&gt;45,Tabla1[[#This Row],[JULIO ]]/45-1,0))</f>
        <v>0</v>
      </c>
      <c r="AN429" s="100">
        <f>IF(Tabla1[[#This Row],[TIPO DE CONSUMIDOR]]="MEDIO",IF(Tabla1[[#This Row],[AGOSTO]]&gt;22.5,Tabla1[[#This Row],[AGOSTO]]/22.5-1,0),IF(Tabla1[[#This Row],[AGOSTO]]&gt;45,Tabla1[[#This Row],[AGOSTO]]/45-1,0))</f>
        <v>0</v>
      </c>
      <c r="AO42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2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2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2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29" s="101">
        <f t="shared" si="13"/>
        <v>0</v>
      </c>
      <c r="AT429">
        <f>IF(Tabla1[[#This Row],[MES ADEUDO DE AÑOS PASADOS ]]&gt;0,1,0)</f>
        <v>0</v>
      </c>
      <c r="AU429" s="9">
        <f t="shared" si="14"/>
        <v>0</v>
      </c>
      <c r="AV429" s="60">
        <f>IF(Tabla1[[#This Row],[MESES DE ADEUDO DEL AÑO EN CURSO ]]&gt;0,1,0)</f>
        <v>0</v>
      </c>
      <c r="AW429" s="42"/>
      <c r="AX429" s="42"/>
      <c r="AY429" s="42"/>
      <c r="AZ429" s="43"/>
    </row>
    <row r="430" spans="1:52" ht="21.75" thickBot="1" x14ac:dyDescent="0.35">
      <c r="A430" s="106">
        <v>424</v>
      </c>
      <c r="B430" s="5" t="s">
        <v>220</v>
      </c>
      <c r="C430" s="2" t="s">
        <v>562</v>
      </c>
      <c r="D430" s="32"/>
      <c r="E430" s="35" t="s">
        <v>489</v>
      </c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24">
        <f>SUM(Tabla1[[#This Row],[ENERO ]:[DICIEMBRE]])</f>
        <v>0</v>
      </c>
      <c r="W430">
        <v>0</v>
      </c>
      <c r="X430" s="21">
        <f>COUNTIF(Tabla1[[#This Row],[ENERO ]:[DICIEMBRE]],0)-(AS430)-IF(Tabla1[[#This Row],[BAJAS]]="BAJA",IF(Tabla1[[#This Row],[ALTAS]]="ALTA",VLOOKUP(Tabla1[[#This Row],[MES DE ALTA ]],$AW$6:$AX$17,2,FALSE),12)-VLOOKUP(Tabla1[[#This Row],[MES DE BAJA ]],$AW$6:$AX$17,2,FALSE),0)</f>
        <v>0</v>
      </c>
      <c r="Y430" s="68">
        <f>SUM(Tabla1[[#This Row],[MES ADEUDO DE AÑOS PASADOS ]:[MESES DE ADEUDO DEL AÑO EN CURSO ]])-Tabla1[[#This Row],[PAGO DE DEUDA ANTERIOR EN MESES]]</f>
        <v>0</v>
      </c>
      <c r="Z430" s="15">
        <f>Tabla1[[#This Row],[MES ADEUDO DE AÑOS PASADOS ]]*$T$2</f>
        <v>0</v>
      </c>
      <c r="AA430" s="15">
        <f>Tabla1[[#This Row],[MESES DE ADEUDO DEL AÑO EN CURSO ]]*$T$2</f>
        <v>0</v>
      </c>
      <c r="AB430" s="69">
        <f>SUM(Tabla1[[#This Row],[DEUDA DE LOS MESES PASADOS EN $$]:[DEUDA DEL AÑO 2013 $$ ]])</f>
        <v>0</v>
      </c>
      <c r="AD430">
        <f>Tabla1[[#This Row],[PAGO DE DEUDA ANTERIOR EN MESES]]*$T$2</f>
        <v>0</v>
      </c>
      <c r="AG430" s="100">
        <f>IF(Tabla1[[#This Row],[TIPO DE CONSUMIDOR]]="MEDIO",IF(Tabla1[[#This Row],[ENERO ]]&gt;22.5,Tabla1[[#This Row],[ENERO ]]/22.5-1,0),IF(Tabla1[[#This Row],[ENERO ]]&gt;45,Tabla1[[#This Row],[ENERO ]]/45-1,0))</f>
        <v>0</v>
      </c>
      <c r="AH43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0" s="100">
        <f>IF(Tabla1[[#This Row],[TIPO DE CONSUMIDOR]]="MEDIO",IF(Tabla1[[#This Row],[MARZO]]&gt;22.5,Tabla1[[#This Row],[MARZO]]/22.5-1,0),IF(Tabla1[[#This Row],[MARZO]]&gt;45,Tabla1[[#This Row],[MARZO]]/45-1,0))</f>
        <v>0</v>
      </c>
      <c r="AJ430" s="100">
        <f>IF(Tabla1[[#This Row],[TIPO DE CONSUMIDOR]]="MEDIO",IF(Tabla1[[#This Row],[ABRIL]]&gt;22.5,Tabla1[[#This Row],[ABRIL]]/22.5-1,0),IF(Tabla1[[#This Row],[ABRIL]]&gt;45,Tabla1[[#This Row],[ABRIL]]/45-1,0))</f>
        <v>0</v>
      </c>
      <c r="AK430" s="100">
        <f>IF(Tabla1[[#This Row],[TIPO DE CONSUMIDOR]]="MEDIO",IF(Tabla1[[#This Row],[MAYO ]]&gt;22.5,Tabla1[[#This Row],[MAYO ]]/22.5-1,0),IF(Tabla1[[#This Row],[MAYO ]]&gt;45,Tabla1[[#This Row],[MAYO ]]/45-1,0))</f>
        <v>0</v>
      </c>
      <c r="AL430" s="100">
        <f>IF(Tabla1[[#This Row],[TIPO DE CONSUMIDOR]]="MEDIO",IF(Tabla1[[#This Row],[JUNIO ]]&gt;22.5,Tabla1[[#This Row],[JUNIO ]]/22.5-1,0),IF(Tabla1[[#This Row],[JUNIO ]]&gt;45,Tabla1[[#This Row],[JUNIO ]]/45-1,0))</f>
        <v>0</v>
      </c>
      <c r="AM430" s="100">
        <f>IF(Tabla1[[#This Row],[TIPO DE CONSUMIDOR]]="MEDIO",IF(Tabla1[[#This Row],[JULIO ]]&gt;22.5,Tabla1[[#This Row],[JULIO ]]/22.5-1,0),IF(Tabla1[[#This Row],[JULIO ]]&gt;45,Tabla1[[#This Row],[JULIO ]]/45-1,0))</f>
        <v>0</v>
      </c>
      <c r="AN430" s="100">
        <f>IF(Tabla1[[#This Row],[TIPO DE CONSUMIDOR]]="MEDIO",IF(Tabla1[[#This Row],[AGOSTO]]&gt;22.5,Tabla1[[#This Row],[AGOSTO]]/22.5-1,0),IF(Tabla1[[#This Row],[AGOSTO]]&gt;45,Tabla1[[#This Row],[AGOSTO]]/45-1,0))</f>
        <v>0</v>
      </c>
      <c r="AO43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0" s="101">
        <f t="shared" si="13"/>
        <v>0</v>
      </c>
      <c r="AT430">
        <f>IF(Tabla1[[#This Row],[MES ADEUDO DE AÑOS PASADOS ]]&gt;0,1,0)</f>
        <v>0</v>
      </c>
      <c r="AU430" s="9">
        <f t="shared" si="14"/>
        <v>0</v>
      </c>
      <c r="AV430" s="60">
        <f>IF(Tabla1[[#This Row],[MESES DE ADEUDO DEL AÑO EN CURSO ]]&gt;0,1,0)</f>
        <v>0</v>
      </c>
      <c r="AW430" s="42"/>
      <c r="AX430" s="42"/>
      <c r="AY430" s="42"/>
      <c r="AZ430" s="43"/>
    </row>
    <row r="431" spans="1:52" ht="21.75" thickBot="1" x14ac:dyDescent="0.35">
      <c r="A431" s="106">
        <v>425</v>
      </c>
      <c r="B431" s="5" t="s">
        <v>227</v>
      </c>
      <c r="C431" s="2" t="s">
        <v>562</v>
      </c>
      <c r="D431" s="32"/>
      <c r="E431" s="35" t="s">
        <v>455</v>
      </c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24">
        <f>SUM(Tabla1[[#This Row],[ENERO ]:[DICIEMBRE]])</f>
        <v>0</v>
      </c>
      <c r="W431">
        <v>0</v>
      </c>
      <c r="X431" s="21">
        <f>COUNTIF(Tabla1[[#This Row],[ENERO ]:[DICIEMBRE]],0)-(AS431)-IF(Tabla1[[#This Row],[BAJAS]]="BAJA",IF(Tabla1[[#This Row],[ALTAS]]="ALTA",VLOOKUP(Tabla1[[#This Row],[MES DE ALTA ]],$AW$6:$AX$17,2,FALSE),12)-VLOOKUP(Tabla1[[#This Row],[MES DE BAJA ]],$AW$6:$AX$17,2,FALSE),0)</f>
        <v>0</v>
      </c>
      <c r="Y431" s="68">
        <f>SUM(Tabla1[[#This Row],[MES ADEUDO DE AÑOS PASADOS ]:[MESES DE ADEUDO DEL AÑO EN CURSO ]])-Tabla1[[#This Row],[PAGO DE DEUDA ANTERIOR EN MESES]]</f>
        <v>0</v>
      </c>
      <c r="Z431" s="15">
        <f>Tabla1[[#This Row],[MES ADEUDO DE AÑOS PASADOS ]]*$T$2</f>
        <v>0</v>
      </c>
      <c r="AA431" s="15">
        <f>Tabla1[[#This Row],[MESES DE ADEUDO DEL AÑO EN CURSO ]]*$T$2</f>
        <v>0</v>
      </c>
      <c r="AB431" s="69">
        <f>SUM(Tabla1[[#This Row],[DEUDA DE LOS MESES PASADOS EN $$]:[DEUDA DEL AÑO 2013 $$ ]])</f>
        <v>0</v>
      </c>
      <c r="AD431">
        <f>Tabla1[[#This Row],[PAGO DE DEUDA ANTERIOR EN MESES]]*$T$2</f>
        <v>0</v>
      </c>
      <c r="AG431" s="100">
        <f>IF(Tabla1[[#This Row],[TIPO DE CONSUMIDOR]]="MEDIO",IF(Tabla1[[#This Row],[ENERO ]]&gt;22.5,Tabla1[[#This Row],[ENERO ]]/22.5-1,0),IF(Tabla1[[#This Row],[ENERO ]]&gt;45,Tabla1[[#This Row],[ENERO ]]/45-1,0))</f>
        <v>0</v>
      </c>
      <c r="AH43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1" s="100">
        <f>IF(Tabla1[[#This Row],[TIPO DE CONSUMIDOR]]="MEDIO",IF(Tabla1[[#This Row],[MARZO]]&gt;22.5,Tabla1[[#This Row],[MARZO]]/22.5-1,0),IF(Tabla1[[#This Row],[MARZO]]&gt;45,Tabla1[[#This Row],[MARZO]]/45-1,0))</f>
        <v>0</v>
      </c>
      <c r="AJ431" s="100">
        <f>IF(Tabla1[[#This Row],[TIPO DE CONSUMIDOR]]="MEDIO",IF(Tabla1[[#This Row],[ABRIL]]&gt;22.5,Tabla1[[#This Row],[ABRIL]]/22.5-1,0),IF(Tabla1[[#This Row],[ABRIL]]&gt;45,Tabla1[[#This Row],[ABRIL]]/45-1,0))</f>
        <v>0</v>
      </c>
      <c r="AK431" s="100">
        <f>IF(Tabla1[[#This Row],[TIPO DE CONSUMIDOR]]="MEDIO",IF(Tabla1[[#This Row],[MAYO ]]&gt;22.5,Tabla1[[#This Row],[MAYO ]]/22.5-1,0),IF(Tabla1[[#This Row],[MAYO ]]&gt;45,Tabla1[[#This Row],[MAYO ]]/45-1,0))</f>
        <v>0</v>
      </c>
      <c r="AL431" s="100">
        <f>IF(Tabla1[[#This Row],[TIPO DE CONSUMIDOR]]="MEDIO",IF(Tabla1[[#This Row],[JUNIO ]]&gt;22.5,Tabla1[[#This Row],[JUNIO ]]/22.5-1,0),IF(Tabla1[[#This Row],[JUNIO ]]&gt;45,Tabla1[[#This Row],[JUNIO ]]/45-1,0))</f>
        <v>0</v>
      </c>
      <c r="AM431" s="100">
        <f>IF(Tabla1[[#This Row],[TIPO DE CONSUMIDOR]]="MEDIO",IF(Tabla1[[#This Row],[JULIO ]]&gt;22.5,Tabla1[[#This Row],[JULIO ]]/22.5-1,0),IF(Tabla1[[#This Row],[JULIO ]]&gt;45,Tabla1[[#This Row],[JULIO ]]/45-1,0))</f>
        <v>0</v>
      </c>
      <c r="AN431" s="100">
        <f>IF(Tabla1[[#This Row],[TIPO DE CONSUMIDOR]]="MEDIO",IF(Tabla1[[#This Row],[AGOSTO]]&gt;22.5,Tabla1[[#This Row],[AGOSTO]]/22.5-1,0),IF(Tabla1[[#This Row],[AGOSTO]]&gt;45,Tabla1[[#This Row],[AGOSTO]]/45-1,0))</f>
        <v>0</v>
      </c>
      <c r="AO43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1" s="101">
        <f t="shared" si="13"/>
        <v>0</v>
      </c>
      <c r="AT431">
        <f>IF(Tabla1[[#This Row],[MES ADEUDO DE AÑOS PASADOS ]]&gt;0,1,0)</f>
        <v>0</v>
      </c>
      <c r="AU431" s="9">
        <f t="shared" si="14"/>
        <v>0</v>
      </c>
      <c r="AV431" s="60">
        <f>IF(Tabla1[[#This Row],[MESES DE ADEUDO DEL AÑO EN CURSO ]]&gt;0,1,0)</f>
        <v>0</v>
      </c>
      <c r="AW431" s="42"/>
      <c r="AX431" s="42"/>
      <c r="AY431" s="42"/>
      <c r="AZ431" s="43"/>
    </row>
    <row r="432" spans="1:52" ht="21.75" thickBot="1" x14ac:dyDescent="0.35">
      <c r="A432" s="106">
        <v>426</v>
      </c>
      <c r="B432" s="5" t="s">
        <v>222</v>
      </c>
      <c r="C432" s="2" t="s">
        <v>562</v>
      </c>
      <c r="D432" s="46"/>
      <c r="E432" s="36" t="s">
        <v>455</v>
      </c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24">
        <f>SUM(Tabla1[[#This Row],[ENERO ]:[DICIEMBRE]])</f>
        <v>0</v>
      </c>
      <c r="W432">
        <v>0</v>
      </c>
      <c r="X432" s="21">
        <f>COUNTIF(Tabla1[[#This Row],[ENERO ]:[DICIEMBRE]],0)-(AS432)-IF(Tabla1[[#This Row],[BAJAS]]="BAJA",IF(Tabla1[[#This Row],[ALTAS]]="ALTA",VLOOKUP(Tabla1[[#This Row],[MES DE ALTA ]],$AW$6:$AX$17,2,FALSE),12)-VLOOKUP(Tabla1[[#This Row],[MES DE BAJA ]],$AW$6:$AX$17,2,FALSE),0)</f>
        <v>0</v>
      </c>
      <c r="Y432" s="68">
        <f>SUM(Tabla1[[#This Row],[MES ADEUDO DE AÑOS PASADOS ]:[MESES DE ADEUDO DEL AÑO EN CURSO ]])-Tabla1[[#This Row],[PAGO DE DEUDA ANTERIOR EN MESES]]</f>
        <v>0</v>
      </c>
      <c r="Z432" s="15">
        <f>Tabla1[[#This Row],[MES ADEUDO DE AÑOS PASADOS ]]*$T$2</f>
        <v>0</v>
      </c>
      <c r="AA432" s="15">
        <f>Tabla1[[#This Row],[MESES DE ADEUDO DEL AÑO EN CURSO ]]*$T$2</f>
        <v>0</v>
      </c>
      <c r="AB432" s="69">
        <f>SUM(Tabla1[[#This Row],[DEUDA DE LOS MESES PASADOS EN $$]:[DEUDA DEL AÑO 2013 $$ ]])</f>
        <v>0</v>
      </c>
      <c r="AD432">
        <f>Tabla1[[#This Row],[PAGO DE DEUDA ANTERIOR EN MESES]]*$T$2</f>
        <v>0</v>
      </c>
      <c r="AG432" s="100">
        <f>IF(Tabla1[[#This Row],[TIPO DE CONSUMIDOR]]="MEDIO",IF(Tabla1[[#This Row],[ENERO ]]&gt;22.5,Tabla1[[#This Row],[ENERO ]]/22.5-1,0),IF(Tabla1[[#This Row],[ENERO ]]&gt;45,Tabla1[[#This Row],[ENERO ]]/45-1,0))</f>
        <v>0</v>
      </c>
      <c r="AH43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2" s="100">
        <f>IF(Tabla1[[#This Row],[TIPO DE CONSUMIDOR]]="MEDIO",IF(Tabla1[[#This Row],[MARZO]]&gt;22.5,Tabla1[[#This Row],[MARZO]]/22.5-1,0),IF(Tabla1[[#This Row],[MARZO]]&gt;45,Tabla1[[#This Row],[MARZO]]/45-1,0))</f>
        <v>0</v>
      </c>
      <c r="AJ432" s="100">
        <f>IF(Tabla1[[#This Row],[TIPO DE CONSUMIDOR]]="MEDIO",IF(Tabla1[[#This Row],[ABRIL]]&gt;22.5,Tabla1[[#This Row],[ABRIL]]/22.5-1,0),IF(Tabla1[[#This Row],[ABRIL]]&gt;45,Tabla1[[#This Row],[ABRIL]]/45-1,0))</f>
        <v>0</v>
      </c>
      <c r="AK432" s="100">
        <f>IF(Tabla1[[#This Row],[TIPO DE CONSUMIDOR]]="MEDIO",IF(Tabla1[[#This Row],[MAYO ]]&gt;22.5,Tabla1[[#This Row],[MAYO ]]/22.5-1,0),IF(Tabla1[[#This Row],[MAYO ]]&gt;45,Tabla1[[#This Row],[MAYO ]]/45-1,0))</f>
        <v>0</v>
      </c>
      <c r="AL432" s="100">
        <f>IF(Tabla1[[#This Row],[TIPO DE CONSUMIDOR]]="MEDIO",IF(Tabla1[[#This Row],[JUNIO ]]&gt;22.5,Tabla1[[#This Row],[JUNIO ]]/22.5-1,0),IF(Tabla1[[#This Row],[JUNIO ]]&gt;45,Tabla1[[#This Row],[JUNIO ]]/45-1,0))</f>
        <v>0</v>
      </c>
      <c r="AM432" s="100">
        <f>IF(Tabla1[[#This Row],[TIPO DE CONSUMIDOR]]="MEDIO",IF(Tabla1[[#This Row],[JULIO ]]&gt;22.5,Tabla1[[#This Row],[JULIO ]]/22.5-1,0),IF(Tabla1[[#This Row],[JULIO ]]&gt;45,Tabla1[[#This Row],[JULIO ]]/45-1,0))</f>
        <v>0</v>
      </c>
      <c r="AN432" s="100">
        <f>IF(Tabla1[[#This Row],[TIPO DE CONSUMIDOR]]="MEDIO",IF(Tabla1[[#This Row],[AGOSTO]]&gt;22.5,Tabla1[[#This Row],[AGOSTO]]/22.5-1,0),IF(Tabla1[[#This Row],[AGOSTO]]&gt;45,Tabla1[[#This Row],[AGOSTO]]/45-1,0))</f>
        <v>0</v>
      </c>
      <c r="AO43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2" s="101">
        <f t="shared" si="13"/>
        <v>0</v>
      </c>
      <c r="AT432">
        <f>IF(Tabla1[[#This Row],[MES ADEUDO DE AÑOS PASADOS ]]&gt;0,1,0)</f>
        <v>0</v>
      </c>
      <c r="AU432" s="9">
        <f t="shared" si="14"/>
        <v>0</v>
      </c>
      <c r="AV432" s="60">
        <f>IF(Tabla1[[#This Row],[MESES DE ADEUDO DEL AÑO EN CURSO ]]&gt;0,1,0)</f>
        <v>0</v>
      </c>
      <c r="AW432" s="42"/>
      <c r="AX432" s="42"/>
      <c r="AY432" s="42"/>
      <c r="AZ432" s="43"/>
    </row>
    <row r="433" spans="1:52" ht="21.75" thickBot="1" x14ac:dyDescent="0.35">
      <c r="A433" s="106">
        <v>427</v>
      </c>
      <c r="B433" s="5" t="s">
        <v>221</v>
      </c>
      <c r="C433" s="2" t="s">
        <v>562</v>
      </c>
      <c r="D433" s="46"/>
      <c r="E433" s="36" t="s">
        <v>455</v>
      </c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24">
        <f>SUM(Tabla1[[#This Row],[ENERO ]:[DICIEMBRE]])</f>
        <v>0</v>
      </c>
      <c r="W433">
        <v>0</v>
      </c>
      <c r="X433" s="21">
        <f>COUNTIF(Tabla1[[#This Row],[ENERO ]:[DICIEMBRE]],0)-(AS433)-IF(Tabla1[[#This Row],[BAJAS]]="BAJA",IF(Tabla1[[#This Row],[ALTAS]]="ALTA",VLOOKUP(Tabla1[[#This Row],[MES DE ALTA ]],$AW$6:$AX$17,2,FALSE),12)-VLOOKUP(Tabla1[[#This Row],[MES DE BAJA ]],$AW$6:$AX$17,2,FALSE),0)</f>
        <v>0</v>
      </c>
      <c r="Y433" s="68">
        <f>SUM(Tabla1[[#This Row],[MES ADEUDO DE AÑOS PASADOS ]:[MESES DE ADEUDO DEL AÑO EN CURSO ]])-Tabla1[[#This Row],[PAGO DE DEUDA ANTERIOR EN MESES]]</f>
        <v>0</v>
      </c>
      <c r="Z433" s="15">
        <f>Tabla1[[#This Row],[MES ADEUDO DE AÑOS PASADOS ]]*$T$2</f>
        <v>0</v>
      </c>
      <c r="AA433" s="15">
        <f>Tabla1[[#This Row],[MESES DE ADEUDO DEL AÑO EN CURSO ]]*$T$2</f>
        <v>0</v>
      </c>
      <c r="AB433" s="69">
        <f>SUM(Tabla1[[#This Row],[DEUDA DE LOS MESES PASADOS EN $$]:[DEUDA DEL AÑO 2013 $$ ]])</f>
        <v>0</v>
      </c>
      <c r="AD433">
        <f>Tabla1[[#This Row],[PAGO DE DEUDA ANTERIOR EN MESES]]*$T$2</f>
        <v>0</v>
      </c>
      <c r="AG433" s="100">
        <f>IF(Tabla1[[#This Row],[TIPO DE CONSUMIDOR]]="MEDIO",IF(Tabla1[[#This Row],[ENERO ]]&gt;22.5,Tabla1[[#This Row],[ENERO ]]/22.5-1,0),IF(Tabla1[[#This Row],[ENERO ]]&gt;45,Tabla1[[#This Row],[ENERO ]]/45-1,0))</f>
        <v>0</v>
      </c>
      <c r="AH43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3" s="100">
        <f>IF(Tabla1[[#This Row],[TIPO DE CONSUMIDOR]]="MEDIO",IF(Tabla1[[#This Row],[MARZO]]&gt;22.5,Tabla1[[#This Row],[MARZO]]/22.5-1,0),IF(Tabla1[[#This Row],[MARZO]]&gt;45,Tabla1[[#This Row],[MARZO]]/45-1,0))</f>
        <v>0</v>
      </c>
      <c r="AJ433" s="100">
        <f>IF(Tabla1[[#This Row],[TIPO DE CONSUMIDOR]]="MEDIO",IF(Tabla1[[#This Row],[ABRIL]]&gt;22.5,Tabla1[[#This Row],[ABRIL]]/22.5-1,0),IF(Tabla1[[#This Row],[ABRIL]]&gt;45,Tabla1[[#This Row],[ABRIL]]/45-1,0))</f>
        <v>0</v>
      </c>
      <c r="AK433" s="100">
        <f>IF(Tabla1[[#This Row],[TIPO DE CONSUMIDOR]]="MEDIO",IF(Tabla1[[#This Row],[MAYO ]]&gt;22.5,Tabla1[[#This Row],[MAYO ]]/22.5-1,0),IF(Tabla1[[#This Row],[MAYO ]]&gt;45,Tabla1[[#This Row],[MAYO ]]/45-1,0))</f>
        <v>0</v>
      </c>
      <c r="AL433" s="100">
        <f>IF(Tabla1[[#This Row],[TIPO DE CONSUMIDOR]]="MEDIO",IF(Tabla1[[#This Row],[JUNIO ]]&gt;22.5,Tabla1[[#This Row],[JUNIO ]]/22.5-1,0),IF(Tabla1[[#This Row],[JUNIO ]]&gt;45,Tabla1[[#This Row],[JUNIO ]]/45-1,0))</f>
        <v>0</v>
      </c>
      <c r="AM433" s="100">
        <f>IF(Tabla1[[#This Row],[TIPO DE CONSUMIDOR]]="MEDIO",IF(Tabla1[[#This Row],[JULIO ]]&gt;22.5,Tabla1[[#This Row],[JULIO ]]/22.5-1,0),IF(Tabla1[[#This Row],[JULIO ]]&gt;45,Tabla1[[#This Row],[JULIO ]]/45-1,0))</f>
        <v>0</v>
      </c>
      <c r="AN433" s="100">
        <f>IF(Tabla1[[#This Row],[TIPO DE CONSUMIDOR]]="MEDIO",IF(Tabla1[[#This Row],[AGOSTO]]&gt;22.5,Tabla1[[#This Row],[AGOSTO]]/22.5-1,0),IF(Tabla1[[#This Row],[AGOSTO]]&gt;45,Tabla1[[#This Row],[AGOSTO]]/45-1,0))</f>
        <v>0</v>
      </c>
      <c r="AO43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3" s="101">
        <f t="shared" si="13"/>
        <v>0</v>
      </c>
      <c r="AT433">
        <f>IF(Tabla1[[#This Row],[MES ADEUDO DE AÑOS PASADOS ]]&gt;0,1,0)</f>
        <v>0</v>
      </c>
      <c r="AU433" s="9">
        <f t="shared" si="14"/>
        <v>0</v>
      </c>
      <c r="AV433" s="60">
        <f>IF(Tabla1[[#This Row],[MESES DE ADEUDO DEL AÑO EN CURSO ]]&gt;0,1,0)</f>
        <v>0</v>
      </c>
      <c r="AW433" s="42"/>
      <c r="AX433" s="42"/>
      <c r="AY433" s="42"/>
      <c r="AZ433" s="43"/>
    </row>
    <row r="434" spans="1:52" ht="21.75" thickBot="1" x14ac:dyDescent="0.35">
      <c r="A434" s="106">
        <v>428</v>
      </c>
      <c r="B434" s="5" t="s">
        <v>246</v>
      </c>
      <c r="C434" s="2" t="s">
        <v>562</v>
      </c>
      <c r="D434" s="46"/>
      <c r="E434" s="36" t="s">
        <v>455</v>
      </c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24">
        <f>SUM(Tabla1[[#This Row],[ENERO ]:[DICIEMBRE]])</f>
        <v>0</v>
      </c>
      <c r="W434">
        <v>0</v>
      </c>
      <c r="X434" s="21">
        <f>COUNTIF(Tabla1[[#This Row],[ENERO ]:[DICIEMBRE]],0)-(AS434)-IF(Tabla1[[#This Row],[BAJAS]]="BAJA",IF(Tabla1[[#This Row],[ALTAS]]="ALTA",VLOOKUP(Tabla1[[#This Row],[MES DE ALTA ]],$AW$6:$AX$17,2,FALSE),12)-VLOOKUP(Tabla1[[#This Row],[MES DE BAJA ]],$AW$6:$AX$17,2,FALSE),0)</f>
        <v>0</v>
      </c>
      <c r="Y434" s="68">
        <f>SUM(Tabla1[[#This Row],[MES ADEUDO DE AÑOS PASADOS ]:[MESES DE ADEUDO DEL AÑO EN CURSO ]])-Tabla1[[#This Row],[PAGO DE DEUDA ANTERIOR EN MESES]]</f>
        <v>0</v>
      </c>
      <c r="Z434" s="15">
        <f>Tabla1[[#This Row],[MES ADEUDO DE AÑOS PASADOS ]]*$T$2</f>
        <v>0</v>
      </c>
      <c r="AA434" s="15">
        <f>Tabla1[[#This Row],[MESES DE ADEUDO DEL AÑO EN CURSO ]]*$T$2</f>
        <v>0</v>
      </c>
      <c r="AB434" s="69">
        <f>SUM(Tabla1[[#This Row],[DEUDA DE LOS MESES PASADOS EN $$]:[DEUDA DEL AÑO 2013 $$ ]])</f>
        <v>0</v>
      </c>
      <c r="AD434">
        <f>Tabla1[[#This Row],[PAGO DE DEUDA ANTERIOR EN MESES]]*$T$2</f>
        <v>0</v>
      </c>
      <c r="AG434" s="100">
        <f>IF(Tabla1[[#This Row],[TIPO DE CONSUMIDOR]]="MEDIO",IF(Tabla1[[#This Row],[ENERO ]]&gt;22.5,Tabla1[[#This Row],[ENERO ]]/22.5-1,0),IF(Tabla1[[#This Row],[ENERO ]]&gt;45,Tabla1[[#This Row],[ENERO ]]/45-1,0))</f>
        <v>0</v>
      </c>
      <c r="AH43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4" s="100">
        <f>IF(Tabla1[[#This Row],[TIPO DE CONSUMIDOR]]="MEDIO",IF(Tabla1[[#This Row],[MARZO]]&gt;22.5,Tabla1[[#This Row],[MARZO]]/22.5-1,0),IF(Tabla1[[#This Row],[MARZO]]&gt;45,Tabla1[[#This Row],[MARZO]]/45-1,0))</f>
        <v>0</v>
      </c>
      <c r="AJ434" s="100">
        <f>IF(Tabla1[[#This Row],[TIPO DE CONSUMIDOR]]="MEDIO",IF(Tabla1[[#This Row],[ABRIL]]&gt;22.5,Tabla1[[#This Row],[ABRIL]]/22.5-1,0),IF(Tabla1[[#This Row],[ABRIL]]&gt;45,Tabla1[[#This Row],[ABRIL]]/45-1,0))</f>
        <v>0</v>
      </c>
      <c r="AK434" s="100">
        <f>IF(Tabla1[[#This Row],[TIPO DE CONSUMIDOR]]="MEDIO",IF(Tabla1[[#This Row],[MAYO ]]&gt;22.5,Tabla1[[#This Row],[MAYO ]]/22.5-1,0),IF(Tabla1[[#This Row],[MAYO ]]&gt;45,Tabla1[[#This Row],[MAYO ]]/45-1,0))</f>
        <v>0</v>
      </c>
      <c r="AL434" s="100">
        <f>IF(Tabla1[[#This Row],[TIPO DE CONSUMIDOR]]="MEDIO",IF(Tabla1[[#This Row],[JUNIO ]]&gt;22.5,Tabla1[[#This Row],[JUNIO ]]/22.5-1,0),IF(Tabla1[[#This Row],[JUNIO ]]&gt;45,Tabla1[[#This Row],[JUNIO ]]/45-1,0))</f>
        <v>0</v>
      </c>
      <c r="AM434" s="100">
        <f>IF(Tabla1[[#This Row],[TIPO DE CONSUMIDOR]]="MEDIO",IF(Tabla1[[#This Row],[JULIO ]]&gt;22.5,Tabla1[[#This Row],[JULIO ]]/22.5-1,0),IF(Tabla1[[#This Row],[JULIO ]]&gt;45,Tabla1[[#This Row],[JULIO ]]/45-1,0))</f>
        <v>0</v>
      </c>
      <c r="AN434" s="100">
        <f>IF(Tabla1[[#This Row],[TIPO DE CONSUMIDOR]]="MEDIO",IF(Tabla1[[#This Row],[AGOSTO]]&gt;22.5,Tabla1[[#This Row],[AGOSTO]]/22.5-1,0),IF(Tabla1[[#This Row],[AGOSTO]]&gt;45,Tabla1[[#This Row],[AGOSTO]]/45-1,0))</f>
        <v>0</v>
      </c>
      <c r="AO43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4" s="101">
        <f t="shared" si="13"/>
        <v>0</v>
      </c>
      <c r="AT434">
        <f>IF(Tabla1[[#This Row],[MES ADEUDO DE AÑOS PASADOS ]]&gt;0,1,0)</f>
        <v>0</v>
      </c>
      <c r="AU434" s="9">
        <f t="shared" si="14"/>
        <v>0</v>
      </c>
      <c r="AV434" s="60">
        <f>IF(Tabla1[[#This Row],[MESES DE ADEUDO DEL AÑO EN CURSO ]]&gt;0,1,0)</f>
        <v>0</v>
      </c>
      <c r="AW434" s="42"/>
      <c r="AX434" s="42"/>
      <c r="AY434" s="42"/>
      <c r="AZ434" s="43"/>
    </row>
    <row r="435" spans="1:52" ht="21.75" thickBot="1" x14ac:dyDescent="0.35">
      <c r="A435" s="106">
        <v>429</v>
      </c>
      <c r="B435" s="5" t="s">
        <v>239</v>
      </c>
      <c r="C435" s="2" t="s">
        <v>562</v>
      </c>
      <c r="D435" s="46"/>
      <c r="E435" s="36" t="s">
        <v>455</v>
      </c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58">
        <f>SUM(Tabla1[[#This Row],[ENERO ]:[DICIEMBRE]])</f>
        <v>0</v>
      </c>
      <c r="W435">
        <v>0</v>
      </c>
      <c r="X435" s="21">
        <f>COUNTIF(Tabla1[[#This Row],[ENERO ]:[DICIEMBRE]],0)-(AS435)-IF(Tabla1[[#This Row],[BAJAS]]="BAJA",IF(Tabla1[[#This Row],[ALTAS]]="ALTA",VLOOKUP(Tabla1[[#This Row],[MES DE ALTA ]],$AW$6:$AX$17,2,FALSE),12)-VLOOKUP(Tabla1[[#This Row],[MES DE BAJA ]],$AW$6:$AX$17,2,FALSE),0)</f>
        <v>0</v>
      </c>
      <c r="Y435" s="68">
        <f>SUM(Tabla1[[#This Row],[MES ADEUDO DE AÑOS PASADOS ]:[MESES DE ADEUDO DEL AÑO EN CURSO ]])-Tabla1[[#This Row],[PAGO DE DEUDA ANTERIOR EN MESES]]</f>
        <v>0</v>
      </c>
      <c r="Z435" s="15">
        <f>Tabla1[[#This Row],[MES ADEUDO DE AÑOS PASADOS ]]*$T$2</f>
        <v>0</v>
      </c>
      <c r="AA435" s="15">
        <f>Tabla1[[#This Row],[MESES DE ADEUDO DEL AÑO EN CURSO ]]*$T$2</f>
        <v>0</v>
      </c>
      <c r="AB435" s="69">
        <f>SUM(Tabla1[[#This Row],[DEUDA DE LOS MESES PASADOS EN $$]:[DEUDA DEL AÑO 2013 $$ ]])</f>
        <v>0</v>
      </c>
      <c r="AD435">
        <f>Tabla1[[#This Row],[PAGO DE DEUDA ANTERIOR EN MESES]]*$T$2</f>
        <v>0</v>
      </c>
      <c r="AG435" s="100">
        <f>IF(Tabla1[[#This Row],[TIPO DE CONSUMIDOR]]="MEDIO",IF(Tabla1[[#This Row],[ENERO ]]&gt;22.5,Tabla1[[#This Row],[ENERO ]]/22.5-1,0),IF(Tabla1[[#This Row],[ENERO ]]&gt;45,Tabla1[[#This Row],[ENERO ]]/45-1,0))</f>
        <v>0</v>
      </c>
      <c r="AH43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5" s="100">
        <f>IF(Tabla1[[#This Row],[TIPO DE CONSUMIDOR]]="MEDIO",IF(Tabla1[[#This Row],[MARZO]]&gt;22.5,Tabla1[[#This Row],[MARZO]]/22.5-1,0),IF(Tabla1[[#This Row],[MARZO]]&gt;45,Tabla1[[#This Row],[MARZO]]/45-1,0))</f>
        <v>0</v>
      </c>
      <c r="AJ435" s="100">
        <f>IF(Tabla1[[#This Row],[TIPO DE CONSUMIDOR]]="MEDIO",IF(Tabla1[[#This Row],[ABRIL]]&gt;22.5,Tabla1[[#This Row],[ABRIL]]/22.5-1,0),IF(Tabla1[[#This Row],[ABRIL]]&gt;45,Tabla1[[#This Row],[ABRIL]]/45-1,0))</f>
        <v>0</v>
      </c>
      <c r="AK435" s="100">
        <f>IF(Tabla1[[#This Row],[TIPO DE CONSUMIDOR]]="MEDIO",IF(Tabla1[[#This Row],[MAYO ]]&gt;22.5,Tabla1[[#This Row],[MAYO ]]/22.5-1,0),IF(Tabla1[[#This Row],[MAYO ]]&gt;45,Tabla1[[#This Row],[MAYO ]]/45-1,0))</f>
        <v>0</v>
      </c>
      <c r="AL435" s="100">
        <f>IF(Tabla1[[#This Row],[TIPO DE CONSUMIDOR]]="MEDIO",IF(Tabla1[[#This Row],[JUNIO ]]&gt;22.5,Tabla1[[#This Row],[JUNIO ]]/22.5-1,0),IF(Tabla1[[#This Row],[JUNIO ]]&gt;45,Tabla1[[#This Row],[JUNIO ]]/45-1,0))</f>
        <v>0</v>
      </c>
      <c r="AM435" s="100">
        <f>IF(Tabla1[[#This Row],[TIPO DE CONSUMIDOR]]="MEDIO",IF(Tabla1[[#This Row],[JULIO ]]&gt;22.5,Tabla1[[#This Row],[JULIO ]]/22.5-1,0),IF(Tabla1[[#This Row],[JULIO ]]&gt;45,Tabla1[[#This Row],[JULIO ]]/45-1,0))</f>
        <v>0</v>
      </c>
      <c r="AN435" s="100">
        <f>IF(Tabla1[[#This Row],[TIPO DE CONSUMIDOR]]="MEDIO",IF(Tabla1[[#This Row],[AGOSTO]]&gt;22.5,Tabla1[[#This Row],[AGOSTO]]/22.5-1,0),IF(Tabla1[[#This Row],[AGOSTO]]&gt;45,Tabla1[[#This Row],[AGOSTO]]/45-1,0))</f>
        <v>0</v>
      </c>
      <c r="AO43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5" s="101">
        <f t="shared" si="13"/>
        <v>0</v>
      </c>
      <c r="AT435">
        <f>IF(Tabla1[[#This Row],[MES ADEUDO DE AÑOS PASADOS ]]&gt;0,1,0)</f>
        <v>0</v>
      </c>
      <c r="AU435" s="9">
        <f t="shared" si="14"/>
        <v>0</v>
      </c>
      <c r="AV435" s="60">
        <f>IF(Tabla1[[#This Row],[MESES DE ADEUDO DEL AÑO EN CURSO ]]&gt;0,1,0)</f>
        <v>0</v>
      </c>
      <c r="AW435" s="42"/>
      <c r="AX435" s="42"/>
      <c r="AY435" s="42"/>
      <c r="AZ435" s="43"/>
    </row>
    <row r="436" spans="1:52" ht="21.75" thickBot="1" x14ac:dyDescent="0.35">
      <c r="A436" s="106">
        <v>430</v>
      </c>
      <c r="B436" s="5" t="s">
        <v>310</v>
      </c>
      <c r="C436" s="2" t="s">
        <v>562</v>
      </c>
      <c r="D436" s="32"/>
      <c r="E436" s="36" t="s">
        <v>455</v>
      </c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24">
        <f>SUM(Tabla1[[#This Row],[ENERO ]:[DICIEMBRE]])</f>
        <v>0</v>
      </c>
      <c r="W436">
        <v>0</v>
      </c>
      <c r="X436" s="21">
        <f>COUNTIF(Tabla1[[#This Row],[ENERO ]:[DICIEMBRE]],0)-(AS436)-IF(Tabla1[[#This Row],[BAJAS]]="BAJA",IF(Tabla1[[#This Row],[ALTAS]]="ALTA",VLOOKUP(Tabla1[[#This Row],[MES DE ALTA ]],$AW$6:$AX$17,2,FALSE),12)-VLOOKUP(Tabla1[[#This Row],[MES DE BAJA ]],$AW$6:$AX$17,2,FALSE),0)</f>
        <v>0</v>
      </c>
      <c r="Y436" s="68">
        <f>SUM(Tabla1[[#This Row],[MES ADEUDO DE AÑOS PASADOS ]:[MESES DE ADEUDO DEL AÑO EN CURSO ]])-Tabla1[[#This Row],[PAGO DE DEUDA ANTERIOR EN MESES]]</f>
        <v>0</v>
      </c>
      <c r="Z436" s="15">
        <f>Tabla1[[#This Row],[MES ADEUDO DE AÑOS PASADOS ]]*$T$2</f>
        <v>0</v>
      </c>
      <c r="AA436" s="15">
        <f>Tabla1[[#This Row],[MESES DE ADEUDO DEL AÑO EN CURSO ]]*$T$2</f>
        <v>0</v>
      </c>
      <c r="AB436" s="69">
        <f>SUM(Tabla1[[#This Row],[DEUDA DE LOS MESES PASADOS EN $$]:[DEUDA DEL AÑO 2013 $$ ]])</f>
        <v>0</v>
      </c>
      <c r="AD436">
        <f>Tabla1[[#This Row],[PAGO DE DEUDA ANTERIOR EN MESES]]*$T$2</f>
        <v>0</v>
      </c>
      <c r="AG436" s="100">
        <f>IF(Tabla1[[#This Row],[TIPO DE CONSUMIDOR]]="MEDIO",IF(Tabla1[[#This Row],[ENERO ]]&gt;22.5,Tabla1[[#This Row],[ENERO ]]/22.5-1,0),IF(Tabla1[[#This Row],[ENERO ]]&gt;45,Tabla1[[#This Row],[ENERO ]]/45-1,0))</f>
        <v>0</v>
      </c>
      <c r="AH43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6" s="100">
        <f>IF(Tabla1[[#This Row],[TIPO DE CONSUMIDOR]]="MEDIO",IF(Tabla1[[#This Row],[MARZO]]&gt;22.5,Tabla1[[#This Row],[MARZO]]/22.5-1,0),IF(Tabla1[[#This Row],[MARZO]]&gt;45,Tabla1[[#This Row],[MARZO]]/45-1,0))</f>
        <v>0</v>
      </c>
      <c r="AJ436" s="100">
        <f>IF(Tabla1[[#This Row],[TIPO DE CONSUMIDOR]]="MEDIO",IF(Tabla1[[#This Row],[ABRIL]]&gt;22.5,Tabla1[[#This Row],[ABRIL]]/22.5-1,0),IF(Tabla1[[#This Row],[ABRIL]]&gt;45,Tabla1[[#This Row],[ABRIL]]/45-1,0))</f>
        <v>0</v>
      </c>
      <c r="AK436" s="100">
        <f>IF(Tabla1[[#This Row],[TIPO DE CONSUMIDOR]]="MEDIO",IF(Tabla1[[#This Row],[MAYO ]]&gt;22.5,Tabla1[[#This Row],[MAYO ]]/22.5-1,0),IF(Tabla1[[#This Row],[MAYO ]]&gt;45,Tabla1[[#This Row],[MAYO ]]/45-1,0))</f>
        <v>0</v>
      </c>
      <c r="AL436" s="100">
        <f>IF(Tabla1[[#This Row],[TIPO DE CONSUMIDOR]]="MEDIO",IF(Tabla1[[#This Row],[JUNIO ]]&gt;22.5,Tabla1[[#This Row],[JUNIO ]]/22.5-1,0),IF(Tabla1[[#This Row],[JUNIO ]]&gt;45,Tabla1[[#This Row],[JUNIO ]]/45-1,0))</f>
        <v>0</v>
      </c>
      <c r="AM436" s="100">
        <f>IF(Tabla1[[#This Row],[TIPO DE CONSUMIDOR]]="MEDIO",IF(Tabla1[[#This Row],[JULIO ]]&gt;22.5,Tabla1[[#This Row],[JULIO ]]/22.5-1,0),IF(Tabla1[[#This Row],[JULIO ]]&gt;45,Tabla1[[#This Row],[JULIO ]]/45-1,0))</f>
        <v>0</v>
      </c>
      <c r="AN436" s="100">
        <f>IF(Tabla1[[#This Row],[TIPO DE CONSUMIDOR]]="MEDIO",IF(Tabla1[[#This Row],[AGOSTO]]&gt;22.5,Tabla1[[#This Row],[AGOSTO]]/22.5-1,0),IF(Tabla1[[#This Row],[AGOSTO]]&gt;45,Tabla1[[#This Row],[AGOSTO]]/45-1,0))</f>
        <v>0</v>
      </c>
      <c r="AO43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6" s="101">
        <f t="shared" si="13"/>
        <v>0</v>
      </c>
      <c r="AT436">
        <f>IF(Tabla1[[#This Row],[MES ADEUDO DE AÑOS PASADOS ]]&gt;0,1,0)</f>
        <v>0</v>
      </c>
      <c r="AU436" s="9">
        <f t="shared" si="14"/>
        <v>0</v>
      </c>
      <c r="AV436" s="60">
        <f>IF(Tabla1[[#This Row],[MESES DE ADEUDO DEL AÑO EN CURSO ]]&gt;0,1,0)</f>
        <v>0</v>
      </c>
      <c r="AW436" s="42"/>
      <c r="AX436" s="42"/>
      <c r="AY436" s="42"/>
      <c r="AZ436" s="43"/>
    </row>
    <row r="437" spans="1:52" ht="21.75" thickBot="1" x14ac:dyDescent="0.35">
      <c r="A437" s="106">
        <v>431</v>
      </c>
      <c r="B437" s="5" t="s">
        <v>293</v>
      </c>
      <c r="C437" s="2" t="s">
        <v>562</v>
      </c>
      <c r="D437" s="32"/>
      <c r="E437" s="36" t="s">
        <v>455</v>
      </c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24">
        <f>SUM(Tabla1[[#This Row],[ENERO ]:[DICIEMBRE]])</f>
        <v>0</v>
      </c>
      <c r="W437">
        <v>0</v>
      </c>
      <c r="X437" s="21">
        <f>COUNTIF(Tabla1[[#This Row],[ENERO ]:[DICIEMBRE]],0)-(AS437)-IF(Tabla1[[#This Row],[BAJAS]]="BAJA",IF(Tabla1[[#This Row],[ALTAS]]="ALTA",VLOOKUP(Tabla1[[#This Row],[MES DE ALTA ]],$AW$6:$AX$17,2,FALSE),12)-VLOOKUP(Tabla1[[#This Row],[MES DE BAJA ]],$AW$6:$AX$17,2,FALSE),0)</f>
        <v>0</v>
      </c>
      <c r="Y437" s="68">
        <f>SUM(Tabla1[[#This Row],[MES ADEUDO DE AÑOS PASADOS ]:[MESES DE ADEUDO DEL AÑO EN CURSO ]])-Tabla1[[#This Row],[PAGO DE DEUDA ANTERIOR EN MESES]]</f>
        <v>0</v>
      </c>
      <c r="Z437" s="15">
        <f>Tabla1[[#This Row],[MES ADEUDO DE AÑOS PASADOS ]]*$T$2</f>
        <v>0</v>
      </c>
      <c r="AA437" s="15">
        <f>Tabla1[[#This Row],[MESES DE ADEUDO DEL AÑO EN CURSO ]]*$T$2</f>
        <v>0</v>
      </c>
      <c r="AB437" s="69">
        <f>SUM(Tabla1[[#This Row],[DEUDA DE LOS MESES PASADOS EN $$]:[DEUDA DEL AÑO 2013 $$ ]])</f>
        <v>0</v>
      </c>
      <c r="AD437">
        <f>Tabla1[[#This Row],[PAGO DE DEUDA ANTERIOR EN MESES]]*$T$2</f>
        <v>0</v>
      </c>
      <c r="AG437" s="100">
        <f>IF(Tabla1[[#This Row],[TIPO DE CONSUMIDOR]]="MEDIO",IF(Tabla1[[#This Row],[ENERO ]]&gt;22.5,Tabla1[[#This Row],[ENERO ]]/22.5-1,0),IF(Tabla1[[#This Row],[ENERO ]]&gt;45,Tabla1[[#This Row],[ENERO ]]/45-1,0))</f>
        <v>0</v>
      </c>
      <c r="AH43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7" s="100">
        <f>IF(Tabla1[[#This Row],[TIPO DE CONSUMIDOR]]="MEDIO",IF(Tabla1[[#This Row],[MARZO]]&gt;22.5,Tabla1[[#This Row],[MARZO]]/22.5-1,0),IF(Tabla1[[#This Row],[MARZO]]&gt;45,Tabla1[[#This Row],[MARZO]]/45-1,0))</f>
        <v>0</v>
      </c>
      <c r="AJ437" s="100">
        <f>IF(Tabla1[[#This Row],[TIPO DE CONSUMIDOR]]="MEDIO",IF(Tabla1[[#This Row],[ABRIL]]&gt;22.5,Tabla1[[#This Row],[ABRIL]]/22.5-1,0),IF(Tabla1[[#This Row],[ABRIL]]&gt;45,Tabla1[[#This Row],[ABRIL]]/45-1,0))</f>
        <v>0</v>
      </c>
      <c r="AK437" s="100">
        <f>IF(Tabla1[[#This Row],[TIPO DE CONSUMIDOR]]="MEDIO",IF(Tabla1[[#This Row],[MAYO ]]&gt;22.5,Tabla1[[#This Row],[MAYO ]]/22.5-1,0),IF(Tabla1[[#This Row],[MAYO ]]&gt;45,Tabla1[[#This Row],[MAYO ]]/45-1,0))</f>
        <v>0</v>
      </c>
      <c r="AL437" s="100">
        <f>IF(Tabla1[[#This Row],[TIPO DE CONSUMIDOR]]="MEDIO",IF(Tabla1[[#This Row],[JUNIO ]]&gt;22.5,Tabla1[[#This Row],[JUNIO ]]/22.5-1,0),IF(Tabla1[[#This Row],[JUNIO ]]&gt;45,Tabla1[[#This Row],[JUNIO ]]/45-1,0))</f>
        <v>0</v>
      </c>
      <c r="AM437" s="100">
        <f>IF(Tabla1[[#This Row],[TIPO DE CONSUMIDOR]]="MEDIO",IF(Tabla1[[#This Row],[JULIO ]]&gt;22.5,Tabla1[[#This Row],[JULIO ]]/22.5-1,0),IF(Tabla1[[#This Row],[JULIO ]]&gt;45,Tabla1[[#This Row],[JULIO ]]/45-1,0))</f>
        <v>0</v>
      </c>
      <c r="AN437" s="100">
        <f>IF(Tabla1[[#This Row],[TIPO DE CONSUMIDOR]]="MEDIO",IF(Tabla1[[#This Row],[AGOSTO]]&gt;22.5,Tabla1[[#This Row],[AGOSTO]]/22.5-1,0),IF(Tabla1[[#This Row],[AGOSTO]]&gt;45,Tabla1[[#This Row],[AGOSTO]]/45-1,0))</f>
        <v>0</v>
      </c>
      <c r="AO43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7" s="101">
        <f t="shared" si="13"/>
        <v>0</v>
      </c>
      <c r="AT437">
        <f>IF(Tabla1[[#This Row],[MES ADEUDO DE AÑOS PASADOS ]]&gt;0,1,0)</f>
        <v>0</v>
      </c>
      <c r="AU437" s="9">
        <f t="shared" si="14"/>
        <v>0</v>
      </c>
      <c r="AV437" s="60">
        <f>IF(Tabla1[[#This Row],[MESES DE ADEUDO DEL AÑO EN CURSO ]]&gt;0,1,0)</f>
        <v>0</v>
      </c>
      <c r="AW437" s="42"/>
      <c r="AX437" s="42"/>
      <c r="AY437" s="42"/>
      <c r="AZ437" s="43"/>
    </row>
    <row r="438" spans="1:52" ht="21.75" thickBot="1" x14ac:dyDescent="0.35">
      <c r="A438" s="106">
        <v>432</v>
      </c>
      <c r="B438" s="5" t="s">
        <v>321</v>
      </c>
      <c r="C438" s="2" t="s">
        <v>562</v>
      </c>
      <c r="D438" s="32"/>
      <c r="E438" s="36" t="s">
        <v>455</v>
      </c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24">
        <f>SUM(Tabla1[[#This Row],[ENERO ]:[DICIEMBRE]])</f>
        <v>0</v>
      </c>
      <c r="W438">
        <v>0</v>
      </c>
      <c r="X438" s="21">
        <f>COUNTIF(Tabla1[[#This Row],[ENERO ]:[DICIEMBRE]],0)-(AS438)-IF(Tabla1[[#This Row],[BAJAS]]="BAJA",IF(Tabla1[[#This Row],[ALTAS]]="ALTA",VLOOKUP(Tabla1[[#This Row],[MES DE ALTA ]],$AW$6:$AX$17,2,FALSE),12)-VLOOKUP(Tabla1[[#This Row],[MES DE BAJA ]],$AW$6:$AX$17,2,FALSE),0)</f>
        <v>0</v>
      </c>
      <c r="Y438" s="68">
        <f>SUM(Tabla1[[#This Row],[MES ADEUDO DE AÑOS PASADOS ]:[MESES DE ADEUDO DEL AÑO EN CURSO ]])-Tabla1[[#This Row],[PAGO DE DEUDA ANTERIOR EN MESES]]</f>
        <v>0</v>
      </c>
      <c r="Z438" s="15">
        <f>Tabla1[[#This Row],[MES ADEUDO DE AÑOS PASADOS ]]*$T$2</f>
        <v>0</v>
      </c>
      <c r="AA438" s="15">
        <f>Tabla1[[#This Row],[MESES DE ADEUDO DEL AÑO EN CURSO ]]*$T$2</f>
        <v>0</v>
      </c>
      <c r="AB438" s="69">
        <f>SUM(Tabla1[[#This Row],[DEUDA DE LOS MESES PASADOS EN $$]:[DEUDA DEL AÑO 2013 $$ ]])</f>
        <v>0</v>
      </c>
      <c r="AD438">
        <f>Tabla1[[#This Row],[PAGO DE DEUDA ANTERIOR EN MESES]]*$T$2</f>
        <v>0</v>
      </c>
      <c r="AG438" s="100">
        <f>IF(Tabla1[[#This Row],[TIPO DE CONSUMIDOR]]="MEDIO",IF(Tabla1[[#This Row],[ENERO ]]&gt;22.5,Tabla1[[#This Row],[ENERO ]]/22.5-1,0),IF(Tabla1[[#This Row],[ENERO ]]&gt;45,Tabla1[[#This Row],[ENERO ]]/45-1,0))</f>
        <v>0</v>
      </c>
      <c r="AH43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8" s="100">
        <f>IF(Tabla1[[#This Row],[TIPO DE CONSUMIDOR]]="MEDIO",IF(Tabla1[[#This Row],[MARZO]]&gt;22.5,Tabla1[[#This Row],[MARZO]]/22.5-1,0),IF(Tabla1[[#This Row],[MARZO]]&gt;45,Tabla1[[#This Row],[MARZO]]/45-1,0))</f>
        <v>0</v>
      </c>
      <c r="AJ438" s="100">
        <f>IF(Tabla1[[#This Row],[TIPO DE CONSUMIDOR]]="MEDIO",IF(Tabla1[[#This Row],[ABRIL]]&gt;22.5,Tabla1[[#This Row],[ABRIL]]/22.5-1,0),IF(Tabla1[[#This Row],[ABRIL]]&gt;45,Tabla1[[#This Row],[ABRIL]]/45-1,0))</f>
        <v>0</v>
      </c>
      <c r="AK438" s="100">
        <f>IF(Tabla1[[#This Row],[TIPO DE CONSUMIDOR]]="MEDIO",IF(Tabla1[[#This Row],[MAYO ]]&gt;22.5,Tabla1[[#This Row],[MAYO ]]/22.5-1,0),IF(Tabla1[[#This Row],[MAYO ]]&gt;45,Tabla1[[#This Row],[MAYO ]]/45-1,0))</f>
        <v>0</v>
      </c>
      <c r="AL438" s="100">
        <f>IF(Tabla1[[#This Row],[TIPO DE CONSUMIDOR]]="MEDIO",IF(Tabla1[[#This Row],[JUNIO ]]&gt;22.5,Tabla1[[#This Row],[JUNIO ]]/22.5-1,0),IF(Tabla1[[#This Row],[JUNIO ]]&gt;45,Tabla1[[#This Row],[JUNIO ]]/45-1,0))</f>
        <v>0</v>
      </c>
      <c r="AM438" s="100">
        <f>IF(Tabla1[[#This Row],[TIPO DE CONSUMIDOR]]="MEDIO",IF(Tabla1[[#This Row],[JULIO ]]&gt;22.5,Tabla1[[#This Row],[JULIO ]]/22.5-1,0),IF(Tabla1[[#This Row],[JULIO ]]&gt;45,Tabla1[[#This Row],[JULIO ]]/45-1,0))</f>
        <v>0</v>
      </c>
      <c r="AN438" s="100">
        <f>IF(Tabla1[[#This Row],[TIPO DE CONSUMIDOR]]="MEDIO",IF(Tabla1[[#This Row],[AGOSTO]]&gt;22.5,Tabla1[[#This Row],[AGOSTO]]/22.5-1,0),IF(Tabla1[[#This Row],[AGOSTO]]&gt;45,Tabla1[[#This Row],[AGOSTO]]/45-1,0))</f>
        <v>0</v>
      </c>
      <c r="AO43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8" s="101">
        <f t="shared" si="13"/>
        <v>0</v>
      </c>
      <c r="AT438">
        <f>IF(Tabla1[[#This Row],[MES ADEUDO DE AÑOS PASADOS ]]&gt;0,1,0)</f>
        <v>0</v>
      </c>
      <c r="AU438" s="9">
        <f t="shared" si="14"/>
        <v>0</v>
      </c>
      <c r="AV438" s="60">
        <f>IF(Tabla1[[#This Row],[MESES DE ADEUDO DEL AÑO EN CURSO ]]&gt;0,1,0)</f>
        <v>0</v>
      </c>
      <c r="AW438" s="42"/>
      <c r="AX438" s="42"/>
      <c r="AY438" s="42"/>
      <c r="AZ438" s="43"/>
    </row>
    <row r="439" spans="1:52" ht="21.75" thickBot="1" x14ac:dyDescent="0.35">
      <c r="A439" s="106">
        <v>433</v>
      </c>
      <c r="B439" s="5" t="s">
        <v>618</v>
      </c>
      <c r="C439" s="2" t="s">
        <v>562</v>
      </c>
      <c r="D439" s="32"/>
      <c r="E439" s="36" t="s">
        <v>455</v>
      </c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24">
        <f>SUM(Tabla1[[#This Row],[ENERO ]:[DICIEMBRE]])</f>
        <v>0</v>
      </c>
      <c r="W439">
        <v>0</v>
      </c>
      <c r="X439" s="21">
        <f>COUNTIF(Tabla1[[#This Row],[ENERO ]:[DICIEMBRE]],0)-(AS439)-IF(Tabla1[[#This Row],[BAJAS]]="BAJA",IF(Tabla1[[#This Row],[ALTAS]]="ALTA",VLOOKUP(Tabla1[[#This Row],[MES DE ALTA ]],$AW$6:$AX$17,2,FALSE),12)-VLOOKUP(Tabla1[[#This Row],[MES DE BAJA ]],$AW$6:$AX$17,2,FALSE),0)</f>
        <v>0</v>
      </c>
      <c r="Y439" s="68">
        <f>SUM(Tabla1[[#This Row],[MES ADEUDO DE AÑOS PASADOS ]:[MESES DE ADEUDO DEL AÑO EN CURSO ]])-Tabla1[[#This Row],[PAGO DE DEUDA ANTERIOR EN MESES]]</f>
        <v>0</v>
      </c>
      <c r="Z439" s="15">
        <f>Tabla1[[#This Row],[MES ADEUDO DE AÑOS PASADOS ]]*$T$2</f>
        <v>0</v>
      </c>
      <c r="AA439" s="15">
        <f>Tabla1[[#This Row],[MESES DE ADEUDO DEL AÑO EN CURSO ]]*$T$2</f>
        <v>0</v>
      </c>
      <c r="AB439" s="69">
        <f>SUM(Tabla1[[#This Row],[DEUDA DE LOS MESES PASADOS EN $$]:[DEUDA DEL AÑO 2013 $$ ]])</f>
        <v>0</v>
      </c>
      <c r="AD439">
        <f>Tabla1[[#This Row],[PAGO DE DEUDA ANTERIOR EN MESES]]*$T$2</f>
        <v>0</v>
      </c>
      <c r="AG439" s="100">
        <f>IF(Tabla1[[#This Row],[TIPO DE CONSUMIDOR]]="MEDIO",IF(Tabla1[[#This Row],[ENERO ]]&gt;22.5,Tabla1[[#This Row],[ENERO ]]/22.5-1,0),IF(Tabla1[[#This Row],[ENERO ]]&gt;45,Tabla1[[#This Row],[ENERO ]]/45-1,0))</f>
        <v>0</v>
      </c>
      <c r="AH43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39" s="100">
        <f>IF(Tabla1[[#This Row],[TIPO DE CONSUMIDOR]]="MEDIO",IF(Tabla1[[#This Row],[MARZO]]&gt;22.5,Tabla1[[#This Row],[MARZO]]/22.5-1,0),IF(Tabla1[[#This Row],[MARZO]]&gt;45,Tabla1[[#This Row],[MARZO]]/45-1,0))</f>
        <v>0</v>
      </c>
      <c r="AJ439" s="100">
        <f>IF(Tabla1[[#This Row],[TIPO DE CONSUMIDOR]]="MEDIO",IF(Tabla1[[#This Row],[ABRIL]]&gt;22.5,Tabla1[[#This Row],[ABRIL]]/22.5-1,0),IF(Tabla1[[#This Row],[ABRIL]]&gt;45,Tabla1[[#This Row],[ABRIL]]/45-1,0))</f>
        <v>0</v>
      </c>
      <c r="AK439" s="100">
        <f>IF(Tabla1[[#This Row],[TIPO DE CONSUMIDOR]]="MEDIO",IF(Tabla1[[#This Row],[MAYO ]]&gt;22.5,Tabla1[[#This Row],[MAYO ]]/22.5-1,0),IF(Tabla1[[#This Row],[MAYO ]]&gt;45,Tabla1[[#This Row],[MAYO ]]/45-1,0))</f>
        <v>0</v>
      </c>
      <c r="AL439" s="100">
        <f>IF(Tabla1[[#This Row],[TIPO DE CONSUMIDOR]]="MEDIO",IF(Tabla1[[#This Row],[JUNIO ]]&gt;22.5,Tabla1[[#This Row],[JUNIO ]]/22.5-1,0),IF(Tabla1[[#This Row],[JUNIO ]]&gt;45,Tabla1[[#This Row],[JUNIO ]]/45-1,0))</f>
        <v>0</v>
      </c>
      <c r="AM439" s="100">
        <f>IF(Tabla1[[#This Row],[TIPO DE CONSUMIDOR]]="MEDIO",IF(Tabla1[[#This Row],[JULIO ]]&gt;22.5,Tabla1[[#This Row],[JULIO ]]/22.5-1,0),IF(Tabla1[[#This Row],[JULIO ]]&gt;45,Tabla1[[#This Row],[JULIO ]]/45-1,0))</f>
        <v>0</v>
      </c>
      <c r="AN439" s="100">
        <f>IF(Tabla1[[#This Row],[TIPO DE CONSUMIDOR]]="MEDIO",IF(Tabla1[[#This Row],[AGOSTO]]&gt;22.5,Tabla1[[#This Row],[AGOSTO]]/22.5-1,0),IF(Tabla1[[#This Row],[AGOSTO]]&gt;45,Tabla1[[#This Row],[AGOSTO]]/45-1,0))</f>
        <v>0</v>
      </c>
      <c r="AO43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3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3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3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39" s="101">
        <f t="shared" si="13"/>
        <v>0</v>
      </c>
      <c r="AT439">
        <f>IF(Tabla1[[#This Row],[MES ADEUDO DE AÑOS PASADOS ]]&gt;0,1,0)</f>
        <v>0</v>
      </c>
      <c r="AU439" s="9">
        <f t="shared" si="14"/>
        <v>0</v>
      </c>
      <c r="AV439" s="60">
        <f>IF(Tabla1[[#This Row],[MESES DE ADEUDO DEL AÑO EN CURSO ]]&gt;0,1,0)</f>
        <v>0</v>
      </c>
      <c r="AW439" s="42"/>
      <c r="AX439" s="42"/>
      <c r="AY439" s="42"/>
      <c r="AZ439" s="43"/>
    </row>
    <row r="440" spans="1:52" ht="21.75" thickBot="1" x14ac:dyDescent="0.35">
      <c r="A440" s="106">
        <v>434</v>
      </c>
      <c r="B440" s="5" t="s">
        <v>378</v>
      </c>
      <c r="C440" s="2" t="s">
        <v>562</v>
      </c>
      <c r="D440" s="32"/>
      <c r="E440" s="36" t="s">
        <v>455</v>
      </c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24">
        <f>SUM(Tabla1[[#This Row],[ENERO ]:[DICIEMBRE]])</f>
        <v>0</v>
      </c>
      <c r="W440">
        <v>0</v>
      </c>
      <c r="X440" s="21">
        <f>COUNTIF(Tabla1[[#This Row],[ENERO ]:[DICIEMBRE]],0)-(AS440)-IF(Tabla1[[#This Row],[BAJAS]]="BAJA",IF(Tabla1[[#This Row],[ALTAS]]="ALTA",VLOOKUP(Tabla1[[#This Row],[MES DE ALTA ]],$AW$6:$AX$17,2,FALSE),12)-VLOOKUP(Tabla1[[#This Row],[MES DE BAJA ]],$AW$6:$AX$17,2,FALSE),0)</f>
        <v>0</v>
      </c>
      <c r="Y440" s="68">
        <f>SUM(Tabla1[[#This Row],[MES ADEUDO DE AÑOS PASADOS ]:[MESES DE ADEUDO DEL AÑO EN CURSO ]])-Tabla1[[#This Row],[PAGO DE DEUDA ANTERIOR EN MESES]]</f>
        <v>0</v>
      </c>
      <c r="Z440" s="15">
        <f>Tabla1[[#This Row],[MES ADEUDO DE AÑOS PASADOS ]]*$T$2</f>
        <v>0</v>
      </c>
      <c r="AA440" s="15">
        <f>Tabla1[[#This Row],[MESES DE ADEUDO DEL AÑO EN CURSO ]]*$T$2</f>
        <v>0</v>
      </c>
      <c r="AB440" s="69">
        <f>SUM(Tabla1[[#This Row],[DEUDA DE LOS MESES PASADOS EN $$]:[DEUDA DEL AÑO 2013 $$ ]])</f>
        <v>0</v>
      </c>
      <c r="AD440">
        <f>Tabla1[[#This Row],[PAGO DE DEUDA ANTERIOR EN MESES]]*$T$2</f>
        <v>0</v>
      </c>
      <c r="AG440" s="100">
        <f>IF(Tabla1[[#This Row],[TIPO DE CONSUMIDOR]]="MEDIO",IF(Tabla1[[#This Row],[ENERO ]]&gt;22.5,Tabla1[[#This Row],[ENERO ]]/22.5-1,0),IF(Tabla1[[#This Row],[ENERO ]]&gt;45,Tabla1[[#This Row],[ENERO ]]/45-1,0))</f>
        <v>0</v>
      </c>
      <c r="AH44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0" s="100">
        <f>IF(Tabla1[[#This Row],[TIPO DE CONSUMIDOR]]="MEDIO",IF(Tabla1[[#This Row],[MARZO]]&gt;22.5,Tabla1[[#This Row],[MARZO]]/22.5-1,0),IF(Tabla1[[#This Row],[MARZO]]&gt;45,Tabla1[[#This Row],[MARZO]]/45-1,0))</f>
        <v>0</v>
      </c>
      <c r="AJ440" s="100">
        <f>IF(Tabla1[[#This Row],[TIPO DE CONSUMIDOR]]="MEDIO",IF(Tabla1[[#This Row],[ABRIL]]&gt;22.5,Tabla1[[#This Row],[ABRIL]]/22.5-1,0),IF(Tabla1[[#This Row],[ABRIL]]&gt;45,Tabla1[[#This Row],[ABRIL]]/45-1,0))</f>
        <v>0</v>
      </c>
      <c r="AK440" s="100">
        <f>IF(Tabla1[[#This Row],[TIPO DE CONSUMIDOR]]="MEDIO",IF(Tabla1[[#This Row],[MAYO ]]&gt;22.5,Tabla1[[#This Row],[MAYO ]]/22.5-1,0),IF(Tabla1[[#This Row],[MAYO ]]&gt;45,Tabla1[[#This Row],[MAYO ]]/45-1,0))</f>
        <v>0</v>
      </c>
      <c r="AL440" s="100">
        <f>IF(Tabla1[[#This Row],[TIPO DE CONSUMIDOR]]="MEDIO",IF(Tabla1[[#This Row],[JUNIO ]]&gt;22.5,Tabla1[[#This Row],[JUNIO ]]/22.5-1,0),IF(Tabla1[[#This Row],[JUNIO ]]&gt;45,Tabla1[[#This Row],[JUNIO ]]/45-1,0))</f>
        <v>0</v>
      </c>
      <c r="AM440" s="100">
        <f>IF(Tabla1[[#This Row],[TIPO DE CONSUMIDOR]]="MEDIO",IF(Tabla1[[#This Row],[JULIO ]]&gt;22.5,Tabla1[[#This Row],[JULIO ]]/22.5-1,0),IF(Tabla1[[#This Row],[JULIO ]]&gt;45,Tabla1[[#This Row],[JULIO ]]/45-1,0))</f>
        <v>0</v>
      </c>
      <c r="AN440" s="100">
        <f>IF(Tabla1[[#This Row],[TIPO DE CONSUMIDOR]]="MEDIO",IF(Tabla1[[#This Row],[AGOSTO]]&gt;22.5,Tabla1[[#This Row],[AGOSTO]]/22.5-1,0),IF(Tabla1[[#This Row],[AGOSTO]]&gt;45,Tabla1[[#This Row],[AGOSTO]]/45-1,0))</f>
        <v>0</v>
      </c>
      <c r="AO44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0" s="101">
        <f t="shared" si="13"/>
        <v>0</v>
      </c>
      <c r="AT440">
        <f>IF(Tabla1[[#This Row],[MES ADEUDO DE AÑOS PASADOS ]]&gt;0,1,0)</f>
        <v>0</v>
      </c>
      <c r="AU440" s="9">
        <f t="shared" si="14"/>
        <v>0</v>
      </c>
      <c r="AV440" s="60">
        <f>IF(Tabla1[[#This Row],[MESES DE ADEUDO DEL AÑO EN CURSO ]]&gt;0,1,0)</f>
        <v>0</v>
      </c>
      <c r="AW440" s="42"/>
      <c r="AX440" s="42"/>
      <c r="AY440" s="42"/>
      <c r="AZ440" s="43"/>
    </row>
    <row r="441" spans="1:52" ht="21.75" thickBot="1" x14ac:dyDescent="0.35">
      <c r="A441" s="106">
        <v>435</v>
      </c>
      <c r="B441" s="5" t="s">
        <v>376</v>
      </c>
      <c r="C441" s="2" t="s">
        <v>562</v>
      </c>
      <c r="D441" s="32"/>
      <c r="E441" s="35" t="s">
        <v>455</v>
      </c>
      <c r="F441" s="34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7"/>
      <c r="R441" s="24">
        <f>SUM(Tabla1[[#This Row],[ENERO ]:[DICIEMBRE]])</f>
        <v>0</v>
      </c>
      <c r="W441">
        <v>0</v>
      </c>
      <c r="X441" s="21">
        <f>COUNTIF(Tabla1[[#This Row],[ENERO ]:[DICIEMBRE]],0)-(AS441)-IF(Tabla1[[#This Row],[BAJAS]]="BAJA",IF(Tabla1[[#This Row],[ALTAS]]="ALTA",VLOOKUP(Tabla1[[#This Row],[MES DE ALTA ]],$AW$6:$AX$17,2,FALSE),12)-VLOOKUP(Tabla1[[#This Row],[MES DE BAJA ]],$AW$6:$AX$17,2,FALSE),0)</f>
        <v>0</v>
      </c>
      <c r="Y441" s="68">
        <f>SUM(Tabla1[[#This Row],[MES ADEUDO DE AÑOS PASADOS ]:[MESES DE ADEUDO DEL AÑO EN CURSO ]])-Tabla1[[#This Row],[PAGO DE DEUDA ANTERIOR EN MESES]]</f>
        <v>0</v>
      </c>
      <c r="Z441" s="15">
        <f>Tabla1[[#This Row],[MES ADEUDO DE AÑOS PASADOS ]]*$T$2</f>
        <v>0</v>
      </c>
      <c r="AA441" s="15">
        <f>Tabla1[[#This Row],[MESES DE ADEUDO DEL AÑO EN CURSO ]]*$T$2</f>
        <v>0</v>
      </c>
      <c r="AB441" s="69">
        <f>SUM(Tabla1[[#This Row],[DEUDA DE LOS MESES PASADOS EN $$]:[DEUDA DEL AÑO 2013 $$ ]])</f>
        <v>0</v>
      </c>
      <c r="AD441">
        <f>Tabla1[[#This Row],[PAGO DE DEUDA ANTERIOR EN MESES]]*$T$2</f>
        <v>0</v>
      </c>
      <c r="AG441" s="100">
        <f>IF(Tabla1[[#This Row],[TIPO DE CONSUMIDOR]]="MEDIO",IF(Tabla1[[#This Row],[ENERO ]]&gt;22.5,Tabla1[[#This Row],[ENERO ]]/22.5-1,0),IF(Tabla1[[#This Row],[ENERO ]]&gt;45,Tabla1[[#This Row],[ENERO ]]/45-1,0))</f>
        <v>0</v>
      </c>
      <c r="AH44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1" s="100">
        <f>IF(Tabla1[[#This Row],[TIPO DE CONSUMIDOR]]="MEDIO",IF(Tabla1[[#This Row],[MARZO]]&gt;22.5,Tabla1[[#This Row],[MARZO]]/22.5-1,0),IF(Tabla1[[#This Row],[MARZO]]&gt;45,Tabla1[[#This Row],[MARZO]]/45-1,0))</f>
        <v>0</v>
      </c>
      <c r="AJ441" s="100">
        <f>IF(Tabla1[[#This Row],[TIPO DE CONSUMIDOR]]="MEDIO",IF(Tabla1[[#This Row],[ABRIL]]&gt;22.5,Tabla1[[#This Row],[ABRIL]]/22.5-1,0),IF(Tabla1[[#This Row],[ABRIL]]&gt;45,Tabla1[[#This Row],[ABRIL]]/45-1,0))</f>
        <v>0</v>
      </c>
      <c r="AK441" s="100">
        <f>IF(Tabla1[[#This Row],[TIPO DE CONSUMIDOR]]="MEDIO",IF(Tabla1[[#This Row],[MAYO ]]&gt;22.5,Tabla1[[#This Row],[MAYO ]]/22.5-1,0),IF(Tabla1[[#This Row],[MAYO ]]&gt;45,Tabla1[[#This Row],[MAYO ]]/45-1,0))</f>
        <v>0</v>
      </c>
      <c r="AL441" s="100">
        <f>IF(Tabla1[[#This Row],[TIPO DE CONSUMIDOR]]="MEDIO",IF(Tabla1[[#This Row],[JUNIO ]]&gt;22.5,Tabla1[[#This Row],[JUNIO ]]/22.5-1,0),IF(Tabla1[[#This Row],[JUNIO ]]&gt;45,Tabla1[[#This Row],[JUNIO ]]/45-1,0))</f>
        <v>0</v>
      </c>
      <c r="AM441" s="100">
        <f>IF(Tabla1[[#This Row],[TIPO DE CONSUMIDOR]]="MEDIO",IF(Tabla1[[#This Row],[JULIO ]]&gt;22.5,Tabla1[[#This Row],[JULIO ]]/22.5-1,0),IF(Tabla1[[#This Row],[JULIO ]]&gt;45,Tabla1[[#This Row],[JULIO ]]/45-1,0))</f>
        <v>0</v>
      </c>
      <c r="AN441" s="100">
        <f>IF(Tabla1[[#This Row],[TIPO DE CONSUMIDOR]]="MEDIO",IF(Tabla1[[#This Row],[AGOSTO]]&gt;22.5,Tabla1[[#This Row],[AGOSTO]]/22.5-1,0),IF(Tabla1[[#This Row],[AGOSTO]]&gt;45,Tabla1[[#This Row],[AGOSTO]]/45-1,0))</f>
        <v>0</v>
      </c>
      <c r="AO44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1" s="101">
        <f t="shared" si="13"/>
        <v>0</v>
      </c>
      <c r="AT441">
        <f>IF(Tabla1[[#This Row],[MES ADEUDO DE AÑOS PASADOS ]]&gt;0,1,0)</f>
        <v>0</v>
      </c>
      <c r="AU441" s="9">
        <f t="shared" si="14"/>
        <v>0</v>
      </c>
      <c r="AV441" s="60">
        <f>IF(Tabla1[[#This Row],[MESES DE ADEUDO DEL AÑO EN CURSO ]]&gt;0,1,0)</f>
        <v>0</v>
      </c>
      <c r="AW441" s="42"/>
      <c r="AX441" s="42"/>
      <c r="AY441" s="42"/>
      <c r="AZ441" s="43"/>
    </row>
    <row r="442" spans="1:52" ht="21.75" thickBot="1" x14ac:dyDescent="0.35">
      <c r="A442" s="106">
        <v>436</v>
      </c>
      <c r="B442" s="5" t="s">
        <v>397</v>
      </c>
      <c r="C442" s="2" t="s">
        <v>562</v>
      </c>
      <c r="D442" s="32"/>
      <c r="E442" s="36" t="s">
        <v>455</v>
      </c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24">
        <f>SUM(Tabla1[[#This Row],[ENERO ]:[DICIEMBRE]])</f>
        <v>0</v>
      </c>
      <c r="W442">
        <v>0</v>
      </c>
      <c r="X442" s="21">
        <f>COUNTIF(Tabla1[[#This Row],[ENERO ]:[DICIEMBRE]],0)-(AS442)-IF(Tabla1[[#This Row],[BAJAS]]="BAJA",IF(Tabla1[[#This Row],[ALTAS]]="ALTA",VLOOKUP(Tabla1[[#This Row],[MES DE ALTA ]],$AW$6:$AX$17,2,FALSE),12)-VLOOKUP(Tabla1[[#This Row],[MES DE BAJA ]],$AW$6:$AX$17,2,FALSE),0)</f>
        <v>0</v>
      </c>
      <c r="Y442" s="68">
        <f>SUM(Tabla1[[#This Row],[MES ADEUDO DE AÑOS PASADOS ]:[MESES DE ADEUDO DEL AÑO EN CURSO ]])-Tabla1[[#This Row],[PAGO DE DEUDA ANTERIOR EN MESES]]</f>
        <v>0</v>
      </c>
      <c r="Z442" s="15">
        <f>Tabla1[[#This Row],[MES ADEUDO DE AÑOS PASADOS ]]*$T$2</f>
        <v>0</v>
      </c>
      <c r="AA442" s="15">
        <f>Tabla1[[#This Row],[MESES DE ADEUDO DEL AÑO EN CURSO ]]*$T$2</f>
        <v>0</v>
      </c>
      <c r="AB442" s="69">
        <f>SUM(Tabla1[[#This Row],[DEUDA DE LOS MESES PASADOS EN $$]:[DEUDA DEL AÑO 2013 $$ ]])</f>
        <v>0</v>
      </c>
      <c r="AD442">
        <f>Tabla1[[#This Row],[PAGO DE DEUDA ANTERIOR EN MESES]]*$T$2</f>
        <v>0</v>
      </c>
      <c r="AG442" s="100">
        <f>IF(Tabla1[[#This Row],[TIPO DE CONSUMIDOR]]="MEDIO",IF(Tabla1[[#This Row],[ENERO ]]&gt;22.5,Tabla1[[#This Row],[ENERO ]]/22.5-1,0),IF(Tabla1[[#This Row],[ENERO ]]&gt;45,Tabla1[[#This Row],[ENERO ]]/45-1,0))</f>
        <v>0</v>
      </c>
      <c r="AH44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2" s="100">
        <f>IF(Tabla1[[#This Row],[TIPO DE CONSUMIDOR]]="MEDIO",IF(Tabla1[[#This Row],[MARZO]]&gt;22.5,Tabla1[[#This Row],[MARZO]]/22.5-1,0),IF(Tabla1[[#This Row],[MARZO]]&gt;45,Tabla1[[#This Row],[MARZO]]/45-1,0))</f>
        <v>0</v>
      </c>
      <c r="AJ442" s="100">
        <f>IF(Tabla1[[#This Row],[TIPO DE CONSUMIDOR]]="MEDIO",IF(Tabla1[[#This Row],[ABRIL]]&gt;22.5,Tabla1[[#This Row],[ABRIL]]/22.5-1,0),IF(Tabla1[[#This Row],[ABRIL]]&gt;45,Tabla1[[#This Row],[ABRIL]]/45-1,0))</f>
        <v>0</v>
      </c>
      <c r="AK442" s="100">
        <f>IF(Tabla1[[#This Row],[TIPO DE CONSUMIDOR]]="MEDIO",IF(Tabla1[[#This Row],[MAYO ]]&gt;22.5,Tabla1[[#This Row],[MAYO ]]/22.5-1,0),IF(Tabla1[[#This Row],[MAYO ]]&gt;45,Tabla1[[#This Row],[MAYO ]]/45-1,0))</f>
        <v>0</v>
      </c>
      <c r="AL442" s="100">
        <f>IF(Tabla1[[#This Row],[TIPO DE CONSUMIDOR]]="MEDIO",IF(Tabla1[[#This Row],[JUNIO ]]&gt;22.5,Tabla1[[#This Row],[JUNIO ]]/22.5-1,0),IF(Tabla1[[#This Row],[JUNIO ]]&gt;45,Tabla1[[#This Row],[JUNIO ]]/45-1,0))</f>
        <v>0</v>
      </c>
      <c r="AM442" s="100">
        <f>IF(Tabla1[[#This Row],[TIPO DE CONSUMIDOR]]="MEDIO",IF(Tabla1[[#This Row],[JULIO ]]&gt;22.5,Tabla1[[#This Row],[JULIO ]]/22.5-1,0),IF(Tabla1[[#This Row],[JULIO ]]&gt;45,Tabla1[[#This Row],[JULIO ]]/45-1,0))</f>
        <v>0</v>
      </c>
      <c r="AN442" s="100">
        <f>IF(Tabla1[[#This Row],[TIPO DE CONSUMIDOR]]="MEDIO",IF(Tabla1[[#This Row],[AGOSTO]]&gt;22.5,Tabla1[[#This Row],[AGOSTO]]/22.5-1,0),IF(Tabla1[[#This Row],[AGOSTO]]&gt;45,Tabla1[[#This Row],[AGOSTO]]/45-1,0))</f>
        <v>0</v>
      </c>
      <c r="AO44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2" s="101">
        <f t="shared" si="13"/>
        <v>0</v>
      </c>
      <c r="AT442">
        <f>IF(Tabla1[[#This Row],[MES ADEUDO DE AÑOS PASADOS ]]&gt;0,1,0)</f>
        <v>0</v>
      </c>
      <c r="AU442" s="9">
        <f t="shared" si="14"/>
        <v>0</v>
      </c>
      <c r="AV442" s="60">
        <f>IF(Tabla1[[#This Row],[MESES DE ADEUDO DEL AÑO EN CURSO ]]&gt;0,1,0)</f>
        <v>0</v>
      </c>
      <c r="AW442" s="42"/>
      <c r="AX442" s="42"/>
      <c r="AY442" s="42"/>
      <c r="AZ442" s="43"/>
    </row>
    <row r="443" spans="1:52" ht="21.75" thickBot="1" x14ac:dyDescent="0.35">
      <c r="A443" s="106">
        <v>437</v>
      </c>
      <c r="B443" s="5" t="s">
        <v>408</v>
      </c>
      <c r="C443" s="2" t="s">
        <v>562</v>
      </c>
      <c r="D443" s="32"/>
      <c r="E443" s="36" t="s">
        <v>455</v>
      </c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24">
        <f>SUM(Tabla1[[#This Row],[ENERO ]:[DICIEMBRE]])</f>
        <v>0</v>
      </c>
      <c r="W443">
        <v>0</v>
      </c>
      <c r="X443" s="21">
        <f>COUNTIF(Tabla1[[#This Row],[ENERO ]:[DICIEMBRE]],0)-(AS443)-IF(Tabla1[[#This Row],[BAJAS]]="BAJA",IF(Tabla1[[#This Row],[ALTAS]]="ALTA",VLOOKUP(Tabla1[[#This Row],[MES DE ALTA ]],$AW$6:$AX$17,2,FALSE),12)-VLOOKUP(Tabla1[[#This Row],[MES DE BAJA ]],$AW$6:$AX$17,2,FALSE),0)</f>
        <v>0</v>
      </c>
      <c r="Y443" s="68">
        <f>SUM(Tabla1[[#This Row],[MES ADEUDO DE AÑOS PASADOS ]:[MESES DE ADEUDO DEL AÑO EN CURSO ]])-Tabla1[[#This Row],[PAGO DE DEUDA ANTERIOR EN MESES]]</f>
        <v>0</v>
      </c>
      <c r="Z443" s="15">
        <f>Tabla1[[#This Row],[MES ADEUDO DE AÑOS PASADOS ]]*$T$2</f>
        <v>0</v>
      </c>
      <c r="AA443" s="15">
        <f>Tabla1[[#This Row],[MESES DE ADEUDO DEL AÑO EN CURSO ]]*$T$2</f>
        <v>0</v>
      </c>
      <c r="AB443" s="69">
        <f>SUM(Tabla1[[#This Row],[DEUDA DE LOS MESES PASADOS EN $$]:[DEUDA DEL AÑO 2013 $$ ]])</f>
        <v>0</v>
      </c>
      <c r="AD443">
        <f>Tabla1[[#This Row],[PAGO DE DEUDA ANTERIOR EN MESES]]*$T$2</f>
        <v>0</v>
      </c>
      <c r="AG443" s="100">
        <f>IF(Tabla1[[#This Row],[TIPO DE CONSUMIDOR]]="MEDIO",IF(Tabla1[[#This Row],[ENERO ]]&gt;22.5,Tabla1[[#This Row],[ENERO ]]/22.5-1,0),IF(Tabla1[[#This Row],[ENERO ]]&gt;45,Tabla1[[#This Row],[ENERO ]]/45-1,0))</f>
        <v>0</v>
      </c>
      <c r="AH44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3" s="100">
        <f>IF(Tabla1[[#This Row],[TIPO DE CONSUMIDOR]]="MEDIO",IF(Tabla1[[#This Row],[MARZO]]&gt;22.5,Tabla1[[#This Row],[MARZO]]/22.5-1,0),IF(Tabla1[[#This Row],[MARZO]]&gt;45,Tabla1[[#This Row],[MARZO]]/45-1,0))</f>
        <v>0</v>
      </c>
      <c r="AJ443" s="100">
        <f>IF(Tabla1[[#This Row],[TIPO DE CONSUMIDOR]]="MEDIO",IF(Tabla1[[#This Row],[ABRIL]]&gt;22.5,Tabla1[[#This Row],[ABRIL]]/22.5-1,0),IF(Tabla1[[#This Row],[ABRIL]]&gt;45,Tabla1[[#This Row],[ABRIL]]/45-1,0))</f>
        <v>0</v>
      </c>
      <c r="AK443" s="100">
        <f>IF(Tabla1[[#This Row],[TIPO DE CONSUMIDOR]]="MEDIO",IF(Tabla1[[#This Row],[MAYO ]]&gt;22.5,Tabla1[[#This Row],[MAYO ]]/22.5-1,0),IF(Tabla1[[#This Row],[MAYO ]]&gt;45,Tabla1[[#This Row],[MAYO ]]/45-1,0))</f>
        <v>0</v>
      </c>
      <c r="AL443" s="100">
        <f>IF(Tabla1[[#This Row],[TIPO DE CONSUMIDOR]]="MEDIO",IF(Tabla1[[#This Row],[JUNIO ]]&gt;22.5,Tabla1[[#This Row],[JUNIO ]]/22.5-1,0),IF(Tabla1[[#This Row],[JUNIO ]]&gt;45,Tabla1[[#This Row],[JUNIO ]]/45-1,0))</f>
        <v>0</v>
      </c>
      <c r="AM443" s="100">
        <f>IF(Tabla1[[#This Row],[TIPO DE CONSUMIDOR]]="MEDIO",IF(Tabla1[[#This Row],[JULIO ]]&gt;22.5,Tabla1[[#This Row],[JULIO ]]/22.5-1,0),IF(Tabla1[[#This Row],[JULIO ]]&gt;45,Tabla1[[#This Row],[JULIO ]]/45-1,0))</f>
        <v>0</v>
      </c>
      <c r="AN443" s="100">
        <f>IF(Tabla1[[#This Row],[TIPO DE CONSUMIDOR]]="MEDIO",IF(Tabla1[[#This Row],[AGOSTO]]&gt;22.5,Tabla1[[#This Row],[AGOSTO]]/22.5-1,0),IF(Tabla1[[#This Row],[AGOSTO]]&gt;45,Tabla1[[#This Row],[AGOSTO]]/45-1,0))</f>
        <v>0</v>
      </c>
      <c r="AO44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3" s="101">
        <f t="shared" si="13"/>
        <v>0</v>
      </c>
      <c r="AT443">
        <f>IF(Tabla1[[#This Row],[MES ADEUDO DE AÑOS PASADOS ]]&gt;0,1,0)</f>
        <v>0</v>
      </c>
      <c r="AU443" s="9">
        <f t="shared" si="14"/>
        <v>0</v>
      </c>
      <c r="AV443" s="60">
        <f>IF(Tabla1[[#This Row],[MESES DE ADEUDO DEL AÑO EN CURSO ]]&gt;0,1,0)</f>
        <v>0</v>
      </c>
      <c r="AW443" s="42"/>
      <c r="AX443" s="42"/>
      <c r="AY443" s="42"/>
      <c r="AZ443" s="43"/>
    </row>
    <row r="444" spans="1:52" ht="21.75" thickBot="1" x14ac:dyDescent="0.35">
      <c r="A444" s="106">
        <v>438</v>
      </c>
      <c r="B444" s="5" t="s">
        <v>423</v>
      </c>
      <c r="C444" s="2" t="s">
        <v>562</v>
      </c>
      <c r="D444" s="32"/>
      <c r="E444" s="36" t="s">
        <v>455</v>
      </c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24">
        <f>SUM(Tabla1[[#This Row],[ENERO ]:[DICIEMBRE]])</f>
        <v>0</v>
      </c>
      <c r="W444">
        <v>0</v>
      </c>
      <c r="X444" s="21">
        <f>COUNTIF(Tabla1[[#This Row],[ENERO ]:[DICIEMBRE]],0)-(AS444)-IF(Tabla1[[#This Row],[BAJAS]]="BAJA",IF(Tabla1[[#This Row],[ALTAS]]="ALTA",VLOOKUP(Tabla1[[#This Row],[MES DE ALTA ]],$AW$6:$AX$17,2,FALSE),12)-VLOOKUP(Tabla1[[#This Row],[MES DE BAJA ]],$AW$6:$AX$17,2,FALSE),0)</f>
        <v>0</v>
      </c>
      <c r="Y444" s="68">
        <f>SUM(Tabla1[[#This Row],[MES ADEUDO DE AÑOS PASADOS ]:[MESES DE ADEUDO DEL AÑO EN CURSO ]])-Tabla1[[#This Row],[PAGO DE DEUDA ANTERIOR EN MESES]]</f>
        <v>0</v>
      </c>
      <c r="Z444" s="15">
        <f>Tabla1[[#This Row],[MES ADEUDO DE AÑOS PASADOS ]]*$T$2</f>
        <v>0</v>
      </c>
      <c r="AA444" s="15">
        <f>Tabla1[[#This Row],[MESES DE ADEUDO DEL AÑO EN CURSO ]]*$T$2</f>
        <v>0</v>
      </c>
      <c r="AB444" s="69">
        <f>SUM(Tabla1[[#This Row],[DEUDA DE LOS MESES PASADOS EN $$]:[DEUDA DEL AÑO 2013 $$ ]])</f>
        <v>0</v>
      </c>
      <c r="AD444">
        <f>Tabla1[[#This Row],[PAGO DE DEUDA ANTERIOR EN MESES]]*$T$2</f>
        <v>0</v>
      </c>
      <c r="AG444" s="100">
        <f>IF(Tabla1[[#This Row],[TIPO DE CONSUMIDOR]]="MEDIO",IF(Tabla1[[#This Row],[ENERO ]]&gt;22.5,Tabla1[[#This Row],[ENERO ]]/22.5-1,0),IF(Tabla1[[#This Row],[ENERO ]]&gt;45,Tabla1[[#This Row],[ENERO ]]/45-1,0))</f>
        <v>0</v>
      </c>
      <c r="AH44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4" s="100">
        <f>IF(Tabla1[[#This Row],[TIPO DE CONSUMIDOR]]="MEDIO",IF(Tabla1[[#This Row],[MARZO]]&gt;22.5,Tabla1[[#This Row],[MARZO]]/22.5-1,0),IF(Tabla1[[#This Row],[MARZO]]&gt;45,Tabla1[[#This Row],[MARZO]]/45-1,0))</f>
        <v>0</v>
      </c>
      <c r="AJ444" s="100">
        <f>IF(Tabla1[[#This Row],[TIPO DE CONSUMIDOR]]="MEDIO",IF(Tabla1[[#This Row],[ABRIL]]&gt;22.5,Tabla1[[#This Row],[ABRIL]]/22.5-1,0),IF(Tabla1[[#This Row],[ABRIL]]&gt;45,Tabla1[[#This Row],[ABRIL]]/45-1,0))</f>
        <v>0</v>
      </c>
      <c r="AK444" s="100">
        <f>IF(Tabla1[[#This Row],[TIPO DE CONSUMIDOR]]="MEDIO",IF(Tabla1[[#This Row],[MAYO ]]&gt;22.5,Tabla1[[#This Row],[MAYO ]]/22.5-1,0),IF(Tabla1[[#This Row],[MAYO ]]&gt;45,Tabla1[[#This Row],[MAYO ]]/45-1,0))</f>
        <v>0</v>
      </c>
      <c r="AL444" s="100">
        <f>IF(Tabla1[[#This Row],[TIPO DE CONSUMIDOR]]="MEDIO",IF(Tabla1[[#This Row],[JUNIO ]]&gt;22.5,Tabla1[[#This Row],[JUNIO ]]/22.5-1,0),IF(Tabla1[[#This Row],[JUNIO ]]&gt;45,Tabla1[[#This Row],[JUNIO ]]/45-1,0))</f>
        <v>0</v>
      </c>
      <c r="AM444" s="100">
        <f>IF(Tabla1[[#This Row],[TIPO DE CONSUMIDOR]]="MEDIO",IF(Tabla1[[#This Row],[JULIO ]]&gt;22.5,Tabla1[[#This Row],[JULIO ]]/22.5-1,0),IF(Tabla1[[#This Row],[JULIO ]]&gt;45,Tabla1[[#This Row],[JULIO ]]/45-1,0))</f>
        <v>0</v>
      </c>
      <c r="AN444" s="100">
        <f>IF(Tabla1[[#This Row],[TIPO DE CONSUMIDOR]]="MEDIO",IF(Tabla1[[#This Row],[AGOSTO]]&gt;22.5,Tabla1[[#This Row],[AGOSTO]]/22.5-1,0),IF(Tabla1[[#This Row],[AGOSTO]]&gt;45,Tabla1[[#This Row],[AGOSTO]]/45-1,0))</f>
        <v>0</v>
      </c>
      <c r="AO44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4" s="101">
        <f t="shared" si="13"/>
        <v>0</v>
      </c>
      <c r="AT444">
        <f>IF(Tabla1[[#This Row],[MES ADEUDO DE AÑOS PASADOS ]]&gt;0,1,0)</f>
        <v>0</v>
      </c>
      <c r="AU444" s="9">
        <f t="shared" si="14"/>
        <v>0</v>
      </c>
      <c r="AV444" s="60">
        <f>IF(Tabla1[[#This Row],[MESES DE ADEUDO DEL AÑO EN CURSO ]]&gt;0,1,0)</f>
        <v>0</v>
      </c>
      <c r="AW444" s="42"/>
      <c r="AX444" s="42"/>
      <c r="AY444" s="42"/>
      <c r="AZ444" s="43"/>
    </row>
    <row r="445" spans="1:52" ht="21.75" thickBot="1" x14ac:dyDescent="0.35">
      <c r="A445" s="106">
        <v>439</v>
      </c>
      <c r="B445" s="5" t="s">
        <v>163</v>
      </c>
      <c r="C445" s="2" t="s">
        <v>562</v>
      </c>
      <c r="D445" s="32"/>
      <c r="E445" s="36" t="s">
        <v>455</v>
      </c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24">
        <f>SUM(Tabla1[[#This Row],[ENERO ]:[DICIEMBRE]])</f>
        <v>0</v>
      </c>
      <c r="W445">
        <v>1</v>
      </c>
      <c r="X445" s="21">
        <f>COUNTIF(Tabla1[[#This Row],[ENERO ]:[DICIEMBRE]],0)-(AS445)-IF(Tabla1[[#This Row],[BAJAS]]="BAJA",IF(Tabla1[[#This Row],[ALTAS]]="ALTA",VLOOKUP(Tabla1[[#This Row],[MES DE ALTA ]],$AW$6:$AX$17,2,FALSE),12)-VLOOKUP(Tabla1[[#This Row],[MES DE BAJA ]],$AW$6:$AX$17,2,FALSE),0)</f>
        <v>0</v>
      </c>
      <c r="Y445" s="68">
        <f>SUM(Tabla1[[#This Row],[MES ADEUDO DE AÑOS PASADOS ]:[MESES DE ADEUDO DEL AÑO EN CURSO ]])-Tabla1[[#This Row],[PAGO DE DEUDA ANTERIOR EN MESES]]</f>
        <v>1</v>
      </c>
      <c r="Z445" s="15">
        <f>Tabla1[[#This Row],[MES ADEUDO DE AÑOS PASADOS ]]*$T$2</f>
        <v>45</v>
      </c>
      <c r="AA445" s="15">
        <f>Tabla1[[#This Row],[MESES DE ADEUDO DEL AÑO EN CURSO ]]*$T$2</f>
        <v>0</v>
      </c>
      <c r="AB445" s="69">
        <f>SUM(Tabla1[[#This Row],[DEUDA DE LOS MESES PASADOS EN $$]:[DEUDA DEL AÑO 2013 $$ ]])</f>
        <v>45</v>
      </c>
      <c r="AD445">
        <f>Tabla1[[#This Row],[PAGO DE DEUDA ANTERIOR EN MESES]]*$T$2</f>
        <v>0</v>
      </c>
      <c r="AG445" s="100">
        <f>IF(Tabla1[[#This Row],[TIPO DE CONSUMIDOR]]="MEDIO",IF(Tabla1[[#This Row],[ENERO ]]&gt;22.5,Tabla1[[#This Row],[ENERO ]]/22.5-1,0),IF(Tabla1[[#This Row],[ENERO ]]&gt;45,Tabla1[[#This Row],[ENERO ]]/45-1,0))</f>
        <v>0</v>
      </c>
      <c r="AH44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5" s="100">
        <f>IF(Tabla1[[#This Row],[TIPO DE CONSUMIDOR]]="MEDIO",IF(Tabla1[[#This Row],[MARZO]]&gt;22.5,Tabla1[[#This Row],[MARZO]]/22.5-1,0),IF(Tabla1[[#This Row],[MARZO]]&gt;45,Tabla1[[#This Row],[MARZO]]/45-1,0))</f>
        <v>0</v>
      </c>
      <c r="AJ445" s="100">
        <f>IF(Tabla1[[#This Row],[TIPO DE CONSUMIDOR]]="MEDIO",IF(Tabla1[[#This Row],[ABRIL]]&gt;22.5,Tabla1[[#This Row],[ABRIL]]/22.5-1,0),IF(Tabla1[[#This Row],[ABRIL]]&gt;45,Tabla1[[#This Row],[ABRIL]]/45-1,0))</f>
        <v>0</v>
      </c>
      <c r="AK445" s="100">
        <f>IF(Tabla1[[#This Row],[TIPO DE CONSUMIDOR]]="MEDIO",IF(Tabla1[[#This Row],[MAYO ]]&gt;22.5,Tabla1[[#This Row],[MAYO ]]/22.5-1,0),IF(Tabla1[[#This Row],[MAYO ]]&gt;45,Tabla1[[#This Row],[MAYO ]]/45-1,0))</f>
        <v>0</v>
      </c>
      <c r="AL445" s="100">
        <f>IF(Tabla1[[#This Row],[TIPO DE CONSUMIDOR]]="MEDIO",IF(Tabla1[[#This Row],[JUNIO ]]&gt;22.5,Tabla1[[#This Row],[JUNIO ]]/22.5-1,0),IF(Tabla1[[#This Row],[JUNIO ]]&gt;45,Tabla1[[#This Row],[JUNIO ]]/45-1,0))</f>
        <v>0</v>
      </c>
      <c r="AM445" s="100">
        <f>IF(Tabla1[[#This Row],[TIPO DE CONSUMIDOR]]="MEDIO",IF(Tabla1[[#This Row],[JULIO ]]&gt;22.5,Tabla1[[#This Row],[JULIO ]]/22.5-1,0),IF(Tabla1[[#This Row],[JULIO ]]&gt;45,Tabla1[[#This Row],[JULIO ]]/45-1,0))</f>
        <v>0</v>
      </c>
      <c r="AN445" s="100">
        <f>IF(Tabla1[[#This Row],[TIPO DE CONSUMIDOR]]="MEDIO",IF(Tabla1[[#This Row],[AGOSTO]]&gt;22.5,Tabla1[[#This Row],[AGOSTO]]/22.5-1,0),IF(Tabla1[[#This Row],[AGOSTO]]&gt;45,Tabla1[[#This Row],[AGOSTO]]/45-1,0))</f>
        <v>0</v>
      </c>
      <c r="AO44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5" s="101">
        <f t="shared" si="13"/>
        <v>0</v>
      </c>
      <c r="AT445">
        <f>IF(Tabla1[[#This Row],[MES ADEUDO DE AÑOS PASADOS ]]&gt;0,1,0)</f>
        <v>1</v>
      </c>
      <c r="AU445" s="9">
        <f t="shared" si="14"/>
        <v>1</v>
      </c>
      <c r="AV445" s="60">
        <f>IF(Tabla1[[#This Row],[MESES DE ADEUDO DEL AÑO EN CURSO ]]&gt;0,1,0)</f>
        <v>0</v>
      </c>
      <c r="AW445" s="42"/>
      <c r="AX445" s="42"/>
      <c r="AY445" s="42"/>
      <c r="AZ445" s="43"/>
    </row>
    <row r="446" spans="1:52" ht="21.75" thickBot="1" x14ac:dyDescent="0.35">
      <c r="A446" s="106">
        <v>440</v>
      </c>
      <c r="B446" s="5" t="s">
        <v>214</v>
      </c>
      <c r="C446" s="2" t="s">
        <v>562</v>
      </c>
      <c r="D446" s="32"/>
      <c r="E446" s="36" t="s">
        <v>455</v>
      </c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24">
        <f>SUM(Tabla1[[#This Row],[ENERO ]:[DICIEMBRE]])</f>
        <v>0</v>
      </c>
      <c r="W446">
        <v>1</v>
      </c>
      <c r="X446" s="21">
        <f>COUNTIF(Tabla1[[#This Row],[ENERO ]:[DICIEMBRE]],0)-(AS446)-IF(Tabla1[[#This Row],[BAJAS]]="BAJA",IF(Tabla1[[#This Row],[ALTAS]]="ALTA",VLOOKUP(Tabla1[[#This Row],[MES DE ALTA ]],$AW$6:$AX$17,2,FALSE),12)-VLOOKUP(Tabla1[[#This Row],[MES DE BAJA ]],$AW$6:$AX$17,2,FALSE),0)</f>
        <v>0</v>
      </c>
      <c r="Y446" s="68">
        <f>SUM(Tabla1[[#This Row],[MES ADEUDO DE AÑOS PASADOS ]:[MESES DE ADEUDO DEL AÑO EN CURSO ]])-Tabla1[[#This Row],[PAGO DE DEUDA ANTERIOR EN MESES]]</f>
        <v>1</v>
      </c>
      <c r="Z446" s="15">
        <f>Tabla1[[#This Row],[MES ADEUDO DE AÑOS PASADOS ]]*$T$2</f>
        <v>45</v>
      </c>
      <c r="AA446" s="15">
        <f>Tabla1[[#This Row],[MESES DE ADEUDO DEL AÑO EN CURSO ]]*$T$2</f>
        <v>0</v>
      </c>
      <c r="AB446" s="69">
        <f>SUM(Tabla1[[#This Row],[DEUDA DE LOS MESES PASADOS EN $$]:[DEUDA DEL AÑO 2013 $$ ]])</f>
        <v>45</v>
      </c>
      <c r="AD446">
        <f>Tabla1[[#This Row],[PAGO DE DEUDA ANTERIOR EN MESES]]*$T$2</f>
        <v>0</v>
      </c>
      <c r="AG446" s="100">
        <f>IF(Tabla1[[#This Row],[TIPO DE CONSUMIDOR]]="MEDIO",IF(Tabla1[[#This Row],[ENERO ]]&gt;22.5,Tabla1[[#This Row],[ENERO ]]/22.5-1,0),IF(Tabla1[[#This Row],[ENERO ]]&gt;45,Tabla1[[#This Row],[ENERO ]]/45-1,0))</f>
        <v>0</v>
      </c>
      <c r="AH44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6" s="100">
        <f>IF(Tabla1[[#This Row],[TIPO DE CONSUMIDOR]]="MEDIO",IF(Tabla1[[#This Row],[MARZO]]&gt;22.5,Tabla1[[#This Row],[MARZO]]/22.5-1,0),IF(Tabla1[[#This Row],[MARZO]]&gt;45,Tabla1[[#This Row],[MARZO]]/45-1,0))</f>
        <v>0</v>
      </c>
      <c r="AJ446" s="100">
        <f>IF(Tabla1[[#This Row],[TIPO DE CONSUMIDOR]]="MEDIO",IF(Tabla1[[#This Row],[ABRIL]]&gt;22.5,Tabla1[[#This Row],[ABRIL]]/22.5-1,0),IF(Tabla1[[#This Row],[ABRIL]]&gt;45,Tabla1[[#This Row],[ABRIL]]/45-1,0))</f>
        <v>0</v>
      </c>
      <c r="AK446" s="100">
        <f>IF(Tabla1[[#This Row],[TIPO DE CONSUMIDOR]]="MEDIO",IF(Tabla1[[#This Row],[MAYO ]]&gt;22.5,Tabla1[[#This Row],[MAYO ]]/22.5-1,0),IF(Tabla1[[#This Row],[MAYO ]]&gt;45,Tabla1[[#This Row],[MAYO ]]/45-1,0))</f>
        <v>0</v>
      </c>
      <c r="AL446" s="100">
        <f>IF(Tabla1[[#This Row],[TIPO DE CONSUMIDOR]]="MEDIO",IF(Tabla1[[#This Row],[JUNIO ]]&gt;22.5,Tabla1[[#This Row],[JUNIO ]]/22.5-1,0),IF(Tabla1[[#This Row],[JUNIO ]]&gt;45,Tabla1[[#This Row],[JUNIO ]]/45-1,0))</f>
        <v>0</v>
      </c>
      <c r="AM446" s="100">
        <f>IF(Tabla1[[#This Row],[TIPO DE CONSUMIDOR]]="MEDIO",IF(Tabla1[[#This Row],[JULIO ]]&gt;22.5,Tabla1[[#This Row],[JULIO ]]/22.5-1,0),IF(Tabla1[[#This Row],[JULIO ]]&gt;45,Tabla1[[#This Row],[JULIO ]]/45-1,0))</f>
        <v>0</v>
      </c>
      <c r="AN446" s="100">
        <f>IF(Tabla1[[#This Row],[TIPO DE CONSUMIDOR]]="MEDIO",IF(Tabla1[[#This Row],[AGOSTO]]&gt;22.5,Tabla1[[#This Row],[AGOSTO]]/22.5-1,0),IF(Tabla1[[#This Row],[AGOSTO]]&gt;45,Tabla1[[#This Row],[AGOSTO]]/45-1,0))</f>
        <v>0</v>
      </c>
      <c r="AO44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6" s="101">
        <f t="shared" si="13"/>
        <v>0</v>
      </c>
      <c r="AT446">
        <f>IF(Tabla1[[#This Row],[MES ADEUDO DE AÑOS PASADOS ]]&gt;0,1,0)</f>
        <v>1</v>
      </c>
      <c r="AU446" s="9">
        <f t="shared" si="14"/>
        <v>1</v>
      </c>
      <c r="AV446" s="60">
        <f>IF(Tabla1[[#This Row],[MESES DE ADEUDO DEL AÑO EN CURSO ]]&gt;0,1,0)</f>
        <v>0</v>
      </c>
      <c r="AW446" s="42"/>
      <c r="AX446" s="42"/>
      <c r="AY446" s="42"/>
      <c r="AZ446" s="43"/>
    </row>
    <row r="447" spans="1:52" ht="21.75" thickBot="1" x14ac:dyDescent="0.35">
      <c r="A447" s="106">
        <v>441</v>
      </c>
      <c r="B447" s="5" t="s">
        <v>568</v>
      </c>
      <c r="C447" s="2" t="s">
        <v>562</v>
      </c>
      <c r="D447" s="32"/>
      <c r="E447" s="36" t="s">
        <v>455</v>
      </c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24">
        <f>SUM(Tabla1[[#This Row],[ENERO ]:[DICIEMBRE]])</f>
        <v>0</v>
      </c>
      <c r="W447">
        <v>2</v>
      </c>
      <c r="X447" s="21">
        <f>COUNTIF(Tabla1[[#This Row],[ENERO ]:[DICIEMBRE]],0)-(AS447)-IF(Tabla1[[#This Row],[BAJAS]]="BAJA",IF(Tabla1[[#This Row],[ALTAS]]="ALTA",VLOOKUP(Tabla1[[#This Row],[MES DE ALTA ]],$AW$6:$AX$17,2,FALSE),12)-VLOOKUP(Tabla1[[#This Row],[MES DE BAJA ]],$AW$6:$AX$17,2,FALSE),0)</f>
        <v>0</v>
      </c>
      <c r="Y447" s="68">
        <f>SUM(Tabla1[[#This Row],[MES ADEUDO DE AÑOS PASADOS ]:[MESES DE ADEUDO DEL AÑO EN CURSO ]])-Tabla1[[#This Row],[PAGO DE DEUDA ANTERIOR EN MESES]]</f>
        <v>2</v>
      </c>
      <c r="Z447" s="15">
        <f>Tabla1[[#This Row],[MES ADEUDO DE AÑOS PASADOS ]]*$T$2</f>
        <v>90</v>
      </c>
      <c r="AA447" s="15">
        <f>Tabla1[[#This Row],[MESES DE ADEUDO DEL AÑO EN CURSO ]]*$T$2</f>
        <v>0</v>
      </c>
      <c r="AB447" s="69">
        <f>SUM(Tabla1[[#This Row],[DEUDA DE LOS MESES PASADOS EN $$]:[DEUDA DEL AÑO 2013 $$ ]])</f>
        <v>90</v>
      </c>
      <c r="AD447">
        <f>Tabla1[[#This Row],[PAGO DE DEUDA ANTERIOR EN MESES]]*$T$2</f>
        <v>0</v>
      </c>
      <c r="AG447" s="100">
        <f>IF(Tabla1[[#This Row],[TIPO DE CONSUMIDOR]]="MEDIO",IF(Tabla1[[#This Row],[ENERO ]]&gt;22.5,Tabla1[[#This Row],[ENERO ]]/22.5-1,0),IF(Tabla1[[#This Row],[ENERO ]]&gt;45,Tabla1[[#This Row],[ENERO ]]/45-1,0))</f>
        <v>0</v>
      </c>
      <c r="AH44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7" s="100">
        <f>IF(Tabla1[[#This Row],[TIPO DE CONSUMIDOR]]="MEDIO",IF(Tabla1[[#This Row],[MARZO]]&gt;22.5,Tabla1[[#This Row],[MARZO]]/22.5-1,0),IF(Tabla1[[#This Row],[MARZO]]&gt;45,Tabla1[[#This Row],[MARZO]]/45-1,0))</f>
        <v>0</v>
      </c>
      <c r="AJ447" s="100">
        <f>IF(Tabla1[[#This Row],[TIPO DE CONSUMIDOR]]="MEDIO",IF(Tabla1[[#This Row],[ABRIL]]&gt;22.5,Tabla1[[#This Row],[ABRIL]]/22.5-1,0),IF(Tabla1[[#This Row],[ABRIL]]&gt;45,Tabla1[[#This Row],[ABRIL]]/45-1,0))</f>
        <v>0</v>
      </c>
      <c r="AK447" s="100">
        <f>IF(Tabla1[[#This Row],[TIPO DE CONSUMIDOR]]="MEDIO",IF(Tabla1[[#This Row],[MAYO ]]&gt;22.5,Tabla1[[#This Row],[MAYO ]]/22.5-1,0),IF(Tabla1[[#This Row],[MAYO ]]&gt;45,Tabla1[[#This Row],[MAYO ]]/45-1,0))</f>
        <v>0</v>
      </c>
      <c r="AL447" s="100">
        <f>IF(Tabla1[[#This Row],[TIPO DE CONSUMIDOR]]="MEDIO",IF(Tabla1[[#This Row],[JUNIO ]]&gt;22.5,Tabla1[[#This Row],[JUNIO ]]/22.5-1,0),IF(Tabla1[[#This Row],[JUNIO ]]&gt;45,Tabla1[[#This Row],[JUNIO ]]/45-1,0))</f>
        <v>0</v>
      </c>
      <c r="AM447" s="100">
        <f>IF(Tabla1[[#This Row],[TIPO DE CONSUMIDOR]]="MEDIO",IF(Tabla1[[#This Row],[JULIO ]]&gt;22.5,Tabla1[[#This Row],[JULIO ]]/22.5-1,0),IF(Tabla1[[#This Row],[JULIO ]]&gt;45,Tabla1[[#This Row],[JULIO ]]/45-1,0))</f>
        <v>0</v>
      </c>
      <c r="AN447" s="100">
        <f>IF(Tabla1[[#This Row],[TIPO DE CONSUMIDOR]]="MEDIO",IF(Tabla1[[#This Row],[AGOSTO]]&gt;22.5,Tabla1[[#This Row],[AGOSTO]]/22.5-1,0),IF(Tabla1[[#This Row],[AGOSTO]]&gt;45,Tabla1[[#This Row],[AGOSTO]]/45-1,0))</f>
        <v>0</v>
      </c>
      <c r="AO44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7" s="101">
        <f t="shared" si="13"/>
        <v>0</v>
      </c>
      <c r="AT447">
        <f>IF(Tabla1[[#This Row],[MES ADEUDO DE AÑOS PASADOS ]]&gt;0,1,0)</f>
        <v>1</v>
      </c>
      <c r="AU447" s="9">
        <f t="shared" si="14"/>
        <v>1</v>
      </c>
      <c r="AV447" s="60">
        <f>IF(Tabla1[[#This Row],[MESES DE ADEUDO DEL AÑO EN CURSO ]]&gt;0,1,0)</f>
        <v>0</v>
      </c>
      <c r="AW447" s="42"/>
      <c r="AX447" s="42"/>
      <c r="AY447" s="42"/>
      <c r="AZ447" s="43"/>
    </row>
    <row r="448" spans="1:52" ht="21.75" thickBot="1" x14ac:dyDescent="0.35">
      <c r="A448" s="106">
        <v>442</v>
      </c>
      <c r="B448" s="5" t="s">
        <v>290</v>
      </c>
      <c r="C448" s="2" t="s">
        <v>562</v>
      </c>
      <c r="D448" s="32"/>
      <c r="E448" s="36" t="s">
        <v>455</v>
      </c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24">
        <f>SUM(Tabla1[[#This Row],[ENERO ]:[DICIEMBRE]])</f>
        <v>0</v>
      </c>
      <c r="W448">
        <v>2</v>
      </c>
      <c r="X448" s="21">
        <f>COUNTIF(Tabla1[[#This Row],[ENERO ]:[DICIEMBRE]],0)-(AS448)-IF(Tabla1[[#This Row],[BAJAS]]="BAJA",IF(Tabla1[[#This Row],[ALTAS]]="ALTA",VLOOKUP(Tabla1[[#This Row],[MES DE ALTA ]],$AW$6:$AX$17,2,FALSE),12)-VLOOKUP(Tabla1[[#This Row],[MES DE BAJA ]],$AW$6:$AX$17,2,FALSE),0)</f>
        <v>0</v>
      </c>
      <c r="Y448" s="68">
        <f>SUM(Tabla1[[#This Row],[MES ADEUDO DE AÑOS PASADOS ]:[MESES DE ADEUDO DEL AÑO EN CURSO ]])-Tabla1[[#This Row],[PAGO DE DEUDA ANTERIOR EN MESES]]</f>
        <v>2</v>
      </c>
      <c r="Z448" s="15">
        <f>Tabla1[[#This Row],[MES ADEUDO DE AÑOS PASADOS ]]*$T$2</f>
        <v>90</v>
      </c>
      <c r="AA448" s="15">
        <f>Tabla1[[#This Row],[MESES DE ADEUDO DEL AÑO EN CURSO ]]*$T$2</f>
        <v>0</v>
      </c>
      <c r="AB448" s="69">
        <f>SUM(Tabla1[[#This Row],[DEUDA DE LOS MESES PASADOS EN $$]:[DEUDA DEL AÑO 2013 $$ ]])</f>
        <v>90</v>
      </c>
      <c r="AD448">
        <f>Tabla1[[#This Row],[PAGO DE DEUDA ANTERIOR EN MESES]]*$T$2</f>
        <v>0</v>
      </c>
      <c r="AG448" s="100">
        <f>IF(Tabla1[[#This Row],[TIPO DE CONSUMIDOR]]="MEDIO",IF(Tabla1[[#This Row],[ENERO ]]&gt;22.5,Tabla1[[#This Row],[ENERO ]]/22.5-1,0),IF(Tabla1[[#This Row],[ENERO ]]&gt;45,Tabla1[[#This Row],[ENERO ]]/45-1,0))</f>
        <v>0</v>
      </c>
      <c r="AH44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8" s="100">
        <f>IF(Tabla1[[#This Row],[TIPO DE CONSUMIDOR]]="MEDIO",IF(Tabla1[[#This Row],[MARZO]]&gt;22.5,Tabla1[[#This Row],[MARZO]]/22.5-1,0),IF(Tabla1[[#This Row],[MARZO]]&gt;45,Tabla1[[#This Row],[MARZO]]/45-1,0))</f>
        <v>0</v>
      </c>
      <c r="AJ448" s="100">
        <f>IF(Tabla1[[#This Row],[TIPO DE CONSUMIDOR]]="MEDIO",IF(Tabla1[[#This Row],[ABRIL]]&gt;22.5,Tabla1[[#This Row],[ABRIL]]/22.5-1,0),IF(Tabla1[[#This Row],[ABRIL]]&gt;45,Tabla1[[#This Row],[ABRIL]]/45-1,0))</f>
        <v>0</v>
      </c>
      <c r="AK448" s="100">
        <f>IF(Tabla1[[#This Row],[TIPO DE CONSUMIDOR]]="MEDIO",IF(Tabla1[[#This Row],[MAYO ]]&gt;22.5,Tabla1[[#This Row],[MAYO ]]/22.5-1,0),IF(Tabla1[[#This Row],[MAYO ]]&gt;45,Tabla1[[#This Row],[MAYO ]]/45-1,0))</f>
        <v>0</v>
      </c>
      <c r="AL448" s="100">
        <f>IF(Tabla1[[#This Row],[TIPO DE CONSUMIDOR]]="MEDIO",IF(Tabla1[[#This Row],[JUNIO ]]&gt;22.5,Tabla1[[#This Row],[JUNIO ]]/22.5-1,0),IF(Tabla1[[#This Row],[JUNIO ]]&gt;45,Tabla1[[#This Row],[JUNIO ]]/45-1,0))</f>
        <v>0</v>
      </c>
      <c r="AM448" s="100">
        <f>IF(Tabla1[[#This Row],[TIPO DE CONSUMIDOR]]="MEDIO",IF(Tabla1[[#This Row],[JULIO ]]&gt;22.5,Tabla1[[#This Row],[JULIO ]]/22.5-1,0),IF(Tabla1[[#This Row],[JULIO ]]&gt;45,Tabla1[[#This Row],[JULIO ]]/45-1,0))</f>
        <v>0</v>
      </c>
      <c r="AN448" s="100">
        <f>IF(Tabla1[[#This Row],[TIPO DE CONSUMIDOR]]="MEDIO",IF(Tabla1[[#This Row],[AGOSTO]]&gt;22.5,Tabla1[[#This Row],[AGOSTO]]/22.5-1,0),IF(Tabla1[[#This Row],[AGOSTO]]&gt;45,Tabla1[[#This Row],[AGOSTO]]/45-1,0))</f>
        <v>0</v>
      </c>
      <c r="AO44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8" s="101">
        <f t="shared" si="13"/>
        <v>0</v>
      </c>
      <c r="AT448">
        <f>IF(Tabla1[[#This Row],[MES ADEUDO DE AÑOS PASADOS ]]&gt;0,1,0)</f>
        <v>1</v>
      </c>
      <c r="AU448" s="9">
        <f t="shared" si="14"/>
        <v>1</v>
      </c>
      <c r="AV448" s="60">
        <f>IF(Tabla1[[#This Row],[MESES DE ADEUDO DEL AÑO EN CURSO ]]&gt;0,1,0)</f>
        <v>0</v>
      </c>
      <c r="AW448" s="42"/>
      <c r="AX448" s="42"/>
      <c r="AY448" s="42"/>
      <c r="AZ448" s="43"/>
    </row>
    <row r="449" spans="1:52" ht="21.75" thickBot="1" x14ac:dyDescent="0.35">
      <c r="A449" s="106">
        <v>443</v>
      </c>
      <c r="B449" s="5" t="s">
        <v>137</v>
      </c>
      <c r="C449" s="2" t="s">
        <v>562</v>
      </c>
      <c r="D449" s="32"/>
      <c r="E449" s="36" t="s">
        <v>455</v>
      </c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24">
        <f>SUM(Tabla1[[#This Row],[ENERO ]:[DICIEMBRE]])</f>
        <v>0</v>
      </c>
      <c r="W449">
        <v>3</v>
      </c>
      <c r="X449" s="21">
        <f>COUNTIF(Tabla1[[#This Row],[ENERO ]:[DICIEMBRE]],0)-(AS449)-IF(Tabla1[[#This Row],[BAJAS]]="BAJA",IF(Tabla1[[#This Row],[ALTAS]]="ALTA",VLOOKUP(Tabla1[[#This Row],[MES DE ALTA ]],$AW$6:$AX$17,2,FALSE),12)-VLOOKUP(Tabla1[[#This Row],[MES DE BAJA ]],$AW$6:$AX$17,2,FALSE),0)</f>
        <v>0</v>
      </c>
      <c r="Y449" s="68">
        <f>SUM(Tabla1[[#This Row],[MES ADEUDO DE AÑOS PASADOS ]:[MESES DE ADEUDO DEL AÑO EN CURSO ]])-Tabla1[[#This Row],[PAGO DE DEUDA ANTERIOR EN MESES]]</f>
        <v>3</v>
      </c>
      <c r="Z449" s="15">
        <f>Tabla1[[#This Row],[MES ADEUDO DE AÑOS PASADOS ]]*$T$2</f>
        <v>135</v>
      </c>
      <c r="AA449" s="15">
        <f>Tabla1[[#This Row],[MESES DE ADEUDO DEL AÑO EN CURSO ]]*$T$2</f>
        <v>0</v>
      </c>
      <c r="AB449" s="69">
        <f>SUM(Tabla1[[#This Row],[DEUDA DE LOS MESES PASADOS EN $$]:[DEUDA DEL AÑO 2013 $$ ]])</f>
        <v>135</v>
      </c>
      <c r="AD449">
        <f>Tabla1[[#This Row],[PAGO DE DEUDA ANTERIOR EN MESES]]*$T$2</f>
        <v>0</v>
      </c>
      <c r="AG449" s="100">
        <f>IF(Tabla1[[#This Row],[TIPO DE CONSUMIDOR]]="MEDIO",IF(Tabla1[[#This Row],[ENERO ]]&gt;22.5,Tabla1[[#This Row],[ENERO ]]/22.5-1,0),IF(Tabla1[[#This Row],[ENERO ]]&gt;45,Tabla1[[#This Row],[ENERO ]]/45-1,0))</f>
        <v>0</v>
      </c>
      <c r="AH44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49" s="100">
        <f>IF(Tabla1[[#This Row],[TIPO DE CONSUMIDOR]]="MEDIO",IF(Tabla1[[#This Row],[MARZO]]&gt;22.5,Tabla1[[#This Row],[MARZO]]/22.5-1,0),IF(Tabla1[[#This Row],[MARZO]]&gt;45,Tabla1[[#This Row],[MARZO]]/45-1,0))</f>
        <v>0</v>
      </c>
      <c r="AJ449" s="100">
        <f>IF(Tabla1[[#This Row],[TIPO DE CONSUMIDOR]]="MEDIO",IF(Tabla1[[#This Row],[ABRIL]]&gt;22.5,Tabla1[[#This Row],[ABRIL]]/22.5-1,0),IF(Tabla1[[#This Row],[ABRIL]]&gt;45,Tabla1[[#This Row],[ABRIL]]/45-1,0))</f>
        <v>0</v>
      </c>
      <c r="AK449" s="100">
        <f>IF(Tabla1[[#This Row],[TIPO DE CONSUMIDOR]]="MEDIO",IF(Tabla1[[#This Row],[MAYO ]]&gt;22.5,Tabla1[[#This Row],[MAYO ]]/22.5-1,0),IF(Tabla1[[#This Row],[MAYO ]]&gt;45,Tabla1[[#This Row],[MAYO ]]/45-1,0))</f>
        <v>0</v>
      </c>
      <c r="AL449" s="100">
        <f>IF(Tabla1[[#This Row],[TIPO DE CONSUMIDOR]]="MEDIO",IF(Tabla1[[#This Row],[JUNIO ]]&gt;22.5,Tabla1[[#This Row],[JUNIO ]]/22.5-1,0),IF(Tabla1[[#This Row],[JUNIO ]]&gt;45,Tabla1[[#This Row],[JUNIO ]]/45-1,0))</f>
        <v>0</v>
      </c>
      <c r="AM449" s="100">
        <f>IF(Tabla1[[#This Row],[TIPO DE CONSUMIDOR]]="MEDIO",IF(Tabla1[[#This Row],[JULIO ]]&gt;22.5,Tabla1[[#This Row],[JULIO ]]/22.5-1,0),IF(Tabla1[[#This Row],[JULIO ]]&gt;45,Tabla1[[#This Row],[JULIO ]]/45-1,0))</f>
        <v>0</v>
      </c>
      <c r="AN449" s="100">
        <f>IF(Tabla1[[#This Row],[TIPO DE CONSUMIDOR]]="MEDIO",IF(Tabla1[[#This Row],[AGOSTO]]&gt;22.5,Tabla1[[#This Row],[AGOSTO]]/22.5-1,0),IF(Tabla1[[#This Row],[AGOSTO]]&gt;45,Tabla1[[#This Row],[AGOSTO]]/45-1,0))</f>
        <v>0</v>
      </c>
      <c r="AO44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4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4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4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49" s="101">
        <f t="shared" si="13"/>
        <v>0</v>
      </c>
      <c r="AT449">
        <f>IF(Tabla1[[#This Row],[MES ADEUDO DE AÑOS PASADOS ]]&gt;0,1,0)</f>
        <v>1</v>
      </c>
      <c r="AU449" s="9">
        <f t="shared" si="14"/>
        <v>1</v>
      </c>
      <c r="AV449" s="60">
        <f>IF(Tabla1[[#This Row],[MESES DE ADEUDO DEL AÑO EN CURSO ]]&gt;0,1,0)</f>
        <v>0</v>
      </c>
      <c r="AW449" s="42"/>
      <c r="AX449" s="42"/>
      <c r="AY449" s="42"/>
      <c r="AZ449" s="43"/>
    </row>
    <row r="450" spans="1:52" ht="21.75" thickBot="1" x14ac:dyDescent="0.35">
      <c r="A450" s="106">
        <v>444</v>
      </c>
      <c r="B450" s="5" t="s">
        <v>174</v>
      </c>
      <c r="C450" s="2" t="s">
        <v>562</v>
      </c>
      <c r="D450" s="32"/>
      <c r="E450" s="36" t="s">
        <v>455</v>
      </c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24">
        <f>SUM(Tabla1[[#This Row],[ENERO ]:[DICIEMBRE]])</f>
        <v>0</v>
      </c>
      <c r="W450">
        <v>4</v>
      </c>
      <c r="X450" s="21">
        <f>COUNTIF(Tabla1[[#This Row],[ENERO ]:[DICIEMBRE]],0)-(AS450)-IF(Tabla1[[#This Row],[BAJAS]]="BAJA",IF(Tabla1[[#This Row],[ALTAS]]="ALTA",VLOOKUP(Tabla1[[#This Row],[MES DE ALTA ]],$AW$6:$AX$17,2,FALSE),12)-VLOOKUP(Tabla1[[#This Row],[MES DE BAJA ]],$AW$6:$AX$17,2,FALSE),0)</f>
        <v>0</v>
      </c>
      <c r="Y450" s="68">
        <f>SUM(Tabla1[[#This Row],[MES ADEUDO DE AÑOS PASADOS ]:[MESES DE ADEUDO DEL AÑO EN CURSO ]])-Tabla1[[#This Row],[PAGO DE DEUDA ANTERIOR EN MESES]]</f>
        <v>4</v>
      </c>
      <c r="Z450" s="15">
        <f>Tabla1[[#This Row],[MES ADEUDO DE AÑOS PASADOS ]]*$T$2</f>
        <v>180</v>
      </c>
      <c r="AA450" s="15">
        <f>Tabla1[[#This Row],[MESES DE ADEUDO DEL AÑO EN CURSO ]]*$T$2</f>
        <v>0</v>
      </c>
      <c r="AB450" s="69">
        <f>SUM(Tabla1[[#This Row],[DEUDA DE LOS MESES PASADOS EN $$]:[DEUDA DEL AÑO 2013 $$ ]])</f>
        <v>180</v>
      </c>
      <c r="AD450">
        <f>Tabla1[[#This Row],[PAGO DE DEUDA ANTERIOR EN MESES]]*$T$2</f>
        <v>0</v>
      </c>
      <c r="AG450" s="100">
        <f>IF(Tabla1[[#This Row],[TIPO DE CONSUMIDOR]]="MEDIO",IF(Tabla1[[#This Row],[ENERO ]]&gt;22.5,Tabla1[[#This Row],[ENERO ]]/22.5-1,0),IF(Tabla1[[#This Row],[ENERO ]]&gt;45,Tabla1[[#This Row],[ENERO ]]/45-1,0))</f>
        <v>0</v>
      </c>
      <c r="AH45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0" s="100">
        <f>IF(Tabla1[[#This Row],[TIPO DE CONSUMIDOR]]="MEDIO",IF(Tabla1[[#This Row],[MARZO]]&gt;22.5,Tabla1[[#This Row],[MARZO]]/22.5-1,0),IF(Tabla1[[#This Row],[MARZO]]&gt;45,Tabla1[[#This Row],[MARZO]]/45-1,0))</f>
        <v>0</v>
      </c>
      <c r="AJ450" s="100">
        <f>IF(Tabla1[[#This Row],[TIPO DE CONSUMIDOR]]="MEDIO",IF(Tabla1[[#This Row],[ABRIL]]&gt;22.5,Tabla1[[#This Row],[ABRIL]]/22.5-1,0),IF(Tabla1[[#This Row],[ABRIL]]&gt;45,Tabla1[[#This Row],[ABRIL]]/45-1,0))</f>
        <v>0</v>
      </c>
      <c r="AK450" s="100">
        <f>IF(Tabla1[[#This Row],[TIPO DE CONSUMIDOR]]="MEDIO",IF(Tabla1[[#This Row],[MAYO ]]&gt;22.5,Tabla1[[#This Row],[MAYO ]]/22.5-1,0),IF(Tabla1[[#This Row],[MAYO ]]&gt;45,Tabla1[[#This Row],[MAYO ]]/45-1,0))</f>
        <v>0</v>
      </c>
      <c r="AL450" s="100">
        <f>IF(Tabla1[[#This Row],[TIPO DE CONSUMIDOR]]="MEDIO",IF(Tabla1[[#This Row],[JUNIO ]]&gt;22.5,Tabla1[[#This Row],[JUNIO ]]/22.5-1,0),IF(Tabla1[[#This Row],[JUNIO ]]&gt;45,Tabla1[[#This Row],[JUNIO ]]/45-1,0))</f>
        <v>0</v>
      </c>
      <c r="AM450" s="100">
        <f>IF(Tabla1[[#This Row],[TIPO DE CONSUMIDOR]]="MEDIO",IF(Tabla1[[#This Row],[JULIO ]]&gt;22.5,Tabla1[[#This Row],[JULIO ]]/22.5-1,0),IF(Tabla1[[#This Row],[JULIO ]]&gt;45,Tabla1[[#This Row],[JULIO ]]/45-1,0))</f>
        <v>0</v>
      </c>
      <c r="AN450" s="100">
        <f>IF(Tabla1[[#This Row],[TIPO DE CONSUMIDOR]]="MEDIO",IF(Tabla1[[#This Row],[AGOSTO]]&gt;22.5,Tabla1[[#This Row],[AGOSTO]]/22.5-1,0),IF(Tabla1[[#This Row],[AGOSTO]]&gt;45,Tabla1[[#This Row],[AGOSTO]]/45-1,0))</f>
        <v>0</v>
      </c>
      <c r="AO45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0" s="101">
        <f t="shared" si="13"/>
        <v>0</v>
      </c>
      <c r="AT450">
        <f>IF(Tabla1[[#This Row],[MES ADEUDO DE AÑOS PASADOS ]]&gt;0,1,0)</f>
        <v>1</v>
      </c>
      <c r="AU450" s="9">
        <f t="shared" si="14"/>
        <v>1</v>
      </c>
      <c r="AV450" s="60">
        <f>IF(Tabla1[[#This Row],[MESES DE ADEUDO DEL AÑO EN CURSO ]]&gt;0,1,0)</f>
        <v>0</v>
      </c>
      <c r="AW450" s="42"/>
      <c r="AX450" s="42"/>
      <c r="AY450" s="42"/>
      <c r="AZ450" s="43"/>
    </row>
    <row r="451" spans="1:52" ht="21.75" thickBot="1" x14ac:dyDescent="0.35">
      <c r="A451" s="106">
        <v>445</v>
      </c>
      <c r="B451" s="5" t="s">
        <v>309</v>
      </c>
      <c r="C451" s="2" t="s">
        <v>562</v>
      </c>
      <c r="D451" s="32"/>
      <c r="E451" s="36" t="s">
        <v>455</v>
      </c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24">
        <f>SUM(Tabla1[[#This Row],[ENERO ]:[DICIEMBRE]])</f>
        <v>0</v>
      </c>
      <c r="W451">
        <v>4</v>
      </c>
      <c r="X451" s="21">
        <f>COUNTIF(Tabla1[[#This Row],[ENERO ]:[DICIEMBRE]],0)-(AS451)-IF(Tabla1[[#This Row],[BAJAS]]="BAJA",IF(Tabla1[[#This Row],[ALTAS]]="ALTA",VLOOKUP(Tabla1[[#This Row],[MES DE ALTA ]],$AW$6:$AX$17,2,FALSE),12)-VLOOKUP(Tabla1[[#This Row],[MES DE BAJA ]],$AW$6:$AX$17,2,FALSE),0)</f>
        <v>0</v>
      </c>
      <c r="Y451" s="68">
        <f>SUM(Tabla1[[#This Row],[MES ADEUDO DE AÑOS PASADOS ]:[MESES DE ADEUDO DEL AÑO EN CURSO ]])-Tabla1[[#This Row],[PAGO DE DEUDA ANTERIOR EN MESES]]</f>
        <v>4</v>
      </c>
      <c r="Z451" s="15">
        <f>Tabla1[[#This Row],[MES ADEUDO DE AÑOS PASADOS ]]*$T$2</f>
        <v>180</v>
      </c>
      <c r="AA451" s="15">
        <f>Tabla1[[#This Row],[MESES DE ADEUDO DEL AÑO EN CURSO ]]*$T$2</f>
        <v>0</v>
      </c>
      <c r="AB451" s="69">
        <f>SUM(Tabla1[[#This Row],[DEUDA DE LOS MESES PASADOS EN $$]:[DEUDA DEL AÑO 2013 $$ ]])</f>
        <v>180</v>
      </c>
      <c r="AD451">
        <f>Tabla1[[#This Row],[PAGO DE DEUDA ANTERIOR EN MESES]]*$T$2</f>
        <v>0</v>
      </c>
      <c r="AG451" s="100">
        <f>IF(Tabla1[[#This Row],[TIPO DE CONSUMIDOR]]="MEDIO",IF(Tabla1[[#This Row],[ENERO ]]&gt;22.5,Tabla1[[#This Row],[ENERO ]]/22.5-1,0),IF(Tabla1[[#This Row],[ENERO ]]&gt;45,Tabla1[[#This Row],[ENERO ]]/45-1,0))</f>
        <v>0</v>
      </c>
      <c r="AH45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1" s="100">
        <f>IF(Tabla1[[#This Row],[TIPO DE CONSUMIDOR]]="MEDIO",IF(Tabla1[[#This Row],[MARZO]]&gt;22.5,Tabla1[[#This Row],[MARZO]]/22.5-1,0),IF(Tabla1[[#This Row],[MARZO]]&gt;45,Tabla1[[#This Row],[MARZO]]/45-1,0))</f>
        <v>0</v>
      </c>
      <c r="AJ451" s="100">
        <f>IF(Tabla1[[#This Row],[TIPO DE CONSUMIDOR]]="MEDIO",IF(Tabla1[[#This Row],[ABRIL]]&gt;22.5,Tabla1[[#This Row],[ABRIL]]/22.5-1,0),IF(Tabla1[[#This Row],[ABRIL]]&gt;45,Tabla1[[#This Row],[ABRIL]]/45-1,0))</f>
        <v>0</v>
      </c>
      <c r="AK451" s="100">
        <f>IF(Tabla1[[#This Row],[TIPO DE CONSUMIDOR]]="MEDIO",IF(Tabla1[[#This Row],[MAYO ]]&gt;22.5,Tabla1[[#This Row],[MAYO ]]/22.5-1,0),IF(Tabla1[[#This Row],[MAYO ]]&gt;45,Tabla1[[#This Row],[MAYO ]]/45-1,0))</f>
        <v>0</v>
      </c>
      <c r="AL451" s="100">
        <f>IF(Tabla1[[#This Row],[TIPO DE CONSUMIDOR]]="MEDIO",IF(Tabla1[[#This Row],[JUNIO ]]&gt;22.5,Tabla1[[#This Row],[JUNIO ]]/22.5-1,0),IF(Tabla1[[#This Row],[JUNIO ]]&gt;45,Tabla1[[#This Row],[JUNIO ]]/45-1,0))</f>
        <v>0</v>
      </c>
      <c r="AM451" s="100">
        <f>IF(Tabla1[[#This Row],[TIPO DE CONSUMIDOR]]="MEDIO",IF(Tabla1[[#This Row],[JULIO ]]&gt;22.5,Tabla1[[#This Row],[JULIO ]]/22.5-1,0),IF(Tabla1[[#This Row],[JULIO ]]&gt;45,Tabla1[[#This Row],[JULIO ]]/45-1,0))</f>
        <v>0</v>
      </c>
      <c r="AN451" s="100">
        <f>IF(Tabla1[[#This Row],[TIPO DE CONSUMIDOR]]="MEDIO",IF(Tabla1[[#This Row],[AGOSTO]]&gt;22.5,Tabla1[[#This Row],[AGOSTO]]/22.5-1,0),IF(Tabla1[[#This Row],[AGOSTO]]&gt;45,Tabla1[[#This Row],[AGOSTO]]/45-1,0))</f>
        <v>0</v>
      </c>
      <c r="AO45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1" s="101">
        <f t="shared" si="13"/>
        <v>0</v>
      </c>
      <c r="AT451">
        <f>IF(Tabla1[[#This Row],[MES ADEUDO DE AÑOS PASADOS ]]&gt;0,1,0)</f>
        <v>1</v>
      </c>
      <c r="AU451" s="9">
        <f t="shared" si="14"/>
        <v>1</v>
      </c>
      <c r="AV451" s="60">
        <f>IF(Tabla1[[#This Row],[MESES DE ADEUDO DEL AÑO EN CURSO ]]&gt;0,1,0)</f>
        <v>0</v>
      </c>
      <c r="AW451" s="42"/>
      <c r="AX451" s="42"/>
      <c r="AY451" s="42"/>
      <c r="AZ451" s="43"/>
    </row>
    <row r="452" spans="1:52" ht="21.75" thickBot="1" x14ac:dyDescent="0.35">
      <c r="A452" s="106">
        <v>446</v>
      </c>
      <c r="B452" s="5" t="s">
        <v>24</v>
      </c>
      <c r="C452" s="2" t="s">
        <v>562</v>
      </c>
      <c r="D452" s="32"/>
      <c r="E452" s="36" t="s">
        <v>455</v>
      </c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24">
        <f>SUM(Tabla1[[#This Row],[ENERO ]:[DICIEMBRE]])</f>
        <v>0</v>
      </c>
      <c r="W452">
        <v>5</v>
      </c>
      <c r="X452" s="21">
        <f>COUNTIF(Tabla1[[#This Row],[ENERO ]:[DICIEMBRE]],0)-(AS452)-IF(Tabla1[[#This Row],[BAJAS]]="BAJA",IF(Tabla1[[#This Row],[ALTAS]]="ALTA",VLOOKUP(Tabla1[[#This Row],[MES DE ALTA ]],$AW$6:$AX$17,2,FALSE),12)-VLOOKUP(Tabla1[[#This Row],[MES DE BAJA ]],$AW$6:$AX$17,2,FALSE),0)</f>
        <v>0</v>
      </c>
      <c r="Y452" s="68">
        <f>SUM(Tabla1[[#This Row],[MES ADEUDO DE AÑOS PASADOS ]:[MESES DE ADEUDO DEL AÑO EN CURSO ]])-Tabla1[[#This Row],[PAGO DE DEUDA ANTERIOR EN MESES]]</f>
        <v>5</v>
      </c>
      <c r="Z452" s="15">
        <f>Tabla1[[#This Row],[MES ADEUDO DE AÑOS PASADOS ]]*$T$2</f>
        <v>225</v>
      </c>
      <c r="AA452" s="15">
        <f>Tabla1[[#This Row],[MESES DE ADEUDO DEL AÑO EN CURSO ]]*$T$2</f>
        <v>0</v>
      </c>
      <c r="AB452" s="69">
        <f>SUM(Tabla1[[#This Row],[DEUDA DE LOS MESES PASADOS EN $$]:[DEUDA DEL AÑO 2013 $$ ]])</f>
        <v>225</v>
      </c>
      <c r="AD452">
        <f>Tabla1[[#This Row],[PAGO DE DEUDA ANTERIOR EN MESES]]*$T$2</f>
        <v>0</v>
      </c>
      <c r="AG452" s="100">
        <f>IF(Tabla1[[#This Row],[TIPO DE CONSUMIDOR]]="MEDIO",IF(Tabla1[[#This Row],[ENERO ]]&gt;22.5,Tabla1[[#This Row],[ENERO ]]/22.5-1,0),IF(Tabla1[[#This Row],[ENERO ]]&gt;45,Tabla1[[#This Row],[ENERO ]]/45-1,0))</f>
        <v>0</v>
      </c>
      <c r="AH45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2" s="100">
        <f>IF(Tabla1[[#This Row],[TIPO DE CONSUMIDOR]]="MEDIO",IF(Tabla1[[#This Row],[MARZO]]&gt;22.5,Tabla1[[#This Row],[MARZO]]/22.5-1,0),IF(Tabla1[[#This Row],[MARZO]]&gt;45,Tabla1[[#This Row],[MARZO]]/45-1,0))</f>
        <v>0</v>
      </c>
      <c r="AJ452" s="100">
        <f>IF(Tabla1[[#This Row],[TIPO DE CONSUMIDOR]]="MEDIO",IF(Tabla1[[#This Row],[ABRIL]]&gt;22.5,Tabla1[[#This Row],[ABRIL]]/22.5-1,0),IF(Tabla1[[#This Row],[ABRIL]]&gt;45,Tabla1[[#This Row],[ABRIL]]/45-1,0))</f>
        <v>0</v>
      </c>
      <c r="AK452" s="100">
        <f>IF(Tabla1[[#This Row],[TIPO DE CONSUMIDOR]]="MEDIO",IF(Tabla1[[#This Row],[MAYO ]]&gt;22.5,Tabla1[[#This Row],[MAYO ]]/22.5-1,0),IF(Tabla1[[#This Row],[MAYO ]]&gt;45,Tabla1[[#This Row],[MAYO ]]/45-1,0))</f>
        <v>0</v>
      </c>
      <c r="AL452" s="100">
        <f>IF(Tabla1[[#This Row],[TIPO DE CONSUMIDOR]]="MEDIO",IF(Tabla1[[#This Row],[JUNIO ]]&gt;22.5,Tabla1[[#This Row],[JUNIO ]]/22.5-1,0),IF(Tabla1[[#This Row],[JUNIO ]]&gt;45,Tabla1[[#This Row],[JUNIO ]]/45-1,0))</f>
        <v>0</v>
      </c>
      <c r="AM452" s="100">
        <f>IF(Tabla1[[#This Row],[TIPO DE CONSUMIDOR]]="MEDIO",IF(Tabla1[[#This Row],[JULIO ]]&gt;22.5,Tabla1[[#This Row],[JULIO ]]/22.5-1,0),IF(Tabla1[[#This Row],[JULIO ]]&gt;45,Tabla1[[#This Row],[JULIO ]]/45-1,0))</f>
        <v>0</v>
      </c>
      <c r="AN452" s="100">
        <f>IF(Tabla1[[#This Row],[TIPO DE CONSUMIDOR]]="MEDIO",IF(Tabla1[[#This Row],[AGOSTO]]&gt;22.5,Tabla1[[#This Row],[AGOSTO]]/22.5-1,0),IF(Tabla1[[#This Row],[AGOSTO]]&gt;45,Tabla1[[#This Row],[AGOSTO]]/45-1,0))</f>
        <v>0</v>
      </c>
      <c r="AO45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2" s="101">
        <f t="shared" si="13"/>
        <v>0</v>
      </c>
      <c r="AT452">
        <f>IF(Tabla1[[#This Row],[MES ADEUDO DE AÑOS PASADOS ]]&gt;0,1,0)</f>
        <v>1</v>
      </c>
      <c r="AU452" s="9">
        <f t="shared" si="14"/>
        <v>1</v>
      </c>
      <c r="AV452" s="60">
        <f>IF(Tabla1[[#This Row],[MESES DE ADEUDO DEL AÑO EN CURSO ]]&gt;0,1,0)</f>
        <v>0</v>
      </c>
      <c r="AW452" s="42"/>
      <c r="AX452" s="42"/>
      <c r="AY452" s="42"/>
      <c r="AZ452" s="43"/>
    </row>
    <row r="453" spans="1:52" ht="21.75" thickBot="1" x14ac:dyDescent="0.35">
      <c r="A453" s="106">
        <v>447</v>
      </c>
      <c r="B453" s="5" t="s">
        <v>225</v>
      </c>
      <c r="C453" s="2" t="s">
        <v>562</v>
      </c>
      <c r="D453" s="32"/>
      <c r="E453" s="36" t="s">
        <v>455</v>
      </c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24">
        <f>SUM(Tabla1[[#This Row],[ENERO ]:[DICIEMBRE]])</f>
        <v>0</v>
      </c>
      <c r="W453">
        <v>5</v>
      </c>
      <c r="X453" s="21">
        <f>COUNTIF(Tabla1[[#This Row],[ENERO ]:[DICIEMBRE]],0)-(AS453)-IF(Tabla1[[#This Row],[BAJAS]]="BAJA",IF(Tabla1[[#This Row],[ALTAS]]="ALTA",VLOOKUP(Tabla1[[#This Row],[MES DE ALTA ]],$AW$6:$AX$17,2,FALSE),12)-VLOOKUP(Tabla1[[#This Row],[MES DE BAJA ]],$AW$6:$AX$17,2,FALSE),0)</f>
        <v>0</v>
      </c>
      <c r="Y453" s="68">
        <f>SUM(Tabla1[[#This Row],[MES ADEUDO DE AÑOS PASADOS ]:[MESES DE ADEUDO DEL AÑO EN CURSO ]])-Tabla1[[#This Row],[PAGO DE DEUDA ANTERIOR EN MESES]]</f>
        <v>5</v>
      </c>
      <c r="Z453" s="15">
        <f>Tabla1[[#This Row],[MES ADEUDO DE AÑOS PASADOS ]]*$T$2</f>
        <v>225</v>
      </c>
      <c r="AA453" s="15">
        <f>Tabla1[[#This Row],[MESES DE ADEUDO DEL AÑO EN CURSO ]]*$T$2</f>
        <v>0</v>
      </c>
      <c r="AB453" s="69">
        <f>SUM(Tabla1[[#This Row],[DEUDA DE LOS MESES PASADOS EN $$]:[DEUDA DEL AÑO 2013 $$ ]])</f>
        <v>225</v>
      </c>
      <c r="AD453">
        <f>Tabla1[[#This Row],[PAGO DE DEUDA ANTERIOR EN MESES]]*$T$2</f>
        <v>0</v>
      </c>
      <c r="AG453" s="100">
        <f>IF(Tabla1[[#This Row],[TIPO DE CONSUMIDOR]]="MEDIO",IF(Tabla1[[#This Row],[ENERO ]]&gt;22.5,Tabla1[[#This Row],[ENERO ]]/22.5-1,0),IF(Tabla1[[#This Row],[ENERO ]]&gt;45,Tabla1[[#This Row],[ENERO ]]/45-1,0))</f>
        <v>0</v>
      </c>
      <c r="AH45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3" s="100">
        <f>IF(Tabla1[[#This Row],[TIPO DE CONSUMIDOR]]="MEDIO",IF(Tabla1[[#This Row],[MARZO]]&gt;22.5,Tabla1[[#This Row],[MARZO]]/22.5-1,0),IF(Tabla1[[#This Row],[MARZO]]&gt;45,Tabla1[[#This Row],[MARZO]]/45-1,0))</f>
        <v>0</v>
      </c>
      <c r="AJ453" s="100">
        <f>IF(Tabla1[[#This Row],[TIPO DE CONSUMIDOR]]="MEDIO",IF(Tabla1[[#This Row],[ABRIL]]&gt;22.5,Tabla1[[#This Row],[ABRIL]]/22.5-1,0),IF(Tabla1[[#This Row],[ABRIL]]&gt;45,Tabla1[[#This Row],[ABRIL]]/45-1,0))</f>
        <v>0</v>
      </c>
      <c r="AK453" s="100">
        <f>IF(Tabla1[[#This Row],[TIPO DE CONSUMIDOR]]="MEDIO",IF(Tabla1[[#This Row],[MAYO ]]&gt;22.5,Tabla1[[#This Row],[MAYO ]]/22.5-1,0),IF(Tabla1[[#This Row],[MAYO ]]&gt;45,Tabla1[[#This Row],[MAYO ]]/45-1,0))</f>
        <v>0</v>
      </c>
      <c r="AL453" s="100">
        <f>IF(Tabla1[[#This Row],[TIPO DE CONSUMIDOR]]="MEDIO",IF(Tabla1[[#This Row],[JUNIO ]]&gt;22.5,Tabla1[[#This Row],[JUNIO ]]/22.5-1,0),IF(Tabla1[[#This Row],[JUNIO ]]&gt;45,Tabla1[[#This Row],[JUNIO ]]/45-1,0))</f>
        <v>0</v>
      </c>
      <c r="AM453" s="100">
        <f>IF(Tabla1[[#This Row],[TIPO DE CONSUMIDOR]]="MEDIO",IF(Tabla1[[#This Row],[JULIO ]]&gt;22.5,Tabla1[[#This Row],[JULIO ]]/22.5-1,0),IF(Tabla1[[#This Row],[JULIO ]]&gt;45,Tabla1[[#This Row],[JULIO ]]/45-1,0))</f>
        <v>0</v>
      </c>
      <c r="AN453" s="100">
        <f>IF(Tabla1[[#This Row],[TIPO DE CONSUMIDOR]]="MEDIO",IF(Tabla1[[#This Row],[AGOSTO]]&gt;22.5,Tabla1[[#This Row],[AGOSTO]]/22.5-1,0),IF(Tabla1[[#This Row],[AGOSTO]]&gt;45,Tabla1[[#This Row],[AGOSTO]]/45-1,0))</f>
        <v>0</v>
      </c>
      <c r="AO45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3" s="101">
        <f t="shared" si="13"/>
        <v>0</v>
      </c>
      <c r="AT453">
        <f>IF(Tabla1[[#This Row],[MES ADEUDO DE AÑOS PASADOS ]]&gt;0,1,0)</f>
        <v>1</v>
      </c>
      <c r="AU453" s="9">
        <f t="shared" si="14"/>
        <v>1</v>
      </c>
      <c r="AV453" s="60">
        <f>IF(Tabla1[[#This Row],[MESES DE ADEUDO DEL AÑO EN CURSO ]]&gt;0,1,0)</f>
        <v>0</v>
      </c>
      <c r="AW453" s="42"/>
      <c r="AX453" s="42"/>
      <c r="AY453" s="42"/>
      <c r="AZ453" s="43"/>
    </row>
    <row r="454" spans="1:52" ht="21.75" thickBot="1" x14ac:dyDescent="0.35">
      <c r="A454" s="106">
        <v>448</v>
      </c>
      <c r="B454" s="5" t="s">
        <v>17</v>
      </c>
      <c r="C454" s="2" t="s">
        <v>562</v>
      </c>
      <c r="D454" s="32"/>
      <c r="E454" s="36" t="s">
        <v>455</v>
      </c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24">
        <f>SUM(Tabla1[[#This Row],[ENERO ]:[DICIEMBRE]])</f>
        <v>0</v>
      </c>
      <c r="W454">
        <v>6</v>
      </c>
      <c r="X454" s="21">
        <f>COUNTIF(Tabla1[[#This Row],[ENERO ]:[DICIEMBRE]],0)-(AS454)-IF(Tabla1[[#This Row],[BAJAS]]="BAJA",IF(Tabla1[[#This Row],[ALTAS]]="ALTA",VLOOKUP(Tabla1[[#This Row],[MES DE ALTA ]],$AW$6:$AX$17,2,FALSE),12)-VLOOKUP(Tabla1[[#This Row],[MES DE BAJA ]],$AW$6:$AX$17,2,FALSE),0)</f>
        <v>0</v>
      </c>
      <c r="Y454" s="68">
        <f>SUM(Tabla1[[#This Row],[MES ADEUDO DE AÑOS PASADOS ]:[MESES DE ADEUDO DEL AÑO EN CURSO ]])-Tabla1[[#This Row],[PAGO DE DEUDA ANTERIOR EN MESES]]</f>
        <v>6</v>
      </c>
      <c r="Z454" s="15">
        <f>Tabla1[[#This Row],[MES ADEUDO DE AÑOS PASADOS ]]*$T$2</f>
        <v>270</v>
      </c>
      <c r="AA454" s="15">
        <f>Tabla1[[#This Row],[MESES DE ADEUDO DEL AÑO EN CURSO ]]*$T$2</f>
        <v>0</v>
      </c>
      <c r="AB454" s="69">
        <f>SUM(Tabla1[[#This Row],[DEUDA DE LOS MESES PASADOS EN $$]:[DEUDA DEL AÑO 2013 $$ ]])</f>
        <v>270</v>
      </c>
      <c r="AD454">
        <f>Tabla1[[#This Row],[PAGO DE DEUDA ANTERIOR EN MESES]]*$T$2</f>
        <v>0</v>
      </c>
      <c r="AG454" s="100">
        <f>IF(Tabla1[[#This Row],[TIPO DE CONSUMIDOR]]="MEDIO",IF(Tabla1[[#This Row],[ENERO ]]&gt;22.5,Tabla1[[#This Row],[ENERO ]]/22.5-1,0),IF(Tabla1[[#This Row],[ENERO ]]&gt;45,Tabla1[[#This Row],[ENERO ]]/45-1,0))</f>
        <v>0</v>
      </c>
      <c r="AH45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4" s="100">
        <f>IF(Tabla1[[#This Row],[TIPO DE CONSUMIDOR]]="MEDIO",IF(Tabla1[[#This Row],[MARZO]]&gt;22.5,Tabla1[[#This Row],[MARZO]]/22.5-1,0),IF(Tabla1[[#This Row],[MARZO]]&gt;45,Tabla1[[#This Row],[MARZO]]/45-1,0))</f>
        <v>0</v>
      </c>
      <c r="AJ454" s="100">
        <f>IF(Tabla1[[#This Row],[TIPO DE CONSUMIDOR]]="MEDIO",IF(Tabla1[[#This Row],[ABRIL]]&gt;22.5,Tabla1[[#This Row],[ABRIL]]/22.5-1,0),IF(Tabla1[[#This Row],[ABRIL]]&gt;45,Tabla1[[#This Row],[ABRIL]]/45-1,0))</f>
        <v>0</v>
      </c>
      <c r="AK454" s="100">
        <f>IF(Tabla1[[#This Row],[TIPO DE CONSUMIDOR]]="MEDIO",IF(Tabla1[[#This Row],[MAYO ]]&gt;22.5,Tabla1[[#This Row],[MAYO ]]/22.5-1,0),IF(Tabla1[[#This Row],[MAYO ]]&gt;45,Tabla1[[#This Row],[MAYO ]]/45-1,0))</f>
        <v>0</v>
      </c>
      <c r="AL454" s="100">
        <f>IF(Tabla1[[#This Row],[TIPO DE CONSUMIDOR]]="MEDIO",IF(Tabla1[[#This Row],[JUNIO ]]&gt;22.5,Tabla1[[#This Row],[JUNIO ]]/22.5-1,0),IF(Tabla1[[#This Row],[JUNIO ]]&gt;45,Tabla1[[#This Row],[JUNIO ]]/45-1,0))</f>
        <v>0</v>
      </c>
      <c r="AM454" s="100">
        <f>IF(Tabla1[[#This Row],[TIPO DE CONSUMIDOR]]="MEDIO",IF(Tabla1[[#This Row],[JULIO ]]&gt;22.5,Tabla1[[#This Row],[JULIO ]]/22.5-1,0),IF(Tabla1[[#This Row],[JULIO ]]&gt;45,Tabla1[[#This Row],[JULIO ]]/45-1,0))</f>
        <v>0</v>
      </c>
      <c r="AN454" s="100">
        <f>IF(Tabla1[[#This Row],[TIPO DE CONSUMIDOR]]="MEDIO",IF(Tabla1[[#This Row],[AGOSTO]]&gt;22.5,Tabla1[[#This Row],[AGOSTO]]/22.5-1,0),IF(Tabla1[[#This Row],[AGOSTO]]&gt;45,Tabla1[[#This Row],[AGOSTO]]/45-1,0))</f>
        <v>0</v>
      </c>
      <c r="AO45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4" s="101">
        <f t="shared" si="13"/>
        <v>0</v>
      </c>
      <c r="AT454">
        <f>IF(Tabla1[[#This Row],[MES ADEUDO DE AÑOS PASADOS ]]&gt;0,1,0)</f>
        <v>1</v>
      </c>
      <c r="AU454" s="9">
        <f t="shared" si="14"/>
        <v>1</v>
      </c>
      <c r="AV454" s="60">
        <f>IF(Tabla1[[#This Row],[MESES DE ADEUDO DEL AÑO EN CURSO ]]&gt;0,1,0)</f>
        <v>0</v>
      </c>
      <c r="AW454" s="42"/>
      <c r="AX454" s="42"/>
      <c r="AY454" s="42"/>
      <c r="AZ454" s="43"/>
    </row>
    <row r="455" spans="1:52" ht="21.75" thickBot="1" x14ac:dyDescent="0.35">
      <c r="A455" s="106">
        <v>449</v>
      </c>
      <c r="B455" s="5" t="s">
        <v>42</v>
      </c>
      <c r="C455" s="2" t="s">
        <v>562</v>
      </c>
      <c r="D455" s="32"/>
      <c r="E455" s="36" t="s">
        <v>455</v>
      </c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58">
        <f>SUM(Tabla1[[#This Row],[ENERO ]:[DICIEMBRE]])</f>
        <v>0</v>
      </c>
      <c r="W455">
        <v>6</v>
      </c>
      <c r="X455" s="21">
        <f>COUNTIF(Tabla1[[#This Row],[ENERO ]:[DICIEMBRE]],0)-(AS455)-IF(Tabla1[[#This Row],[BAJAS]]="BAJA",IF(Tabla1[[#This Row],[ALTAS]]="ALTA",VLOOKUP(Tabla1[[#This Row],[MES DE ALTA ]],$AW$6:$AX$17,2,FALSE),12)-VLOOKUP(Tabla1[[#This Row],[MES DE BAJA ]],$AW$6:$AX$17,2,FALSE),0)</f>
        <v>0</v>
      </c>
      <c r="Y455" s="68">
        <f>SUM(Tabla1[[#This Row],[MES ADEUDO DE AÑOS PASADOS ]:[MESES DE ADEUDO DEL AÑO EN CURSO ]])-Tabla1[[#This Row],[PAGO DE DEUDA ANTERIOR EN MESES]]</f>
        <v>6</v>
      </c>
      <c r="Z455" s="15">
        <f>Tabla1[[#This Row],[MES ADEUDO DE AÑOS PASADOS ]]*$T$2</f>
        <v>270</v>
      </c>
      <c r="AA455" s="15">
        <f>Tabla1[[#This Row],[MESES DE ADEUDO DEL AÑO EN CURSO ]]*$T$2</f>
        <v>0</v>
      </c>
      <c r="AB455" s="69">
        <f>SUM(Tabla1[[#This Row],[DEUDA DE LOS MESES PASADOS EN $$]:[DEUDA DEL AÑO 2013 $$ ]])</f>
        <v>270</v>
      </c>
      <c r="AD455">
        <f>Tabla1[[#This Row],[PAGO DE DEUDA ANTERIOR EN MESES]]*$T$2</f>
        <v>0</v>
      </c>
      <c r="AG455" s="100">
        <f>IF(Tabla1[[#This Row],[TIPO DE CONSUMIDOR]]="MEDIO",IF(Tabla1[[#This Row],[ENERO ]]&gt;22.5,Tabla1[[#This Row],[ENERO ]]/22.5-1,0),IF(Tabla1[[#This Row],[ENERO ]]&gt;45,Tabla1[[#This Row],[ENERO ]]/45-1,0))</f>
        <v>0</v>
      </c>
      <c r="AH45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5" s="100">
        <f>IF(Tabla1[[#This Row],[TIPO DE CONSUMIDOR]]="MEDIO",IF(Tabla1[[#This Row],[MARZO]]&gt;22.5,Tabla1[[#This Row],[MARZO]]/22.5-1,0),IF(Tabla1[[#This Row],[MARZO]]&gt;45,Tabla1[[#This Row],[MARZO]]/45-1,0))</f>
        <v>0</v>
      </c>
      <c r="AJ455" s="100">
        <f>IF(Tabla1[[#This Row],[TIPO DE CONSUMIDOR]]="MEDIO",IF(Tabla1[[#This Row],[ABRIL]]&gt;22.5,Tabla1[[#This Row],[ABRIL]]/22.5-1,0),IF(Tabla1[[#This Row],[ABRIL]]&gt;45,Tabla1[[#This Row],[ABRIL]]/45-1,0))</f>
        <v>0</v>
      </c>
      <c r="AK455" s="100">
        <f>IF(Tabla1[[#This Row],[TIPO DE CONSUMIDOR]]="MEDIO",IF(Tabla1[[#This Row],[MAYO ]]&gt;22.5,Tabla1[[#This Row],[MAYO ]]/22.5-1,0),IF(Tabla1[[#This Row],[MAYO ]]&gt;45,Tabla1[[#This Row],[MAYO ]]/45-1,0))</f>
        <v>0</v>
      </c>
      <c r="AL455" s="100">
        <f>IF(Tabla1[[#This Row],[TIPO DE CONSUMIDOR]]="MEDIO",IF(Tabla1[[#This Row],[JUNIO ]]&gt;22.5,Tabla1[[#This Row],[JUNIO ]]/22.5-1,0),IF(Tabla1[[#This Row],[JUNIO ]]&gt;45,Tabla1[[#This Row],[JUNIO ]]/45-1,0))</f>
        <v>0</v>
      </c>
      <c r="AM455" s="100">
        <f>IF(Tabla1[[#This Row],[TIPO DE CONSUMIDOR]]="MEDIO",IF(Tabla1[[#This Row],[JULIO ]]&gt;22.5,Tabla1[[#This Row],[JULIO ]]/22.5-1,0),IF(Tabla1[[#This Row],[JULIO ]]&gt;45,Tabla1[[#This Row],[JULIO ]]/45-1,0))</f>
        <v>0</v>
      </c>
      <c r="AN455" s="100">
        <f>IF(Tabla1[[#This Row],[TIPO DE CONSUMIDOR]]="MEDIO",IF(Tabla1[[#This Row],[AGOSTO]]&gt;22.5,Tabla1[[#This Row],[AGOSTO]]/22.5-1,0),IF(Tabla1[[#This Row],[AGOSTO]]&gt;45,Tabla1[[#This Row],[AGOSTO]]/45-1,0))</f>
        <v>0</v>
      </c>
      <c r="AO45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5" s="101">
        <f t="shared" ref="AS455:AS518" si="15">SUM(AG455:AR455)</f>
        <v>0</v>
      </c>
      <c r="AT455">
        <f>IF(Tabla1[[#This Row],[MES ADEUDO DE AÑOS PASADOS ]]&gt;0,1,0)</f>
        <v>1</v>
      </c>
      <c r="AU455" s="9">
        <f t="shared" ref="AU455:AU518" si="16">IF(Y455&gt;0,1,0)</f>
        <v>1</v>
      </c>
      <c r="AV455" s="60">
        <f>IF(Tabla1[[#This Row],[MESES DE ADEUDO DEL AÑO EN CURSO ]]&gt;0,1,0)</f>
        <v>0</v>
      </c>
      <c r="AW455" s="42"/>
      <c r="AX455" s="42"/>
      <c r="AY455" s="42"/>
      <c r="AZ455" s="43"/>
    </row>
    <row r="456" spans="1:52" ht="21.75" thickBot="1" x14ac:dyDescent="0.35">
      <c r="A456" s="106">
        <v>450</v>
      </c>
      <c r="B456" s="5" t="s">
        <v>362</v>
      </c>
      <c r="C456" s="2" t="s">
        <v>562</v>
      </c>
      <c r="D456" s="32"/>
      <c r="E456" s="36" t="s">
        <v>455</v>
      </c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24">
        <f>SUM(Tabla1[[#This Row],[ENERO ]:[DICIEMBRE]])</f>
        <v>0</v>
      </c>
      <c r="W456">
        <v>6</v>
      </c>
      <c r="X456" s="21">
        <f>COUNTIF(Tabla1[[#This Row],[ENERO ]:[DICIEMBRE]],0)-(AS456)-IF(Tabla1[[#This Row],[BAJAS]]="BAJA",IF(Tabla1[[#This Row],[ALTAS]]="ALTA",VLOOKUP(Tabla1[[#This Row],[MES DE ALTA ]],$AW$6:$AX$17,2,FALSE),12)-VLOOKUP(Tabla1[[#This Row],[MES DE BAJA ]],$AW$6:$AX$17,2,FALSE),0)</f>
        <v>0</v>
      </c>
      <c r="Y456" s="68">
        <f>SUM(Tabla1[[#This Row],[MES ADEUDO DE AÑOS PASADOS ]:[MESES DE ADEUDO DEL AÑO EN CURSO ]])-Tabla1[[#This Row],[PAGO DE DEUDA ANTERIOR EN MESES]]</f>
        <v>6</v>
      </c>
      <c r="Z456" s="15">
        <f>Tabla1[[#This Row],[MES ADEUDO DE AÑOS PASADOS ]]*$T$2</f>
        <v>270</v>
      </c>
      <c r="AA456" s="15">
        <f>Tabla1[[#This Row],[MESES DE ADEUDO DEL AÑO EN CURSO ]]*$T$2</f>
        <v>0</v>
      </c>
      <c r="AB456" s="69">
        <f>SUM(Tabla1[[#This Row],[DEUDA DE LOS MESES PASADOS EN $$]:[DEUDA DEL AÑO 2013 $$ ]])</f>
        <v>270</v>
      </c>
      <c r="AD456">
        <f>Tabla1[[#This Row],[PAGO DE DEUDA ANTERIOR EN MESES]]*$T$2</f>
        <v>0</v>
      </c>
      <c r="AG456" s="100">
        <f>IF(Tabla1[[#This Row],[TIPO DE CONSUMIDOR]]="MEDIO",IF(Tabla1[[#This Row],[ENERO ]]&gt;22.5,Tabla1[[#This Row],[ENERO ]]/22.5-1,0),IF(Tabla1[[#This Row],[ENERO ]]&gt;45,Tabla1[[#This Row],[ENERO ]]/45-1,0))</f>
        <v>0</v>
      </c>
      <c r="AH45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6" s="100">
        <f>IF(Tabla1[[#This Row],[TIPO DE CONSUMIDOR]]="MEDIO",IF(Tabla1[[#This Row],[MARZO]]&gt;22.5,Tabla1[[#This Row],[MARZO]]/22.5-1,0),IF(Tabla1[[#This Row],[MARZO]]&gt;45,Tabla1[[#This Row],[MARZO]]/45-1,0))</f>
        <v>0</v>
      </c>
      <c r="AJ456" s="100">
        <f>IF(Tabla1[[#This Row],[TIPO DE CONSUMIDOR]]="MEDIO",IF(Tabla1[[#This Row],[ABRIL]]&gt;22.5,Tabla1[[#This Row],[ABRIL]]/22.5-1,0),IF(Tabla1[[#This Row],[ABRIL]]&gt;45,Tabla1[[#This Row],[ABRIL]]/45-1,0))</f>
        <v>0</v>
      </c>
      <c r="AK456" s="100">
        <f>IF(Tabla1[[#This Row],[TIPO DE CONSUMIDOR]]="MEDIO",IF(Tabla1[[#This Row],[MAYO ]]&gt;22.5,Tabla1[[#This Row],[MAYO ]]/22.5-1,0),IF(Tabla1[[#This Row],[MAYO ]]&gt;45,Tabla1[[#This Row],[MAYO ]]/45-1,0))</f>
        <v>0</v>
      </c>
      <c r="AL456" s="100">
        <f>IF(Tabla1[[#This Row],[TIPO DE CONSUMIDOR]]="MEDIO",IF(Tabla1[[#This Row],[JUNIO ]]&gt;22.5,Tabla1[[#This Row],[JUNIO ]]/22.5-1,0),IF(Tabla1[[#This Row],[JUNIO ]]&gt;45,Tabla1[[#This Row],[JUNIO ]]/45-1,0))</f>
        <v>0</v>
      </c>
      <c r="AM456" s="100">
        <f>IF(Tabla1[[#This Row],[TIPO DE CONSUMIDOR]]="MEDIO",IF(Tabla1[[#This Row],[JULIO ]]&gt;22.5,Tabla1[[#This Row],[JULIO ]]/22.5-1,0),IF(Tabla1[[#This Row],[JULIO ]]&gt;45,Tabla1[[#This Row],[JULIO ]]/45-1,0))</f>
        <v>0</v>
      </c>
      <c r="AN456" s="100">
        <f>IF(Tabla1[[#This Row],[TIPO DE CONSUMIDOR]]="MEDIO",IF(Tabla1[[#This Row],[AGOSTO]]&gt;22.5,Tabla1[[#This Row],[AGOSTO]]/22.5-1,0),IF(Tabla1[[#This Row],[AGOSTO]]&gt;45,Tabla1[[#This Row],[AGOSTO]]/45-1,0))</f>
        <v>0</v>
      </c>
      <c r="AO45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6" s="101">
        <f t="shared" si="15"/>
        <v>0</v>
      </c>
      <c r="AT456">
        <f>IF(Tabla1[[#This Row],[MES ADEUDO DE AÑOS PASADOS ]]&gt;0,1,0)</f>
        <v>1</v>
      </c>
      <c r="AU456" s="9">
        <f t="shared" si="16"/>
        <v>1</v>
      </c>
      <c r="AV456" s="60">
        <f>IF(Tabla1[[#This Row],[MESES DE ADEUDO DEL AÑO EN CURSO ]]&gt;0,1,0)</f>
        <v>0</v>
      </c>
      <c r="AW456" s="42"/>
      <c r="AX456" s="42"/>
      <c r="AY456" s="42"/>
      <c r="AZ456" s="43"/>
    </row>
    <row r="457" spans="1:52" ht="21.75" thickBot="1" x14ac:dyDescent="0.35">
      <c r="A457" s="106">
        <v>451</v>
      </c>
      <c r="B457" s="5" t="s">
        <v>433</v>
      </c>
      <c r="C457" s="2" t="s">
        <v>562</v>
      </c>
      <c r="D457" s="32"/>
      <c r="E457" s="35" t="s">
        <v>455</v>
      </c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24">
        <f>SUM(Tabla1[[#This Row],[ENERO ]:[DICIEMBRE]])</f>
        <v>0</v>
      </c>
      <c r="W457">
        <v>8</v>
      </c>
      <c r="X457" s="21">
        <f>COUNTIF(Tabla1[[#This Row],[ENERO ]:[DICIEMBRE]],0)-(AS457)-IF(Tabla1[[#This Row],[BAJAS]]="BAJA",IF(Tabla1[[#This Row],[ALTAS]]="ALTA",VLOOKUP(Tabla1[[#This Row],[MES DE ALTA ]],$AW$6:$AX$17,2,FALSE),12)-VLOOKUP(Tabla1[[#This Row],[MES DE BAJA ]],$AW$6:$AX$17,2,FALSE),0)</f>
        <v>0</v>
      </c>
      <c r="Y457" s="68">
        <f>SUM(Tabla1[[#This Row],[MES ADEUDO DE AÑOS PASADOS ]:[MESES DE ADEUDO DEL AÑO EN CURSO ]])-Tabla1[[#This Row],[PAGO DE DEUDA ANTERIOR EN MESES]]</f>
        <v>8</v>
      </c>
      <c r="Z457" s="15">
        <f>Tabla1[[#This Row],[MES ADEUDO DE AÑOS PASADOS ]]*$T$2</f>
        <v>360</v>
      </c>
      <c r="AA457" s="15">
        <f>Tabla1[[#This Row],[MESES DE ADEUDO DEL AÑO EN CURSO ]]*$T$2</f>
        <v>0</v>
      </c>
      <c r="AB457" s="69">
        <f>SUM(Tabla1[[#This Row],[DEUDA DE LOS MESES PASADOS EN $$]:[DEUDA DEL AÑO 2013 $$ ]])</f>
        <v>360</v>
      </c>
      <c r="AD457">
        <f>Tabla1[[#This Row],[PAGO DE DEUDA ANTERIOR EN MESES]]*$T$2</f>
        <v>0</v>
      </c>
      <c r="AG457" s="100">
        <f>IF(Tabla1[[#This Row],[TIPO DE CONSUMIDOR]]="MEDIO",IF(Tabla1[[#This Row],[ENERO ]]&gt;22.5,Tabla1[[#This Row],[ENERO ]]/22.5-1,0),IF(Tabla1[[#This Row],[ENERO ]]&gt;45,Tabla1[[#This Row],[ENERO ]]/45-1,0))</f>
        <v>0</v>
      </c>
      <c r="AH45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7" s="100">
        <f>IF(Tabla1[[#This Row],[TIPO DE CONSUMIDOR]]="MEDIO",IF(Tabla1[[#This Row],[MARZO]]&gt;22.5,Tabla1[[#This Row],[MARZO]]/22.5-1,0),IF(Tabla1[[#This Row],[MARZO]]&gt;45,Tabla1[[#This Row],[MARZO]]/45-1,0))</f>
        <v>0</v>
      </c>
      <c r="AJ457" s="100">
        <f>IF(Tabla1[[#This Row],[TIPO DE CONSUMIDOR]]="MEDIO",IF(Tabla1[[#This Row],[ABRIL]]&gt;22.5,Tabla1[[#This Row],[ABRIL]]/22.5-1,0),IF(Tabla1[[#This Row],[ABRIL]]&gt;45,Tabla1[[#This Row],[ABRIL]]/45-1,0))</f>
        <v>0</v>
      </c>
      <c r="AK457" s="100">
        <f>IF(Tabla1[[#This Row],[TIPO DE CONSUMIDOR]]="MEDIO",IF(Tabla1[[#This Row],[MAYO ]]&gt;22.5,Tabla1[[#This Row],[MAYO ]]/22.5-1,0),IF(Tabla1[[#This Row],[MAYO ]]&gt;45,Tabla1[[#This Row],[MAYO ]]/45-1,0))</f>
        <v>0</v>
      </c>
      <c r="AL457" s="100">
        <f>IF(Tabla1[[#This Row],[TIPO DE CONSUMIDOR]]="MEDIO",IF(Tabla1[[#This Row],[JUNIO ]]&gt;22.5,Tabla1[[#This Row],[JUNIO ]]/22.5-1,0),IF(Tabla1[[#This Row],[JUNIO ]]&gt;45,Tabla1[[#This Row],[JUNIO ]]/45-1,0))</f>
        <v>0</v>
      </c>
      <c r="AM457" s="100">
        <f>IF(Tabla1[[#This Row],[TIPO DE CONSUMIDOR]]="MEDIO",IF(Tabla1[[#This Row],[JULIO ]]&gt;22.5,Tabla1[[#This Row],[JULIO ]]/22.5-1,0),IF(Tabla1[[#This Row],[JULIO ]]&gt;45,Tabla1[[#This Row],[JULIO ]]/45-1,0))</f>
        <v>0</v>
      </c>
      <c r="AN457" s="100">
        <f>IF(Tabla1[[#This Row],[TIPO DE CONSUMIDOR]]="MEDIO",IF(Tabla1[[#This Row],[AGOSTO]]&gt;22.5,Tabla1[[#This Row],[AGOSTO]]/22.5-1,0),IF(Tabla1[[#This Row],[AGOSTO]]&gt;45,Tabla1[[#This Row],[AGOSTO]]/45-1,0))</f>
        <v>0</v>
      </c>
      <c r="AO45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7" s="101">
        <f t="shared" si="15"/>
        <v>0</v>
      </c>
      <c r="AT457">
        <f>IF(Tabla1[[#This Row],[MES ADEUDO DE AÑOS PASADOS ]]&gt;0,1,0)</f>
        <v>1</v>
      </c>
      <c r="AU457" s="9">
        <f t="shared" si="16"/>
        <v>1</v>
      </c>
      <c r="AV457" s="60">
        <f>IF(Tabla1[[#This Row],[MESES DE ADEUDO DEL AÑO EN CURSO ]]&gt;0,1,0)</f>
        <v>0</v>
      </c>
      <c r="AW457" s="42"/>
      <c r="AX457" s="42"/>
      <c r="AY457" s="42"/>
      <c r="AZ457" s="43"/>
    </row>
    <row r="458" spans="1:52" ht="21.75" thickBot="1" x14ac:dyDescent="0.35">
      <c r="A458" s="106">
        <v>452</v>
      </c>
      <c r="B458" s="5" t="s">
        <v>180</v>
      </c>
      <c r="C458" s="2" t="s">
        <v>562</v>
      </c>
      <c r="D458" s="32"/>
      <c r="E458" s="35" t="s">
        <v>455</v>
      </c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24">
        <f>SUM(Tabla1[[#This Row],[ENERO ]:[DICIEMBRE]])</f>
        <v>0</v>
      </c>
      <c r="W458">
        <v>8</v>
      </c>
      <c r="X458" s="21">
        <f>COUNTIF(Tabla1[[#This Row],[ENERO ]:[DICIEMBRE]],0)-(AS458)-IF(Tabla1[[#This Row],[BAJAS]]="BAJA",IF(Tabla1[[#This Row],[ALTAS]]="ALTA",VLOOKUP(Tabla1[[#This Row],[MES DE ALTA ]],$AW$6:$AX$17,2,FALSE),12)-VLOOKUP(Tabla1[[#This Row],[MES DE BAJA ]],$AW$6:$AX$17,2,FALSE),0)</f>
        <v>0</v>
      </c>
      <c r="Y458" s="68">
        <f>SUM(Tabla1[[#This Row],[MES ADEUDO DE AÑOS PASADOS ]:[MESES DE ADEUDO DEL AÑO EN CURSO ]])-Tabla1[[#This Row],[PAGO DE DEUDA ANTERIOR EN MESES]]</f>
        <v>8</v>
      </c>
      <c r="Z458" s="15">
        <f>Tabla1[[#This Row],[MES ADEUDO DE AÑOS PASADOS ]]*$T$2</f>
        <v>360</v>
      </c>
      <c r="AA458" s="15">
        <f>Tabla1[[#This Row],[MESES DE ADEUDO DEL AÑO EN CURSO ]]*$T$2</f>
        <v>0</v>
      </c>
      <c r="AB458" s="69">
        <f>SUM(Tabla1[[#This Row],[DEUDA DE LOS MESES PASADOS EN $$]:[DEUDA DEL AÑO 2013 $$ ]])</f>
        <v>360</v>
      </c>
      <c r="AD458">
        <f>Tabla1[[#This Row],[PAGO DE DEUDA ANTERIOR EN MESES]]*$T$2</f>
        <v>0</v>
      </c>
      <c r="AG458" s="100">
        <f>IF(Tabla1[[#This Row],[TIPO DE CONSUMIDOR]]="MEDIO",IF(Tabla1[[#This Row],[ENERO ]]&gt;22.5,Tabla1[[#This Row],[ENERO ]]/22.5-1,0),IF(Tabla1[[#This Row],[ENERO ]]&gt;45,Tabla1[[#This Row],[ENERO ]]/45-1,0))</f>
        <v>0</v>
      </c>
      <c r="AH45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8" s="100">
        <f>IF(Tabla1[[#This Row],[TIPO DE CONSUMIDOR]]="MEDIO",IF(Tabla1[[#This Row],[MARZO]]&gt;22.5,Tabla1[[#This Row],[MARZO]]/22.5-1,0),IF(Tabla1[[#This Row],[MARZO]]&gt;45,Tabla1[[#This Row],[MARZO]]/45-1,0))</f>
        <v>0</v>
      </c>
      <c r="AJ458" s="100">
        <f>IF(Tabla1[[#This Row],[TIPO DE CONSUMIDOR]]="MEDIO",IF(Tabla1[[#This Row],[ABRIL]]&gt;22.5,Tabla1[[#This Row],[ABRIL]]/22.5-1,0),IF(Tabla1[[#This Row],[ABRIL]]&gt;45,Tabla1[[#This Row],[ABRIL]]/45-1,0))</f>
        <v>0</v>
      </c>
      <c r="AK458" s="100">
        <f>IF(Tabla1[[#This Row],[TIPO DE CONSUMIDOR]]="MEDIO",IF(Tabla1[[#This Row],[MAYO ]]&gt;22.5,Tabla1[[#This Row],[MAYO ]]/22.5-1,0),IF(Tabla1[[#This Row],[MAYO ]]&gt;45,Tabla1[[#This Row],[MAYO ]]/45-1,0))</f>
        <v>0</v>
      </c>
      <c r="AL458" s="100">
        <f>IF(Tabla1[[#This Row],[TIPO DE CONSUMIDOR]]="MEDIO",IF(Tabla1[[#This Row],[JUNIO ]]&gt;22.5,Tabla1[[#This Row],[JUNIO ]]/22.5-1,0),IF(Tabla1[[#This Row],[JUNIO ]]&gt;45,Tabla1[[#This Row],[JUNIO ]]/45-1,0))</f>
        <v>0</v>
      </c>
      <c r="AM458" s="100">
        <f>IF(Tabla1[[#This Row],[TIPO DE CONSUMIDOR]]="MEDIO",IF(Tabla1[[#This Row],[JULIO ]]&gt;22.5,Tabla1[[#This Row],[JULIO ]]/22.5-1,0),IF(Tabla1[[#This Row],[JULIO ]]&gt;45,Tabla1[[#This Row],[JULIO ]]/45-1,0))</f>
        <v>0</v>
      </c>
      <c r="AN458" s="100">
        <f>IF(Tabla1[[#This Row],[TIPO DE CONSUMIDOR]]="MEDIO",IF(Tabla1[[#This Row],[AGOSTO]]&gt;22.5,Tabla1[[#This Row],[AGOSTO]]/22.5-1,0),IF(Tabla1[[#This Row],[AGOSTO]]&gt;45,Tabla1[[#This Row],[AGOSTO]]/45-1,0))</f>
        <v>0</v>
      </c>
      <c r="AO45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8" s="101">
        <f t="shared" si="15"/>
        <v>0</v>
      </c>
      <c r="AT458">
        <f>IF(Tabla1[[#This Row],[MES ADEUDO DE AÑOS PASADOS ]]&gt;0,1,0)</f>
        <v>1</v>
      </c>
      <c r="AU458" s="9">
        <f t="shared" si="16"/>
        <v>1</v>
      </c>
      <c r="AV458" s="60">
        <f>IF(Tabla1[[#This Row],[MESES DE ADEUDO DEL AÑO EN CURSO ]]&gt;0,1,0)</f>
        <v>0</v>
      </c>
      <c r="AW458" s="42"/>
      <c r="AX458" s="42"/>
      <c r="AY458" s="42"/>
      <c r="AZ458" s="43"/>
    </row>
    <row r="459" spans="1:52" ht="21.75" thickBot="1" x14ac:dyDescent="0.35">
      <c r="A459" s="106">
        <v>453</v>
      </c>
      <c r="B459" s="5" t="s">
        <v>563</v>
      </c>
      <c r="C459" s="2" t="s">
        <v>562</v>
      </c>
      <c r="D459" s="32"/>
      <c r="E459" s="35" t="s">
        <v>455</v>
      </c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24">
        <f>SUM(Tabla1[[#This Row],[ENERO ]:[DICIEMBRE]])</f>
        <v>0</v>
      </c>
      <c r="W459">
        <v>9</v>
      </c>
      <c r="X459" s="21">
        <f>COUNTIF(Tabla1[[#This Row],[ENERO ]:[DICIEMBRE]],0)-(AS459)-IF(Tabla1[[#This Row],[BAJAS]]="BAJA",IF(Tabla1[[#This Row],[ALTAS]]="ALTA",VLOOKUP(Tabla1[[#This Row],[MES DE ALTA ]],$AW$6:$AX$17,2,FALSE),12)-VLOOKUP(Tabla1[[#This Row],[MES DE BAJA ]],$AW$6:$AX$17,2,FALSE),0)</f>
        <v>0</v>
      </c>
      <c r="Y459" s="68">
        <f>SUM(Tabla1[[#This Row],[MES ADEUDO DE AÑOS PASADOS ]:[MESES DE ADEUDO DEL AÑO EN CURSO ]])-Tabla1[[#This Row],[PAGO DE DEUDA ANTERIOR EN MESES]]</f>
        <v>9</v>
      </c>
      <c r="Z459" s="15">
        <f>Tabla1[[#This Row],[MES ADEUDO DE AÑOS PASADOS ]]*$T$2</f>
        <v>405</v>
      </c>
      <c r="AA459" s="15">
        <f>Tabla1[[#This Row],[MESES DE ADEUDO DEL AÑO EN CURSO ]]*$T$2</f>
        <v>0</v>
      </c>
      <c r="AB459" s="69">
        <f>SUM(Tabla1[[#This Row],[DEUDA DE LOS MESES PASADOS EN $$]:[DEUDA DEL AÑO 2013 $$ ]])</f>
        <v>405</v>
      </c>
      <c r="AD459">
        <f>Tabla1[[#This Row],[PAGO DE DEUDA ANTERIOR EN MESES]]*$T$2</f>
        <v>0</v>
      </c>
      <c r="AG459" s="100">
        <f>IF(Tabla1[[#This Row],[TIPO DE CONSUMIDOR]]="MEDIO",IF(Tabla1[[#This Row],[ENERO ]]&gt;22.5,Tabla1[[#This Row],[ENERO ]]/22.5-1,0),IF(Tabla1[[#This Row],[ENERO ]]&gt;45,Tabla1[[#This Row],[ENERO ]]/45-1,0))</f>
        <v>0</v>
      </c>
      <c r="AH45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59" s="100">
        <f>IF(Tabla1[[#This Row],[TIPO DE CONSUMIDOR]]="MEDIO",IF(Tabla1[[#This Row],[MARZO]]&gt;22.5,Tabla1[[#This Row],[MARZO]]/22.5-1,0),IF(Tabla1[[#This Row],[MARZO]]&gt;45,Tabla1[[#This Row],[MARZO]]/45-1,0))</f>
        <v>0</v>
      </c>
      <c r="AJ459" s="100">
        <f>IF(Tabla1[[#This Row],[TIPO DE CONSUMIDOR]]="MEDIO",IF(Tabla1[[#This Row],[ABRIL]]&gt;22.5,Tabla1[[#This Row],[ABRIL]]/22.5-1,0),IF(Tabla1[[#This Row],[ABRIL]]&gt;45,Tabla1[[#This Row],[ABRIL]]/45-1,0))</f>
        <v>0</v>
      </c>
      <c r="AK459" s="100">
        <f>IF(Tabla1[[#This Row],[TIPO DE CONSUMIDOR]]="MEDIO",IF(Tabla1[[#This Row],[MAYO ]]&gt;22.5,Tabla1[[#This Row],[MAYO ]]/22.5-1,0),IF(Tabla1[[#This Row],[MAYO ]]&gt;45,Tabla1[[#This Row],[MAYO ]]/45-1,0))</f>
        <v>0</v>
      </c>
      <c r="AL459" s="100">
        <f>IF(Tabla1[[#This Row],[TIPO DE CONSUMIDOR]]="MEDIO",IF(Tabla1[[#This Row],[JUNIO ]]&gt;22.5,Tabla1[[#This Row],[JUNIO ]]/22.5-1,0),IF(Tabla1[[#This Row],[JUNIO ]]&gt;45,Tabla1[[#This Row],[JUNIO ]]/45-1,0))</f>
        <v>0</v>
      </c>
      <c r="AM459" s="100">
        <f>IF(Tabla1[[#This Row],[TIPO DE CONSUMIDOR]]="MEDIO",IF(Tabla1[[#This Row],[JULIO ]]&gt;22.5,Tabla1[[#This Row],[JULIO ]]/22.5-1,0),IF(Tabla1[[#This Row],[JULIO ]]&gt;45,Tabla1[[#This Row],[JULIO ]]/45-1,0))</f>
        <v>0</v>
      </c>
      <c r="AN459" s="100">
        <f>IF(Tabla1[[#This Row],[TIPO DE CONSUMIDOR]]="MEDIO",IF(Tabla1[[#This Row],[AGOSTO]]&gt;22.5,Tabla1[[#This Row],[AGOSTO]]/22.5-1,0),IF(Tabla1[[#This Row],[AGOSTO]]&gt;45,Tabla1[[#This Row],[AGOSTO]]/45-1,0))</f>
        <v>0</v>
      </c>
      <c r="AO45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5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5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5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59" s="101">
        <f t="shared" si="15"/>
        <v>0</v>
      </c>
      <c r="AT459">
        <f>IF(Tabla1[[#This Row],[MES ADEUDO DE AÑOS PASADOS ]]&gt;0,1,0)</f>
        <v>1</v>
      </c>
      <c r="AU459" s="9">
        <f t="shared" si="16"/>
        <v>1</v>
      </c>
      <c r="AV459" s="60">
        <f>IF(Tabla1[[#This Row],[MESES DE ADEUDO DEL AÑO EN CURSO ]]&gt;0,1,0)</f>
        <v>0</v>
      </c>
      <c r="AW459" s="42"/>
      <c r="AX459" s="42"/>
      <c r="AY459" s="42"/>
      <c r="AZ459" s="43"/>
    </row>
    <row r="460" spans="1:52" ht="21.75" thickBot="1" x14ac:dyDescent="0.35">
      <c r="A460" s="106">
        <v>454</v>
      </c>
      <c r="B460" s="5" t="s">
        <v>113</v>
      </c>
      <c r="C460" s="2" t="s">
        <v>562</v>
      </c>
      <c r="D460" s="32"/>
      <c r="E460" s="35" t="s">
        <v>455</v>
      </c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24">
        <f>SUM(Tabla1[[#This Row],[ENERO ]:[DICIEMBRE]])</f>
        <v>0</v>
      </c>
      <c r="W460">
        <v>10</v>
      </c>
      <c r="X460" s="21">
        <f>COUNTIF(Tabla1[[#This Row],[ENERO ]:[DICIEMBRE]],0)-(AS460)-IF(Tabla1[[#This Row],[BAJAS]]="BAJA",IF(Tabla1[[#This Row],[ALTAS]]="ALTA",VLOOKUP(Tabla1[[#This Row],[MES DE ALTA ]],$AW$6:$AX$17,2,FALSE),12)-VLOOKUP(Tabla1[[#This Row],[MES DE BAJA ]],$AW$6:$AX$17,2,FALSE),0)</f>
        <v>0</v>
      </c>
      <c r="Y460" s="68">
        <f>SUM(Tabla1[[#This Row],[MES ADEUDO DE AÑOS PASADOS ]:[MESES DE ADEUDO DEL AÑO EN CURSO ]])-Tabla1[[#This Row],[PAGO DE DEUDA ANTERIOR EN MESES]]</f>
        <v>10</v>
      </c>
      <c r="Z460" s="15">
        <f>Tabla1[[#This Row],[MES ADEUDO DE AÑOS PASADOS ]]*$T$2</f>
        <v>450</v>
      </c>
      <c r="AA460" s="15">
        <f>Tabla1[[#This Row],[MESES DE ADEUDO DEL AÑO EN CURSO ]]*$T$2</f>
        <v>0</v>
      </c>
      <c r="AB460" s="69">
        <f>SUM(Tabla1[[#This Row],[DEUDA DE LOS MESES PASADOS EN $$]:[DEUDA DEL AÑO 2013 $$ ]])</f>
        <v>450</v>
      </c>
      <c r="AD460">
        <f>Tabla1[[#This Row],[PAGO DE DEUDA ANTERIOR EN MESES]]*$T$2</f>
        <v>0</v>
      </c>
      <c r="AG460" s="100">
        <f>IF(Tabla1[[#This Row],[TIPO DE CONSUMIDOR]]="MEDIO",IF(Tabla1[[#This Row],[ENERO ]]&gt;22.5,Tabla1[[#This Row],[ENERO ]]/22.5-1,0),IF(Tabla1[[#This Row],[ENERO ]]&gt;45,Tabla1[[#This Row],[ENERO ]]/45-1,0))</f>
        <v>0</v>
      </c>
      <c r="AH46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0" s="100">
        <f>IF(Tabla1[[#This Row],[TIPO DE CONSUMIDOR]]="MEDIO",IF(Tabla1[[#This Row],[MARZO]]&gt;22.5,Tabla1[[#This Row],[MARZO]]/22.5-1,0),IF(Tabla1[[#This Row],[MARZO]]&gt;45,Tabla1[[#This Row],[MARZO]]/45-1,0))</f>
        <v>0</v>
      </c>
      <c r="AJ460" s="100">
        <f>IF(Tabla1[[#This Row],[TIPO DE CONSUMIDOR]]="MEDIO",IF(Tabla1[[#This Row],[ABRIL]]&gt;22.5,Tabla1[[#This Row],[ABRIL]]/22.5-1,0),IF(Tabla1[[#This Row],[ABRIL]]&gt;45,Tabla1[[#This Row],[ABRIL]]/45-1,0))</f>
        <v>0</v>
      </c>
      <c r="AK460" s="100">
        <f>IF(Tabla1[[#This Row],[TIPO DE CONSUMIDOR]]="MEDIO",IF(Tabla1[[#This Row],[MAYO ]]&gt;22.5,Tabla1[[#This Row],[MAYO ]]/22.5-1,0),IF(Tabla1[[#This Row],[MAYO ]]&gt;45,Tabla1[[#This Row],[MAYO ]]/45-1,0))</f>
        <v>0</v>
      </c>
      <c r="AL460" s="100">
        <f>IF(Tabla1[[#This Row],[TIPO DE CONSUMIDOR]]="MEDIO",IF(Tabla1[[#This Row],[JUNIO ]]&gt;22.5,Tabla1[[#This Row],[JUNIO ]]/22.5-1,0),IF(Tabla1[[#This Row],[JUNIO ]]&gt;45,Tabla1[[#This Row],[JUNIO ]]/45-1,0))</f>
        <v>0</v>
      </c>
      <c r="AM460" s="100">
        <f>IF(Tabla1[[#This Row],[TIPO DE CONSUMIDOR]]="MEDIO",IF(Tabla1[[#This Row],[JULIO ]]&gt;22.5,Tabla1[[#This Row],[JULIO ]]/22.5-1,0),IF(Tabla1[[#This Row],[JULIO ]]&gt;45,Tabla1[[#This Row],[JULIO ]]/45-1,0))</f>
        <v>0</v>
      </c>
      <c r="AN460" s="100">
        <f>IF(Tabla1[[#This Row],[TIPO DE CONSUMIDOR]]="MEDIO",IF(Tabla1[[#This Row],[AGOSTO]]&gt;22.5,Tabla1[[#This Row],[AGOSTO]]/22.5-1,0),IF(Tabla1[[#This Row],[AGOSTO]]&gt;45,Tabla1[[#This Row],[AGOSTO]]/45-1,0))</f>
        <v>0</v>
      </c>
      <c r="AO46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0" s="101">
        <f t="shared" si="15"/>
        <v>0</v>
      </c>
      <c r="AT460">
        <f>IF(Tabla1[[#This Row],[MES ADEUDO DE AÑOS PASADOS ]]&gt;0,1,0)</f>
        <v>1</v>
      </c>
      <c r="AU460" s="9">
        <f t="shared" si="16"/>
        <v>1</v>
      </c>
      <c r="AV460" s="60">
        <f>IF(Tabla1[[#This Row],[MESES DE ADEUDO DEL AÑO EN CURSO ]]&gt;0,1,0)</f>
        <v>0</v>
      </c>
      <c r="AW460" s="42"/>
      <c r="AX460" s="42"/>
      <c r="AY460" s="42"/>
      <c r="AZ460" s="43"/>
    </row>
    <row r="461" spans="1:52" ht="21.75" thickBot="1" x14ac:dyDescent="0.35">
      <c r="A461" s="106">
        <v>455</v>
      </c>
      <c r="B461" s="5" t="s">
        <v>110</v>
      </c>
      <c r="C461" s="2" t="s">
        <v>562</v>
      </c>
      <c r="D461" s="32"/>
      <c r="E461" s="35" t="s">
        <v>455</v>
      </c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24">
        <f>SUM(Tabla1[[#This Row],[ENERO ]:[DICIEMBRE]])</f>
        <v>0</v>
      </c>
      <c r="W461">
        <v>11</v>
      </c>
      <c r="X461" s="21">
        <f>COUNTIF(Tabla1[[#This Row],[ENERO ]:[DICIEMBRE]],0)-(AS461)-IF(Tabla1[[#This Row],[BAJAS]]="BAJA",IF(Tabla1[[#This Row],[ALTAS]]="ALTA",VLOOKUP(Tabla1[[#This Row],[MES DE ALTA ]],$AW$6:$AX$17,2,FALSE),12)-VLOOKUP(Tabla1[[#This Row],[MES DE BAJA ]],$AW$6:$AX$17,2,FALSE),0)</f>
        <v>0</v>
      </c>
      <c r="Y461" s="68">
        <f>SUM(Tabla1[[#This Row],[MES ADEUDO DE AÑOS PASADOS ]:[MESES DE ADEUDO DEL AÑO EN CURSO ]])-Tabla1[[#This Row],[PAGO DE DEUDA ANTERIOR EN MESES]]</f>
        <v>11</v>
      </c>
      <c r="Z461" s="15">
        <f>Tabla1[[#This Row],[MES ADEUDO DE AÑOS PASADOS ]]*$T$2</f>
        <v>495</v>
      </c>
      <c r="AA461" s="15">
        <f>Tabla1[[#This Row],[MESES DE ADEUDO DEL AÑO EN CURSO ]]*$T$2</f>
        <v>0</v>
      </c>
      <c r="AB461" s="69">
        <f>SUM(Tabla1[[#This Row],[DEUDA DE LOS MESES PASADOS EN $$]:[DEUDA DEL AÑO 2013 $$ ]])</f>
        <v>495</v>
      </c>
      <c r="AD461">
        <f>Tabla1[[#This Row],[PAGO DE DEUDA ANTERIOR EN MESES]]*$T$2</f>
        <v>0</v>
      </c>
      <c r="AG461" s="100">
        <f>IF(Tabla1[[#This Row],[TIPO DE CONSUMIDOR]]="MEDIO",IF(Tabla1[[#This Row],[ENERO ]]&gt;22.5,Tabla1[[#This Row],[ENERO ]]/22.5-1,0),IF(Tabla1[[#This Row],[ENERO ]]&gt;45,Tabla1[[#This Row],[ENERO ]]/45-1,0))</f>
        <v>0</v>
      </c>
      <c r="AH46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1" s="100">
        <f>IF(Tabla1[[#This Row],[TIPO DE CONSUMIDOR]]="MEDIO",IF(Tabla1[[#This Row],[MARZO]]&gt;22.5,Tabla1[[#This Row],[MARZO]]/22.5-1,0),IF(Tabla1[[#This Row],[MARZO]]&gt;45,Tabla1[[#This Row],[MARZO]]/45-1,0))</f>
        <v>0</v>
      </c>
      <c r="AJ461" s="100">
        <f>IF(Tabla1[[#This Row],[TIPO DE CONSUMIDOR]]="MEDIO",IF(Tabla1[[#This Row],[ABRIL]]&gt;22.5,Tabla1[[#This Row],[ABRIL]]/22.5-1,0),IF(Tabla1[[#This Row],[ABRIL]]&gt;45,Tabla1[[#This Row],[ABRIL]]/45-1,0))</f>
        <v>0</v>
      </c>
      <c r="AK461" s="100">
        <f>IF(Tabla1[[#This Row],[TIPO DE CONSUMIDOR]]="MEDIO",IF(Tabla1[[#This Row],[MAYO ]]&gt;22.5,Tabla1[[#This Row],[MAYO ]]/22.5-1,0),IF(Tabla1[[#This Row],[MAYO ]]&gt;45,Tabla1[[#This Row],[MAYO ]]/45-1,0))</f>
        <v>0</v>
      </c>
      <c r="AL461" s="100">
        <f>IF(Tabla1[[#This Row],[TIPO DE CONSUMIDOR]]="MEDIO",IF(Tabla1[[#This Row],[JUNIO ]]&gt;22.5,Tabla1[[#This Row],[JUNIO ]]/22.5-1,0),IF(Tabla1[[#This Row],[JUNIO ]]&gt;45,Tabla1[[#This Row],[JUNIO ]]/45-1,0))</f>
        <v>0</v>
      </c>
      <c r="AM461" s="100">
        <f>IF(Tabla1[[#This Row],[TIPO DE CONSUMIDOR]]="MEDIO",IF(Tabla1[[#This Row],[JULIO ]]&gt;22.5,Tabla1[[#This Row],[JULIO ]]/22.5-1,0),IF(Tabla1[[#This Row],[JULIO ]]&gt;45,Tabla1[[#This Row],[JULIO ]]/45-1,0))</f>
        <v>0</v>
      </c>
      <c r="AN461" s="100">
        <f>IF(Tabla1[[#This Row],[TIPO DE CONSUMIDOR]]="MEDIO",IF(Tabla1[[#This Row],[AGOSTO]]&gt;22.5,Tabla1[[#This Row],[AGOSTO]]/22.5-1,0),IF(Tabla1[[#This Row],[AGOSTO]]&gt;45,Tabla1[[#This Row],[AGOSTO]]/45-1,0))</f>
        <v>0</v>
      </c>
      <c r="AO46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1" s="101">
        <f t="shared" si="15"/>
        <v>0</v>
      </c>
      <c r="AT461">
        <f>IF(Tabla1[[#This Row],[MES ADEUDO DE AÑOS PASADOS ]]&gt;0,1,0)</f>
        <v>1</v>
      </c>
      <c r="AU461" s="9">
        <f t="shared" si="16"/>
        <v>1</v>
      </c>
      <c r="AV461" s="60">
        <f>IF(Tabla1[[#This Row],[MESES DE ADEUDO DEL AÑO EN CURSO ]]&gt;0,1,0)</f>
        <v>0</v>
      </c>
      <c r="AW461" s="42"/>
      <c r="AX461" s="42"/>
      <c r="AY461" s="42"/>
      <c r="AZ461" s="43"/>
    </row>
    <row r="462" spans="1:52" ht="21.75" thickBot="1" x14ac:dyDescent="0.35">
      <c r="A462" s="106">
        <v>456</v>
      </c>
      <c r="B462" s="5" t="s">
        <v>140</v>
      </c>
      <c r="C462" s="2" t="s">
        <v>562</v>
      </c>
      <c r="D462" s="32"/>
      <c r="E462" s="35" t="s">
        <v>455</v>
      </c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24">
        <f>SUM(Tabla1[[#This Row],[ENERO ]:[DICIEMBRE]])</f>
        <v>0</v>
      </c>
      <c r="W462">
        <v>12</v>
      </c>
      <c r="X462" s="21">
        <f>COUNTIF(Tabla1[[#This Row],[ENERO ]:[DICIEMBRE]],0)-(AS462)-IF(Tabla1[[#This Row],[BAJAS]]="BAJA",IF(Tabla1[[#This Row],[ALTAS]]="ALTA",VLOOKUP(Tabla1[[#This Row],[MES DE ALTA ]],$AW$6:$AX$17,2,FALSE),12)-VLOOKUP(Tabla1[[#This Row],[MES DE BAJA ]],$AW$6:$AX$17,2,FALSE),0)</f>
        <v>0</v>
      </c>
      <c r="Y462" s="68">
        <f>SUM(Tabla1[[#This Row],[MES ADEUDO DE AÑOS PASADOS ]:[MESES DE ADEUDO DEL AÑO EN CURSO ]])-Tabla1[[#This Row],[PAGO DE DEUDA ANTERIOR EN MESES]]</f>
        <v>12</v>
      </c>
      <c r="Z462" s="15">
        <f>Tabla1[[#This Row],[MES ADEUDO DE AÑOS PASADOS ]]*$T$2</f>
        <v>540</v>
      </c>
      <c r="AA462" s="15">
        <f>Tabla1[[#This Row],[MESES DE ADEUDO DEL AÑO EN CURSO ]]*$T$2</f>
        <v>0</v>
      </c>
      <c r="AB462" s="69">
        <f>SUM(Tabla1[[#This Row],[DEUDA DE LOS MESES PASADOS EN $$]:[DEUDA DEL AÑO 2013 $$ ]])</f>
        <v>540</v>
      </c>
      <c r="AD462">
        <f>Tabla1[[#This Row],[PAGO DE DEUDA ANTERIOR EN MESES]]*$T$2</f>
        <v>0</v>
      </c>
      <c r="AG462" s="100">
        <f>IF(Tabla1[[#This Row],[TIPO DE CONSUMIDOR]]="MEDIO",IF(Tabla1[[#This Row],[ENERO ]]&gt;22.5,Tabla1[[#This Row],[ENERO ]]/22.5-1,0),IF(Tabla1[[#This Row],[ENERO ]]&gt;45,Tabla1[[#This Row],[ENERO ]]/45-1,0))</f>
        <v>0</v>
      </c>
      <c r="AH46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2" s="100">
        <f>IF(Tabla1[[#This Row],[TIPO DE CONSUMIDOR]]="MEDIO",IF(Tabla1[[#This Row],[MARZO]]&gt;22.5,Tabla1[[#This Row],[MARZO]]/22.5-1,0),IF(Tabla1[[#This Row],[MARZO]]&gt;45,Tabla1[[#This Row],[MARZO]]/45-1,0))</f>
        <v>0</v>
      </c>
      <c r="AJ462" s="100">
        <f>IF(Tabla1[[#This Row],[TIPO DE CONSUMIDOR]]="MEDIO",IF(Tabla1[[#This Row],[ABRIL]]&gt;22.5,Tabla1[[#This Row],[ABRIL]]/22.5-1,0),IF(Tabla1[[#This Row],[ABRIL]]&gt;45,Tabla1[[#This Row],[ABRIL]]/45-1,0))</f>
        <v>0</v>
      </c>
      <c r="AK462" s="100">
        <f>IF(Tabla1[[#This Row],[TIPO DE CONSUMIDOR]]="MEDIO",IF(Tabla1[[#This Row],[MAYO ]]&gt;22.5,Tabla1[[#This Row],[MAYO ]]/22.5-1,0),IF(Tabla1[[#This Row],[MAYO ]]&gt;45,Tabla1[[#This Row],[MAYO ]]/45-1,0))</f>
        <v>0</v>
      </c>
      <c r="AL462" s="100">
        <f>IF(Tabla1[[#This Row],[TIPO DE CONSUMIDOR]]="MEDIO",IF(Tabla1[[#This Row],[JUNIO ]]&gt;22.5,Tabla1[[#This Row],[JUNIO ]]/22.5-1,0),IF(Tabla1[[#This Row],[JUNIO ]]&gt;45,Tabla1[[#This Row],[JUNIO ]]/45-1,0))</f>
        <v>0</v>
      </c>
      <c r="AM462" s="100">
        <f>IF(Tabla1[[#This Row],[TIPO DE CONSUMIDOR]]="MEDIO",IF(Tabla1[[#This Row],[JULIO ]]&gt;22.5,Tabla1[[#This Row],[JULIO ]]/22.5-1,0),IF(Tabla1[[#This Row],[JULIO ]]&gt;45,Tabla1[[#This Row],[JULIO ]]/45-1,0))</f>
        <v>0</v>
      </c>
      <c r="AN462" s="100">
        <f>IF(Tabla1[[#This Row],[TIPO DE CONSUMIDOR]]="MEDIO",IF(Tabla1[[#This Row],[AGOSTO]]&gt;22.5,Tabla1[[#This Row],[AGOSTO]]/22.5-1,0),IF(Tabla1[[#This Row],[AGOSTO]]&gt;45,Tabla1[[#This Row],[AGOSTO]]/45-1,0))</f>
        <v>0</v>
      </c>
      <c r="AO46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2" s="101">
        <f t="shared" si="15"/>
        <v>0</v>
      </c>
      <c r="AT462">
        <f>IF(Tabla1[[#This Row],[MES ADEUDO DE AÑOS PASADOS ]]&gt;0,1,0)</f>
        <v>1</v>
      </c>
      <c r="AU462" s="9">
        <f t="shared" si="16"/>
        <v>1</v>
      </c>
      <c r="AV462" s="60">
        <f>IF(Tabla1[[#This Row],[MESES DE ADEUDO DEL AÑO EN CURSO ]]&gt;0,1,0)</f>
        <v>0</v>
      </c>
      <c r="AW462" s="42"/>
      <c r="AX462" s="42"/>
      <c r="AY462" s="42"/>
      <c r="AZ462" s="43"/>
    </row>
    <row r="463" spans="1:52" ht="21.75" thickBot="1" x14ac:dyDescent="0.35">
      <c r="A463" s="106">
        <v>457</v>
      </c>
      <c r="B463" s="5" t="s">
        <v>249</v>
      </c>
      <c r="C463" s="2" t="s">
        <v>562</v>
      </c>
      <c r="D463" s="32"/>
      <c r="E463" s="35" t="s">
        <v>455</v>
      </c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24">
        <f>SUM(Tabla1[[#This Row],[ENERO ]:[DICIEMBRE]])</f>
        <v>0</v>
      </c>
      <c r="W463">
        <v>12</v>
      </c>
      <c r="X463" s="21">
        <f>COUNTIF(Tabla1[[#This Row],[ENERO ]:[DICIEMBRE]],0)-(AS463)-IF(Tabla1[[#This Row],[BAJAS]]="BAJA",IF(Tabla1[[#This Row],[ALTAS]]="ALTA",VLOOKUP(Tabla1[[#This Row],[MES DE ALTA ]],$AW$6:$AX$17,2,FALSE),12)-VLOOKUP(Tabla1[[#This Row],[MES DE BAJA ]],$AW$6:$AX$17,2,FALSE),0)</f>
        <v>0</v>
      </c>
      <c r="Y463" s="68">
        <f>SUM(Tabla1[[#This Row],[MES ADEUDO DE AÑOS PASADOS ]:[MESES DE ADEUDO DEL AÑO EN CURSO ]])-Tabla1[[#This Row],[PAGO DE DEUDA ANTERIOR EN MESES]]</f>
        <v>12</v>
      </c>
      <c r="Z463" s="15">
        <f>Tabla1[[#This Row],[MES ADEUDO DE AÑOS PASADOS ]]*$T$2</f>
        <v>540</v>
      </c>
      <c r="AA463" s="15">
        <f>Tabla1[[#This Row],[MESES DE ADEUDO DEL AÑO EN CURSO ]]*$T$2</f>
        <v>0</v>
      </c>
      <c r="AB463" s="69">
        <f>SUM(Tabla1[[#This Row],[DEUDA DE LOS MESES PASADOS EN $$]:[DEUDA DEL AÑO 2013 $$ ]])</f>
        <v>540</v>
      </c>
      <c r="AD463">
        <f>Tabla1[[#This Row],[PAGO DE DEUDA ANTERIOR EN MESES]]*$T$2</f>
        <v>0</v>
      </c>
      <c r="AG463" s="100">
        <f>IF(Tabla1[[#This Row],[TIPO DE CONSUMIDOR]]="MEDIO",IF(Tabla1[[#This Row],[ENERO ]]&gt;22.5,Tabla1[[#This Row],[ENERO ]]/22.5-1,0),IF(Tabla1[[#This Row],[ENERO ]]&gt;45,Tabla1[[#This Row],[ENERO ]]/45-1,0))</f>
        <v>0</v>
      </c>
      <c r="AH46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3" s="100">
        <f>IF(Tabla1[[#This Row],[TIPO DE CONSUMIDOR]]="MEDIO",IF(Tabla1[[#This Row],[MARZO]]&gt;22.5,Tabla1[[#This Row],[MARZO]]/22.5-1,0),IF(Tabla1[[#This Row],[MARZO]]&gt;45,Tabla1[[#This Row],[MARZO]]/45-1,0))</f>
        <v>0</v>
      </c>
      <c r="AJ463" s="100">
        <f>IF(Tabla1[[#This Row],[TIPO DE CONSUMIDOR]]="MEDIO",IF(Tabla1[[#This Row],[ABRIL]]&gt;22.5,Tabla1[[#This Row],[ABRIL]]/22.5-1,0),IF(Tabla1[[#This Row],[ABRIL]]&gt;45,Tabla1[[#This Row],[ABRIL]]/45-1,0))</f>
        <v>0</v>
      </c>
      <c r="AK463" s="100">
        <f>IF(Tabla1[[#This Row],[TIPO DE CONSUMIDOR]]="MEDIO",IF(Tabla1[[#This Row],[MAYO ]]&gt;22.5,Tabla1[[#This Row],[MAYO ]]/22.5-1,0),IF(Tabla1[[#This Row],[MAYO ]]&gt;45,Tabla1[[#This Row],[MAYO ]]/45-1,0))</f>
        <v>0</v>
      </c>
      <c r="AL463" s="100">
        <f>IF(Tabla1[[#This Row],[TIPO DE CONSUMIDOR]]="MEDIO",IF(Tabla1[[#This Row],[JUNIO ]]&gt;22.5,Tabla1[[#This Row],[JUNIO ]]/22.5-1,0),IF(Tabla1[[#This Row],[JUNIO ]]&gt;45,Tabla1[[#This Row],[JUNIO ]]/45-1,0))</f>
        <v>0</v>
      </c>
      <c r="AM463" s="100">
        <f>IF(Tabla1[[#This Row],[TIPO DE CONSUMIDOR]]="MEDIO",IF(Tabla1[[#This Row],[JULIO ]]&gt;22.5,Tabla1[[#This Row],[JULIO ]]/22.5-1,0),IF(Tabla1[[#This Row],[JULIO ]]&gt;45,Tabla1[[#This Row],[JULIO ]]/45-1,0))</f>
        <v>0</v>
      </c>
      <c r="AN463" s="100">
        <f>IF(Tabla1[[#This Row],[TIPO DE CONSUMIDOR]]="MEDIO",IF(Tabla1[[#This Row],[AGOSTO]]&gt;22.5,Tabla1[[#This Row],[AGOSTO]]/22.5-1,0),IF(Tabla1[[#This Row],[AGOSTO]]&gt;45,Tabla1[[#This Row],[AGOSTO]]/45-1,0))</f>
        <v>0</v>
      </c>
      <c r="AO46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3" s="101">
        <f t="shared" si="15"/>
        <v>0</v>
      </c>
      <c r="AT463">
        <f>IF(Tabla1[[#This Row],[MES ADEUDO DE AÑOS PASADOS ]]&gt;0,1,0)</f>
        <v>1</v>
      </c>
      <c r="AU463" s="9">
        <f t="shared" si="16"/>
        <v>1</v>
      </c>
      <c r="AV463" s="60">
        <f>IF(Tabla1[[#This Row],[MESES DE ADEUDO DEL AÑO EN CURSO ]]&gt;0,1,0)</f>
        <v>0</v>
      </c>
      <c r="AW463" s="42"/>
      <c r="AX463" s="42"/>
      <c r="AY463" s="42"/>
      <c r="AZ463" s="43"/>
    </row>
    <row r="464" spans="1:52" ht="21.75" thickBot="1" x14ac:dyDescent="0.35">
      <c r="A464" s="106">
        <v>458</v>
      </c>
      <c r="B464" s="5" t="s">
        <v>324</v>
      </c>
      <c r="C464" s="2" t="s">
        <v>562</v>
      </c>
      <c r="D464" s="32"/>
      <c r="E464" s="35" t="s">
        <v>455</v>
      </c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24">
        <f>SUM(Tabla1[[#This Row],[ENERO ]:[DICIEMBRE]])</f>
        <v>0</v>
      </c>
      <c r="W464">
        <v>12</v>
      </c>
      <c r="X464" s="21">
        <f>COUNTIF(Tabla1[[#This Row],[ENERO ]:[DICIEMBRE]],0)-(AS464)-IF(Tabla1[[#This Row],[BAJAS]]="BAJA",IF(Tabla1[[#This Row],[ALTAS]]="ALTA",VLOOKUP(Tabla1[[#This Row],[MES DE ALTA ]],$AW$6:$AX$17,2,FALSE),12)-VLOOKUP(Tabla1[[#This Row],[MES DE BAJA ]],$AW$6:$AX$17,2,FALSE),0)</f>
        <v>0</v>
      </c>
      <c r="Y464" s="68">
        <f>SUM(Tabla1[[#This Row],[MES ADEUDO DE AÑOS PASADOS ]:[MESES DE ADEUDO DEL AÑO EN CURSO ]])-Tabla1[[#This Row],[PAGO DE DEUDA ANTERIOR EN MESES]]</f>
        <v>12</v>
      </c>
      <c r="Z464" s="15">
        <f>Tabla1[[#This Row],[MES ADEUDO DE AÑOS PASADOS ]]*$T$2</f>
        <v>540</v>
      </c>
      <c r="AA464" s="15">
        <f>Tabla1[[#This Row],[MESES DE ADEUDO DEL AÑO EN CURSO ]]*$T$2</f>
        <v>0</v>
      </c>
      <c r="AB464" s="69">
        <f>SUM(Tabla1[[#This Row],[DEUDA DE LOS MESES PASADOS EN $$]:[DEUDA DEL AÑO 2013 $$ ]])</f>
        <v>540</v>
      </c>
      <c r="AD464">
        <f>Tabla1[[#This Row],[PAGO DE DEUDA ANTERIOR EN MESES]]*$T$2</f>
        <v>0</v>
      </c>
      <c r="AG464" s="100">
        <f>IF(Tabla1[[#This Row],[TIPO DE CONSUMIDOR]]="MEDIO",IF(Tabla1[[#This Row],[ENERO ]]&gt;22.5,Tabla1[[#This Row],[ENERO ]]/22.5-1,0),IF(Tabla1[[#This Row],[ENERO ]]&gt;45,Tabla1[[#This Row],[ENERO ]]/45-1,0))</f>
        <v>0</v>
      </c>
      <c r="AH46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4" s="100">
        <f>IF(Tabla1[[#This Row],[TIPO DE CONSUMIDOR]]="MEDIO",IF(Tabla1[[#This Row],[MARZO]]&gt;22.5,Tabla1[[#This Row],[MARZO]]/22.5-1,0),IF(Tabla1[[#This Row],[MARZO]]&gt;45,Tabla1[[#This Row],[MARZO]]/45-1,0))</f>
        <v>0</v>
      </c>
      <c r="AJ464" s="100">
        <f>IF(Tabla1[[#This Row],[TIPO DE CONSUMIDOR]]="MEDIO",IF(Tabla1[[#This Row],[ABRIL]]&gt;22.5,Tabla1[[#This Row],[ABRIL]]/22.5-1,0),IF(Tabla1[[#This Row],[ABRIL]]&gt;45,Tabla1[[#This Row],[ABRIL]]/45-1,0))</f>
        <v>0</v>
      </c>
      <c r="AK464" s="100">
        <f>IF(Tabla1[[#This Row],[TIPO DE CONSUMIDOR]]="MEDIO",IF(Tabla1[[#This Row],[MAYO ]]&gt;22.5,Tabla1[[#This Row],[MAYO ]]/22.5-1,0),IF(Tabla1[[#This Row],[MAYO ]]&gt;45,Tabla1[[#This Row],[MAYO ]]/45-1,0))</f>
        <v>0</v>
      </c>
      <c r="AL464" s="100">
        <f>IF(Tabla1[[#This Row],[TIPO DE CONSUMIDOR]]="MEDIO",IF(Tabla1[[#This Row],[JUNIO ]]&gt;22.5,Tabla1[[#This Row],[JUNIO ]]/22.5-1,0),IF(Tabla1[[#This Row],[JUNIO ]]&gt;45,Tabla1[[#This Row],[JUNIO ]]/45-1,0))</f>
        <v>0</v>
      </c>
      <c r="AM464" s="100">
        <f>IF(Tabla1[[#This Row],[TIPO DE CONSUMIDOR]]="MEDIO",IF(Tabla1[[#This Row],[JULIO ]]&gt;22.5,Tabla1[[#This Row],[JULIO ]]/22.5-1,0),IF(Tabla1[[#This Row],[JULIO ]]&gt;45,Tabla1[[#This Row],[JULIO ]]/45-1,0))</f>
        <v>0</v>
      </c>
      <c r="AN464" s="100">
        <f>IF(Tabla1[[#This Row],[TIPO DE CONSUMIDOR]]="MEDIO",IF(Tabla1[[#This Row],[AGOSTO]]&gt;22.5,Tabla1[[#This Row],[AGOSTO]]/22.5-1,0),IF(Tabla1[[#This Row],[AGOSTO]]&gt;45,Tabla1[[#This Row],[AGOSTO]]/45-1,0))</f>
        <v>0</v>
      </c>
      <c r="AO46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4" s="101">
        <f t="shared" si="15"/>
        <v>0</v>
      </c>
      <c r="AT464">
        <f>IF(Tabla1[[#This Row],[MES ADEUDO DE AÑOS PASADOS ]]&gt;0,1,0)</f>
        <v>1</v>
      </c>
      <c r="AU464" s="9">
        <f t="shared" si="16"/>
        <v>1</v>
      </c>
      <c r="AV464" s="60">
        <f>IF(Tabla1[[#This Row],[MESES DE ADEUDO DEL AÑO EN CURSO ]]&gt;0,1,0)</f>
        <v>0</v>
      </c>
      <c r="AW464" s="42"/>
      <c r="AX464" s="42"/>
      <c r="AY464" s="42"/>
      <c r="AZ464" s="43"/>
    </row>
    <row r="465" spans="1:52" ht="21.75" thickBot="1" x14ac:dyDescent="0.35">
      <c r="A465" s="106">
        <v>459</v>
      </c>
      <c r="B465" s="5" t="s">
        <v>22</v>
      </c>
      <c r="C465" s="2" t="s">
        <v>562</v>
      </c>
      <c r="D465" s="32"/>
      <c r="E465" s="35" t="s">
        <v>455</v>
      </c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24">
        <f>SUM(Tabla1[[#This Row],[ENERO ]:[DICIEMBRE]])</f>
        <v>0</v>
      </c>
      <c r="W465">
        <v>13</v>
      </c>
      <c r="X465" s="21">
        <f>COUNTIF(Tabla1[[#This Row],[ENERO ]:[DICIEMBRE]],0)-(AS465)-IF(Tabla1[[#This Row],[BAJAS]]="BAJA",IF(Tabla1[[#This Row],[ALTAS]]="ALTA",VLOOKUP(Tabla1[[#This Row],[MES DE ALTA ]],$AW$6:$AX$17,2,FALSE),12)-VLOOKUP(Tabla1[[#This Row],[MES DE BAJA ]],$AW$6:$AX$17,2,FALSE),0)</f>
        <v>0</v>
      </c>
      <c r="Y465" s="68">
        <f>SUM(Tabla1[[#This Row],[MES ADEUDO DE AÑOS PASADOS ]:[MESES DE ADEUDO DEL AÑO EN CURSO ]])-Tabla1[[#This Row],[PAGO DE DEUDA ANTERIOR EN MESES]]</f>
        <v>13</v>
      </c>
      <c r="Z465" s="15">
        <f>Tabla1[[#This Row],[MES ADEUDO DE AÑOS PASADOS ]]*$T$2</f>
        <v>585</v>
      </c>
      <c r="AA465" s="15">
        <f>Tabla1[[#This Row],[MESES DE ADEUDO DEL AÑO EN CURSO ]]*$T$2</f>
        <v>0</v>
      </c>
      <c r="AB465" s="69">
        <f>SUM(Tabla1[[#This Row],[DEUDA DE LOS MESES PASADOS EN $$]:[DEUDA DEL AÑO 2013 $$ ]])</f>
        <v>585</v>
      </c>
      <c r="AD465">
        <f>Tabla1[[#This Row],[PAGO DE DEUDA ANTERIOR EN MESES]]*$T$2</f>
        <v>0</v>
      </c>
      <c r="AG465" s="100">
        <f>IF(Tabla1[[#This Row],[TIPO DE CONSUMIDOR]]="MEDIO",IF(Tabla1[[#This Row],[ENERO ]]&gt;22.5,Tabla1[[#This Row],[ENERO ]]/22.5-1,0),IF(Tabla1[[#This Row],[ENERO ]]&gt;45,Tabla1[[#This Row],[ENERO ]]/45-1,0))</f>
        <v>0</v>
      </c>
      <c r="AH46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5" s="100">
        <f>IF(Tabla1[[#This Row],[TIPO DE CONSUMIDOR]]="MEDIO",IF(Tabla1[[#This Row],[MARZO]]&gt;22.5,Tabla1[[#This Row],[MARZO]]/22.5-1,0),IF(Tabla1[[#This Row],[MARZO]]&gt;45,Tabla1[[#This Row],[MARZO]]/45-1,0))</f>
        <v>0</v>
      </c>
      <c r="AJ465" s="100">
        <f>IF(Tabla1[[#This Row],[TIPO DE CONSUMIDOR]]="MEDIO",IF(Tabla1[[#This Row],[ABRIL]]&gt;22.5,Tabla1[[#This Row],[ABRIL]]/22.5-1,0),IF(Tabla1[[#This Row],[ABRIL]]&gt;45,Tabla1[[#This Row],[ABRIL]]/45-1,0))</f>
        <v>0</v>
      </c>
      <c r="AK465" s="100">
        <f>IF(Tabla1[[#This Row],[TIPO DE CONSUMIDOR]]="MEDIO",IF(Tabla1[[#This Row],[MAYO ]]&gt;22.5,Tabla1[[#This Row],[MAYO ]]/22.5-1,0),IF(Tabla1[[#This Row],[MAYO ]]&gt;45,Tabla1[[#This Row],[MAYO ]]/45-1,0))</f>
        <v>0</v>
      </c>
      <c r="AL465" s="100">
        <f>IF(Tabla1[[#This Row],[TIPO DE CONSUMIDOR]]="MEDIO",IF(Tabla1[[#This Row],[JUNIO ]]&gt;22.5,Tabla1[[#This Row],[JUNIO ]]/22.5-1,0),IF(Tabla1[[#This Row],[JUNIO ]]&gt;45,Tabla1[[#This Row],[JUNIO ]]/45-1,0))</f>
        <v>0</v>
      </c>
      <c r="AM465" s="100">
        <f>IF(Tabla1[[#This Row],[TIPO DE CONSUMIDOR]]="MEDIO",IF(Tabla1[[#This Row],[JULIO ]]&gt;22.5,Tabla1[[#This Row],[JULIO ]]/22.5-1,0),IF(Tabla1[[#This Row],[JULIO ]]&gt;45,Tabla1[[#This Row],[JULIO ]]/45-1,0))</f>
        <v>0</v>
      </c>
      <c r="AN465" s="100">
        <f>IF(Tabla1[[#This Row],[TIPO DE CONSUMIDOR]]="MEDIO",IF(Tabla1[[#This Row],[AGOSTO]]&gt;22.5,Tabla1[[#This Row],[AGOSTO]]/22.5-1,0),IF(Tabla1[[#This Row],[AGOSTO]]&gt;45,Tabla1[[#This Row],[AGOSTO]]/45-1,0))</f>
        <v>0</v>
      </c>
      <c r="AO46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5" s="101">
        <f t="shared" si="15"/>
        <v>0</v>
      </c>
      <c r="AT465">
        <f>IF(Tabla1[[#This Row],[MES ADEUDO DE AÑOS PASADOS ]]&gt;0,1,0)</f>
        <v>1</v>
      </c>
      <c r="AU465" s="9">
        <f t="shared" si="16"/>
        <v>1</v>
      </c>
      <c r="AV465" s="60">
        <f>IF(Tabla1[[#This Row],[MESES DE ADEUDO DEL AÑO EN CURSO ]]&gt;0,1,0)</f>
        <v>0</v>
      </c>
      <c r="AW465" s="42"/>
      <c r="AX465" s="42"/>
      <c r="AY465" s="42"/>
      <c r="AZ465" s="43"/>
    </row>
    <row r="466" spans="1:52" ht="21.75" thickBot="1" x14ac:dyDescent="0.35">
      <c r="A466" s="106">
        <v>460</v>
      </c>
      <c r="B466" s="5" t="s">
        <v>395</v>
      </c>
      <c r="C466" s="2" t="s">
        <v>562</v>
      </c>
      <c r="D466" s="32"/>
      <c r="E466" s="35" t="s">
        <v>455</v>
      </c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24">
        <f>SUM(Tabla1[[#This Row],[ENERO ]:[DICIEMBRE]])</f>
        <v>0</v>
      </c>
      <c r="W466">
        <v>14</v>
      </c>
      <c r="X466" s="21">
        <f>COUNTIF(Tabla1[[#This Row],[ENERO ]:[DICIEMBRE]],0)-(AS466)-IF(Tabla1[[#This Row],[BAJAS]]="BAJA",IF(Tabla1[[#This Row],[ALTAS]]="ALTA",VLOOKUP(Tabla1[[#This Row],[MES DE ALTA ]],$AW$6:$AX$17,2,FALSE),12)-VLOOKUP(Tabla1[[#This Row],[MES DE BAJA ]],$AW$6:$AX$17,2,FALSE),0)</f>
        <v>0</v>
      </c>
      <c r="Y466" s="68">
        <f>SUM(Tabla1[[#This Row],[MES ADEUDO DE AÑOS PASADOS ]:[MESES DE ADEUDO DEL AÑO EN CURSO ]])-Tabla1[[#This Row],[PAGO DE DEUDA ANTERIOR EN MESES]]</f>
        <v>14</v>
      </c>
      <c r="Z466" s="15">
        <f>Tabla1[[#This Row],[MES ADEUDO DE AÑOS PASADOS ]]*$T$2</f>
        <v>630</v>
      </c>
      <c r="AA466" s="15">
        <f>Tabla1[[#This Row],[MESES DE ADEUDO DEL AÑO EN CURSO ]]*$T$2</f>
        <v>0</v>
      </c>
      <c r="AB466" s="69">
        <f>SUM(Tabla1[[#This Row],[DEUDA DE LOS MESES PASADOS EN $$]:[DEUDA DEL AÑO 2013 $$ ]])</f>
        <v>630</v>
      </c>
      <c r="AD466">
        <f>Tabla1[[#This Row],[PAGO DE DEUDA ANTERIOR EN MESES]]*$T$2</f>
        <v>0</v>
      </c>
      <c r="AG466" s="100">
        <f>IF(Tabla1[[#This Row],[TIPO DE CONSUMIDOR]]="MEDIO",IF(Tabla1[[#This Row],[ENERO ]]&gt;22.5,Tabla1[[#This Row],[ENERO ]]/22.5-1,0),IF(Tabla1[[#This Row],[ENERO ]]&gt;45,Tabla1[[#This Row],[ENERO ]]/45-1,0))</f>
        <v>0</v>
      </c>
      <c r="AH46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6" s="100">
        <f>IF(Tabla1[[#This Row],[TIPO DE CONSUMIDOR]]="MEDIO",IF(Tabla1[[#This Row],[MARZO]]&gt;22.5,Tabla1[[#This Row],[MARZO]]/22.5-1,0),IF(Tabla1[[#This Row],[MARZO]]&gt;45,Tabla1[[#This Row],[MARZO]]/45-1,0))</f>
        <v>0</v>
      </c>
      <c r="AJ466" s="100">
        <f>IF(Tabla1[[#This Row],[TIPO DE CONSUMIDOR]]="MEDIO",IF(Tabla1[[#This Row],[ABRIL]]&gt;22.5,Tabla1[[#This Row],[ABRIL]]/22.5-1,0),IF(Tabla1[[#This Row],[ABRIL]]&gt;45,Tabla1[[#This Row],[ABRIL]]/45-1,0))</f>
        <v>0</v>
      </c>
      <c r="AK466" s="100">
        <f>IF(Tabla1[[#This Row],[TIPO DE CONSUMIDOR]]="MEDIO",IF(Tabla1[[#This Row],[MAYO ]]&gt;22.5,Tabla1[[#This Row],[MAYO ]]/22.5-1,0),IF(Tabla1[[#This Row],[MAYO ]]&gt;45,Tabla1[[#This Row],[MAYO ]]/45-1,0))</f>
        <v>0</v>
      </c>
      <c r="AL466" s="100">
        <f>IF(Tabla1[[#This Row],[TIPO DE CONSUMIDOR]]="MEDIO",IF(Tabla1[[#This Row],[JUNIO ]]&gt;22.5,Tabla1[[#This Row],[JUNIO ]]/22.5-1,0),IF(Tabla1[[#This Row],[JUNIO ]]&gt;45,Tabla1[[#This Row],[JUNIO ]]/45-1,0))</f>
        <v>0</v>
      </c>
      <c r="AM466" s="100">
        <f>IF(Tabla1[[#This Row],[TIPO DE CONSUMIDOR]]="MEDIO",IF(Tabla1[[#This Row],[JULIO ]]&gt;22.5,Tabla1[[#This Row],[JULIO ]]/22.5-1,0),IF(Tabla1[[#This Row],[JULIO ]]&gt;45,Tabla1[[#This Row],[JULIO ]]/45-1,0))</f>
        <v>0</v>
      </c>
      <c r="AN466" s="100">
        <f>IF(Tabla1[[#This Row],[TIPO DE CONSUMIDOR]]="MEDIO",IF(Tabla1[[#This Row],[AGOSTO]]&gt;22.5,Tabla1[[#This Row],[AGOSTO]]/22.5-1,0),IF(Tabla1[[#This Row],[AGOSTO]]&gt;45,Tabla1[[#This Row],[AGOSTO]]/45-1,0))</f>
        <v>0</v>
      </c>
      <c r="AO46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6" s="101">
        <f t="shared" si="15"/>
        <v>0</v>
      </c>
      <c r="AT466">
        <f>IF(Tabla1[[#This Row],[MES ADEUDO DE AÑOS PASADOS ]]&gt;0,1,0)</f>
        <v>1</v>
      </c>
      <c r="AU466" s="9">
        <f t="shared" si="16"/>
        <v>1</v>
      </c>
      <c r="AV466" s="60">
        <f>IF(Tabla1[[#This Row],[MESES DE ADEUDO DEL AÑO EN CURSO ]]&gt;0,1,0)</f>
        <v>0</v>
      </c>
      <c r="AW466" s="42"/>
      <c r="AX466" s="42"/>
      <c r="AY466" s="42"/>
      <c r="AZ466" s="43"/>
    </row>
    <row r="467" spans="1:52" ht="21.75" thickBot="1" x14ac:dyDescent="0.35">
      <c r="A467" s="106">
        <v>461</v>
      </c>
      <c r="B467" s="5" t="s">
        <v>329</v>
      </c>
      <c r="C467" s="2" t="s">
        <v>562</v>
      </c>
      <c r="D467" s="46"/>
      <c r="E467" s="36" t="s">
        <v>455</v>
      </c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24">
        <f>SUM(Tabla1[[#This Row],[ENERO ]:[DICIEMBRE]])</f>
        <v>0</v>
      </c>
      <c r="W467">
        <v>16</v>
      </c>
      <c r="X467" s="21">
        <f>COUNTIF(Tabla1[[#This Row],[ENERO ]:[DICIEMBRE]],0)-(AS467)-IF(Tabla1[[#This Row],[BAJAS]]="BAJA",IF(Tabla1[[#This Row],[ALTAS]]="ALTA",VLOOKUP(Tabla1[[#This Row],[MES DE ALTA ]],$AW$6:$AX$17,2,FALSE),12)-VLOOKUP(Tabla1[[#This Row],[MES DE BAJA ]],$AW$6:$AX$17,2,FALSE),0)</f>
        <v>0</v>
      </c>
      <c r="Y467" s="68">
        <f>SUM(Tabla1[[#This Row],[MES ADEUDO DE AÑOS PASADOS ]:[MESES DE ADEUDO DEL AÑO EN CURSO ]])-Tabla1[[#This Row],[PAGO DE DEUDA ANTERIOR EN MESES]]</f>
        <v>16</v>
      </c>
      <c r="Z467" s="15">
        <f>Tabla1[[#This Row],[MES ADEUDO DE AÑOS PASADOS ]]*$T$2</f>
        <v>720</v>
      </c>
      <c r="AA467" s="15">
        <f>Tabla1[[#This Row],[MESES DE ADEUDO DEL AÑO EN CURSO ]]*$T$2</f>
        <v>0</v>
      </c>
      <c r="AB467" s="69">
        <f>SUM(Tabla1[[#This Row],[DEUDA DE LOS MESES PASADOS EN $$]:[DEUDA DEL AÑO 2013 $$ ]])</f>
        <v>720</v>
      </c>
      <c r="AD467">
        <f>Tabla1[[#This Row],[PAGO DE DEUDA ANTERIOR EN MESES]]*$T$2</f>
        <v>0</v>
      </c>
      <c r="AG467" s="100">
        <f>IF(Tabla1[[#This Row],[TIPO DE CONSUMIDOR]]="MEDIO",IF(Tabla1[[#This Row],[ENERO ]]&gt;22.5,Tabla1[[#This Row],[ENERO ]]/22.5-1,0),IF(Tabla1[[#This Row],[ENERO ]]&gt;45,Tabla1[[#This Row],[ENERO ]]/45-1,0))</f>
        <v>0</v>
      </c>
      <c r="AH46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7" s="100">
        <f>IF(Tabla1[[#This Row],[TIPO DE CONSUMIDOR]]="MEDIO",IF(Tabla1[[#This Row],[MARZO]]&gt;22.5,Tabla1[[#This Row],[MARZO]]/22.5-1,0),IF(Tabla1[[#This Row],[MARZO]]&gt;45,Tabla1[[#This Row],[MARZO]]/45-1,0))</f>
        <v>0</v>
      </c>
      <c r="AJ467" s="100">
        <f>IF(Tabla1[[#This Row],[TIPO DE CONSUMIDOR]]="MEDIO",IF(Tabla1[[#This Row],[ABRIL]]&gt;22.5,Tabla1[[#This Row],[ABRIL]]/22.5-1,0),IF(Tabla1[[#This Row],[ABRIL]]&gt;45,Tabla1[[#This Row],[ABRIL]]/45-1,0))</f>
        <v>0</v>
      </c>
      <c r="AK467" s="100">
        <f>IF(Tabla1[[#This Row],[TIPO DE CONSUMIDOR]]="MEDIO",IF(Tabla1[[#This Row],[MAYO ]]&gt;22.5,Tabla1[[#This Row],[MAYO ]]/22.5-1,0),IF(Tabla1[[#This Row],[MAYO ]]&gt;45,Tabla1[[#This Row],[MAYO ]]/45-1,0))</f>
        <v>0</v>
      </c>
      <c r="AL467" s="100">
        <f>IF(Tabla1[[#This Row],[TIPO DE CONSUMIDOR]]="MEDIO",IF(Tabla1[[#This Row],[JUNIO ]]&gt;22.5,Tabla1[[#This Row],[JUNIO ]]/22.5-1,0),IF(Tabla1[[#This Row],[JUNIO ]]&gt;45,Tabla1[[#This Row],[JUNIO ]]/45-1,0))</f>
        <v>0</v>
      </c>
      <c r="AM467" s="100">
        <f>IF(Tabla1[[#This Row],[TIPO DE CONSUMIDOR]]="MEDIO",IF(Tabla1[[#This Row],[JULIO ]]&gt;22.5,Tabla1[[#This Row],[JULIO ]]/22.5-1,0),IF(Tabla1[[#This Row],[JULIO ]]&gt;45,Tabla1[[#This Row],[JULIO ]]/45-1,0))</f>
        <v>0</v>
      </c>
      <c r="AN467" s="100">
        <f>IF(Tabla1[[#This Row],[TIPO DE CONSUMIDOR]]="MEDIO",IF(Tabla1[[#This Row],[AGOSTO]]&gt;22.5,Tabla1[[#This Row],[AGOSTO]]/22.5-1,0),IF(Tabla1[[#This Row],[AGOSTO]]&gt;45,Tabla1[[#This Row],[AGOSTO]]/45-1,0))</f>
        <v>0</v>
      </c>
      <c r="AO46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7" s="101">
        <f t="shared" si="15"/>
        <v>0</v>
      </c>
      <c r="AT467">
        <f>IF(Tabla1[[#This Row],[MES ADEUDO DE AÑOS PASADOS ]]&gt;0,1,0)</f>
        <v>1</v>
      </c>
      <c r="AU467" s="9">
        <f t="shared" si="16"/>
        <v>1</v>
      </c>
      <c r="AV467" s="60">
        <f>IF(Tabla1[[#This Row],[MESES DE ADEUDO DEL AÑO EN CURSO ]]&gt;0,1,0)</f>
        <v>0</v>
      </c>
      <c r="AW467" s="42"/>
      <c r="AX467" s="42"/>
      <c r="AY467" s="42"/>
      <c r="AZ467" s="43"/>
    </row>
    <row r="468" spans="1:52" ht="21.75" thickBot="1" x14ac:dyDescent="0.35">
      <c r="A468" s="106">
        <v>462</v>
      </c>
      <c r="B468" s="5" t="s">
        <v>35</v>
      </c>
      <c r="C468" s="2" t="s">
        <v>562</v>
      </c>
      <c r="D468" s="32"/>
      <c r="E468" s="35" t="s">
        <v>489</v>
      </c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24">
        <f>SUM(Tabla1[[#This Row],[ENERO ]:[DICIEMBRE]])</f>
        <v>0</v>
      </c>
      <c r="W468">
        <v>20</v>
      </c>
      <c r="X468" s="21">
        <f>COUNTIF(Tabla1[[#This Row],[ENERO ]:[DICIEMBRE]],0)-(AS468)-IF(Tabla1[[#This Row],[BAJAS]]="BAJA",IF(Tabla1[[#This Row],[ALTAS]]="ALTA",VLOOKUP(Tabla1[[#This Row],[MES DE ALTA ]],$AW$6:$AX$17,2,FALSE),12)-VLOOKUP(Tabla1[[#This Row],[MES DE BAJA ]],$AW$6:$AX$17,2,FALSE),0)</f>
        <v>0</v>
      </c>
      <c r="Y468" s="68">
        <f>SUM(Tabla1[[#This Row],[MES ADEUDO DE AÑOS PASADOS ]:[MESES DE ADEUDO DEL AÑO EN CURSO ]])-Tabla1[[#This Row],[PAGO DE DEUDA ANTERIOR EN MESES]]</f>
        <v>20</v>
      </c>
      <c r="Z468" s="15">
        <f>Tabla1[[#This Row],[MES ADEUDO DE AÑOS PASADOS ]]*$T$2</f>
        <v>900</v>
      </c>
      <c r="AA468" s="15">
        <f>Tabla1[[#This Row],[MESES DE ADEUDO DEL AÑO EN CURSO ]]*$T$2</f>
        <v>0</v>
      </c>
      <c r="AB468" s="69">
        <f>SUM(Tabla1[[#This Row],[DEUDA DE LOS MESES PASADOS EN $$]:[DEUDA DEL AÑO 2013 $$ ]])</f>
        <v>900</v>
      </c>
      <c r="AD468">
        <f>Tabla1[[#This Row],[PAGO DE DEUDA ANTERIOR EN MESES]]*$T$2</f>
        <v>0</v>
      </c>
      <c r="AG468" s="100">
        <f>IF(Tabla1[[#This Row],[TIPO DE CONSUMIDOR]]="MEDIO",IF(Tabla1[[#This Row],[ENERO ]]&gt;22.5,Tabla1[[#This Row],[ENERO ]]/22.5-1,0),IF(Tabla1[[#This Row],[ENERO ]]&gt;45,Tabla1[[#This Row],[ENERO ]]/45-1,0))</f>
        <v>0</v>
      </c>
      <c r="AH46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8" s="100">
        <f>IF(Tabla1[[#This Row],[TIPO DE CONSUMIDOR]]="MEDIO",IF(Tabla1[[#This Row],[MARZO]]&gt;22.5,Tabla1[[#This Row],[MARZO]]/22.5-1,0),IF(Tabla1[[#This Row],[MARZO]]&gt;45,Tabla1[[#This Row],[MARZO]]/45-1,0))</f>
        <v>0</v>
      </c>
      <c r="AJ468" s="100">
        <f>IF(Tabla1[[#This Row],[TIPO DE CONSUMIDOR]]="MEDIO",IF(Tabla1[[#This Row],[ABRIL]]&gt;22.5,Tabla1[[#This Row],[ABRIL]]/22.5-1,0),IF(Tabla1[[#This Row],[ABRIL]]&gt;45,Tabla1[[#This Row],[ABRIL]]/45-1,0))</f>
        <v>0</v>
      </c>
      <c r="AK468" s="100">
        <f>IF(Tabla1[[#This Row],[TIPO DE CONSUMIDOR]]="MEDIO",IF(Tabla1[[#This Row],[MAYO ]]&gt;22.5,Tabla1[[#This Row],[MAYO ]]/22.5-1,0),IF(Tabla1[[#This Row],[MAYO ]]&gt;45,Tabla1[[#This Row],[MAYO ]]/45-1,0))</f>
        <v>0</v>
      </c>
      <c r="AL468" s="100">
        <f>IF(Tabla1[[#This Row],[TIPO DE CONSUMIDOR]]="MEDIO",IF(Tabla1[[#This Row],[JUNIO ]]&gt;22.5,Tabla1[[#This Row],[JUNIO ]]/22.5-1,0),IF(Tabla1[[#This Row],[JUNIO ]]&gt;45,Tabla1[[#This Row],[JUNIO ]]/45-1,0))</f>
        <v>0</v>
      </c>
      <c r="AM468" s="100">
        <f>IF(Tabla1[[#This Row],[TIPO DE CONSUMIDOR]]="MEDIO",IF(Tabla1[[#This Row],[JULIO ]]&gt;22.5,Tabla1[[#This Row],[JULIO ]]/22.5-1,0),IF(Tabla1[[#This Row],[JULIO ]]&gt;45,Tabla1[[#This Row],[JULIO ]]/45-1,0))</f>
        <v>0</v>
      </c>
      <c r="AN468" s="100">
        <f>IF(Tabla1[[#This Row],[TIPO DE CONSUMIDOR]]="MEDIO",IF(Tabla1[[#This Row],[AGOSTO]]&gt;22.5,Tabla1[[#This Row],[AGOSTO]]/22.5-1,0),IF(Tabla1[[#This Row],[AGOSTO]]&gt;45,Tabla1[[#This Row],[AGOSTO]]/45-1,0))</f>
        <v>0</v>
      </c>
      <c r="AO46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8" s="101">
        <f t="shared" si="15"/>
        <v>0</v>
      </c>
      <c r="AT468">
        <f>IF(Tabla1[[#This Row],[MES ADEUDO DE AÑOS PASADOS ]]&gt;0,1,0)</f>
        <v>1</v>
      </c>
      <c r="AU468" s="9">
        <f t="shared" si="16"/>
        <v>1</v>
      </c>
      <c r="AV468" s="60">
        <f>IF(Tabla1[[#This Row],[MESES DE ADEUDO DEL AÑO EN CURSO ]]&gt;0,1,0)</f>
        <v>0</v>
      </c>
      <c r="AW468" s="42"/>
      <c r="AX468" s="42"/>
      <c r="AY468" s="42"/>
      <c r="AZ468" s="43"/>
    </row>
    <row r="469" spans="1:52" ht="21.75" thickBot="1" x14ac:dyDescent="0.35">
      <c r="A469" s="106">
        <v>463</v>
      </c>
      <c r="B469" s="5" t="s">
        <v>107</v>
      </c>
      <c r="C469" s="2" t="s">
        <v>562</v>
      </c>
      <c r="D469" s="32"/>
      <c r="E469" s="35" t="s">
        <v>455</v>
      </c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24">
        <f>SUM(Tabla1[[#This Row],[ENERO ]:[DICIEMBRE]])</f>
        <v>0</v>
      </c>
      <c r="W469">
        <v>20</v>
      </c>
      <c r="X469" s="21">
        <f>COUNTIF(Tabla1[[#This Row],[ENERO ]:[DICIEMBRE]],0)-(AS469)-IF(Tabla1[[#This Row],[BAJAS]]="BAJA",IF(Tabla1[[#This Row],[ALTAS]]="ALTA",VLOOKUP(Tabla1[[#This Row],[MES DE ALTA ]],$AW$6:$AX$17,2,FALSE),12)-VLOOKUP(Tabla1[[#This Row],[MES DE BAJA ]],$AW$6:$AX$17,2,FALSE),0)</f>
        <v>0</v>
      </c>
      <c r="Y469" s="68">
        <f>SUM(Tabla1[[#This Row],[MES ADEUDO DE AÑOS PASADOS ]:[MESES DE ADEUDO DEL AÑO EN CURSO ]])-Tabla1[[#This Row],[PAGO DE DEUDA ANTERIOR EN MESES]]</f>
        <v>20</v>
      </c>
      <c r="Z469" s="15">
        <f>Tabla1[[#This Row],[MES ADEUDO DE AÑOS PASADOS ]]*$T$2</f>
        <v>900</v>
      </c>
      <c r="AA469" s="15">
        <f>Tabla1[[#This Row],[MESES DE ADEUDO DEL AÑO EN CURSO ]]*$T$2</f>
        <v>0</v>
      </c>
      <c r="AB469" s="69">
        <f>SUM(Tabla1[[#This Row],[DEUDA DE LOS MESES PASADOS EN $$]:[DEUDA DEL AÑO 2013 $$ ]])</f>
        <v>900</v>
      </c>
      <c r="AD469">
        <f>Tabla1[[#This Row],[PAGO DE DEUDA ANTERIOR EN MESES]]*$T$2</f>
        <v>0</v>
      </c>
      <c r="AG469" s="100">
        <f>IF(Tabla1[[#This Row],[TIPO DE CONSUMIDOR]]="MEDIO",IF(Tabla1[[#This Row],[ENERO ]]&gt;22.5,Tabla1[[#This Row],[ENERO ]]/22.5-1,0),IF(Tabla1[[#This Row],[ENERO ]]&gt;45,Tabla1[[#This Row],[ENERO ]]/45-1,0))</f>
        <v>0</v>
      </c>
      <c r="AH46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69" s="100">
        <f>IF(Tabla1[[#This Row],[TIPO DE CONSUMIDOR]]="MEDIO",IF(Tabla1[[#This Row],[MARZO]]&gt;22.5,Tabla1[[#This Row],[MARZO]]/22.5-1,0),IF(Tabla1[[#This Row],[MARZO]]&gt;45,Tabla1[[#This Row],[MARZO]]/45-1,0))</f>
        <v>0</v>
      </c>
      <c r="AJ469" s="100">
        <f>IF(Tabla1[[#This Row],[TIPO DE CONSUMIDOR]]="MEDIO",IF(Tabla1[[#This Row],[ABRIL]]&gt;22.5,Tabla1[[#This Row],[ABRIL]]/22.5-1,0),IF(Tabla1[[#This Row],[ABRIL]]&gt;45,Tabla1[[#This Row],[ABRIL]]/45-1,0))</f>
        <v>0</v>
      </c>
      <c r="AK469" s="100">
        <f>IF(Tabla1[[#This Row],[TIPO DE CONSUMIDOR]]="MEDIO",IF(Tabla1[[#This Row],[MAYO ]]&gt;22.5,Tabla1[[#This Row],[MAYO ]]/22.5-1,0),IF(Tabla1[[#This Row],[MAYO ]]&gt;45,Tabla1[[#This Row],[MAYO ]]/45-1,0))</f>
        <v>0</v>
      </c>
      <c r="AL469" s="100">
        <f>IF(Tabla1[[#This Row],[TIPO DE CONSUMIDOR]]="MEDIO",IF(Tabla1[[#This Row],[JUNIO ]]&gt;22.5,Tabla1[[#This Row],[JUNIO ]]/22.5-1,0),IF(Tabla1[[#This Row],[JUNIO ]]&gt;45,Tabla1[[#This Row],[JUNIO ]]/45-1,0))</f>
        <v>0</v>
      </c>
      <c r="AM469" s="100">
        <f>IF(Tabla1[[#This Row],[TIPO DE CONSUMIDOR]]="MEDIO",IF(Tabla1[[#This Row],[JULIO ]]&gt;22.5,Tabla1[[#This Row],[JULIO ]]/22.5-1,0),IF(Tabla1[[#This Row],[JULIO ]]&gt;45,Tabla1[[#This Row],[JULIO ]]/45-1,0))</f>
        <v>0</v>
      </c>
      <c r="AN469" s="100">
        <f>IF(Tabla1[[#This Row],[TIPO DE CONSUMIDOR]]="MEDIO",IF(Tabla1[[#This Row],[AGOSTO]]&gt;22.5,Tabla1[[#This Row],[AGOSTO]]/22.5-1,0),IF(Tabla1[[#This Row],[AGOSTO]]&gt;45,Tabla1[[#This Row],[AGOSTO]]/45-1,0))</f>
        <v>0</v>
      </c>
      <c r="AO46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6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6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6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69" s="101">
        <f t="shared" si="15"/>
        <v>0</v>
      </c>
      <c r="AT469">
        <f>IF(Tabla1[[#This Row],[MES ADEUDO DE AÑOS PASADOS ]]&gt;0,1,0)</f>
        <v>1</v>
      </c>
      <c r="AU469" s="9">
        <f t="shared" si="16"/>
        <v>1</v>
      </c>
      <c r="AV469" s="60">
        <f>IF(Tabla1[[#This Row],[MESES DE ADEUDO DEL AÑO EN CURSO ]]&gt;0,1,0)</f>
        <v>0</v>
      </c>
      <c r="AW469" s="42"/>
      <c r="AX469" s="42"/>
      <c r="AY469" s="42"/>
      <c r="AZ469" s="43"/>
    </row>
    <row r="470" spans="1:52" ht="21.75" thickBot="1" x14ac:dyDescent="0.35">
      <c r="A470" s="106">
        <v>464</v>
      </c>
      <c r="B470" s="5" t="s">
        <v>564</v>
      </c>
      <c r="C470" s="2" t="s">
        <v>562</v>
      </c>
      <c r="D470" s="32"/>
      <c r="E470" s="35" t="s">
        <v>455</v>
      </c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24">
        <f>SUM(Tabla1[[#This Row],[ENERO ]:[DICIEMBRE]])</f>
        <v>0</v>
      </c>
      <c r="W470">
        <v>24</v>
      </c>
      <c r="X470" s="21">
        <f>COUNTIF(Tabla1[[#This Row],[ENERO ]:[DICIEMBRE]],0)-(AS470)-IF(Tabla1[[#This Row],[BAJAS]]="BAJA",IF(Tabla1[[#This Row],[ALTAS]]="ALTA",VLOOKUP(Tabla1[[#This Row],[MES DE ALTA ]],$AW$6:$AX$17,2,FALSE),12)-VLOOKUP(Tabla1[[#This Row],[MES DE BAJA ]],$AW$6:$AX$17,2,FALSE),0)</f>
        <v>0</v>
      </c>
      <c r="Y470" s="68">
        <f>SUM(Tabla1[[#This Row],[MES ADEUDO DE AÑOS PASADOS ]:[MESES DE ADEUDO DEL AÑO EN CURSO ]])-Tabla1[[#This Row],[PAGO DE DEUDA ANTERIOR EN MESES]]</f>
        <v>24</v>
      </c>
      <c r="Z470" s="15">
        <f>Tabla1[[#This Row],[MES ADEUDO DE AÑOS PASADOS ]]*$T$2</f>
        <v>1080</v>
      </c>
      <c r="AA470" s="15">
        <f>Tabla1[[#This Row],[MESES DE ADEUDO DEL AÑO EN CURSO ]]*$T$2</f>
        <v>0</v>
      </c>
      <c r="AB470" s="69">
        <f>SUM(Tabla1[[#This Row],[DEUDA DE LOS MESES PASADOS EN $$]:[DEUDA DEL AÑO 2013 $$ ]])</f>
        <v>1080</v>
      </c>
      <c r="AD470">
        <f>Tabla1[[#This Row],[PAGO DE DEUDA ANTERIOR EN MESES]]*$T$2</f>
        <v>0</v>
      </c>
      <c r="AG470" s="100">
        <f>IF(Tabla1[[#This Row],[TIPO DE CONSUMIDOR]]="MEDIO",IF(Tabla1[[#This Row],[ENERO ]]&gt;22.5,Tabla1[[#This Row],[ENERO ]]/22.5-1,0),IF(Tabla1[[#This Row],[ENERO ]]&gt;45,Tabla1[[#This Row],[ENERO ]]/45-1,0))</f>
        <v>0</v>
      </c>
      <c r="AH47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0" s="100">
        <f>IF(Tabla1[[#This Row],[TIPO DE CONSUMIDOR]]="MEDIO",IF(Tabla1[[#This Row],[MARZO]]&gt;22.5,Tabla1[[#This Row],[MARZO]]/22.5-1,0),IF(Tabla1[[#This Row],[MARZO]]&gt;45,Tabla1[[#This Row],[MARZO]]/45-1,0))</f>
        <v>0</v>
      </c>
      <c r="AJ470" s="100">
        <f>IF(Tabla1[[#This Row],[TIPO DE CONSUMIDOR]]="MEDIO",IF(Tabla1[[#This Row],[ABRIL]]&gt;22.5,Tabla1[[#This Row],[ABRIL]]/22.5-1,0),IF(Tabla1[[#This Row],[ABRIL]]&gt;45,Tabla1[[#This Row],[ABRIL]]/45-1,0))</f>
        <v>0</v>
      </c>
      <c r="AK470" s="100">
        <f>IF(Tabla1[[#This Row],[TIPO DE CONSUMIDOR]]="MEDIO",IF(Tabla1[[#This Row],[MAYO ]]&gt;22.5,Tabla1[[#This Row],[MAYO ]]/22.5-1,0),IF(Tabla1[[#This Row],[MAYO ]]&gt;45,Tabla1[[#This Row],[MAYO ]]/45-1,0))</f>
        <v>0</v>
      </c>
      <c r="AL470" s="100">
        <f>IF(Tabla1[[#This Row],[TIPO DE CONSUMIDOR]]="MEDIO",IF(Tabla1[[#This Row],[JUNIO ]]&gt;22.5,Tabla1[[#This Row],[JUNIO ]]/22.5-1,0),IF(Tabla1[[#This Row],[JUNIO ]]&gt;45,Tabla1[[#This Row],[JUNIO ]]/45-1,0))</f>
        <v>0</v>
      </c>
      <c r="AM470" s="100">
        <f>IF(Tabla1[[#This Row],[TIPO DE CONSUMIDOR]]="MEDIO",IF(Tabla1[[#This Row],[JULIO ]]&gt;22.5,Tabla1[[#This Row],[JULIO ]]/22.5-1,0),IF(Tabla1[[#This Row],[JULIO ]]&gt;45,Tabla1[[#This Row],[JULIO ]]/45-1,0))</f>
        <v>0</v>
      </c>
      <c r="AN470" s="100">
        <f>IF(Tabla1[[#This Row],[TIPO DE CONSUMIDOR]]="MEDIO",IF(Tabla1[[#This Row],[AGOSTO]]&gt;22.5,Tabla1[[#This Row],[AGOSTO]]/22.5-1,0),IF(Tabla1[[#This Row],[AGOSTO]]&gt;45,Tabla1[[#This Row],[AGOSTO]]/45-1,0))</f>
        <v>0</v>
      </c>
      <c r="AO47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0" s="101">
        <f t="shared" si="15"/>
        <v>0</v>
      </c>
      <c r="AT470">
        <f>IF(Tabla1[[#This Row],[MES ADEUDO DE AÑOS PASADOS ]]&gt;0,1,0)</f>
        <v>1</v>
      </c>
      <c r="AU470" s="9">
        <f t="shared" si="16"/>
        <v>1</v>
      </c>
      <c r="AV470" s="60">
        <f>IF(Tabla1[[#This Row],[MESES DE ADEUDO DEL AÑO EN CURSO ]]&gt;0,1,0)</f>
        <v>0</v>
      </c>
      <c r="AW470" s="42"/>
      <c r="AX470" s="42"/>
      <c r="AY470" s="42"/>
      <c r="AZ470" s="43"/>
    </row>
    <row r="471" spans="1:52" ht="21.75" thickBot="1" x14ac:dyDescent="0.35">
      <c r="A471" s="106">
        <v>465</v>
      </c>
      <c r="B471" s="5" t="s">
        <v>566</v>
      </c>
      <c r="C471" s="2" t="s">
        <v>562</v>
      </c>
      <c r="D471" s="32"/>
      <c r="E471" s="35" t="s">
        <v>455</v>
      </c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24">
        <f>SUM(Tabla1[[#This Row],[ENERO ]:[DICIEMBRE]])</f>
        <v>0</v>
      </c>
      <c r="W471">
        <v>28</v>
      </c>
      <c r="X471" s="21">
        <f>COUNTIF(Tabla1[[#This Row],[ENERO ]:[DICIEMBRE]],0)-(AS471)-IF(Tabla1[[#This Row],[BAJAS]]="BAJA",IF(Tabla1[[#This Row],[ALTAS]]="ALTA",VLOOKUP(Tabla1[[#This Row],[MES DE ALTA ]],$AW$6:$AX$17,2,FALSE),12)-VLOOKUP(Tabla1[[#This Row],[MES DE BAJA ]],$AW$6:$AX$17,2,FALSE),0)</f>
        <v>0</v>
      </c>
      <c r="Y471" s="68">
        <f>SUM(Tabla1[[#This Row],[MES ADEUDO DE AÑOS PASADOS ]:[MESES DE ADEUDO DEL AÑO EN CURSO ]])-Tabla1[[#This Row],[PAGO DE DEUDA ANTERIOR EN MESES]]</f>
        <v>28</v>
      </c>
      <c r="Z471" s="15">
        <f>Tabla1[[#This Row],[MES ADEUDO DE AÑOS PASADOS ]]*$T$2</f>
        <v>1260</v>
      </c>
      <c r="AA471" s="15">
        <f>Tabla1[[#This Row],[MESES DE ADEUDO DEL AÑO EN CURSO ]]*$T$2</f>
        <v>0</v>
      </c>
      <c r="AB471" s="69">
        <f>SUM(Tabla1[[#This Row],[DEUDA DE LOS MESES PASADOS EN $$]:[DEUDA DEL AÑO 2013 $$ ]])</f>
        <v>1260</v>
      </c>
      <c r="AD471">
        <f>Tabla1[[#This Row],[PAGO DE DEUDA ANTERIOR EN MESES]]*$T$2</f>
        <v>0</v>
      </c>
      <c r="AG471" s="100">
        <f>IF(Tabla1[[#This Row],[TIPO DE CONSUMIDOR]]="MEDIO",IF(Tabla1[[#This Row],[ENERO ]]&gt;22.5,Tabla1[[#This Row],[ENERO ]]/22.5-1,0),IF(Tabla1[[#This Row],[ENERO ]]&gt;45,Tabla1[[#This Row],[ENERO ]]/45-1,0))</f>
        <v>0</v>
      </c>
      <c r="AH47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1" s="100">
        <f>IF(Tabla1[[#This Row],[TIPO DE CONSUMIDOR]]="MEDIO",IF(Tabla1[[#This Row],[MARZO]]&gt;22.5,Tabla1[[#This Row],[MARZO]]/22.5-1,0),IF(Tabla1[[#This Row],[MARZO]]&gt;45,Tabla1[[#This Row],[MARZO]]/45-1,0))</f>
        <v>0</v>
      </c>
      <c r="AJ471" s="100">
        <f>IF(Tabla1[[#This Row],[TIPO DE CONSUMIDOR]]="MEDIO",IF(Tabla1[[#This Row],[ABRIL]]&gt;22.5,Tabla1[[#This Row],[ABRIL]]/22.5-1,0),IF(Tabla1[[#This Row],[ABRIL]]&gt;45,Tabla1[[#This Row],[ABRIL]]/45-1,0))</f>
        <v>0</v>
      </c>
      <c r="AK471" s="100">
        <f>IF(Tabla1[[#This Row],[TIPO DE CONSUMIDOR]]="MEDIO",IF(Tabla1[[#This Row],[MAYO ]]&gt;22.5,Tabla1[[#This Row],[MAYO ]]/22.5-1,0),IF(Tabla1[[#This Row],[MAYO ]]&gt;45,Tabla1[[#This Row],[MAYO ]]/45-1,0))</f>
        <v>0</v>
      </c>
      <c r="AL471" s="100">
        <f>IF(Tabla1[[#This Row],[TIPO DE CONSUMIDOR]]="MEDIO",IF(Tabla1[[#This Row],[JUNIO ]]&gt;22.5,Tabla1[[#This Row],[JUNIO ]]/22.5-1,0),IF(Tabla1[[#This Row],[JUNIO ]]&gt;45,Tabla1[[#This Row],[JUNIO ]]/45-1,0))</f>
        <v>0</v>
      </c>
      <c r="AM471" s="100">
        <f>IF(Tabla1[[#This Row],[TIPO DE CONSUMIDOR]]="MEDIO",IF(Tabla1[[#This Row],[JULIO ]]&gt;22.5,Tabla1[[#This Row],[JULIO ]]/22.5-1,0),IF(Tabla1[[#This Row],[JULIO ]]&gt;45,Tabla1[[#This Row],[JULIO ]]/45-1,0))</f>
        <v>0</v>
      </c>
      <c r="AN471" s="100">
        <f>IF(Tabla1[[#This Row],[TIPO DE CONSUMIDOR]]="MEDIO",IF(Tabla1[[#This Row],[AGOSTO]]&gt;22.5,Tabla1[[#This Row],[AGOSTO]]/22.5-1,0),IF(Tabla1[[#This Row],[AGOSTO]]&gt;45,Tabla1[[#This Row],[AGOSTO]]/45-1,0))</f>
        <v>0</v>
      </c>
      <c r="AO47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1" s="101">
        <f t="shared" si="15"/>
        <v>0</v>
      </c>
      <c r="AT471">
        <f>IF(Tabla1[[#This Row],[MES ADEUDO DE AÑOS PASADOS ]]&gt;0,1,0)</f>
        <v>1</v>
      </c>
      <c r="AU471" s="9">
        <f t="shared" si="16"/>
        <v>1</v>
      </c>
      <c r="AV471" s="60">
        <f>IF(Tabla1[[#This Row],[MESES DE ADEUDO DEL AÑO EN CURSO ]]&gt;0,1,0)</f>
        <v>0</v>
      </c>
      <c r="AW471" s="42"/>
      <c r="AX471" s="42"/>
      <c r="AY471" s="42"/>
      <c r="AZ471" s="43"/>
    </row>
    <row r="472" spans="1:52" ht="21.75" thickBot="1" x14ac:dyDescent="0.35">
      <c r="A472" s="106">
        <v>466</v>
      </c>
      <c r="B472" s="5" t="s">
        <v>567</v>
      </c>
      <c r="C472" s="2" t="s">
        <v>562</v>
      </c>
      <c r="D472" s="32"/>
      <c r="E472" s="35" t="s">
        <v>455</v>
      </c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24">
        <f>SUM(Tabla1[[#This Row],[ENERO ]:[DICIEMBRE]])</f>
        <v>0</v>
      </c>
      <c r="W472">
        <v>33</v>
      </c>
      <c r="X472" s="21">
        <f>COUNTIF(Tabla1[[#This Row],[ENERO ]:[DICIEMBRE]],0)-(AS472)-IF(Tabla1[[#This Row],[BAJAS]]="BAJA",IF(Tabla1[[#This Row],[ALTAS]]="ALTA",VLOOKUP(Tabla1[[#This Row],[MES DE ALTA ]],$AW$6:$AX$17,2,FALSE),12)-VLOOKUP(Tabla1[[#This Row],[MES DE BAJA ]],$AW$6:$AX$17,2,FALSE),0)</f>
        <v>0</v>
      </c>
      <c r="Y472" s="68">
        <f>SUM(Tabla1[[#This Row],[MES ADEUDO DE AÑOS PASADOS ]:[MESES DE ADEUDO DEL AÑO EN CURSO ]])-Tabla1[[#This Row],[PAGO DE DEUDA ANTERIOR EN MESES]]</f>
        <v>33</v>
      </c>
      <c r="Z472" s="15">
        <f>Tabla1[[#This Row],[MES ADEUDO DE AÑOS PASADOS ]]*$T$2</f>
        <v>1485</v>
      </c>
      <c r="AA472" s="15">
        <f>Tabla1[[#This Row],[MESES DE ADEUDO DEL AÑO EN CURSO ]]*$T$2</f>
        <v>0</v>
      </c>
      <c r="AB472" s="69">
        <f>SUM(Tabla1[[#This Row],[DEUDA DE LOS MESES PASADOS EN $$]:[DEUDA DEL AÑO 2013 $$ ]])</f>
        <v>1485</v>
      </c>
      <c r="AD472">
        <f>Tabla1[[#This Row],[PAGO DE DEUDA ANTERIOR EN MESES]]*$T$2</f>
        <v>0</v>
      </c>
      <c r="AG472" s="100">
        <f>IF(Tabla1[[#This Row],[TIPO DE CONSUMIDOR]]="MEDIO",IF(Tabla1[[#This Row],[ENERO ]]&gt;22.5,Tabla1[[#This Row],[ENERO ]]/22.5-1,0),IF(Tabla1[[#This Row],[ENERO ]]&gt;45,Tabla1[[#This Row],[ENERO ]]/45-1,0))</f>
        <v>0</v>
      </c>
      <c r="AH47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2" s="100">
        <f>IF(Tabla1[[#This Row],[TIPO DE CONSUMIDOR]]="MEDIO",IF(Tabla1[[#This Row],[MARZO]]&gt;22.5,Tabla1[[#This Row],[MARZO]]/22.5-1,0),IF(Tabla1[[#This Row],[MARZO]]&gt;45,Tabla1[[#This Row],[MARZO]]/45-1,0))</f>
        <v>0</v>
      </c>
      <c r="AJ472" s="100">
        <f>IF(Tabla1[[#This Row],[TIPO DE CONSUMIDOR]]="MEDIO",IF(Tabla1[[#This Row],[ABRIL]]&gt;22.5,Tabla1[[#This Row],[ABRIL]]/22.5-1,0),IF(Tabla1[[#This Row],[ABRIL]]&gt;45,Tabla1[[#This Row],[ABRIL]]/45-1,0))</f>
        <v>0</v>
      </c>
      <c r="AK472" s="100">
        <f>IF(Tabla1[[#This Row],[TIPO DE CONSUMIDOR]]="MEDIO",IF(Tabla1[[#This Row],[MAYO ]]&gt;22.5,Tabla1[[#This Row],[MAYO ]]/22.5-1,0),IF(Tabla1[[#This Row],[MAYO ]]&gt;45,Tabla1[[#This Row],[MAYO ]]/45-1,0))</f>
        <v>0</v>
      </c>
      <c r="AL472" s="100">
        <f>IF(Tabla1[[#This Row],[TIPO DE CONSUMIDOR]]="MEDIO",IF(Tabla1[[#This Row],[JUNIO ]]&gt;22.5,Tabla1[[#This Row],[JUNIO ]]/22.5-1,0),IF(Tabla1[[#This Row],[JUNIO ]]&gt;45,Tabla1[[#This Row],[JUNIO ]]/45-1,0))</f>
        <v>0</v>
      </c>
      <c r="AM472" s="100">
        <f>IF(Tabla1[[#This Row],[TIPO DE CONSUMIDOR]]="MEDIO",IF(Tabla1[[#This Row],[JULIO ]]&gt;22.5,Tabla1[[#This Row],[JULIO ]]/22.5-1,0),IF(Tabla1[[#This Row],[JULIO ]]&gt;45,Tabla1[[#This Row],[JULIO ]]/45-1,0))</f>
        <v>0</v>
      </c>
      <c r="AN472" s="100">
        <f>IF(Tabla1[[#This Row],[TIPO DE CONSUMIDOR]]="MEDIO",IF(Tabla1[[#This Row],[AGOSTO]]&gt;22.5,Tabla1[[#This Row],[AGOSTO]]/22.5-1,0),IF(Tabla1[[#This Row],[AGOSTO]]&gt;45,Tabla1[[#This Row],[AGOSTO]]/45-1,0))</f>
        <v>0</v>
      </c>
      <c r="AO47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2" s="101">
        <f t="shared" si="15"/>
        <v>0</v>
      </c>
      <c r="AT472">
        <f>IF(Tabla1[[#This Row],[MES ADEUDO DE AÑOS PASADOS ]]&gt;0,1,0)</f>
        <v>1</v>
      </c>
      <c r="AU472" s="9">
        <f t="shared" si="16"/>
        <v>1</v>
      </c>
      <c r="AV472" s="60">
        <f>IF(Tabla1[[#This Row],[MESES DE ADEUDO DEL AÑO EN CURSO ]]&gt;0,1,0)</f>
        <v>0</v>
      </c>
      <c r="AW472" s="42"/>
      <c r="AX472" s="42"/>
      <c r="AY472" s="42"/>
      <c r="AZ472" s="43"/>
    </row>
    <row r="473" spans="1:52" ht="21.75" thickBot="1" x14ac:dyDescent="0.35">
      <c r="A473" s="106">
        <v>467</v>
      </c>
      <c r="B473" s="5" t="s">
        <v>565</v>
      </c>
      <c r="C473" s="2" t="s">
        <v>562</v>
      </c>
      <c r="D473" s="32"/>
      <c r="E473" s="35" t="s">
        <v>455</v>
      </c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24">
        <f>SUM(Tabla1[[#This Row],[ENERO ]:[DICIEMBRE]])</f>
        <v>0</v>
      </c>
      <c r="W473">
        <v>45</v>
      </c>
      <c r="X473" s="21">
        <f>COUNTIF(Tabla1[[#This Row],[ENERO ]:[DICIEMBRE]],0)-(AS473)-IF(Tabla1[[#This Row],[BAJAS]]="BAJA",IF(Tabla1[[#This Row],[ALTAS]]="ALTA",VLOOKUP(Tabla1[[#This Row],[MES DE ALTA ]],$AW$6:$AX$17,2,FALSE),12)-VLOOKUP(Tabla1[[#This Row],[MES DE BAJA ]],$AW$6:$AX$17,2,FALSE),0)</f>
        <v>0</v>
      </c>
      <c r="Y473" s="68">
        <f>SUM(Tabla1[[#This Row],[MES ADEUDO DE AÑOS PASADOS ]:[MESES DE ADEUDO DEL AÑO EN CURSO ]])-Tabla1[[#This Row],[PAGO DE DEUDA ANTERIOR EN MESES]]</f>
        <v>45</v>
      </c>
      <c r="Z473" s="15">
        <f>Tabla1[[#This Row],[MES ADEUDO DE AÑOS PASADOS ]]*$T$2</f>
        <v>2025</v>
      </c>
      <c r="AA473" s="15">
        <f>Tabla1[[#This Row],[MESES DE ADEUDO DEL AÑO EN CURSO ]]*$T$2</f>
        <v>0</v>
      </c>
      <c r="AB473" s="69">
        <f>SUM(Tabla1[[#This Row],[DEUDA DE LOS MESES PASADOS EN $$]:[DEUDA DEL AÑO 2013 $$ ]])</f>
        <v>2025</v>
      </c>
      <c r="AD473">
        <f>Tabla1[[#This Row],[PAGO DE DEUDA ANTERIOR EN MESES]]*$T$2</f>
        <v>0</v>
      </c>
      <c r="AG473" s="100">
        <f>IF(Tabla1[[#This Row],[TIPO DE CONSUMIDOR]]="MEDIO",IF(Tabla1[[#This Row],[ENERO ]]&gt;22.5,Tabla1[[#This Row],[ENERO ]]/22.5-1,0),IF(Tabla1[[#This Row],[ENERO ]]&gt;45,Tabla1[[#This Row],[ENERO ]]/45-1,0))</f>
        <v>0</v>
      </c>
      <c r="AH47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3" s="100">
        <f>IF(Tabla1[[#This Row],[TIPO DE CONSUMIDOR]]="MEDIO",IF(Tabla1[[#This Row],[MARZO]]&gt;22.5,Tabla1[[#This Row],[MARZO]]/22.5-1,0),IF(Tabla1[[#This Row],[MARZO]]&gt;45,Tabla1[[#This Row],[MARZO]]/45-1,0))</f>
        <v>0</v>
      </c>
      <c r="AJ473" s="100">
        <f>IF(Tabla1[[#This Row],[TIPO DE CONSUMIDOR]]="MEDIO",IF(Tabla1[[#This Row],[ABRIL]]&gt;22.5,Tabla1[[#This Row],[ABRIL]]/22.5-1,0),IF(Tabla1[[#This Row],[ABRIL]]&gt;45,Tabla1[[#This Row],[ABRIL]]/45-1,0))</f>
        <v>0</v>
      </c>
      <c r="AK473" s="100">
        <f>IF(Tabla1[[#This Row],[TIPO DE CONSUMIDOR]]="MEDIO",IF(Tabla1[[#This Row],[MAYO ]]&gt;22.5,Tabla1[[#This Row],[MAYO ]]/22.5-1,0),IF(Tabla1[[#This Row],[MAYO ]]&gt;45,Tabla1[[#This Row],[MAYO ]]/45-1,0))</f>
        <v>0</v>
      </c>
      <c r="AL473" s="100">
        <f>IF(Tabla1[[#This Row],[TIPO DE CONSUMIDOR]]="MEDIO",IF(Tabla1[[#This Row],[JUNIO ]]&gt;22.5,Tabla1[[#This Row],[JUNIO ]]/22.5-1,0),IF(Tabla1[[#This Row],[JUNIO ]]&gt;45,Tabla1[[#This Row],[JUNIO ]]/45-1,0))</f>
        <v>0</v>
      </c>
      <c r="AM473" s="100">
        <f>IF(Tabla1[[#This Row],[TIPO DE CONSUMIDOR]]="MEDIO",IF(Tabla1[[#This Row],[JULIO ]]&gt;22.5,Tabla1[[#This Row],[JULIO ]]/22.5-1,0),IF(Tabla1[[#This Row],[JULIO ]]&gt;45,Tabla1[[#This Row],[JULIO ]]/45-1,0))</f>
        <v>0</v>
      </c>
      <c r="AN473" s="100">
        <f>IF(Tabla1[[#This Row],[TIPO DE CONSUMIDOR]]="MEDIO",IF(Tabla1[[#This Row],[AGOSTO]]&gt;22.5,Tabla1[[#This Row],[AGOSTO]]/22.5-1,0),IF(Tabla1[[#This Row],[AGOSTO]]&gt;45,Tabla1[[#This Row],[AGOSTO]]/45-1,0))</f>
        <v>0</v>
      </c>
      <c r="AO47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3" s="101">
        <f t="shared" si="15"/>
        <v>0</v>
      </c>
      <c r="AT473">
        <f>IF(Tabla1[[#This Row],[MES ADEUDO DE AÑOS PASADOS ]]&gt;0,1,0)</f>
        <v>1</v>
      </c>
      <c r="AU473" s="9">
        <f t="shared" si="16"/>
        <v>1</v>
      </c>
      <c r="AV473" s="60">
        <f>IF(Tabla1[[#This Row],[MESES DE ADEUDO DEL AÑO EN CURSO ]]&gt;0,1,0)</f>
        <v>0</v>
      </c>
      <c r="AW473" s="42"/>
      <c r="AX473" s="42"/>
      <c r="AY473" s="42"/>
      <c r="AZ473" s="43"/>
    </row>
    <row r="474" spans="1:52" ht="21.75" thickBot="1" x14ac:dyDescent="0.35">
      <c r="A474" s="106">
        <v>468</v>
      </c>
      <c r="B474" s="5" t="s">
        <v>146</v>
      </c>
      <c r="C474" s="2" t="s">
        <v>569</v>
      </c>
      <c r="D474" s="32"/>
      <c r="E474" s="35" t="s">
        <v>455</v>
      </c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24">
        <f>SUM(Tabla1[[#This Row],[ENERO ]:[DICIEMBRE]])</f>
        <v>0</v>
      </c>
      <c r="W474">
        <v>0</v>
      </c>
      <c r="X474" s="21">
        <f>COUNTIF(Tabla1[[#This Row],[ENERO ]:[DICIEMBRE]],0)-(AS474)-IF(Tabla1[[#This Row],[BAJAS]]="BAJA",IF(Tabla1[[#This Row],[ALTAS]]="ALTA",VLOOKUP(Tabla1[[#This Row],[MES DE ALTA ]],$AW$6:$AX$17,2,FALSE),12)-VLOOKUP(Tabla1[[#This Row],[MES DE BAJA ]],$AW$6:$AX$17,2,FALSE),0)</f>
        <v>0</v>
      </c>
      <c r="Y474" s="68">
        <f>SUM(Tabla1[[#This Row],[MES ADEUDO DE AÑOS PASADOS ]:[MESES DE ADEUDO DEL AÑO EN CURSO ]])-Tabla1[[#This Row],[PAGO DE DEUDA ANTERIOR EN MESES]]</f>
        <v>0</v>
      </c>
      <c r="Z474" s="15">
        <f>Tabla1[[#This Row],[MES ADEUDO DE AÑOS PASADOS ]]*$T$2</f>
        <v>0</v>
      </c>
      <c r="AA474" s="15">
        <f>Tabla1[[#This Row],[MESES DE ADEUDO DEL AÑO EN CURSO ]]*$T$2</f>
        <v>0</v>
      </c>
      <c r="AB474" s="69">
        <f>SUM(Tabla1[[#This Row],[DEUDA DE LOS MESES PASADOS EN $$]:[DEUDA DEL AÑO 2013 $$ ]])</f>
        <v>0</v>
      </c>
      <c r="AD474">
        <f>Tabla1[[#This Row],[PAGO DE DEUDA ANTERIOR EN MESES]]*$T$2</f>
        <v>0</v>
      </c>
      <c r="AG474" s="100">
        <f>IF(Tabla1[[#This Row],[TIPO DE CONSUMIDOR]]="MEDIO",IF(Tabla1[[#This Row],[ENERO ]]&gt;22.5,Tabla1[[#This Row],[ENERO ]]/22.5-1,0),IF(Tabla1[[#This Row],[ENERO ]]&gt;45,Tabla1[[#This Row],[ENERO ]]/45-1,0))</f>
        <v>0</v>
      </c>
      <c r="AH47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4" s="100">
        <f>IF(Tabla1[[#This Row],[TIPO DE CONSUMIDOR]]="MEDIO",IF(Tabla1[[#This Row],[MARZO]]&gt;22.5,Tabla1[[#This Row],[MARZO]]/22.5-1,0),IF(Tabla1[[#This Row],[MARZO]]&gt;45,Tabla1[[#This Row],[MARZO]]/45-1,0))</f>
        <v>0</v>
      </c>
      <c r="AJ474" s="100">
        <f>IF(Tabla1[[#This Row],[TIPO DE CONSUMIDOR]]="MEDIO",IF(Tabla1[[#This Row],[ABRIL]]&gt;22.5,Tabla1[[#This Row],[ABRIL]]/22.5-1,0),IF(Tabla1[[#This Row],[ABRIL]]&gt;45,Tabla1[[#This Row],[ABRIL]]/45-1,0))</f>
        <v>0</v>
      </c>
      <c r="AK474" s="100">
        <f>IF(Tabla1[[#This Row],[TIPO DE CONSUMIDOR]]="MEDIO",IF(Tabla1[[#This Row],[MAYO ]]&gt;22.5,Tabla1[[#This Row],[MAYO ]]/22.5-1,0),IF(Tabla1[[#This Row],[MAYO ]]&gt;45,Tabla1[[#This Row],[MAYO ]]/45-1,0))</f>
        <v>0</v>
      </c>
      <c r="AL474" s="100">
        <f>IF(Tabla1[[#This Row],[TIPO DE CONSUMIDOR]]="MEDIO",IF(Tabla1[[#This Row],[JUNIO ]]&gt;22.5,Tabla1[[#This Row],[JUNIO ]]/22.5-1,0),IF(Tabla1[[#This Row],[JUNIO ]]&gt;45,Tabla1[[#This Row],[JUNIO ]]/45-1,0))</f>
        <v>0</v>
      </c>
      <c r="AM474" s="100">
        <f>IF(Tabla1[[#This Row],[TIPO DE CONSUMIDOR]]="MEDIO",IF(Tabla1[[#This Row],[JULIO ]]&gt;22.5,Tabla1[[#This Row],[JULIO ]]/22.5-1,0),IF(Tabla1[[#This Row],[JULIO ]]&gt;45,Tabla1[[#This Row],[JULIO ]]/45-1,0))</f>
        <v>0</v>
      </c>
      <c r="AN474" s="100">
        <f>IF(Tabla1[[#This Row],[TIPO DE CONSUMIDOR]]="MEDIO",IF(Tabla1[[#This Row],[AGOSTO]]&gt;22.5,Tabla1[[#This Row],[AGOSTO]]/22.5-1,0),IF(Tabla1[[#This Row],[AGOSTO]]&gt;45,Tabla1[[#This Row],[AGOSTO]]/45-1,0))</f>
        <v>0</v>
      </c>
      <c r="AO47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4" s="101">
        <f t="shared" si="15"/>
        <v>0</v>
      </c>
      <c r="AT474">
        <f>IF(Tabla1[[#This Row],[MES ADEUDO DE AÑOS PASADOS ]]&gt;0,1,0)</f>
        <v>0</v>
      </c>
      <c r="AU474" s="9">
        <f t="shared" si="16"/>
        <v>0</v>
      </c>
      <c r="AV474" s="60">
        <f>IF(Tabla1[[#This Row],[MESES DE ADEUDO DEL AÑO EN CURSO ]]&gt;0,1,0)</f>
        <v>0</v>
      </c>
      <c r="AW474" s="42"/>
      <c r="AX474" s="42"/>
      <c r="AY474" s="42"/>
      <c r="AZ474" s="43"/>
    </row>
    <row r="475" spans="1:52" ht="21.75" thickBot="1" x14ac:dyDescent="0.35">
      <c r="A475" s="106">
        <v>469</v>
      </c>
      <c r="B475" s="5" t="s">
        <v>159</v>
      </c>
      <c r="C475" s="2" t="s">
        <v>569</v>
      </c>
      <c r="D475" s="32"/>
      <c r="E475" s="35" t="s">
        <v>489</v>
      </c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24">
        <f>SUM(Tabla1[[#This Row],[ENERO ]:[DICIEMBRE]])</f>
        <v>0</v>
      </c>
      <c r="W475">
        <v>0</v>
      </c>
      <c r="X475" s="21">
        <f>COUNTIF(Tabla1[[#This Row],[ENERO ]:[DICIEMBRE]],0)-(AS475)-IF(Tabla1[[#This Row],[BAJAS]]="BAJA",IF(Tabla1[[#This Row],[ALTAS]]="ALTA",VLOOKUP(Tabla1[[#This Row],[MES DE ALTA ]],$AW$6:$AX$17,2,FALSE),12)-VLOOKUP(Tabla1[[#This Row],[MES DE BAJA ]],$AW$6:$AX$17,2,FALSE),0)</f>
        <v>0</v>
      </c>
      <c r="Y475" s="68">
        <f>SUM(Tabla1[[#This Row],[MES ADEUDO DE AÑOS PASADOS ]:[MESES DE ADEUDO DEL AÑO EN CURSO ]])-Tabla1[[#This Row],[PAGO DE DEUDA ANTERIOR EN MESES]]</f>
        <v>0</v>
      </c>
      <c r="Z475" s="15">
        <f>Tabla1[[#This Row],[MES ADEUDO DE AÑOS PASADOS ]]*$T$2</f>
        <v>0</v>
      </c>
      <c r="AA475" s="15">
        <f>Tabla1[[#This Row],[MESES DE ADEUDO DEL AÑO EN CURSO ]]*$T$2</f>
        <v>0</v>
      </c>
      <c r="AB475" s="69">
        <f>SUM(Tabla1[[#This Row],[DEUDA DE LOS MESES PASADOS EN $$]:[DEUDA DEL AÑO 2013 $$ ]])</f>
        <v>0</v>
      </c>
      <c r="AD475">
        <f>Tabla1[[#This Row],[PAGO DE DEUDA ANTERIOR EN MESES]]*$T$2</f>
        <v>0</v>
      </c>
      <c r="AG475" s="100">
        <f>IF(Tabla1[[#This Row],[TIPO DE CONSUMIDOR]]="MEDIO",IF(Tabla1[[#This Row],[ENERO ]]&gt;22.5,Tabla1[[#This Row],[ENERO ]]/22.5-1,0),IF(Tabla1[[#This Row],[ENERO ]]&gt;45,Tabla1[[#This Row],[ENERO ]]/45-1,0))</f>
        <v>0</v>
      </c>
      <c r="AH47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5" s="100">
        <f>IF(Tabla1[[#This Row],[TIPO DE CONSUMIDOR]]="MEDIO",IF(Tabla1[[#This Row],[MARZO]]&gt;22.5,Tabla1[[#This Row],[MARZO]]/22.5-1,0),IF(Tabla1[[#This Row],[MARZO]]&gt;45,Tabla1[[#This Row],[MARZO]]/45-1,0))</f>
        <v>0</v>
      </c>
      <c r="AJ475" s="100">
        <f>IF(Tabla1[[#This Row],[TIPO DE CONSUMIDOR]]="MEDIO",IF(Tabla1[[#This Row],[ABRIL]]&gt;22.5,Tabla1[[#This Row],[ABRIL]]/22.5-1,0),IF(Tabla1[[#This Row],[ABRIL]]&gt;45,Tabla1[[#This Row],[ABRIL]]/45-1,0))</f>
        <v>0</v>
      </c>
      <c r="AK475" s="100">
        <f>IF(Tabla1[[#This Row],[TIPO DE CONSUMIDOR]]="MEDIO",IF(Tabla1[[#This Row],[MAYO ]]&gt;22.5,Tabla1[[#This Row],[MAYO ]]/22.5-1,0),IF(Tabla1[[#This Row],[MAYO ]]&gt;45,Tabla1[[#This Row],[MAYO ]]/45-1,0))</f>
        <v>0</v>
      </c>
      <c r="AL475" s="100">
        <f>IF(Tabla1[[#This Row],[TIPO DE CONSUMIDOR]]="MEDIO",IF(Tabla1[[#This Row],[JUNIO ]]&gt;22.5,Tabla1[[#This Row],[JUNIO ]]/22.5-1,0),IF(Tabla1[[#This Row],[JUNIO ]]&gt;45,Tabla1[[#This Row],[JUNIO ]]/45-1,0))</f>
        <v>0</v>
      </c>
      <c r="AM475" s="100">
        <f>IF(Tabla1[[#This Row],[TIPO DE CONSUMIDOR]]="MEDIO",IF(Tabla1[[#This Row],[JULIO ]]&gt;22.5,Tabla1[[#This Row],[JULIO ]]/22.5-1,0),IF(Tabla1[[#This Row],[JULIO ]]&gt;45,Tabla1[[#This Row],[JULIO ]]/45-1,0))</f>
        <v>0</v>
      </c>
      <c r="AN475" s="100">
        <f>IF(Tabla1[[#This Row],[TIPO DE CONSUMIDOR]]="MEDIO",IF(Tabla1[[#This Row],[AGOSTO]]&gt;22.5,Tabla1[[#This Row],[AGOSTO]]/22.5-1,0),IF(Tabla1[[#This Row],[AGOSTO]]&gt;45,Tabla1[[#This Row],[AGOSTO]]/45-1,0))</f>
        <v>0</v>
      </c>
      <c r="AO47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5" s="101">
        <f t="shared" si="15"/>
        <v>0</v>
      </c>
      <c r="AT475">
        <f>IF(Tabla1[[#This Row],[MES ADEUDO DE AÑOS PASADOS ]]&gt;0,1,0)</f>
        <v>0</v>
      </c>
      <c r="AU475" s="9">
        <f t="shared" si="16"/>
        <v>0</v>
      </c>
      <c r="AV475" s="60">
        <f>IF(Tabla1[[#This Row],[MESES DE ADEUDO DEL AÑO EN CURSO ]]&gt;0,1,0)</f>
        <v>0</v>
      </c>
      <c r="AW475" s="42"/>
      <c r="AX475" s="42"/>
      <c r="AY475" s="42"/>
      <c r="AZ475" s="43"/>
    </row>
    <row r="476" spans="1:52" ht="21.75" thickBot="1" x14ac:dyDescent="0.35">
      <c r="A476" s="106">
        <v>470</v>
      </c>
      <c r="B476" s="5" t="s">
        <v>343</v>
      </c>
      <c r="C476" s="2" t="s">
        <v>569</v>
      </c>
      <c r="D476" s="32"/>
      <c r="E476" s="35" t="s">
        <v>489</v>
      </c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24">
        <f>SUM(Tabla1[[#This Row],[ENERO ]:[DICIEMBRE]])</f>
        <v>0</v>
      </c>
      <c r="W476">
        <v>0</v>
      </c>
      <c r="X476" s="21">
        <f>COUNTIF(Tabla1[[#This Row],[ENERO ]:[DICIEMBRE]],0)-(AS476)-IF(Tabla1[[#This Row],[BAJAS]]="BAJA",IF(Tabla1[[#This Row],[ALTAS]]="ALTA",VLOOKUP(Tabla1[[#This Row],[MES DE ALTA ]],$AW$6:$AX$17,2,FALSE),12)-VLOOKUP(Tabla1[[#This Row],[MES DE BAJA ]],$AW$6:$AX$17,2,FALSE),0)</f>
        <v>0</v>
      </c>
      <c r="Y476" s="68">
        <f>SUM(Tabla1[[#This Row],[MES ADEUDO DE AÑOS PASADOS ]:[MESES DE ADEUDO DEL AÑO EN CURSO ]])-Tabla1[[#This Row],[PAGO DE DEUDA ANTERIOR EN MESES]]</f>
        <v>0</v>
      </c>
      <c r="Z476" s="15">
        <f>Tabla1[[#This Row],[MES ADEUDO DE AÑOS PASADOS ]]*$T$2</f>
        <v>0</v>
      </c>
      <c r="AA476" s="15">
        <f>Tabla1[[#This Row],[MESES DE ADEUDO DEL AÑO EN CURSO ]]*$T$2</f>
        <v>0</v>
      </c>
      <c r="AB476" s="69">
        <f>SUM(Tabla1[[#This Row],[DEUDA DE LOS MESES PASADOS EN $$]:[DEUDA DEL AÑO 2013 $$ ]])</f>
        <v>0</v>
      </c>
      <c r="AD476">
        <f>Tabla1[[#This Row],[PAGO DE DEUDA ANTERIOR EN MESES]]*$T$2</f>
        <v>0</v>
      </c>
      <c r="AG476" s="100">
        <f>IF(Tabla1[[#This Row],[TIPO DE CONSUMIDOR]]="MEDIO",IF(Tabla1[[#This Row],[ENERO ]]&gt;22.5,Tabla1[[#This Row],[ENERO ]]/22.5-1,0),IF(Tabla1[[#This Row],[ENERO ]]&gt;45,Tabla1[[#This Row],[ENERO ]]/45-1,0))</f>
        <v>0</v>
      </c>
      <c r="AH47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6" s="100">
        <f>IF(Tabla1[[#This Row],[TIPO DE CONSUMIDOR]]="MEDIO",IF(Tabla1[[#This Row],[MARZO]]&gt;22.5,Tabla1[[#This Row],[MARZO]]/22.5-1,0),IF(Tabla1[[#This Row],[MARZO]]&gt;45,Tabla1[[#This Row],[MARZO]]/45-1,0))</f>
        <v>0</v>
      </c>
      <c r="AJ476" s="100">
        <f>IF(Tabla1[[#This Row],[TIPO DE CONSUMIDOR]]="MEDIO",IF(Tabla1[[#This Row],[ABRIL]]&gt;22.5,Tabla1[[#This Row],[ABRIL]]/22.5-1,0),IF(Tabla1[[#This Row],[ABRIL]]&gt;45,Tabla1[[#This Row],[ABRIL]]/45-1,0))</f>
        <v>0</v>
      </c>
      <c r="AK476" s="100">
        <f>IF(Tabla1[[#This Row],[TIPO DE CONSUMIDOR]]="MEDIO",IF(Tabla1[[#This Row],[MAYO ]]&gt;22.5,Tabla1[[#This Row],[MAYO ]]/22.5-1,0),IF(Tabla1[[#This Row],[MAYO ]]&gt;45,Tabla1[[#This Row],[MAYO ]]/45-1,0))</f>
        <v>0</v>
      </c>
      <c r="AL476" s="100">
        <f>IF(Tabla1[[#This Row],[TIPO DE CONSUMIDOR]]="MEDIO",IF(Tabla1[[#This Row],[JUNIO ]]&gt;22.5,Tabla1[[#This Row],[JUNIO ]]/22.5-1,0),IF(Tabla1[[#This Row],[JUNIO ]]&gt;45,Tabla1[[#This Row],[JUNIO ]]/45-1,0))</f>
        <v>0</v>
      </c>
      <c r="AM476" s="100">
        <f>IF(Tabla1[[#This Row],[TIPO DE CONSUMIDOR]]="MEDIO",IF(Tabla1[[#This Row],[JULIO ]]&gt;22.5,Tabla1[[#This Row],[JULIO ]]/22.5-1,0),IF(Tabla1[[#This Row],[JULIO ]]&gt;45,Tabla1[[#This Row],[JULIO ]]/45-1,0))</f>
        <v>0</v>
      </c>
      <c r="AN476" s="100">
        <f>IF(Tabla1[[#This Row],[TIPO DE CONSUMIDOR]]="MEDIO",IF(Tabla1[[#This Row],[AGOSTO]]&gt;22.5,Tabla1[[#This Row],[AGOSTO]]/22.5-1,0),IF(Tabla1[[#This Row],[AGOSTO]]&gt;45,Tabla1[[#This Row],[AGOSTO]]/45-1,0))</f>
        <v>0</v>
      </c>
      <c r="AO47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6" s="101">
        <f t="shared" si="15"/>
        <v>0</v>
      </c>
      <c r="AT476">
        <f>IF(Tabla1[[#This Row],[MES ADEUDO DE AÑOS PASADOS ]]&gt;0,1,0)</f>
        <v>0</v>
      </c>
      <c r="AU476" s="9">
        <f t="shared" si="16"/>
        <v>0</v>
      </c>
      <c r="AV476" s="60">
        <f>IF(Tabla1[[#This Row],[MESES DE ADEUDO DEL AÑO EN CURSO ]]&gt;0,1,0)</f>
        <v>0</v>
      </c>
      <c r="AW476" s="42"/>
      <c r="AX476" s="42"/>
      <c r="AY476" s="42"/>
      <c r="AZ476" s="43"/>
    </row>
    <row r="477" spans="1:52" ht="21.75" thickBot="1" x14ac:dyDescent="0.35">
      <c r="A477" s="106">
        <v>471</v>
      </c>
      <c r="B477" s="5" t="s">
        <v>364</v>
      </c>
      <c r="C477" s="2" t="s">
        <v>569</v>
      </c>
      <c r="D477" s="32"/>
      <c r="E477" s="35" t="s">
        <v>455</v>
      </c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24">
        <f>SUM(Tabla1[[#This Row],[ENERO ]:[DICIEMBRE]])</f>
        <v>0</v>
      </c>
      <c r="W477">
        <v>3</v>
      </c>
      <c r="X477" s="21">
        <f>COUNTIF(Tabla1[[#This Row],[ENERO ]:[DICIEMBRE]],0)-(AS477)-IF(Tabla1[[#This Row],[BAJAS]]="BAJA",IF(Tabla1[[#This Row],[ALTAS]]="ALTA",VLOOKUP(Tabla1[[#This Row],[MES DE ALTA ]],$AW$6:$AX$17,2,FALSE),12)-VLOOKUP(Tabla1[[#This Row],[MES DE BAJA ]],$AW$6:$AX$17,2,FALSE),0)</f>
        <v>0</v>
      </c>
      <c r="Y477" s="68">
        <f>SUM(Tabla1[[#This Row],[MES ADEUDO DE AÑOS PASADOS ]:[MESES DE ADEUDO DEL AÑO EN CURSO ]])-Tabla1[[#This Row],[PAGO DE DEUDA ANTERIOR EN MESES]]</f>
        <v>3</v>
      </c>
      <c r="Z477" s="15">
        <f>Tabla1[[#This Row],[MES ADEUDO DE AÑOS PASADOS ]]*$T$2</f>
        <v>135</v>
      </c>
      <c r="AA477" s="15">
        <f>Tabla1[[#This Row],[MESES DE ADEUDO DEL AÑO EN CURSO ]]*$T$2</f>
        <v>0</v>
      </c>
      <c r="AB477" s="69">
        <f>SUM(Tabla1[[#This Row],[DEUDA DE LOS MESES PASADOS EN $$]:[DEUDA DEL AÑO 2013 $$ ]])</f>
        <v>135</v>
      </c>
      <c r="AD477">
        <f>Tabla1[[#This Row],[PAGO DE DEUDA ANTERIOR EN MESES]]*$T$2</f>
        <v>0</v>
      </c>
      <c r="AG477" s="100">
        <f>IF(Tabla1[[#This Row],[TIPO DE CONSUMIDOR]]="MEDIO",IF(Tabla1[[#This Row],[ENERO ]]&gt;22.5,Tabla1[[#This Row],[ENERO ]]/22.5-1,0),IF(Tabla1[[#This Row],[ENERO ]]&gt;45,Tabla1[[#This Row],[ENERO ]]/45-1,0))</f>
        <v>0</v>
      </c>
      <c r="AH47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7" s="100">
        <f>IF(Tabla1[[#This Row],[TIPO DE CONSUMIDOR]]="MEDIO",IF(Tabla1[[#This Row],[MARZO]]&gt;22.5,Tabla1[[#This Row],[MARZO]]/22.5-1,0),IF(Tabla1[[#This Row],[MARZO]]&gt;45,Tabla1[[#This Row],[MARZO]]/45-1,0))</f>
        <v>0</v>
      </c>
      <c r="AJ477" s="100">
        <f>IF(Tabla1[[#This Row],[TIPO DE CONSUMIDOR]]="MEDIO",IF(Tabla1[[#This Row],[ABRIL]]&gt;22.5,Tabla1[[#This Row],[ABRIL]]/22.5-1,0),IF(Tabla1[[#This Row],[ABRIL]]&gt;45,Tabla1[[#This Row],[ABRIL]]/45-1,0))</f>
        <v>0</v>
      </c>
      <c r="AK477" s="100">
        <f>IF(Tabla1[[#This Row],[TIPO DE CONSUMIDOR]]="MEDIO",IF(Tabla1[[#This Row],[MAYO ]]&gt;22.5,Tabla1[[#This Row],[MAYO ]]/22.5-1,0),IF(Tabla1[[#This Row],[MAYO ]]&gt;45,Tabla1[[#This Row],[MAYO ]]/45-1,0))</f>
        <v>0</v>
      </c>
      <c r="AL477" s="100">
        <f>IF(Tabla1[[#This Row],[TIPO DE CONSUMIDOR]]="MEDIO",IF(Tabla1[[#This Row],[JUNIO ]]&gt;22.5,Tabla1[[#This Row],[JUNIO ]]/22.5-1,0),IF(Tabla1[[#This Row],[JUNIO ]]&gt;45,Tabla1[[#This Row],[JUNIO ]]/45-1,0))</f>
        <v>0</v>
      </c>
      <c r="AM477" s="100">
        <f>IF(Tabla1[[#This Row],[TIPO DE CONSUMIDOR]]="MEDIO",IF(Tabla1[[#This Row],[JULIO ]]&gt;22.5,Tabla1[[#This Row],[JULIO ]]/22.5-1,0),IF(Tabla1[[#This Row],[JULIO ]]&gt;45,Tabla1[[#This Row],[JULIO ]]/45-1,0))</f>
        <v>0</v>
      </c>
      <c r="AN477" s="100">
        <f>IF(Tabla1[[#This Row],[TIPO DE CONSUMIDOR]]="MEDIO",IF(Tabla1[[#This Row],[AGOSTO]]&gt;22.5,Tabla1[[#This Row],[AGOSTO]]/22.5-1,0),IF(Tabla1[[#This Row],[AGOSTO]]&gt;45,Tabla1[[#This Row],[AGOSTO]]/45-1,0))</f>
        <v>0</v>
      </c>
      <c r="AO47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7" s="101">
        <f t="shared" si="15"/>
        <v>0</v>
      </c>
      <c r="AT477">
        <f>IF(Tabla1[[#This Row],[MES ADEUDO DE AÑOS PASADOS ]]&gt;0,1,0)</f>
        <v>1</v>
      </c>
      <c r="AU477" s="9">
        <f t="shared" si="16"/>
        <v>1</v>
      </c>
      <c r="AV477" s="60">
        <f>IF(Tabla1[[#This Row],[MESES DE ADEUDO DEL AÑO EN CURSO ]]&gt;0,1,0)</f>
        <v>0</v>
      </c>
      <c r="AW477" s="42"/>
      <c r="AX477" s="42"/>
      <c r="AY477" s="42"/>
      <c r="AZ477" s="43"/>
    </row>
    <row r="478" spans="1:52" ht="21.75" thickBot="1" x14ac:dyDescent="0.35">
      <c r="A478" s="106">
        <v>472</v>
      </c>
      <c r="B478" s="5" t="s">
        <v>354</v>
      </c>
      <c r="C478" s="2" t="s">
        <v>569</v>
      </c>
      <c r="D478" s="32"/>
      <c r="E478" s="35" t="s">
        <v>455</v>
      </c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58">
        <f>SUM(Tabla1[[#This Row],[ENERO ]:[DICIEMBRE]])</f>
        <v>0</v>
      </c>
      <c r="W478">
        <v>4</v>
      </c>
      <c r="X478" s="21">
        <f>COUNTIF(Tabla1[[#This Row],[ENERO ]:[DICIEMBRE]],0)-(AS478)-IF(Tabla1[[#This Row],[BAJAS]]="BAJA",IF(Tabla1[[#This Row],[ALTAS]]="ALTA",VLOOKUP(Tabla1[[#This Row],[MES DE ALTA ]],$AW$6:$AX$17,2,FALSE),12)-VLOOKUP(Tabla1[[#This Row],[MES DE BAJA ]],$AW$6:$AX$17,2,FALSE),0)</f>
        <v>0</v>
      </c>
      <c r="Y478" s="68">
        <f>SUM(Tabla1[[#This Row],[MES ADEUDO DE AÑOS PASADOS ]:[MESES DE ADEUDO DEL AÑO EN CURSO ]])-Tabla1[[#This Row],[PAGO DE DEUDA ANTERIOR EN MESES]]</f>
        <v>4</v>
      </c>
      <c r="Z478" s="15">
        <f>Tabla1[[#This Row],[MES ADEUDO DE AÑOS PASADOS ]]*$T$2</f>
        <v>180</v>
      </c>
      <c r="AA478" s="15">
        <f>Tabla1[[#This Row],[MESES DE ADEUDO DEL AÑO EN CURSO ]]*$T$2</f>
        <v>0</v>
      </c>
      <c r="AB478" s="69">
        <f>SUM(Tabla1[[#This Row],[DEUDA DE LOS MESES PASADOS EN $$]:[DEUDA DEL AÑO 2013 $$ ]])</f>
        <v>180</v>
      </c>
      <c r="AD478">
        <f>Tabla1[[#This Row],[PAGO DE DEUDA ANTERIOR EN MESES]]*$T$2</f>
        <v>0</v>
      </c>
      <c r="AG478" s="100">
        <f>IF(Tabla1[[#This Row],[TIPO DE CONSUMIDOR]]="MEDIO",IF(Tabla1[[#This Row],[ENERO ]]&gt;22.5,Tabla1[[#This Row],[ENERO ]]/22.5-1,0),IF(Tabla1[[#This Row],[ENERO ]]&gt;45,Tabla1[[#This Row],[ENERO ]]/45-1,0))</f>
        <v>0</v>
      </c>
      <c r="AH47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8" s="100">
        <f>IF(Tabla1[[#This Row],[TIPO DE CONSUMIDOR]]="MEDIO",IF(Tabla1[[#This Row],[MARZO]]&gt;22.5,Tabla1[[#This Row],[MARZO]]/22.5-1,0),IF(Tabla1[[#This Row],[MARZO]]&gt;45,Tabla1[[#This Row],[MARZO]]/45-1,0))</f>
        <v>0</v>
      </c>
      <c r="AJ478" s="100">
        <f>IF(Tabla1[[#This Row],[TIPO DE CONSUMIDOR]]="MEDIO",IF(Tabla1[[#This Row],[ABRIL]]&gt;22.5,Tabla1[[#This Row],[ABRIL]]/22.5-1,0),IF(Tabla1[[#This Row],[ABRIL]]&gt;45,Tabla1[[#This Row],[ABRIL]]/45-1,0))</f>
        <v>0</v>
      </c>
      <c r="AK478" s="100">
        <f>IF(Tabla1[[#This Row],[TIPO DE CONSUMIDOR]]="MEDIO",IF(Tabla1[[#This Row],[MAYO ]]&gt;22.5,Tabla1[[#This Row],[MAYO ]]/22.5-1,0),IF(Tabla1[[#This Row],[MAYO ]]&gt;45,Tabla1[[#This Row],[MAYO ]]/45-1,0))</f>
        <v>0</v>
      </c>
      <c r="AL478" s="100">
        <f>IF(Tabla1[[#This Row],[TIPO DE CONSUMIDOR]]="MEDIO",IF(Tabla1[[#This Row],[JUNIO ]]&gt;22.5,Tabla1[[#This Row],[JUNIO ]]/22.5-1,0),IF(Tabla1[[#This Row],[JUNIO ]]&gt;45,Tabla1[[#This Row],[JUNIO ]]/45-1,0))</f>
        <v>0</v>
      </c>
      <c r="AM478" s="100">
        <f>IF(Tabla1[[#This Row],[TIPO DE CONSUMIDOR]]="MEDIO",IF(Tabla1[[#This Row],[JULIO ]]&gt;22.5,Tabla1[[#This Row],[JULIO ]]/22.5-1,0),IF(Tabla1[[#This Row],[JULIO ]]&gt;45,Tabla1[[#This Row],[JULIO ]]/45-1,0))</f>
        <v>0</v>
      </c>
      <c r="AN478" s="100">
        <f>IF(Tabla1[[#This Row],[TIPO DE CONSUMIDOR]]="MEDIO",IF(Tabla1[[#This Row],[AGOSTO]]&gt;22.5,Tabla1[[#This Row],[AGOSTO]]/22.5-1,0),IF(Tabla1[[#This Row],[AGOSTO]]&gt;45,Tabla1[[#This Row],[AGOSTO]]/45-1,0))</f>
        <v>0</v>
      </c>
      <c r="AO47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8" s="101">
        <f t="shared" si="15"/>
        <v>0</v>
      </c>
      <c r="AT478">
        <f>IF(Tabla1[[#This Row],[MES ADEUDO DE AÑOS PASADOS ]]&gt;0,1,0)</f>
        <v>1</v>
      </c>
      <c r="AU478" s="9">
        <f t="shared" si="16"/>
        <v>1</v>
      </c>
      <c r="AV478" s="60">
        <f>IF(Tabla1[[#This Row],[MESES DE ADEUDO DEL AÑO EN CURSO ]]&gt;0,1,0)</f>
        <v>0</v>
      </c>
      <c r="AW478" s="42"/>
      <c r="AX478" s="42"/>
      <c r="AY478" s="42"/>
      <c r="AZ478" s="43"/>
    </row>
    <row r="479" spans="1:52" ht="21.75" thickBot="1" x14ac:dyDescent="0.35">
      <c r="A479" s="106">
        <v>473</v>
      </c>
      <c r="B479" s="5" t="s">
        <v>349</v>
      </c>
      <c r="C479" s="2" t="s">
        <v>569</v>
      </c>
      <c r="D479" s="32"/>
      <c r="E479" s="35" t="s">
        <v>455</v>
      </c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58">
        <f>SUM(Tabla1[[#This Row],[ENERO ]:[DICIEMBRE]])</f>
        <v>0</v>
      </c>
      <c r="W479">
        <v>6</v>
      </c>
      <c r="X479" s="21">
        <f>COUNTIF(Tabla1[[#This Row],[ENERO ]:[DICIEMBRE]],0)-(AS479)-IF(Tabla1[[#This Row],[BAJAS]]="BAJA",IF(Tabla1[[#This Row],[ALTAS]]="ALTA",VLOOKUP(Tabla1[[#This Row],[MES DE ALTA ]],$AW$6:$AX$17,2,FALSE),12)-VLOOKUP(Tabla1[[#This Row],[MES DE BAJA ]],$AW$6:$AX$17,2,FALSE),0)</f>
        <v>0</v>
      </c>
      <c r="Y479" s="68">
        <f>SUM(Tabla1[[#This Row],[MES ADEUDO DE AÑOS PASADOS ]:[MESES DE ADEUDO DEL AÑO EN CURSO ]])-Tabla1[[#This Row],[PAGO DE DEUDA ANTERIOR EN MESES]]</f>
        <v>6</v>
      </c>
      <c r="Z479" s="15">
        <f>Tabla1[[#This Row],[MES ADEUDO DE AÑOS PASADOS ]]*$T$2</f>
        <v>270</v>
      </c>
      <c r="AA479" s="15">
        <f>Tabla1[[#This Row],[MESES DE ADEUDO DEL AÑO EN CURSO ]]*$T$2</f>
        <v>0</v>
      </c>
      <c r="AB479" s="69">
        <f>SUM(Tabla1[[#This Row],[DEUDA DE LOS MESES PASADOS EN $$]:[DEUDA DEL AÑO 2013 $$ ]])</f>
        <v>270</v>
      </c>
      <c r="AD479">
        <f>Tabla1[[#This Row],[PAGO DE DEUDA ANTERIOR EN MESES]]*$T$2</f>
        <v>0</v>
      </c>
      <c r="AG479" s="100">
        <f>IF(Tabla1[[#This Row],[TIPO DE CONSUMIDOR]]="MEDIO",IF(Tabla1[[#This Row],[ENERO ]]&gt;22.5,Tabla1[[#This Row],[ENERO ]]/22.5-1,0),IF(Tabla1[[#This Row],[ENERO ]]&gt;45,Tabla1[[#This Row],[ENERO ]]/45-1,0))</f>
        <v>0</v>
      </c>
      <c r="AH47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79" s="100">
        <f>IF(Tabla1[[#This Row],[TIPO DE CONSUMIDOR]]="MEDIO",IF(Tabla1[[#This Row],[MARZO]]&gt;22.5,Tabla1[[#This Row],[MARZO]]/22.5-1,0),IF(Tabla1[[#This Row],[MARZO]]&gt;45,Tabla1[[#This Row],[MARZO]]/45-1,0))</f>
        <v>0</v>
      </c>
      <c r="AJ479" s="100">
        <f>IF(Tabla1[[#This Row],[TIPO DE CONSUMIDOR]]="MEDIO",IF(Tabla1[[#This Row],[ABRIL]]&gt;22.5,Tabla1[[#This Row],[ABRIL]]/22.5-1,0),IF(Tabla1[[#This Row],[ABRIL]]&gt;45,Tabla1[[#This Row],[ABRIL]]/45-1,0))</f>
        <v>0</v>
      </c>
      <c r="AK479" s="100">
        <f>IF(Tabla1[[#This Row],[TIPO DE CONSUMIDOR]]="MEDIO",IF(Tabla1[[#This Row],[MAYO ]]&gt;22.5,Tabla1[[#This Row],[MAYO ]]/22.5-1,0),IF(Tabla1[[#This Row],[MAYO ]]&gt;45,Tabla1[[#This Row],[MAYO ]]/45-1,0))</f>
        <v>0</v>
      </c>
      <c r="AL479" s="100">
        <f>IF(Tabla1[[#This Row],[TIPO DE CONSUMIDOR]]="MEDIO",IF(Tabla1[[#This Row],[JUNIO ]]&gt;22.5,Tabla1[[#This Row],[JUNIO ]]/22.5-1,0),IF(Tabla1[[#This Row],[JUNIO ]]&gt;45,Tabla1[[#This Row],[JUNIO ]]/45-1,0))</f>
        <v>0</v>
      </c>
      <c r="AM479" s="100">
        <f>IF(Tabla1[[#This Row],[TIPO DE CONSUMIDOR]]="MEDIO",IF(Tabla1[[#This Row],[JULIO ]]&gt;22.5,Tabla1[[#This Row],[JULIO ]]/22.5-1,0),IF(Tabla1[[#This Row],[JULIO ]]&gt;45,Tabla1[[#This Row],[JULIO ]]/45-1,0))</f>
        <v>0</v>
      </c>
      <c r="AN479" s="100">
        <f>IF(Tabla1[[#This Row],[TIPO DE CONSUMIDOR]]="MEDIO",IF(Tabla1[[#This Row],[AGOSTO]]&gt;22.5,Tabla1[[#This Row],[AGOSTO]]/22.5-1,0),IF(Tabla1[[#This Row],[AGOSTO]]&gt;45,Tabla1[[#This Row],[AGOSTO]]/45-1,0))</f>
        <v>0</v>
      </c>
      <c r="AO47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7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7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7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79" s="101">
        <f t="shared" si="15"/>
        <v>0</v>
      </c>
      <c r="AT479">
        <f>IF(Tabla1[[#This Row],[MES ADEUDO DE AÑOS PASADOS ]]&gt;0,1,0)</f>
        <v>1</v>
      </c>
      <c r="AU479" s="9">
        <f t="shared" si="16"/>
        <v>1</v>
      </c>
      <c r="AV479" s="60">
        <f>IF(Tabla1[[#This Row],[MESES DE ADEUDO DEL AÑO EN CURSO ]]&gt;0,1,0)</f>
        <v>0</v>
      </c>
      <c r="AW479" s="42"/>
      <c r="AX479" s="42"/>
      <c r="AY479" s="42"/>
      <c r="AZ479" s="43"/>
    </row>
    <row r="480" spans="1:52" ht="21.75" thickBot="1" x14ac:dyDescent="0.35">
      <c r="A480" s="106">
        <v>474</v>
      </c>
      <c r="B480" s="5" t="s">
        <v>574</v>
      </c>
      <c r="C480" s="2" t="s">
        <v>569</v>
      </c>
      <c r="D480" s="32"/>
      <c r="E480" s="35" t="s">
        <v>455</v>
      </c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24">
        <f>SUM(Tabla1[[#This Row],[ENERO ]:[DICIEMBRE]])</f>
        <v>0</v>
      </c>
      <c r="W480">
        <v>6</v>
      </c>
      <c r="X480" s="21">
        <f>COUNTIF(Tabla1[[#This Row],[ENERO ]:[DICIEMBRE]],0)-(AS480)-IF(Tabla1[[#This Row],[BAJAS]]="BAJA",IF(Tabla1[[#This Row],[ALTAS]]="ALTA",VLOOKUP(Tabla1[[#This Row],[MES DE ALTA ]],$AW$6:$AX$17,2,FALSE),12)-VLOOKUP(Tabla1[[#This Row],[MES DE BAJA ]],$AW$6:$AX$17,2,FALSE),0)</f>
        <v>0</v>
      </c>
      <c r="Y480" s="68">
        <f>SUM(Tabla1[[#This Row],[MES ADEUDO DE AÑOS PASADOS ]:[MESES DE ADEUDO DEL AÑO EN CURSO ]])-Tabla1[[#This Row],[PAGO DE DEUDA ANTERIOR EN MESES]]</f>
        <v>6</v>
      </c>
      <c r="Z480" s="15">
        <f>Tabla1[[#This Row],[MES ADEUDO DE AÑOS PASADOS ]]*$T$2</f>
        <v>270</v>
      </c>
      <c r="AA480" s="15">
        <f>Tabla1[[#This Row],[MESES DE ADEUDO DEL AÑO EN CURSO ]]*$T$2</f>
        <v>0</v>
      </c>
      <c r="AB480" s="69">
        <f>SUM(Tabla1[[#This Row],[DEUDA DE LOS MESES PASADOS EN $$]:[DEUDA DEL AÑO 2013 $$ ]])</f>
        <v>270</v>
      </c>
      <c r="AD480">
        <f>Tabla1[[#This Row],[PAGO DE DEUDA ANTERIOR EN MESES]]*$T$2</f>
        <v>0</v>
      </c>
      <c r="AG480" s="100">
        <f>IF(Tabla1[[#This Row],[TIPO DE CONSUMIDOR]]="MEDIO",IF(Tabla1[[#This Row],[ENERO ]]&gt;22.5,Tabla1[[#This Row],[ENERO ]]/22.5-1,0),IF(Tabla1[[#This Row],[ENERO ]]&gt;45,Tabla1[[#This Row],[ENERO ]]/45-1,0))</f>
        <v>0</v>
      </c>
      <c r="AH48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0" s="100">
        <f>IF(Tabla1[[#This Row],[TIPO DE CONSUMIDOR]]="MEDIO",IF(Tabla1[[#This Row],[MARZO]]&gt;22.5,Tabla1[[#This Row],[MARZO]]/22.5-1,0),IF(Tabla1[[#This Row],[MARZO]]&gt;45,Tabla1[[#This Row],[MARZO]]/45-1,0))</f>
        <v>0</v>
      </c>
      <c r="AJ480" s="100">
        <f>IF(Tabla1[[#This Row],[TIPO DE CONSUMIDOR]]="MEDIO",IF(Tabla1[[#This Row],[ABRIL]]&gt;22.5,Tabla1[[#This Row],[ABRIL]]/22.5-1,0),IF(Tabla1[[#This Row],[ABRIL]]&gt;45,Tabla1[[#This Row],[ABRIL]]/45-1,0))</f>
        <v>0</v>
      </c>
      <c r="AK480" s="100">
        <f>IF(Tabla1[[#This Row],[TIPO DE CONSUMIDOR]]="MEDIO",IF(Tabla1[[#This Row],[MAYO ]]&gt;22.5,Tabla1[[#This Row],[MAYO ]]/22.5-1,0),IF(Tabla1[[#This Row],[MAYO ]]&gt;45,Tabla1[[#This Row],[MAYO ]]/45-1,0))</f>
        <v>0</v>
      </c>
      <c r="AL480" s="100">
        <f>IF(Tabla1[[#This Row],[TIPO DE CONSUMIDOR]]="MEDIO",IF(Tabla1[[#This Row],[JUNIO ]]&gt;22.5,Tabla1[[#This Row],[JUNIO ]]/22.5-1,0),IF(Tabla1[[#This Row],[JUNIO ]]&gt;45,Tabla1[[#This Row],[JUNIO ]]/45-1,0))</f>
        <v>0</v>
      </c>
      <c r="AM480" s="100">
        <f>IF(Tabla1[[#This Row],[TIPO DE CONSUMIDOR]]="MEDIO",IF(Tabla1[[#This Row],[JULIO ]]&gt;22.5,Tabla1[[#This Row],[JULIO ]]/22.5-1,0),IF(Tabla1[[#This Row],[JULIO ]]&gt;45,Tabla1[[#This Row],[JULIO ]]/45-1,0))</f>
        <v>0</v>
      </c>
      <c r="AN480" s="100">
        <f>IF(Tabla1[[#This Row],[TIPO DE CONSUMIDOR]]="MEDIO",IF(Tabla1[[#This Row],[AGOSTO]]&gt;22.5,Tabla1[[#This Row],[AGOSTO]]/22.5-1,0),IF(Tabla1[[#This Row],[AGOSTO]]&gt;45,Tabla1[[#This Row],[AGOSTO]]/45-1,0))</f>
        <v>0</v>
      </c>
      <c r="AO48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0" s="101">
        <f t="shared" si="15"/>
        <v>0</v>
      </c>
      <c r="AT480">
        <f>IF(Tabla1[[#This Row],[MES ADEUDO DE AÑOS PASADOS ]]&gt;0,1,0)</f>
        <v>1</v>
      </c>
      <c r="AU480" s="9">
        <f t="shared" si="16"/>
        <v>1</v>
      </c>
      <c r="AV480" s="60">
        <f>IF(Tabla1[[#This Row],[MESES DE ADEUDO DEL AÑO EN CURSO ]]&gt;0,1,0)</f>
        <v>0</v>
      </c>
      <c r="AW480" s="42"/>
      <c r="AX480" s="42"/>
      <c r="AY480" s="42"/>
      <c r="AZ480" s="43"/>
    </row>
    <row r="481" spans="1:52" ht="21.75" thickBot="1" x14ac:dyDescent="0.35">
      <c r="A481" s="106">
        <v>475</v>
      </c>
      <c r="B481" s="5" t="s">
        <v>571</v>
      </c>
      <c r="C481" s="2" t="s">
        <v>569</v>
      </c>
      <c r="D481" s="32"/>
      <c r="E481" s="35" t="s">
        <v>455</v>
      </c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58">
        <f>SUM(Tabla1[[#This Row],[ENERO ]:[DICIEMBRE]])</f>
        <v>0</v>
      </c>
      <c r="W481">
        <v>10</v>
      </c>
      <c r="X481" s="21">
        <f>COUNTIF(Tabla1[[#This Row],[ENERO ]:[DICIEMBRE]],0)-(AS481)-IF(Tabla1[[#This Row],[BAJAS]]="BAJA",IF(Tabla1[[#This Row],[ALTAS]]="ALTA",VLOOKUP(Tabla1[[#This Row],[MES DE ALTA ]],$AW$6:$AX$17,2,FALSE),12)-VLOOKUP(Tabla1[[#This Row],[MES DE BAJA ]],$AW$6:$AX$17,2,FALSE),0)</f>
        <v>0</v>
      </c>
      <c r="Y481" s="68">
        <f>SUM(Tabla1[[#This Row],[MES ADEUDO DE AÑOS PASADOS ]:[MESES DE ADEUDO DEL AÑO EN CURSO ]])-Tabla1[[#This Row],[PAGO DE DEUDA ANTERIOR EN MESES]]</f>
        <v>10</v>
      </c>
      <c r="Z481" s="15">
        <f>Tabla1[[#This Row],[MES ADEUDO DE AÑOS PASADOS ]]*$T$2</f>
        <v>450</v>
      </c>
      <c r="AA481" s="15">
        <f>Tabla1[[#This Row],[MESES DE ADEUDO DEL AÑO EN CURSO ]]*$T$2</f>
        <v>0</v>
      </c>
      <c r="AB481" s="69">
        <f>SUM(Tabla1[[#This Row],[DEUDA DE LOS MESES PASADOS EN $$]:[DEUDA DEL AÑO 2013 $$ ]])</f>
        <v>450</v>
      </c>
      <c r="AD481">
        <f>Tabla1[[#This Row],[PAGO DE DEUDA ANTERIOR EN MESES]]*$T$2</f>
        <v>0</v>
      </c>
      <c r="AG481" s="100">
        <f>IF(Tabla1[[#This Row],[TIPO DE CONSUMIDOR]]="MEDIO",IF(Tabla1[[#This Row],[ENERO ]]&gt;22.5,Tabla1[[#This Row],[ENERO ]]/22.5-1,0),IF(Tabla1[[#This Row],[ENERO ]]&gt;45,Tabla1[[#This Row],[ENERO ]]/45-1,0))</f>
        <v>0</v>
      </c>
      <c r="AH48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1" s="100">
        <f>IF(Tabla1[[#This Row],[TIPO DE CONSUMIDOR]]="MEDIO",IF(Tabla1[[#This Row],[MARZO]]&gt;22.5,Tabla1[[#This Row],[MARZO]]/22.5-1,0),IF(Tabla1[[#This Row],[MARZO]]&gt;45,Tabla1[[#This Row],[MARZO]]/45-1,0))</f>
        <v>0</v>
      </c>
      <c r="AJ481" s="100">
        <f>IF(Tabla1[[#This Row],[TIPO DE CONSUMIDOR]]="MEDIO",IF(Tabla1[[#This Row],[ABRIL]]&gt;22.5,Tabla1[[#This Row],[ABRIL]]/22.5-1,0),IF(Tabla1[[#This Row],[ABRIL]]&gt;45,Tabla1[[#This Row],[ABRIL]]/45-1,0))</f>
        <v>0</v>
      </c>
      <c r="AK481" s="100">
        <f>IF(Tabla1[[#This Row],[TIPO DE CONSUMIDOR]]="MEDIO",IF(Tabla1[[#This Row],[MAYO ]]&gt;22.5,Tabla1[[#This Row],[MAYO ]]/22.5-1,0),IF(Tabla1[[#This Row],[MAYO ]]&gt;45,Tabla1[[#This Row],[MAYO ]]/45-1,0))</f>
        <v>0</v>
      </c>
      <c r="AL481" s="100">
        <f>IF(Tabla1[[#This Row],[TIPO DE CONSUMIDOR]]="MEDIO",IF(Tabla1[[#This Row],[JUNIO ]]&gt;22.5,Tabla1[[#This Row],[JUNIO ]]/22.5-1,0),IF(Tabla1[[#This Row],[JUNIO ]]&gt;45,Tabla1[[#This Row],[JUNIO ]]/45-1,0))</f>
        <v>0</v>
      </c>
      <c r="AM481" s="100">
        <f>IF(Tabla1[[#This Row],[TIPO DE CONSUMIDOR]]="MEDIO",IF(Tabla1[[#This Row],[JULIO ]]&gt;22.5,Tabla1[[#This Row],[JULIO ]]/22.5-1,0),IF(Tabla1[[#This Row],[JULIO ]]&gt;45,Tabla1[[#This Row],[JULIO ]]/45-1,0))</f>
        <v>0</v>
      </c>
      <c r="AN481" s="100">
        <f>IF(Tabla1[[#This Row],[TIPO DE CONSUMIDOR]]="MEDIO",IF(Tabla1[[#This Row],[AGOSTO]]&gt;22.5,Tabla1[[#This Row],[AGOSTO]]/22.5-1,0),IF(Tabla1[[#This Row],[AGOSTO]]&gt;45,Tabla1[[#This Row],[AGOSTO]]/45-1,0))</f>
        <v>0</v>
      </c>
      <c r="AO48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1" s="101">
        <f t="shared" si="15"/>
        <v>0</v>
      </c>
      <c r="AT481">
        <f>IF(Tabla1[[#This Row],[MES ADEUDO DE AÑOS PASADOS ]]&gt;0,1,0)</f>
        <v>1</v>
      </c>
      <c r="AU481" s="9">
        <f t="shared" si="16"/>
        <v>1</v>
      </c>
      <c r="AV481" s="60">
        <f>IF(Tabla1[[#This Row],[MESES DE ADEUDO DEL AÑO EN CURSO ]]&gt;0,1,0)</f>
        <v>0</v>
      </c>
      <c r="AW481" s="42"/>
      <c r="AX481" s="42"/>
      <c r="AY481" s="42"/>
      <c r="AZ481" s="43"/>
    </row>
    <row r="482" spans="1:52" ht="21.75" thickBot="1" x14ac:dyDescent="0.35">
      <c r="A482" s="106">
        <v>476</v>
      </c>
      <c r="B482" s="5" t="s">
        <v>572</v>
      </c>
      <c r="C482" s="2" t="s">
        <v>569</v>
      </c>
      <c r="D482" s="32"/>
      <c r="E482" s="35" t="s">
        <v>455</v>
      </c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24">
        <f>SUM(Tabla1[[#This Row],[ENERO ]:[DICIEMBRE]])</f>
        <v>0</v>
      </c>
      <c r="W482">
        <v>10</v>
      </c>
      <c r="X482" s="21">
        <f>COUNTIF(Tabla1[[#This Row],[ENERO ]:[DICIEMBRE]],0)-(AS482)-IF(Tabla1[[#This Row],[BAJAS]]="BAJA",IF(Tabla1[[#This Row],[ALTAS]]="ALTA",VLOOKUP(Tabla1[[#This Row],[MES DE ALTA ]],$AW$6:$AX$17,2,FALSE),12)-VLOOKUP(Tabla1[[#This Row],[MES DE BAJA ]],$AW$6:$AX$17,2,FALSE),0)</f>
        <v>0</v>
      </c>
      <c r="Y482" s="68">
        <f>SUM(Tabla1[[#This Row],[MES ADEUDO DE AÑOS PASADOS ]:[MESES DE ADEUDO DEL AÑO EN CURSO ]])-Tabla1[[#This Row],[PAGO DE DEUDA ANTERIOR EN MESES]]</f>
        <v>10</v>
      </c>
      <c r="Z482" s="15">
        <f>Tabla1[[#This Row],[MES ADEUDO DE AÑOS PASADOS ]]*$T$2</f>
        <v>450</v>
      </c>
      <c r="AA482" s="15">
        <f>Tabla1[[#This Row],[MESES DE ADEUDO DEL AÑO EN CURSO ]]*$T$2</f>
        <v>0</v>
      </c>
      <c r="AB482" s="69">
        <f>SUM(Tabla1[[#This Row],[DEUDA DE LOS MESES PASADOS EN $$]:[DEUDA DEL AÑO 2013 $$ ]])</f>
        <v>450</v>
      </c>
      <c r="AD482">
        <f>Tabla1[[#This Row],[PAGO DE DEUDA ANTERIOR EN MESES]]*$T$2</f>
        <v>0</v>
      </c>
      <c r="AG482" s="100">
        <f>IF(Tabla1[[#This Row],[TIPO DE CONSUMIDOR]]="MEDIO",IF(Tabla1[[#This Row],[ENERO ]]&gt;22.5,Tabla1[[#This Row],[ENERO ]]/22.5-1,0),IF(Tabla1[[#This Row],[ENERO ]]&gt;45,Tabla1[[#This Row],[ENERO ]]/45-1,0))</f>
        <v>0</v>
      </c>
      <c r="AH48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2" s="100">
        <f>IF(Tabla1[[#This Row],[TIPO DE CONSUMIDOR]]="MEDIO",IF(Tabla1[[#This Row],[MARZO]]&gt;22.5,Tabla1[[#This Row],[MARZO]]/22.5-1,0),IF(Tabla1[[#This Row],[MARZO]]&gt;45,Tabla1[[#This Row],[MARZO]]/45-1,0))</f>
        <v>0</v>
      </c>
      <c r="AJ482" s="100">
        <f>IF(Tabla1[[#This Row],[TIPO DE CONSUMIDOR]]="MEDIO",IF(Tabla1[[#This Row],[ABRIL]]&gt;22.5,Tabla1[[#This Row],[ABRIL]]/22.5-1,0),IF(Tabla1[[#This Row],[ABRIL]]&gt;45,Tabla1[[#This Row],[ABRIL]]/45-1,0))</f>
        <v>0</v>
      </c>
      <c r="AK482" s="100">
        <f>IF(Tabla1[[#This Row],[TIPO DE CONSUMIDOR]]="MEDIO",IF(Tabla1[[#This Row],[MAYO ]]&gt;22.5,Tabla1[[#This Row],[MAYO ]]/22.5-1,0),IF(Tabla1[[#This Row],[MAYO ]]&gt;45,Tabla1[[#This Row],[MAYO ]]/45-1,0))</f>
        <v>0</v>
      </c>
      <c r="AL482" s="100">
        <f>IF(Tabla1[[#This Row],[TIPO DE CONSUMIDOR]]="MEDIO",IF(Tabla1[[#This Row],[JUNIO ]]&gt;22.5,Tabla1[[#This Row],[JUNIO ]]/22.5-1,0),IF(Tabla1[[#This Row],[JUNIO ]]&gt;45,Tabla1[[#This Row],[JUNIO ]]/45-1,0))</f>
        <v>0</v>
      </c>
      <c r="AM482" s="100">
        <f>IF(Tabla1[[#This Row],[TIPO DE CONSUMIDOR]]="MEDIO",IF(Tabla1[[#This Row],[JULIO ]]&gt;22.5,Tabla1[[#This Row],[JULIO ]]/22.5-1,0),IF(Tabla1[[#This Row],[JULIO ]]&gt;45,Tabla1[[#This Row],[JULIO ]]/45-1,0))</f>
        <v>0</v>
      </c>
      <c r="AN482" s="100">
        <f>IF(Tabla1[[#This Row],[TIPO DE CONSUMIDOR]]="MEDIO",IF(Tabla1[[#This Row],[AGOSTO]]&gt;22.5,Tabla1[[#This Row],[AGOSTO]]/22.5-1,0),IF(Tabla1[[#This Row],[AGOSTO]]&gt;45,Tabla1[[#This Row],[AGOSTO]]/45-1,0))</f>
        <v>0</v>
      </c>
      <c r="AO48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2" s="101">
        <f t="shared" si="15"/>
        <v>0</v>
      </c>
      <c r="AT482">
        <f>IF(Tabla1[[#This Row],[MES ADEUDO DE AÑOS PASADOS ]]&gt;0,1,0)</f>
        <v>1</v>
      </c>
      <c r="AU482" s="9">
        <f t="shared" si="16"/>
        <v>1</v>
      </c>
      <c r="AV482" s="60">
        <f>IF(Tabla1[[#This Row],[MESES DE ADEUDO DEL AÑO EN CURSO ]]&gt;0,1,0)</f>
        <v>0</v>
      </c>
      <c r="AW482" s="42"/>
      <c r="AX482" s="42"/>
      <c r="AY482" s="42"/>
      <c r="AZ482" s="43"/>
    </row>
    <row r="483" spans="1:52" ht="21.75" thickBot="1" x14ac:dyDescent="0.35">
      <c r="A483" s="106">
        <v>477</v>
      </c>
      <c r="B483" s="5" t="s">
        <v>581</v>
      </c>
      <c r="C483" s="2" t="s">
        <v>569</v>
      </c>
      <c r="D483" s="32"/>
      <c r="E483" s="35" t="s">
        <v>455</v>
      </c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24">
        <f>SUM(Tabla1[[#This Row],[ENERO ]:[DICIEMBRE]])</f>
        <v>0</v>
      </c>
      <c r="W483">
        <v>15</v>
      </c>
      <c r="X483" s="21">
        <f>COUNTIF(Tabla1[[#This Row],[ENERO ]:[DICIEMBRE]],0)-(AS483)-IF(Tabla1[[#This Row],[BAJAS]]="BAJA",IF(Tabla1[[#This Row],[ALTAS]]="ALTA",VLOOKUP(Tabla1[[#This Row],[MES DE ALTA ]],$AW$6:$AX$17,2,FALSE),12)-VLOOKUP(Tabla1[[#This Row],[MES DE BAJA ]],$AW$6:$AX$17,2,FALSE),0)</f>
        <v>0</v>
      </c>
      <c r="Y483" s="68">
        <f>SUM(Tabla1[[#This Row],[MES ADEUDO DE AÑOS PASADOS ]:[MESES DE ADEUDO DEL AÑO EN CURSO ]])-Tabla1[[#This Row],[PAGO DE DEUDA ANTERIOR EN MESES]]</f>
        <v>15</v>
      </c>
      <c r="Z483" s="15">
        <f>Tabla1[[#This Row],[MES ADEUDO DE AÑOS PASADOS ]]*$T$2</f>
        <v>675</v>
      </c>
      <c r="AA483" s="15">
        <f>Tabla1[[#This Row],[MESES DE ADEUDO DEL AÑO EN CURSO ]]*$T$2</f>
        <v>0</v>
      </c>
      <c r="AB483" s="69">
        <f>SUM(Tabla1[[#This Row],[DEUDA DE LOS MESES PASADOS EN $$]:[DEUDA DEL AÑO 2013 $$ ]])</f>
        <v>675</v>
      </c>
      <c r="AD483">
        <f>Tabla1[[#This Row],[PAGO DE DEUDA ANTERIOR EN MESES]]*$T$2</f>
        <v>0</v>
      </c>
      <c r="AG483" s="100">
        <f>IF(Tabla1[[#This Row],[TIPO DE CONSUMIDOR]]="MEDIO",IF(Tabla1[[#This Row],[ENERO ]]&gt;22.5,Tabla1[[#This Row],[ENERO ]]/22.5-1,0),IF(Tabla1[[#This Row],[ENERO ]]&gt;45,Tabla1[[#This Row],[ENERO ]]/45-1,0))</f>
        <v>0</v>
      </c>
      <c r="AH48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3" s="100">
        <f>IF(Tabla1[[#This Row],[TIPO DE CONSUMIDOR]]="MEDIO",IF(Tabla1[[#This Row],[MARZO]]&gt;22.5,Tabla1[[#This Row],[MARZO]]/22.5-1,0),IF(Tabla1[[#This Row],[MARZO]]&gt;45,Tabla1[[#This Row],[MARZO]]/45-1,0))</f>
        <v>0</v>
      </c>
      <c r="AJ483" s="100">
        <f>IF(Tabla1[[#This Row],[TIPO DE CONSUMIDOR]]="MEDIO",IF(Tabla1[[#This Row],[ABRIL]]&gt;22.5,Tabla1[[#This Row],[ABRIL]]/22.5-1,0),IF(Tabla1[[#This Row],[ABRIL]]&gt;45,Tabla1[[#This Row],[ABRIL]]/45-1,0))</f>
        <v>0</v>
      </c>
      <c r="AK483" s="100">
        <f>IF(Tabla1[[#This Row],[TIPO DE CONSUMIDOR]]="MEDIO",IF(Tabla1[[#This Row],[MAYO ]]&gt;22.5,Tabla1[[#This Row],[MAYO ]]/22.5-1,0),IF(Tabla1[[#This Row],[MAYO ]]&gt;45,Tabla1[[#This Row],[MAYO ]]/45-1,0))</f>
        <v>0</v>
      </c>
      <c r="AL483" s="100">
        <f>IF(Tabla1[[#This Row],[TIPO DE CONSUMIDOR]]="MEDIO",IF(Tabla1[[#This Row],[JUNIO ]]&gt;22.5,Tabla1[[#This Row],[JUNIO ]]/22.5-1,0),IF(Tabla1[[#This Row],[JUNIO ]]&gt;45,Tabla1[[#This Row],[JUNIO ]]/45-1,0))</f>
        <v>0</v>
      </c>
      <c r="AM483" s="100">
        <f>IF(Tabla1[[#This Row],[TIPO DE CONSUMIDOR]]="MEDIO",IF(Tabla1[[#This Row],[JULIO ]]&gt;22.5,Tabla1[[#This Row],[JULIO ]]/22.5-1,0),IF(Tabla1[[#This Row],[JULIO ]]&gt;45,Tabla1[[#This Row],[JULIO ]]/45-1,0))</f>
        <v>0</v>
      </c>
      <c r="AN483" s="100">
        <f>IF(Tabla1[[#This Row],[TIPO DE CONSUMIDOR]]="MEDIO",IF(Tabla1[[#This Row],[AGOSTO]]&gt;22.5,Tabla1[[#This Row],[AGOSTO]]/22.5-1,0),IF(Tabla1[[#This Row],[AGOSTO]]&gt;45,Tabla1[[#This Row],[AGOSTO]]/45-1,0))</f>
        <v>0</v>
      </c>
      <c r="AO48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3" s="101">
        <f t="shared" si="15"/>
        <v>0</v>
      </c>
      <c r="AT483">
        <f>IF(Tabla1[[#This Row],[MES ADEUDO DE AÑOS PASADOS ]]&gt;0,1,0)</f>
        <v>1</v>
      </c>
      <c r="AU483" s="9">
        <f t="shared" si="16"/>
        <v>1</v>
      </c>
      <c r="AV483" s="60">
        <f>IF(Tabla1[[#This Row],[MESES DE ADEUDO DEL AÑO EN CURSO ]]&gt;0,1,0)</f>
        <v>0</v>
      </c>
      <c r="AW483" s="42"/>
      <c r="AX483" s="42"/>
      <c r="AY483" s="42"/>
      <c r="AZ483" s="43"/>
    </row>
    <row r="484" spans="1:52" ht="21.75" thickBot="1" x14ac:dyDescent="0.35">
      <c r="A484" s="106">
        <v>478</v>
      </c>
      <c r="B484" s="5" t="s">
        <v>96</v>
      </c>
      <c r="C484" s="2" t="s">
        <v>569</v>
      </c>
      <c r="D484" s="32"/>
      <c r="E484" s="35" t="s">
        <v>455</v>
      </c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24">
        <f>SUM(Tabla1[[#This Row],[ENERO ]:[DICIEMBRE]])</f>
        <v>0</v>
      </c>
      <c r="W484">
        <v>16</v>
      </c>
      <c r="X484" s="21">
        <f>COUNTIF(Tabla1[[#This Row],[ENERO ]:[DICIEMBRE]],0)-(AS484)-IF(Tabla1[[#This Row],[BAJAS]]="BAJA",IF(Tabla1[[#This Row],[ALTAS]]="ALTA",VLOOKUP(Tabla1[[#This Row],[MES DE ALTA ]],$AW$6:$AX$17,2,FALSE),12)-VLOOKUP(Tabla1[[#This Row],[MES DE BAJA ]],$AW$6:$AX$17,2,FALSE),0)</f>
        <v>0</v>
      </c>
      <c r="Y484" s="68">
        <f>SUM(Tabla1[[#This Row],[MES ADEUDO DE AÑOS PASADOS ]:[MESES DE ADEUDO DEL AÑO EN CURSO ]])-Tabla1[[#This Row],[PAGO DE DEUDA ANTERIOR EN MESES]]</f>
        <v>16</v>
      </c>
      <c r="Z484" s="15">
        <f>Tabla1[[#This Row],[MES ADEUDO DE AÑOS PASADOS ]]*$T$2</f>
        <v>720</v>
      </c>
      <c r="AA484" s="15">
        <f>Tabla1[[#This Row],[MESES DE ADEUDO DEL AÑO EN CURSO ]]*$T$2</f>
        <v>0</v>
      </c>
      <c r="AB484" s="69">
        <f>SUM(Tabla1[[#This Row],[DEUDA DE LOS MESES PASADOS EN $$]:[DEUDA DEL AÑO 2013 $$ ]])</f>
        <v>720</v>
      </c>
      <c r="AD484">
        <f>Tabla1[[#This Row],[PAGO DE DEUDA ANTERIOR EN MESES]]*$T$2</f>
        <v>0</v>
      </c>
      <c r="AG484" s="100">
        <f>IF(Tabla1[[#This Row],[TIPO DE CONSUMIDOR]]="MEDIO",IF(Tabla1[[#This Row],[ENERO ]]&gt;22.5,Tabla1[[#This Row],[ENERO ]]/22.5-1,0),IF(Tabla1[[#This Row],[ENERO ]]&gt;45,Tabla1[[#This Row],[ENERO ]]/45-1,0))</f>
        <v>0</v>
      </c>
      <c r="AH48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4" s="100">
        <f>IF(Tabla1[[#This Row],[TIPO DE CONSUMIDOR]]="MEDIO",IF(Tabla1[[#This Row],[MARZO]]&gt;22.5,Tabla1[[#This Row],[MARZO]]/22.5-1,0),IF(Tabla1[[#This Row],[MARZO]]&gt;45,Tabla1[[#This Row],[MARZO]]/45-1,0))</f>
        <v>0</v>
      </c>
      <c r="AJ484" s="100">
        <f>IF(Tabla1[[#This Row],[TIPO DE CONSUMIDOR]]="MEDIO",IF(Tabla1[[#This Row],[ABRIL]]&gt;22.5,Tabla1[[#This Row],[ABRIL]]/22.5-1,0),IF(Tabla1[[#This Row],[ABRIL]]&gt;45,Tabla1[[#This Row],[ABRIL]]/45-1,0))</f>
        <v>0</v>
      </c>
      <c r="AK484" s="100">
        <f>IF(Tabla1[[#This Row],[TIPO DE CONSUMIDOR]]="MEDIO",IF(Tabla1[[#This Row],[MAYO ]]&gt;22.5,Tabla1[[#This Row],[MAYO ]]/22.5-1,0),IF(Tabla1[[#This Row],[MAYO ]]&gt;45,Tabla1[[#This Row],[MAYO ]]/45-1,0))</f>
        <v>0</v>
      </c>
      <c r="AL484" s="100">
        <f>IF(Tabla1[[#This Row],[TIPO DE CONSUMIDOR]]="MEDIO",IF(Tabla1[[#This Row],[JUNIO ]]&gt;22.5,Tabla1[[#This Row],[JUNIO ]]/22.5-1,0),IF(Tabla1[[#This Row],[JUNIO ]]&gt;45,Tabla1[[#This Row],[JUNIO ]]/45-1,0))</f>
        <v>0</v>
      </c>
      <c r="AM484" s="100">
        <f>IF(Tabla1[[#This Row],[TIPO DE CONSUMIDOR]]="MEDIO",IF(Tabla1[[#This Row],[JULIO ]]&gt;22.5,Tabla1[[#This Row],[JULIO ]]/22.5-1,0),IF(Tabla1[[#This Row],[JULIO ]]&gt;45,Tabla1[[#This Row],[JULIO ]]/45-1,0))</f>
        <v>0</v>
      </c>
      <c r="AN484" s="100">
        <f>IF(Tabla1[[#This Row],[TIPO DE CONSUMIDOR]]="MEDIO",IF(Tabla1[[#This Row],[AGOSTO]]&gt;22.5,Tabla1[[#This Row],[AGOSTO]]/22.5-1,0),IF(Tabla1[[#This Row],[AGOSTO]]&gt;45,Tabla1[[#This Row],[AGOSTO]]/45-1,0))</f>
        <v>0</v>
      </c>
      <c r="AO48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4" s="101">
        <f t="shared" si="15"/>
        <v>0</v>
      </c>
      <c r="AT484">
        <f>IF(Tabla1[[#This Row],[MES ADEUDO DE AÑOS PASADOS ]]&gt;0,1,0)</f>
        <v>1</v>
      </c>
      <c r="AU484" s="9">
        <f t="shared" si="16"/>
        <v>1</v>
      </c>
      <c r="AV484" s="60">
        <f>IF(Tabla1[[#This Row],[MESES DE ADEUDO DEL AÑO EN CURSO ]]&gt;0,1,0)</f>
        <v>0</v>
      </c>
      <c r="AW484" s="42"/>
      <c r="AX484" s="42"/>
      <c r="AY484" s="42"/>
      <c r="AZ484" s="43"/>
    </row>
    <row r="485" spans="1:52" ht="21.75" thickBot="1" x14ac:dyDescent="0.35">
      <c r="A485" s="106">
        <v>479</v>
      </c>
      <c r="B485" s="5" t="s">
        <v>570</v>
      </c>
      <c r="C485" s="2" t="s">
        <v>569</v>
      </c>
      <c r="D485" s="32"/>
      <c r="E485" s="35" t="s">
        <v>455</v>
      </c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24">
        <f>SUM(Tabla1[[#This Row],[ENERO ]:[DICIEMBRE]])</f>
        <v>0</v>
      </c>
      <c r="W485">
        <v>40</v>
      </c>
      <c r="X485" s="21">
        <f>COUNTIF(Tabla1[[#This Row],[ENERO ]:[DICIEMBRE]],0)-(AS485)-IF(Tabla1[[#This Row],[BAJAS]]="BAJA",IF(Tabla1[[#This Row],[ALTAS]]="ALTA",VLOOKUP(Tabla1[[#This Row],[MES DE ALTA ]],$AW$6:$AX$17,2,FALSE),12)-VLOOKUP(Tabla1[[#This Row],[MES DE BAJA ]],$AW$6:$AX$17,2,FALSE),0)</f>
        <v>0</v>
      </c>
      <c r="Y485" s="68">
        <f>SUM(Tabla1[[#This Row],[MES ADEUDO DE AÑOS PASADOS ]:[MESES DE ADEUDO DEL AÑO EN CURSO ]])-Tabla1[[#This Row],[PAGO DE DEUDA ANTERIOR EN MESES]]</f>
        <v>40</v>
      </c>
      <c r="Z485" s="15">
        <f>Tabla1[[#This Row],[MES ADEUDO DE AÑOS PASADOS ]]*$T$2</f>
        <v>1800</v>
      </c>
      <c r="AA485" s="15">
        <f>Tabla1[[#This Row],[MESES DE ADEUDO DEL AÑO EN CURSO ]]*$T$2</f>
        <v>0</v>
      </c>
      <c r="AB485" s="69">
        <f>SUM(Tabla1[[#This Row],[DEUDA DE LOS MESES PASADOS EN $$]:[DEUDA DEL AÑO 2013 $$ ]])</f>
        <v>1800</v>
      </c>
      <c r="AD485">
        <f>Tabla1[[#This Row],[PAGO DE DEUDA ANTERIOR EN MESES]]*$T$2</f>
        <v>0</v>
      </c>
      <c r="AG485" s="100">
        <f>IF(Tabla1[[#This Row],[TIPO DE CONSUMIDOR]]="MEDIO",IF(Tabla1[[#This Row],[ENERO ]]&gt;22.5,Tabla1[[#This Row],[ENERO ]]/22.5-1,0),IF(Tabla1[[#This Row],[ENERO ]]&gt;45,Tabla1[[#This Row],[ENERO ]]/45-1,0))</f>
        <v>0</v>
      </c>
      <c r="AH48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5" s="100">
        <f>IF(Tabla1[[#This Row],[TIPO DE CONSUMIDOR]]="MEDIO",IF(Tabla1[[#This Row],[MARZO]]&gt;22.5,Tabla1[[#This Row],[MARZO]]/22.5-1,0),IF(Tabla1[[#This Row],[MARZO]]&gt;45,Tabla1[[#This Row],[MARZO]]/45-1,0))</f>
        <v>0</v>
      </c>
      <c r="AJ485" s="100">
        <f>IF(Tabla1[[#This Row],[TIPO DE CONSUMIDOR]]="MEDIO",IF(Tabla1[[#This Row],[ABRIL]]&gt;22.5,Tabla1[[#This Row],[ABRIL]]/22.5-1,0),IF(Tabla1[[#This Row],[ABRIL]]&gt;45,Tabla1[[#This Row],[ABRIL]]/45-1,0))</f>
        <v>0</v>
      </c>
      <c r="AK485" s="100">
        <f>IF(Tabla1[[#This Row],[TIPO DE CONSUMIDOR]]="MEDIO",IF(Tabla1[[#This Row],[MAYO ]]&gt;22.5,Tabla1[[#This Row],[MAYO ]]/22.5-1,0),IF(Tabla1[[#This Row],[MAYO ]]&gt;45,Tabla1[[#This Row],[MAYO ]]/45-1,0))</f>
        <v>0</v>
      </c>
      <c r="AL485" s="100">
        <f>IF(Tabla1[[#This Row],[TIPO DE CONSUMIDOR]]="MEDIO",IF(Tabla1[[#This Row],[JUNIO ]]&gt;22.5,Tabla1[[#This Row],[JUNIO ]]/22.5-1,0),IF(Tabla1[[#This Row],[JUNIO ]]&gt;45,Tabla1[[#This Row],[JUNIO ]]/45-1,0))</f>
        <v>0</v>
      </c>
      <c r="AM485" s="100">
        <f>IF(Tabla1[[#This Row],[TIPO DE CONSUMIDOR]]="MEDIO",IF(Tabla1[[#This Row],[JULIO ]]&gt;22.5,Tabla1[[#This Row],[JULIO ]]/22.5-1,0),IF(Tabla1[[#This Row],[JULIO ]]&gt;45,Tabla1[[#This Row],[JULIO ]]/45-1,0))</f>
        <v>0</v>
      </c>
      <c r="AN485" s="100">
        <f>IF(Tabla1[[#This Row],[TIPO DE CONSUMIDOR]]="MEDIO",IF(Tabla1[[#This Row],[AGOSTO]]&gt;22.5,Tabla1[[#This Row],[AGOSTO]]/22.5-1,0),IF(Tabla1[[#This Row],[AGOSTO]]&gt;45,Tabla1[[#This Row],[AGOSTO]]/45-1,0))</f>
        <v>0</v>
      </c>
      <c r="AO48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5" s="101">
        <f t="shared" si="15"/>
        <v>0</v>
      </c>
      <c r="AT485">
        <f>IF(Tabla1[[#This Row],[MES ADEUDO DE AÑOS PASADOS ]]&gt;0,1,0)</f>
        <v>1</v>
      </c>
      <c r="AU485" s="9">
        <f t="shared" si="16"/>
        <v>1</v>
      </c>
      <c r="AV485" s="60">
        <f>IF(Tabla1[[#This Row],[MESES DE ADEUDO DEL AÑO EN CURSO ]]&gt;0,1,0)</f>
        <v>0</v>
      </c>
      <c r="AW485" s="42"/>
      <c r="AX485" s="42"/>
      <c r="AY485" s="42"/>
      <c r="AZ485" s="43"/>
    </row>
    <row r="486" spans="1:52" ht="21.75" thickBot="1" x14ac:dyDescent="0.35">
      <c r="A486" s="106">
        <v>480</v>
      </c>
      <c r="B486" s="5" t="s">
        <v>99</v>
      </c>
      <c r="C486" s="2" t="s">
        <v>573</v>
      </c>
      <c r="D486" s="32"/>
      <c r="E486" s="35" t="s">
        <v>455</v>
      </c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58">
        <f>SUM(Tabla1[[#This Row],[ENERO ]:[DICIEMBRE]])</f>
        <v>0</v>
      </c>
      <c r="W486">
        <v>0</v>
      </c>
      <c r="X486" s="21">
        <f>COUNTIF(Tabla1[[#This Row],[ENERO ]:[DICIEMBRE]],0)-(AS486)-IF(Tabla1[[#This Row],[BAJAS]]="BAJA",IF(Tabla1[[#This Row],[ALTAS]]="ALTA",VLOOKUP(Tabla1[[#This Row],[MES DE ALTA ]],$AW$6:$AX$17,2,FALSE),12)-VLOOKUP(Tabla1[[#This Row],[MES DE BAJA ]],$AW$6:$AX$17,2,FALSE),0)</f>
        <v>0</v>
      </c>
      <c r="Y486" s="68">
        <f>SUM(Tabla1[[#This Row],[MES ADEUDO DE AÑOS PASADOS ]:[MESES DE ADEUDO DEL AÑO EN CURSO ]])-Tabla1[[#This Row],[PAGO DE DEUDA ANTERIOR EN MESES]]</f>
        <v>0</v>
      </c>
      <c r="Z486" s="15">
        <f>Tabla1[[#This Row],[MES ADEUDO DE AÑOS PASADOS ]]*$T$2</f>
        <v>0</v>
      </c>
      <c r="AA486" s="15">
        <f>Tabla1[[#This Row],[MESES DE ADEUDO DEL AÑO EN CURSO ]]*$T$2</f>
        <v>0</v>
      </c>
      <c r="AB486" s="69">
        <f>SUM(Tabla1[[#This Row],[DEUDA DE LOS MESES PASADOS EN $$]:[DEUDA DEL AÑO 2013 $$ ]])</f>
        <v>0</v>
      </c>
      <c r="AD486">
        <f>Tabla1[[#This Row],[PAGO DE DEUDA ANTERIOR EN MESES]]*$T$2</f>
        <v>0</v>
      </c>
      <c r="AG486" s="100">
        <f>IF(Tabla1[[#This Row],[TIPO DE CONSUMIDOR]]="MEDIO",IF(Tabla1[[#This Row],[ENERO ]]&gt;22.5,Tabla1[[#This Row],[ENERO ]]/22.5-1,0),IF(Tabla1[[#This Row],[ENERO ]]&gt;45,Tabla1[[#This Row],[ENERO ]]/45-1,0))</f>
        <v>0</v>
      </c>
      <c r="AH48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6" s="100">
        <f>IF(Tabla1[[#This Row],[TIPO DE CONSUMIDOR]]="MEDIO",IF(Tabla1[[#This Row],[MARZO]]&gt;22.5,Tabla1[[#This Row],[MARZO]]/22.5-1,0),IF(Tabla1[[#This Row],[MARZO]]&gt;45,Tabla1[[#This Row],[MARZO]]/45-1,0))</f>
        <v>0</v>
      </c>
      <c r="AJ486" s="100">
        <f>IF(Tabla1[[#This Row],[TIPO DE CONSUMIDOR]]="MEDIO",IF(Tabla1[[#This Row],[ABRIL]]&gt;22.5,Tabla1[[#This Row],[ABRIL]]/22.5-1,0),IF(Tabla1[[#This Row],[ABRIL]]&gt;45,Tabla1[[#This Row],[ABRIL]]/45-1,0))</f>
        <v>0</v>
      </c>
      <c r="AK486" s="100">
        <f>IF(Tabla1[[#This Row],[TIPO DE CONSUMIDOR]]="MEDIO",IF(Tabla1[[#This Row],[MAYO ]]&gt;22.5,Tabla1[[#This Row],[MAYO ]]/22.5-1,0),IF(Tabla1[[#This Row],[MAYO ]]&gt;45,Tabla1[[#This Row],[MAYO ]]/45-1,0))</f>
        <v>0</v>
      </c>
      <c r="AL486" s="100">
        <f>IF(Tabla1[[#This Row],[TIPO DE CONSUMIDOR]]="MEDIO",IF(Tabla1[[#This Row],[JUNIO ]]&gt;22.5,Tabla1[[#This Row],[JUNIO ]]/22.5-1,0),IF(Tabla1[[#This Row],[JUNIO ]]&gt;45,Tabla1[[#This Row],[JUNIO ]]/45-1,0))</f>
        <v>0</v>
      </c>
      <c r="AM486" s="100">
        <f>IF(Tabla1[[#This Row],[TIPO DE CONSUMIDOR]]="MEDIO",IF(Tabla1[[#This Row],[JULIO ]]&gt;22.5,Tabla1[[#This Row],[JULIO ]]/22.5-1,0),IF(Tabla1[[#This Row],[JULIO ]]&gt;45,Tabla1[[#This Row],[JULIO ]]/45-1,0))</f>
        <v>0</v>
      </c>
      <c r="AN486" s="100">
        <f>IF(Tabla1[[#This Row],[TIPO DE CONSUMIDOR]]="MEDIO",IF(Tabla1[[#This Row],[AGOSTO]]&gt;22.5,Tabla1[[#This Row],[AGOSTO]]/22.5-1,0),IF(Tabla1[[#This Row],[AGOSTO]]&gt;45,Tabla1[[#This Row],[AGOSTO]]/45-1,0))</f>
        <v>0</v>
      </c>
      <c r="AO48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6" s="101">
        <f t="shared" si="15"/>
        <v>0</v>
      </c>
      <c r="AT486">
        <f>IF(Tabla1[[#This Row],[MES ADEUDO DE AÑOS PASADOS ]]&gt;0,1,0)</f>
        <v>0</v>
      </c>
      <c r="AU486" s="9">
        <f t="shared" si="16"/>
        <v>0</v>
      </c>
      <c r="AV486" s="60">
        <f>IF(Tabla1[[#This Row],[MESES DE ADEUDO DEL AÑO EN CURSO ]]&gt;0,1,0)</f>
        <v>0</v>
      </c>
      <c r="AW486" s="42"/>
      <c r="AX486" s="42"/>
      <c r="AY486" s="42"/>
      <c r="AZ486" s="43"/>
    </row>
    <row r="487" spans="1:52" ht="21.75" thickBot="1" x14ac:dyDescent="0.35">
      <c r="A487" s="106">
        <v>481</v>
      </c>
      <c r="B487" s="5" t="s">
        <v>124</v>
      </c>
      <c r="C487" s="2" t="s">
        <v>573</v>
      </c>
      <c r="D487" s="32"/>
      <c r="E487" s="35" t="s">
        <v>455</v>
      </c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24">
        <f>SUM(Tabla1[[#This Row],[ENERO ]:[DICIEMBRE]])</f>
        <v>0</v>
      </c>
      <c r="W487">
        <v>0</v>
      </c>
      <c r="X487" s="21">
        <f>COUNTIF(Tabla1[[#This Row],[ENERO ]:[DICIEMBRE]],0)-(AS487)-IF(Tabla1[[#This Row],[BAJAS]]="BAJA",IF(Tabla1[[#This Row],[ALTAS]]="ALTA",VLOOKUP(Tabla1[[#This Row],[MES DE ALTA ]],$AW$6:$AX$17,2,FALSE),12)-VLOOKUP(Tabla1[[#This Row],[MES DE BAJA ]],$AW$6:$AX$17,2,FALSE),0)</f>
        <v>0</v>
      </c>
      <c r="Y487" s="68">
        <f>SUM(Tabla1[[#This Row],[MES ADEUDO DE AÑOS PASADOS ]:[MESES DE ADEUDO DEL AÑO EN CURSO ]])-Tabla1[[#This Row],[PAGO DE DEUDA ANTERIOR EN MESES]]</f>
        <v>0</v>
      </c>
      <c r="Z487" s="15">
        <f>Tabla1[[#This Row],[MES ADEUDO DE AÑOS PASADOS ]]*$T$2</f>
        <v>0</v>
      </c>
      <c r="AA487" s="15">
        <f>Tabla1[[#This Row],[MESES DE ADEUDO DEL AÑO EN CURSO ]]*$T$2</f>
        <v>0</v>
      </c>
      <c r="AB487" s="69">
        <f>SUM(Tabla1[[#This Row],[DEUDA DE LOS MESES PASADOS EN $$]:[DEUDA DEL AÑO 2013 $$ ]])</f>
        <v>0</v>
      </c>
      <c r="AD487">
        <f>Tabla1[[#This Row],[PAGO DE DEUDA ANTERIOR EN MESES]]*$T$2</f>
        <v>0</v>
      </c>
      <c r="AG487" s="100">
        <f>IF(Tabla1[[#This Row],[TIPO DE CONSUMIDOR]]="MEDIO",IF(Tabla1[[#This Row],[ENERO ]]&gt;22.5,Tabla1[[#This Row],[ENERO ]]/22.5-1,0),IF(Tabla1[[#This Row],[ENERO ]]&gt;45,Tabla1[[#This Row],[ENERO ]]/45-1,0))</f>
        <v>0</v>
      </c>
      <c r="AH48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7" s="100">
        <f>IF(Tabla1[[#This Row],[TIPO DE CONSUMIDOR]]="MEDIO",IF(Tabla1[[#This Row],[MARZO]]&gt;22.5,Tabla1[[#This Row],[MARZO]]/22.5-1,0),IF(Tabla1[[#This Row],[MARZO]]&gt;45,Tabla1[[#This Row],[MARZO]]/45-1,0))</f>
        <v>0</v>
      </c>
      <c r="AJ487" s="100">
        <f>IF(Tabla1[[#This Row],[TIPO DE CONSUMIDOR]]="MEDIO",IF(Tabla1[[#This Row],[ABRIL]]&gt;22.5,Tabla1[[#This Row],[ABRIL]]/22.5-1,0),IF(Tabla1[[#This Row],[ABRIL]]&gt;45,Tabla1[[#This Row],[ABRIL]]/45-1,0))</f>
        <v>0</v>
      </c>
      <c r="AK487" s="100">
        <f>IF(Tabla1[[#This Row],[TIPO DE CONSUMIDOR]]="MEDIO",IF(Tabla1[[#This Row],[MAYO ]]&gt;22.5,Tabla1[[#This Row],[MAYO ]]/22.5-1,0),IF(Tabla1[[#This Row],[MAYO ]]&gt;45,Tabla1[[#This Row],[MAYO ]]/45-1,0))</f>
        <v>0</v>
      </c>
      <c r="AL487" s="100">
        <f>IF(Tabla1[[#This Row],[TIPO DE CONSUMIDOR]]="MEDIO",IF(Tabla1[[#This Row],[JUNIO ]]&gt;22.5,Tabla1[[#This Row],[JUNIO ]]/22.5-1,0),IF(Tabla1[[#This Row],[JUNIO ]]&gt;45,Tabla1[[#This Row],[JUNIO ]]/45-1,0))</f>
        <v>0</v>
      </c>
      <c r="AM487" s="100">
        <f>IF(Tabla1[[#This Row],[TIPO DE CONSUMIDOR]]="MEDIO",IF(Tabla1[[#This Row],[JULIO ]]&gt;22.5,Tabla1[[#This Row],[JULIO ]]/22.5-1,0),IF(Tabla1[[#This Row],[JULIO ]]&gt;45,Tabla1[[#This Row],[JULIO ]]/45-1,0))</f>
        <v>0</v>
      </c>
      <c r="AN487" s="100">
        <f>IF(Tabla1[[#This Row],[TIPO DE CONSUMIDOR]]="MEDIO",IF(Tabla1[[#This Row],[AGOSTO]]&gt;22.5,Tabla1[[#This Row],[AGOSTO]]/22.5-1,0),IF(Tabla1[[#This Row],[AGOSTO]]&gt;45,Tabla1[[#This Row],[AGOSTO]]/45-1,0))</f>
        <v>0</v>
      </c>
      <c r="AO48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7" s="101">
        <f t="shared" si="15"/>
        <v>0</v>
      </c>
      <c r="AT487">
        <f>IF(Tabla1[[#This Row],[MES ADEUDO DE AÑOS PASADOS ]]&gt;0,1,0)</f>
        <v>0</v>
      </c>
      <c r="AU487" s="9">
        <f t="shared" si="16"/>
        <v>0</v>
      </c>
      <c r="AV487" s="60">
        <f>IF(Tabla1[[#This Row],[MESES DE ADEUDO DEL AÑO EN CURSO ]]&gt;0,1,0)</f>
        <v>0</v>
      </c>
      <c r="AW487" s="42"/>
      <c r="AX487" s="42"/>
      <c r="AY487" s="42"/>
      <c r="AZ487" s="43"/>
    </row>
    <row r="488" spans="1:52" ht="21.75" thickBot="1" x14ac:dyDescent="0.35">
      <c r="A488" s="106">
        <v>482</v>
      </c>
      <c r="B488" s="5" t="s">
        <v>153</v>
      </c>
      <c r="C488" s="2" t="s">
        <v>573</v>
      </c>
      <c r="D488" s="32"/>
      <c r="E488" s="35" t="s">
        <v>455</v>
      </c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24">
        <f>SUM(Tabla1[[#This Row],[ENERO ]:[DICIEMBRE]])</f>
        <v>0</v>
      </c>
      <c r="W488">
        <v>0</v>
      </c>
      <c r="X488" s="21">
        <f>COUNTIF(Tabla1[[#This Row],[ENERO ]:[DICIEMBRE]],0)-(AS488)-IF(Tabla1[[#This Row],[BAJAS]]="BAJA",IF(Tabla1[[#This Row],[ALTAS]]="ALTA",VLOOKUP(Tabla1[[#This Row],[MES DE ALTA ]],$AW$6:$AX$17,2,FALSE),12)-VLOOKUP(Tabla1[[#This Row],[MES DE BAJA ]],$AW$6:$AX$17,2,FALSE),0)</f>
        <v>0</v>
      </c>
      <c r="Y488" s="68">
        <f>SUM(Tabla1[[#This Row],[MES ADEUDO DE AÑOS PASADOS ]:[MESES DE ADEUDO DEL AÑO EN CURSO ]])-Tabla1[[#This Row],[PAGO DE DEUDA ANTERIOR EN MESES]]</f>
        <v>0</v>
      </c>
      <c r="Z488" s="15">
        <f>Tabla1[[#This Row],[MES ADEUDO DE AÑOS PASADOS ]]*$T$2</f>
        <v>0</v>
      </c>
      <c r="AA488" s="15">
        <f>Tabla1[[#This Row],[MESES DE ADEUDO DEL AÑO EN CURSO ]]*$T$2</f>
        <v>0</v>
      </c>
      <c r="AB488" s="69">
        <f>SUM(Tabla1[[#This Row],[DEUDA DE LOS MESES PASADOS EN $$]:[DEUDA DEL AÑO 2013 $$ ]])</f>
        <v>0</v>
      </c>
      <c r="AD488">
        <f>Tabla1[[#This Row],[PAGO DE DEUDA ANTERIOR EN MESES]]*$T$2</f>
        <v>0</v>
      </c>
      <c r="AG488" s="100">
        <f>IF(Tabla1[[#This Row],[TIPO DE CONSUMIDOR]]="MEDIO",IF(Tabla1[[#This Row],[ENERO ]]&gt;22.5,Tabla1[[#This Row],[ENERO ]]/22.5-1,0),IF(Tabla1[[#This Row],[ENERO ]]&gt;45,Tabla1[[#This Row],[ENERO ]]/45-1,0))</f>
        <v>0</v>
      </c>
      <c r="AH48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8" s="100">
        <f>IF(Tabla1[[#This Row],[TIPO DE CONSUMIDOR]]="MEDIO",IF(Tabla1[[#This Row],[MARZO]]&gt;22.5,Tabla1[[#This Row],[MARZO]]/22.5-1,0),IF(Tabla1[[#This Row],[MARZO]]&gt;45,Tabla1[[#This Row],[MARZO]]/45-1,0))</f>
        <v>0</v>
      </c>
      <c r="AJ488" s="100">
        <f>IF(Tabla1[[#This Row],[TIPO DE CONSUMIDOR]]="MEDIO",IF(Tabla1[[#This Row],[ABRIL]]&gt;22.5,Tabla1[[#This Row],[ABRIL]]/22.5-1,0),IF(Tabla1[[#This Row],[ABRIL]]&gt;45,Tabla1[[#This Row],[ABRIL]]/45-1,0))</f>
        <v>0</v>
      </c>
      <c r="AK488" s="100">
        <f>IF(Tabla1[[#This Row],[TIPO DE CONSUMIDOR]]="MEDIO",IF(Tabla1[[#This Row],[MAYO ]]&gt;22.5,Tabla1[[#This Row],[MAYO ]]/22.5-1,0),IF(Tabla1[[#This Row],[MAYO ]]&gt;45,Tabla1[[#This Row],[MAYO ]]/45-1,0))</f>
        <v>0</v>
      </c>
      <c r="AL488" s="100">
        <f>IF(Tabla1[[#This Row],[TIPO DE CONSUMIDOR]]="MEDIO",IF(Tabla1[[#This Row],[JUNIO ]]&gt;22.5,Tabla1[[#This Row],[JUNIO ]]/22.5-1,0),IF(Tabla1[[#This Row],[JUNIO ]]&gt;45,Tabla1[[#This Row],[JUNIO ]]/45-1,0))</f>
        <v>0</v>
      </c>
      <c r="AM488" s="100">
        <f>IF(Tabla1[[#This Row],[TIPO DE CONSUMIDOR]]="MEDIO",IF(Tabla1[[#This Row],[JULIO ]]&gt;22.5,Tabla1[[#This Row],[JULIO ]]/22.5-1,0),IF(Tabla1[[#This Row],[JULIO ]]&gt;45,Tabla1[[#This Row],[JULIO ]]/45-1,0))</f>
        <v>0</v>
      </c>
      <c r="AN488" s="100">
        <f>IF(Tabla1[[#This Row],[TIPO DE CONSUMIDOR]]="MEDIO",IF(Tabla1[[#This Row],[AGOSTO]]&gt;22.5,Tabla1[[#This Row],[AGOSTO]]/22.5-1,0),IF(Tabla1[[#This Row],[AGOSTO]]&gt;45,Tabla1[[#This Row],[AGOSTO]]/45-1,0))</f>
        <v>0</v>
      </c>
      <c r="AO48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8" s="101">
        <f t="shared" si="15"/>
        <v>0</v>
      </c>
      <c r="AT488">
        <f>IF(Tabla1[[#This Row],[MES ADEUDO DE AÑOS PASADOS ]]&gt;0,1,0)</f>
        <v>0</v>
      </c>
      <c r="AU488" s="9">
        <f t="shared" si="16"/>
        <v>0</v>
      </c>
      <c r="AV488" s="60">
        <f>IF(Tabla1[[#This Row],[MESES DE ADEUDO DEL AÑO EN CURSO ]]&gt;0,1,0)</f>
        <v>0</v>
      </c>
      <c r="AW488" s="42"/>
      <c r="AX488" s="42"/>
      <c r="AY488" s="42"/>
      <c r="AZ488" s="43"/>
    </row>
    <row r="489" spans="1:52" ht="21.75" thickBot="1" x14ac:dyDescent="0.35">
      <c r="A489" s="106">
        <v>483</v>
      </c>
      <c r="B489" s="5" t="s">
        <v>160</v>
      </c>
      <c r="C489" s="2" t="s">
        <v>573</v>
      </c>
      <c r="D489" s="32"/>
      <c r="E489" s="35" t="s">
        <v>455</v>
      </c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24">
        <f>SUM(Tabla1[[#This Row],[ENERO ]:[DICIEMBRE]])</f>
        <v>0</v>
      </c>
      <c r="W489">
        <v>0</v>
      </c>
      <c r="X489" s="21">
        <f>COUNTIF(Tabla1[[#This Row],[ENERO ]:[DICIEMBRE]],0)-(AS489)-IF(Tabla1[[#This Row],[BAJAS]]="BAJA",IF(Tabla1[[#This Row],[ALTAS]]="ALTA",VLOOKUP(Tabla1[[#This Row],[MES DE ALTA ]],$AW$6:$AX$17,2,FALSE),12)-VLOOKUP(Tabla1[[#This Row],[MES DE BAJA ]],$AW$6:$AX$17,2,FALSE),0)</f>
        <v>0</v>
      </c>
      <c r="Y489" s="68">
        <f>SUM(Tabla1[[#This Row],[MES ADEUDO DE AÑOS PASADOS ]:[MESES DE ADEUDO DEL AÑO EN CURSO ]])-Tabla1[[#This Row],[PAGO DE DEUDA ANTERIOR EN MESES]]</f>
        <v>0</v>
      </c>
      <c r="Z489" s="15">
        <f>Tabla1[[#This Row],[MES ADEUDO DE AÑOS PASADOS ]]*$T$2</f>
        <v>0</v>
      </c>
      <c r="AA489" s="15">
        <f>Tabla1[[#This Row],[MESES DE ADEUDO DEL AÑO EN CURSO ]]*$T$2</f>
        <v>0</v>
      </c>
      <c r="AB489" s="69">
        <f>SUM(Tabla1[[#This Row],[DEUDA DE LOS MESES PASADOS EN $$]:[DEUDA DEL AÑO 2013 $$ ]])</f>
        <v>0</v>
      </c>
      <c r="AD489">
        <f>Tabla1[[#This Row],[PAGO DE DEUDA ANTERIOR EN MESES]]*$T$2</f>
        <v>0</v>
      </c>
      <c r="AG489" s="100">
        <f>IF(Tabla1[[#This Row],[TIPO DE CONSUMIDOR]]="MEDIO",IF(Tabla1[[#This Row],[ENERO ]]&gt;22.5,Tabla1[[#This Row],[ENERO ]]/22.5-1,0),IF(Tabla1[[#This Row],[ENERO ]]&gt;45,Tabla1[[#This Row],[ENERO ]]/45-1,0))</f>
        <v>0</v>
      </c>
      <c r="AH48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89" s="100">
        <f>IF(Tabla1[[#This Row],[TIPO DE CONSUMIDOR]]="MEDIO",IF(Tabla1[[#This Row],[MARZO]]&gt;22.5,Tabla1[[#This Row],[MARZO]]/22.5-1,0),IF(Tabla1[[#This Row],[MARZO]]&gt;45,Tabla1[[#This Row],[MARZO]]/45-1,0))</f>
        <v>0</v>
      </c>
      <c r="AJ489" s="100">
        <f>IF(Tabla1[[#This Row],[TIPO DE CONSUMIDOR]]="MEDIO",IF(Tabla1[[#This Row],[ABRIL]]&gt;22.5,Tabla1[[#This Row],[ABRIL]]/22.5-1,0),IF(Tabla1[[#This Row],[ABRIL]]&gt;45,Tabla1[[#This Row],[ABRIL]]/45-1,0))</f>
        <v>0</v>
      </c>
      <c r="AK489" s="100">
        <f>IF(Tabla1[[#This Row],[TIPO DE CONSUMIDOR]]="MEDIO",IF(Tabla1[[#This Row],[MAYO ]]&gt;22.5,Tabla1[[#This Row],[MAYO ]]/22.5-1,0),IF(Tabla1[[#This Row],[MAYO ]]&gt;45,Tabla1[[#This Row],[MAYO ]]/45-1,0))</f>
        <v>0</v>
      </c>
      <c r="AL489" s="100">
        <f>IF(Tabla1[[#This Row],[TIPO DE CONSUMIDOR]]="MEDIO",IF(Tabla1[[#This Row],[JUNIO ]]&gt;22.5,Tabla1[[#This Row],[JUNIO ]]/22.5-1,0),IF(Tabla1[[#This Row],[JUNIO ]]&gt;45,Tabla1[[#This Row],[JUNIO ]]/45-1,0))</f>
        <v>0</v>
      </c>
      <c r="AM489" s="100">
        <f>IF(Tabla1[[#This Row],[TIPO DE CONSUMIDOR]]="MEDIO",IF(Tabla1[[#This Row],[JULIO ]]&gt;22.5,Tabla1[[#This Row],[JULIO ]]/22.5-1,0),IF(Tabla1[[#This Row],[JULIO ]]&gt;45,Tabla1[[#This Row],[JULIO ]]/45-1,0))</f>
        <v>0</v>
      </c>
      <c r="AN489" s="100">
        <f>IF(Tabla1[[#This Row],[TIPO DE CONSUMIDOR]]="MEDIO",IF(Tabla1[[#This Row],[AGOSTO]]&gt;22.5,Tabla1[[#This Row],[AGOSTO]]/22.5-1,0),IF(Tabla1[[#This Row],[AGOSTO]]&gt;45,Tabla1[[#This Row],[AGOSTO]]/45-1,0))</f>
        <v>0</v>
      </c>
      <c r="AO48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8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8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8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89" s="101">
        <f t="shared" si="15"/>
        <v>0</v>
      </c>
      <c r="AT489">
        <f>IF(Tabla1[[#This Row],[MES ADEUDO DE AÑOS PASADOS ]]&gt;0,1,0)</f>
        <v>0</v>
      </c>
      <c r="AU489" s="9">
        <f t="shared" si="16"/>
        <v>0</v>
      </c>
      <c r="AV489" s="60">
        <f>IF(Tabla1[[#This Row],[MESES DE ADEUDO DEL AÑO EN CURSO ]]&gt;0,1,0)</f>
        <v>0</v>
      </c>
      <c r="AW489" s="42"/>
      <c r="AX489" s="42"/>
      <c r="AY489" s="42"/>
      <c r="AZ489" s="43"/>
    </row>
    <row r="490" spans="1:52" ht="21.75" thickBot="1" x14ac:dyDescent="0.35">
      <c r="A490" s="106">
        <v>484</v>
      </c>
      <c r="B490" s="5" t="s">
        <v>411</v>
      </c>
      <c r="C490" s="2" t="s">
        <v>573</v>
      </c>
      <c r="D490" s="32"/>
      <c r="E490" s="35" t="s">
        <v>455</v>
      </c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24">
        <f>SUM(Tabla1[[#This Row],[ENERO ]:[DICIEMBRE]])</f>
        <v>0</v>
      </c>
      <c r="W490">
        <v>0</v>
      </c>
      <c r="X490" s="21">
        <f>COUNTIF(Tabla1[[#This Row],[ENERO ]:[DICIEMBRE]],0)-(AS490)-IF(Tabla1[[#This Row],[BAJAS]]="BAJA",IF(Tabla1[[#This Row],[ALTAS]]="ALTA",VLOOKUP(Tabla1[[#This Row],[MES DE ALTA ]],$AW$6:$AX$17,2,FALSE),12)-VLOOKUP(Tabla1[[#This Row],[MES DE BAJA ]],$AW$6:$AX$17,2,FALSE),0)</f>
        <v>0</v>
      </c>
      <c r="Y490" s="68">
        <f>SUM(Tabla1[[#This Row],[MES ADEUDO DE AÑOS PASADOS ]:[MESES DE ADEUDO DEL AÑO EN CURSO ]])-Tabla1[[#This Row],[PAGO DE DEUDA ANTERIOR EN MESES]]</f>
        <v>0</v>
      </c>
      <c r="Z490" s="15">
        <f>Tabla1[[#This Row],[MES ADEUDO DE AÑOS PASADOS ]]*$T$2</f>
        <v>0</v>
      </c>
      <c r="AA490" s="15">
        <f>Tabla1[[#This Row],[MESES DE ADEUDO DEL AÑO EN CURSO ]]*$T$2</f>
        <v>0</v>
      </c>
      <c r="AB490" s="69">
        <f>SUM(Tabla1[[#This Row],[DEUDA DE LOS MESES PASADOS EN $$]:[DEUDA DEL AÑO 2013 $$ ]])</f>
        <v>0</v>
      </c>
      <c r="AD490">
        <f>Tabla1[[#This Row],[PAGO DE DEUDA ANTERIOR EN MESES]]*$T$2</f>
        <v>0</v>
      </c>
      <c r="AG490" s="100">
        <f>IF(Tabla1[[#This Row],[TIPO DE CONSUMIDOR]]="MEDIO",IF(Tabla1[[#This Row],[ENERO ]]&gt;22.5,Tabla1[[#This Row],[ENERO ]]/22.5-1,0),IF(Tabla1[[#This Row],[ENERO ]]&gt;45,Tabla1[[#This Row],[ENERO ]]/45-1,0))</f>
        <v>0</v>
      </c>
      <c r="AH49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0" s="100">
        <f>IF(Tabla1[[#This Row],[TIPO DE CONSUMIDOR]]="MEDIO",IF(Tabla1[[#This Row],[MARZO]]&gt;22.5,Tabla1[[#This Row],[MARZO]]/22.5-1,0),IF(Tabla1[[#This Row],[MARZO]]&gt;45,Tabla1[[#This Row],[MARZO]]/45-1,0))</f>
        <v>0</v>
      </c>
      <c r="AJ490" s="100">
        <f>IF(Tabla1[[#This Row],[TIPO DE CONSUMIDOR]]="MEDIO",IF(Tabla1[[#This Row],[ABRIL]]&gt;22.5,Tabla1[[#This Row],[ABRIL]]/22.5-1,0),IF(Tabla1[[#This Row],[ABRIL]]&gt;45,Tabla1[[#This Row],[ABRIL]]/45-1,0))</f>
        <v>0</v>
      </c>
      <c r="AK490" s="100">
        <f>IF(Tabla1[[#This Row],[TIPO DE CONSUMIDOR]]="MEDIO",IF(Tabla1[[#This Row],[MAYO ]]&gt;22.5,Tabla1[[#This Row],[MAYO ]]/22.5-1,0),IF(Tabla1[[#This Row],[MAYO ]]&gt;45,Tabla1[[#This Row],[MAYO ]]/45-1,0))</f>
        <v>0</v>
      </c>
      <c r="AL490" s="100">
        <f>IF(Tabla1[[#This Row],[TIPO DE CONSUMIDOR]]="MEDIO",IF(Tabla1[[#This Row],[JUNIO ]]&gt;22.5,Tabla1[[#This Row],[JUNIO ]]/22.5-1,0),IF(Tabla1[[#This Row],[JUNIO ]]&gt;45,Tabla1[[#This Row],[JUNIO ]]/45-1,0))</f>
        <v>0</v>
      </c>
      <c r="AM490" s="100">
        <f>IF(Tabla1[[#This Row],[TIPO DE CONSUMIDOR]]="MEDIO",IF(Tabla1[[#This Row],[JULIO ]]&gt;22.5,Tabla1[[#This Row],[JULIO ]]/22.5-1,0),IF(Tabla1[[#This Row],[JULIO ]]&gt;45,Tabla1[[#This Row],[JULIO ]]/45-1,0))</f>
        <v>0</v>
      </c>
      <c r="AN490" s="100">
        <f>IF(Tabla1[[#This Row],[TIPO DE CONSUMIDOR]]="MEDIO",IF(Tabla1[[#This Row],[AGOSTO]]&gt;22.5,Tabla1[[#This Row],[AGOSTO]]/22.5-1,0),IF(Tabla1[[#This Row],[AGOSTO]]&gt;45,Tabla1[[#This Row],[AGOSTO]]/45-1,0))</f>
        <v>0</v>
      </c>
      <c r="AO49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0" s="101">
        <f t="shared" si="15"/>
        <v>0</v>
      </c>
      <c r="AT490">
        <f>IF(Tabla1[[#This Row],[MES ADEUDO DE AÑOS PASADOS ]]&gt;0,1,0)</f>
        <v>0</v>
      </c>
      <c r="AU490" s="9">
        <f t="shared" si="16"/>
        <v>0</v>
      </c>
      <c r="AV490" s="60">
        <f>IF(Tabla1[[#This Row],[MESES DE ADEUDO DEL AÑO EN CURSO ]]&gt;0,1,0)</f>
        <v>0</v>
      </c>
      <c r="AW490" s="42"/>
      <c r="AX490" s="42"/>
      <c r="AY490" s="42"/>
      <c r="AZ490" s="43"/>
    </row>
    <row r="491" spans="1:52" ht="21.75" thickBot="1" x14ac:dyDescent="0.35">
      <c r="A491" s="106">
        <v>485</v>
      </c>
      <c r="B491" s="5" t="s">
        <v>404</v>
      </c>
      <c r="C491" s="2" t="s">
        <v>573</v>
      </c>
      <c r="D491" s="32"/>
      <c r="E491" s="35" t="s">
        <v>455</v>
      </c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24">
        <f>SUM(Tabla1[[#This Row],[ENERO ]:[DICIEMBRE]])</f>
        <v>0</v>
      </c>
      <c r="W491">
        <v>5</v>
      </c>
      <c r="X491" s="21">
        <f>COUNTIF(Tabla1[[#This Row],[ENERO ]:[DICIEMBRE]],0)-(AS491)-IF(Tabla1[[#This Row],[BAJAS]]="BAJA",IF(Tabla1[[#This Row],[ALTAS]]="ALTA",VLOOKUP(Tabla1[[#This Row],[MES DE ALTA ]],$AW$6:$AX$17,2,FALSE),12)-VLOOKUP(Tabla1[[#This Row],[MES DE BAJA ]],$AW$6:$AX$17,2,FALSE),0)</f>
        <v>0</v>
      </c>
      <c r="Y491" s="68">
        <f>SUM(Tabla1[[#This Row],[MES ADEUDO DE AÑOS PASADOS ]:[MESES DE ADEUDO DEL AÑO EN CURSO ]])-Tabla1[[#This Row],[PAGO DE DEUDA ANTERIOR EN MESES]]</f>
        <v>5</v>
      </c>
      <c r="Z491" s="15">
        <f>Tabla1[[#This Row],[MES ADEUDO DE AÑOS PASADOS ]]*$T$2</f>
        <v>225</v>
      </c>
      <c r="AA491" s="15">
        <f>Tabla1[[#This Row],[MESES DE ADEUDO DEL AÑO EN CURSO ]]*$T$2</f>
        <v>0</v>
      </c>
      <c r="AB491" s="69">
        <f>SUM(Tabla1[[#This Row],[DEUDA DE LOS MESES PASADOS EN $$]:[DEUDA DEL AÑO 2013 $$ ]])</f>
        <v>225</v>
      </c>
      <c r="AD491">
        <f>Tabla1[[#This Row],[PAGO DE DEUDA ANTERIOR EN MESES]]*$T$2</f>
        <v>0</v>
      </c>
      <c r="AG491" s="100">
        <f>IF(Tabla1[[#This Row],[TIPO DE CONSUMIDOR]]="MEDIO",IF(Tabla1[[#This Row],[ENERO ]]&gt;22.5,Tabla1[[#This Row],[ENERO ]]/22.5-1,0),IF(Tabla1[[#This Row],[ENERO ]]&gt;45,Tabla1[[#This Row],[ENERO ]]/45-1,0))</f>
        <v>0</v>
      </c>
      <c r="AH49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1" s="100">
        <f>IF(Tabla1[[#This Row],[TIPO DE CONSUMIDOR]]="MEDIO",IF(Tabla1[[#This Row],[MARZO]]&gt;22.5,Tabla1[[#This Row],[MARZO]]/22.5-1,0),IF(Tabla1[[#This Row],[MARZO]]&gt;45,Tabla1[[#This Row],[MARZO]]/45-1,0))</f>
        <v>0</v>
      </c>
      <c r="AJ491" s="100">
        <f>IF(Tabla1[[#This Row],[TIPO DE CONSUMIDOR]]="MEDIO",IF(Tabla1[[#This Row],[ABRIL]]&gt;22.5,Tabla1[[#This Row],[ABRIL]]/22.5-1,0),IF(Tabla1[[#This Row],[ABRIL]]&gt;45,Tabla1[[#This Row],[ABRIL]]/45-1,0))</f>
        <v>0</v>
      </c>
      <c r="AK491" s="100">
        <f>IF(Tabla1[[#This Row],[TIPO DE CONSUMIDOR]]="MEDIO",IF(Tabla1[[#This Row],[MAYO ]]&gt;22.5,Tabla1[[#This Row],[MAYO ]]/22.5-1,0),IF(Tabla1[[#This Row],[MAYO ]]&gt;45,Tabla1[[#This Row],[MAYO ]]/45-1,0))</f>
        <v>0</v>
      </c>
      <c r="AL491" s="100">
        <f>IF(Tabla1[[#This Row],[TIPO DE CONSUMIDOR]]="MEDIO",IF(Tabla1[[#This Row],[JUNIO ]]&gt;22.5,Tabla1[[#This Row],[JUNIO ]]/22.5-1,0),IF(Tabla1[[#This Row],[JUNIO ]]&gt;45,Tabla1[[#This Row],[JUNIO ]]/45-1,0))</f>
        <v>0</v>
      </c>
      <c r="AM491" s="100">
        <f>IF(Tabla1[[#This Row],[TIPO DE CONSUMIDOR]]="MEDIO",IF(Tabla1[[#This Row],[JULIO ]]&gt;22.5,Tabla1[[#This Row],[JULIO ]]/22.5-1,0),IF(Tabla1[[#This Row],[JULIO ]]&gt;45,Tabla1[[#This Row],[JULIO ]]/45-1,0))</f>
        <v>0</v>
      </c>
      <c r="AN491" s="100">
        <f>IF(Tabla1[[#This Row],[TIPO DE CONSUMIDOR]]="MEDIO",IF(Tabla1[[#This Row],[AGOSTO]]&gt;22.5,Tabla1[[#This Row],[AGOSTO]]/22.5-1,0),IF(Tabla1[[#This Row],[AGOSTO]]&gt;45,Tabla1[[#This Row],[AGOSTO]]/45-1,0))</f>
        <v>0</v>
      </c>
      <c r="AO49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1" s="101">
        <f t="shared" si="15"/>
        <v>0</v>
      </c>
      <c r="AT491">
        <f>IF(Tabla1[[#This Row],[MES ADEUDO DE AÑOS PASADOS ]]&gt;0,1,0)</f>
        <v>1</v>
      </c>
      <c r="AU491" s="9">
        <f t="shared" si="16"/>
        <v>1</v>
      </c>
      <c r="AV491" s="60">
        <f>IF(Tabla1[[#This Row],[MESES DE ADEUDO DEL AÑO EN CURSO ]]&gt;0,1,0)</f>
        <v>0</v>
      </c>
      <c r="AW491" s="42"/>
      <c r="AX491" s="42"/>
      <c r="AY491" s="42"/>
      <c r="AZ491" s="43"/>
    </row>
    <row r="492" spans="1:52" ht="21.75" thickBot="1" x14ac:dyDescent="0.35">
      <c r="A492" s="106">
        <v>486</v>
      </c>
      <c r="B492" s="5" t="s">
        <v>136</v>
      </c>
      <c r="C492" s="2" t="s">
        <v>573</v>
      </c>
      <c r="D492" s="32"/>
      <c r="E492" s="35" t="s">
        <v>455</v>
      </c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24">
        <f>SUM(Tabla1[[#This Row],[ENERO ]:[DICIEMBRE]])</f>
        <v>0</v>
      </c>
      <c r="W492">
        <v>9</v>
      </c>
      <c r="X492" s="21">
        <f>COUNTIF(Tabla1[[#This Row],[ENERO ]:[DICIEMBRE]],0)-(AS492)-IF(Tabla1[[#This Row],[BAJAS]]="BAJA",IF(Tabla1[[#This Row],[ALTAS]]="ALTA",VLOOKUP(Tabla1[[#This Row],[MES DE ALTA ]],$AW$6:$AX$17,2,FALSE),12)-VLOOKUP(Tabla1[[#This Row],[MES DE BAJA ]],$AW$6:$AX$17,2,FALSE),0)</f>
        <v>0</v>
      </c>
      <c r="Y492" s="68">
        <f>SUM(Tabla1[[#This Row],[MES ADEUDO DE AÑOS PASADOS ]:[MESES DE ADEUDO DEL AÑO EN CURSO ]])-Tabla1[[#This Row],[PAGO DE DEUDA ANTERIOR EN MESES]]</f>
        <v>9</v>
      </c>
      <c r="Z492" s="15">
        <f>Tabla1[[#This Row],[MES ADEUDO DE AÑOS PASADOS ]]*$T$2</f>
        <v>405</v>
      </c>
      <c r="AA492" s="15">
        <f>Tabla1[[#This Row],[MESES DE ADEUDO DEL AÑO EN CURSO ]]*$T$2</f>
        <v>0</v>
      </c>
      <c r="AB492" s="69">
        <f>SUM(Tabla1[[#This Row],[DEUDA DE LOS MESES PASADOS EN $$]:[DEUDA DEL AÑO 2013 $$ ]])</f>
        <v>405</v>
      </c>
      <c r="AD492">
        <f>Tabla1[[#This Row],[PAGO DE DEUDA ANTERIOR EN MESES]]*$T$2</f>
        <v>0</v>
      </c>
      <c r="AG492" s="100">
        <f>IF(Tabla1[[#This Row],[TIPO DE CONSUMIDOR]]="MEDIO",IF(Tabla1[[#This Row],[ENERO ]]&gt;22.5,Tabla1[[#This Row],[ENERO ]]/22.5-1,0),IF(Tabla1[[#This Row],[ENERO ]]&gt;45,Tabla1[[#This Row],[ENERO ]]/45-1,0))</f>
        <v>0</v>
      </c>
      <c r="AH49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2" s="100">
        <f>IF(Tabla1[[#This Row],[TIPO DE CONSUMIDOR]]="MEDIO",IF(Tabla1[[#This Row],[MARZO]]&gt;22.5,Tabla1[[#This Row],[MARZO]]/22.5-1,0),IF(Tabla1[[#This Row],[MARZO]]&gt;45,Tabla1[[#This Row],[MARZO]]/45-1,0))</f>
        <v>0</v>
      </c>
      <c r="AJ492" s="100">
        <f>IF(Tabla1[[#This Row],[TIPO DE CONSUMIDOR]]="MEDIO",IF(Tabla1[[#This Row],[ABRIL]]&gt;22.5,Tabla1[[#This Row],[ABRIL]]/22.5-1,0),IF(Tabla1[[#This Row],[ABRIL]]&gt;45,Tabla1[[#This Row],[ABRIL]]/45-1,0))</f>
        <v>0</v>
      </c>
      <c r="AK492" s="100">
        <f>IF(Tabla1[[#This Row],[TIPO DE CONSUMIDOR]]="MEDIO",IF(Tabla1[[#This Row],[MAYO ]]&gt;22.5,Tabla1[[#This Row],[MAYO ]]/22.5-1,0),IF(Tabla1[[#This Row],[MAYO ]]&gt;45,Tabla1[[#This Row],[MAYO ]]/45-1,0))</f>
        <v>0</v>
      </c>
      <c r="AL492" s="100">
        <f>IF(Tabla1[[#This Row],[TIPO DE CONSUMIDOR]]="MEDIO",IF(Tabla1[[#This Row],[JUNIO ]]&gt;22.5,Tabla1[[#This Row],[JUNIO ]]/22.5-1,0),IF(Tabla1[[#This Row],[JUNIO ]]&gt;45,Tabla1[[#This Row],[JUNIO ]]/45-1,0))</f>
        <v>0</v>
      </c>
      <c r="AM492" s="100">
        <f>IF(Tabla1[[#This Row],[TIPO DE CONSUMIDOR]]="MEDIO",IF(Tabla1[[#This Row],[JULIO ]]&gt;22.5,Tabla1[[#This Row],[JULIO ]]/22.5-1,0),IF(Tabla1[[#This Row],[JULIO ]]&gt;45,Tabla1[[#This Row],[JULIO ]]/45-1,0))</f>
        <v>0</v>
      </c>
      <c r="AN492" s="100">
        <f>IF(Tabla1[[#This Row],[TIPO DE CONSUMIDOR]]="MEDIO",IF(Tabla1[[#This Row],[AGOSTO]]&gt;22.5,Tabla1[[#This Row],[AGOSTO]]/22.5-1,0),IF(Tabla1[[#This Row],[AGOSTO]]&gt;45,Tabla1[[#This Row],[AGOSTO]]/45-1,0))</f>
        <v>0</v>
      </c>
      <c r="AO49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2" s="101">
        <f t="shared" si="15"/>
        <v>0</v>
      </c>
      <c r="AT492">
        <f>IF(Tabla1[[#This Row],[MES ADEUDO DE AÑOS PASADOS ]]&gt;0,1,0)</f>
        <v>1</v>
      </c>
      <c r="AU492" s="9">
        <f t="shared" si="16"/>
        <v>1</v>
      </c>
      <c r="AV492" s="60">
        <f>IF(Tabla1[[#This Row],[MESES DE ADEUDO DEL AÑO EN CURSO ]]&gt;0,1,0)</f>
        <v>0</v>
      </c>
      <c r="AW492" s="42"/>
      <c r="AX492" s="42"/>
      <c r="AY492" s="42"/>
      <c r="AZ492" s="43"/>
    </row>
    <row r="493" spans="1:52" ht="21.75" thickBot="1" x14ac:dyDescent="0.35">
      <c r="A493" s="106">
        <v>487</v>
      </c>
      <c r="B493" s="5" t="s">
        <v>263</v>
      </c>
      <c r="C493" s="2" t="s">
        <v>573</v>
      </c>
      <c r="D493" s="32"/>
      <c r="E493" s="35" t="s">
        <v>455</v>
      </c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58">
        <f>SUM(Tabla1[[#This Row],[ENERO ]:[DICIEMBRE]])</f>
        <v>0</v>
      </c>
      <c r="W493">
        <v>10</v>
      </c>
      <c r="X493" s="21">
        <f>COUNTIF(Tabla1[[#This Row],[ENERO ]:[DICIEMBRE]],0)-(AS493)-IF(Tabla1[[#This Row],[BAJAS]]="BAJA",IF(Tabla1[[#This Row],[ALTAS]]="ALTA",VLOOKUP(Tabla1[[#This Row],[MES DE ALTA ]],$AW$6:$AX$17,2,FALSE),12)-VLOOKUP(Tabla1[[#This Row],[MES DE BAJA ]],$AW$6:$AX$17,2,FALSE),0)</f>
        <v>0</v>
      </c>
      <c r="Y493" s="68">
        <f>SUM(Tabla1[[#This Row],[MES ADEUDO DE AÑOS PASADOS ]:[MESES DE ADEUDO DEL AÑO EN CURSO ]])-Tabla1[[#This Row],[PAGO DE DEUDA ANTERIOR EN MESES]]</f>
        <v>10</v>
      </c>
      <c r="Z493" s="15">
        <f>Tabla1[[#This Row],[MES ADEUDO DE AÑOS PASADOS ]]*$T$2</f>
        <v>450</v>
      </c>
      <c r="AA493" s="15">
        <f>Tabla1[[#This Row],[MESES DE ADEUDO DEL AÑO EN CURSO ]]*$T$2</f>
        <v>0</v>
      </c>
      <c r="AB493" s="69">
        <f>SUM(Tabla1[[#This Row],[DEUDA DE LOS MESES PASADOS EN $$]:[DEUDA DEL AÑO 2013 $$ ]])</f>
        <v>450</v>
      </c>
      <c r="AD493">
        <f>Tabla1[[#This Row],[PAGO DE DEUDA ANTERIOR EN MESES]]*$T$2</f>
        <v>0</v>
      </c>
      <c r="AG493" s="100">
        <f>IF(Tabla1[[#This Row],[TIPO DE CONSUMIDOR]]="MEDIO",IF(Tabla1[[#This Row],[ENERO ]]&gt;22.5,Tabla1[[#This Row],[ENERO ]]/22.5-1,0),IF(Tabla1[[#This Row],[ENERO ]]&gt;45,Tabla1[[#This Row],[ENERO ]]/45-1,0))</f>
        <v>0</v>
      </c>
      <c r="AH49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3" s="100">
        <f>IF(Tabla1[[#This Row],[TIPO DE CONSUMIDOR]]="MEDIO",IF(Tabla1[[#This Row],[MARZO]]&gt;22.5,Tabla1[[#This Row],[MARZO]]/22.5-1,0),IF(Tabla1[[#This Row],[MARZO]]&gt;45,Tabla1[[#This Row],[MARZO]]/45-1,0))</f>
        <v>0</v>
      </c>
      <c r="AJ493" s="100">
        <f>IF(Tabla1[[#This Row],[TIPO DE CONSUMIDOR]]="MEDIO",IF(Tabla1[[#This Row],[ABRIL]]&gt;22.5,Tabla1[[#This Row],[ABRIL]]/22.5-1,0),IF(Tabla1[[#This Row],[ABRIL]]&gt;45,Tabla1[[#This Row],[ABRIL]]/45-1,0))</f>
        <v>0</v>
      </c>
      <c r="AK493" s="100">
        <f>IF(Tabla1[[#This Row],[TIPO DE CONSUMIDOR]]="MEDIO",IF(Tabla1[[#This Row],[MAYO ]]&gt;22.5,Tabla1[[#This Row],[MAYO ]]/22.5-1,0),IF(Tabla1[[#This Row],[MAYO ]]&gt;45,Tabla1[[#This Row],[MAYO ]]/45-1,0))</f>
        <v>0</v>
      </c>
      <c r="AL493" s="100">
        <f>IF(Tabla1[[#This Row],[TIPO DE CONSUMIDOR]]="MEDIO",IF(Tabla1[[#This Row],[JUNIO ]]&gt;22.5,Tabla1[[#This Row],[JUNIO ]]/22.5-1,0),IF(Tabla1[[#This Row],[JUNIO ]]&gt;45,Tabla1[[#This Row],[JUNIO ]]/45-1,0))</f>
        <v>0</v>
      </c>
      <c r="AM493" s="100">
        <f>IF(Tabla1[[#This Row],[TIPO DE CONSUMIDOR]]="MEDIO",IF(Tabla1[[#This Row],[JULIO ]]&gt;22.5,Tabla1[[#This Row],[JULIO ]]/22.5-1,0),IF(Tabla1[[#This Row],[JULIO ]]&gt;45,Tabla1[[#This Row],[JULIO ]]/45-1,0))</f>
        <v>0</v>
      </c>
      <c r="AN493" s="100">
        <f>IF(Tabla1[[#This Row],[TIPO DE CONSUMIDOR]]="MEDIO",IF(Tabla1[[#This Row],[AGOSTO]]&gt;22.5,Tabla1[[#This Row],[AGOSTO]]/22.5-1,0),IF(Tabla1[[#This Row],[AGOSTO]]&gt;45,Tabla1[[#This Row],[AGOSTO]]/45-1,0))</f>
        <v>0</v>
      </c>
      <c r="AO49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3" s="101">
        <f t="shared" si="15"/>
        <v>0</v>
      </c>
      <c r="AT493">
        <f>IF(Tabla1[[#This Row],[MES ADEUDO DE AÑOS PASADOS ]]&gt;0,1,0)</f>
        <v>1</v>
      </c>
      <c r="AU493" s="9">
        <f t="shared" si="16"/>
        <v>1</v>
      </c>
      <c r="AV493" s="60">
        <f>IF(Tabla1[[#This Row],[MESES DE ADEUDO DEL AÑO EN CURSO ]]&gt;0,1,0)</f>
        <v>0</v>
      </c>
      <c r="AW493" s="42"/>
      <c r="AX493" s="42"/>
      <c r="AY493" s="42"/>
      <c r="AZ493" s="43"/>
    </row>
    <row r="494" spans="1:52" ht="21.75" thickBot="1" x14ac:dyDescent="0.35">
      <c r="A494" s="106">
        <v>488</v>
      </c>
      <c r="B494" s="5" t="s">
        <v>200</v>
      </c>
      <c r="C494" s="2" t="s">
        <v>573</v>
      </c>
      <c r="D494" s="32"/>
      <c r="E494" s="35" t="s">
        <v>455</v>
      </c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24">
        <f>SUM(Tabla1[[#This Row],[ENERO ]:[DICIEMBRE]])</f>
        <v>0</v>
      </c>
      <c r="W494">
        <v>11</v>
      </c>
      <c r="X494" s="21">
        <f>COUNTIF(Tabla1[[#This Row],[ENERO ]:[DICIEMBRE]],0)-(AS494)-IF(Tabla1[[#This Row],[BAJAS]]="BAJA",IF(Tabla1[[#This Row],[ALTAS]]="ALTA",VLOOKUP(Tabla1[[#This Row],[MES DE ALTA ]],$AW$6:$AX$17,2,FALSE),12)-VLOOKUP(Tabla1[[#This Row],[MES DE BAJA ]],$AW$6:$AX$17,2,FALSE),0)</f>
        <v>0</v>
      </c>
      <c r="Y494" s="68">
        <f>SUM(Tabla1[[#This Row],[MES ADEUDO DE AÑOS PASADOS ]:[MESES DE ADEUDO DEL AÑO EN CURSO ]])-Tabla1[[#This Row],[PAGO DE DEUDA ANTERIOR EN MESES]]</f>
        <v>11</v>
      </c>
      <c r="Z494" s="15">
        <f>Tabla1[[#This Row],[MES ADEUDO DE AÑOS PASADOS ]]*$T$2</f>
        <v>495</v>
      </c>
      <c r="AA494" s="15">
        <f>Tabla1[[#This Row],[MESES DE ADEUDO DEL AÑO EN CURSO ]]*$T$2</f>
        <v>0</v>
      </c>
      <c r="AB494" s="69">
        <f>SUM(Tabla1[[#This Row],[DEUDA DE LOS MESES PASADOS EN $$]:[DEUDA DEL AÑO 2013 $$ ]])</f>
        <v>495</v>
      </c>
      <c r="AD494">
        <f>Tabla1[[#This Row],[PAGO DE DEUDA ANTERIOR EN MESES]]*$T$2</f>
        <v>0</v>
      </c>
      <c r="AG494" s="100">
        <f>IF(Tabla1[[#This Row],[TIPO DE CONSUMIDOR]]="MEDIO",IF(Tabla1[[#This Row],[ENERO ]]&gt;22.5,Tabla1[[#This Row],[ENERO ]]/22.5-1,0),IF(Tabla1[[#This Row],[ENERO ]]&gt;45,Tabla1[[#This Row],[ENERO ]]/45-1,0))</f>
        <v>0</v>
      </c>
      <c r="AH49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4" s="100">
        <f>IF(Tabla1[[#This Row],[TIPO DE CONSUMIDOR]]="MEDIO",IF(Tabla1[[#This Row],[MARZO]]&gt;22.5,Tabla1[[#This Row],[MARZO]]/22.5-1,0),IF(Tabla1[[#This Row],[MARZO]]&gt;45,Tabla1[[#This Row],[MARZO]]/45-1,0))</f>
        <v>0</v>
      </c>
      <c r="AJ494" s="100">
        <f>IF(Tabla1[[#This Row],[TIPO DE CONSUMIDOR]]="MEDIO",IF(Tabla1[[#This Row],[ABRIL]]&gt;22.5,Tabla1[[#This Row],[ABRIL]]/22.5-1,0),IF(Tabla1[[#This Row],[ABRIL]]&gt;45,Tabla1[[#This Row],[ABRIL]]/45-1,0))</f>
        <v>0</v>
      </c>
      <c r="AK494" s="100">
        <f>IF(Tabla1[[#This Row],[TIPO DE CONSUMIDOR]]="MEDIO",IF(Tabla1[[#This Row],[MAYO ]]&gt;22.5,Tabla1[[#This Row],[MAYO ]]/22.5-1,0),IF(Tabla1[[#This Row],[MAYO ]]&gt;45,Tabla1[[#This Row],[MAYO ]]/45-1,0))</f>
        <v>0</v>
      </c>
      <c r="AL494" s="100">
        <f>IF(Tabla1[[#This Row],[TIPO DE CONSUMIDOR]]="MEDIO",IF(Tabla1[[#This Row],[JUNIO ]]&gt;22.5,Tabla1[[#This Row],[JUNIO ]]/22.5-1,0),IF(Tabla1[[#This Row],[JUNIO ]]&gt;45,Tabla1[[#This Row],[JUNIO ]]/45-1,0))</f>
        <v>0</v>
      </c>
      <c r="AM494" s="100">
        <f>IF(Tabla1[[#This Row],[TIPO DE CONSUMIDOR]]="MEDIO",IF(Tabla1[[#This Row],[JULIO ]]&gt;22.5,Tabla1[[#This Row],[JULIO ]]/22.5-1,0),IF(Tabla1[[#This Row],[JULIO ]]&gt;45,Tabla1[[#This Row],[JULIO ]]/45-1,0))</f>
        <v>0</v>
      </c>
      <c r="AN494" s="100">
        <f>IF(Tabla1[[#This Row],[TIPO DE CONSUMIDOR]]="MEDIO",IF(Tabla1[[#This Row],[AGOSTO]]&gt;22.5,Tabla1[[#This Row],[AGOSTO]]/22.5-1,0),IF(Tabla1[[#This Row],[AGOSTO]]&gt;45,Tabla1[[#This Row],[AGOSTO]]/45-1,0))</f>
        <v>0</v>
      </c>
      <c r="AO49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4" s="101">
        <f t="shared" si="15"/>
        <v>0</v>
      </c>
      <c r="AT494">
        <f>IF(Tabla1[[#This Row],[MES ADEUDO DE AÑOS PASADOS ]]&gt;0,1,0)</f>
        <v>1</v>
      </c>
      <c r="AU494" s="9">
        <f t="shared" si="16"/>
        <v>1</v>
      </c>
      <c r="AV494" s="60">
        <f>IF(Tabla1[[#This Row],[MESES DE ADEUDO DEL AÑO EN CURSO ]]&gt;0,1,0)</f>
        <v>0</v>
      </c>
      <c r="AW494" s="42"/>
      <c r="AX494" s="42"/>
      <c r="AY494" s="42"/>
      <c r="AZ494" s="43"/>
    </row>
    <row r="495" spans="1:52" ht="21.75" thickBot="1" x14ac:dyDescent="0.35">
      <c r="A495" s="106">
        <v>489</v>
      </c>
      <c r="B495" s="5" t="s">
        <v>340</v>
      </c>
      <c r="C495" s="2" t="s">
        <v>573</v>
      </c>
      <c r="D495" s="32"/>
      <c r="E495" s="35" t="s">
        <v>455</v>
      </c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24">
        <f>SUM(Tabla1[[#This Row],[ENERO ]:[DICIEMBRE]])</f>
        <v>0</v>
      </c>
      <c r="W495">
        <v>16</v>
      </c>
      <c r="X495" s="21">
        <f>COUNTIF(Tabla1[[#This Row],[ENERO ]:[DICIEMBRE]],0)-(AS495)-IF(Tabla1[[#This Row],[BAJAS]]="BAJA",IF(Tabla1[[#This Row],[ALTAS]]="ALTA",VLOOKUP(Tabla1[[#This Row],[MES DE ALTA ]],$AW$6:$AX$17,2,FALSE),12)-VLOOKUP(Tabla1[[#This Row],[MES DE BAJA ]],$AW$6:$AX$17,2,FALSE),0)</f>
        <v>0</v>
      </c>
      <c r="Y495" s="68">
        <f>SUM(Tabla1[[#This Row],[MES ADEUDO DE AÑOS PASADOS ]:[MESES DE ADEUDO DEL AÑO EN CURSO ]])-Tabla1[[#This Row],[PAGO DE DEUDA ANTERIOR EN MESES]]</f>
        <v>16</v>
      </c>
      <c r="Z495" s="15">
        <f>Tabla1[[#This Row],[MES ADEUDO DE AÑOS PASADOS ]]*$T$2</f>
        <v>720</v>
      </c>
      <c r="AA495" s="15">
        <f>Tabla1[[#This Row],[MESES DE ADEUDO DEL AÑO EN CURSO ]]*$T$2</f>
        <v>0</v>
      </c>
      <c r="AB495" s="69">
        <f>SUM(Tabla1[[#This Row],[DEUDA DE LOS MESES PASADOS EN $$]:[DEUDA DEL AÑO 2013 $$ ]])</f>
        <v>720</v>
      </c>
      <c r="AD495">
        <f>Tabla1[[#This Row],[PAGO DE DEUDA ANTERIOR EN MESES]]*$T$2</f>
        <v>0</v>
      </c>
      <c r="AG495" s="100">
        <f>IF(Tabla1[[#This Row],[TIPO DE CONSUMIDOR]]="MEDIO",IF(Tabla1[[#This Row],[ENERO ]]&gt;22.5,Tabla1[[#This Row],[ENERO ]]/22.5-1,0),IF(Tabla1[[#This Row],[ENERO ]]&gt;45,Tabla1[[#This Row],[ENERO ]]/45-1,0))</f>
        <v>0</v>
      </c>
      <c r="AH49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5" s="100">
        <f>IF(Tabla1[[#This Row],[TIPO DE CONSUMIDOR]]="MEDIO",IF(Tabla1[[#This Row],[MARZO]]&gt;22.5,Tabla1[[#This Row],[MARZO]]/22.5-1,0),IF(Tabla1[[#This Row],[MARZO]]&gt;45,Tabla1[[#This Row],[MARZO]]/45-1,0))</f>
        <v>0</v>
      </c>
      <c r="AJ495" s="100">
        <f>IF(Tabla1[[#This Row],[TIPO DE CONSUMIDOR]]="MEDIO",IF(Tabla1[[#This Row],[ABRIL]]&gt;22.5,Tabla1[[#This Row],[ABRIL]]/22.5-1,0),IF(Tabla1[[#This Row],[ABRIL]]&gt;45,Tabla1[[#This Row],[ABRIL]]/45-1,0))</f>
        <v>0</v>
      </c>
      <c r="AK495" s="100">
        <f>IF(Tabla1[[#This Row],[TIPO DE CONSUMIDOR]]="MEDIO",IF(Tabla1[[#This Row],[MAYO ]]&gt;22.5,Tabla1[[#This Row],[MAYO ]]/22.5-1,0),IF(Tabla1[[#This Row],[MAYO ]]&gt;45,Tabla1[[#This Row],[MAYO ]]/45-1,0))</f>
        <v>0</v>
      </c>
      <c r="AL495" s="100">
        <f>IF(Tabla1[[#This Row],[TIPO DE CONSUMIDOR]]="MEDIO",IF(Tabla1[[#This Row],[JUNIO ]]&gt;22.5,Tabla1[[#This Row],[JUNIO ]]/22.5-1,0),IF(Tabla1[[#This Row],[JUNIO ]]&gt;45,Tabla1[[#This Row],[JUNIO ]]/45-1,0))</f>
        <v>0</v>
      </c>
      <c r="AM495" s="100">
        <f>IF(Tabla1[[#This Row],[TIPO DE CONSUMIDOR]]="MEDIO",IF(Tabla1[[#This Row],[JULIO ]]&gt;22.5,Tabla1[[#This Row],[JULIO ]]/22.5-1,0),IF(Tabla1[[#This Row],[JULIO ]]&gt;45,Tabla1[[#This Row],[JULIO ]]/45-1,0))</f>
        <v>0</v>
      </c>
      <c r="AN495" s="100">
        <f>IF(Tabla1[[#This Row],[TIPO DE CONSUMIDOR]]="MEDIO",IF(Tabla1[[#This Row],[AGOSTO]]&gt;22.5,Tabla1[[#This Row],[AGOSTO]]/22.5-1,0),IF(Tabla1[[#This Row],[AGOSTO]]&gt;45,Tabla1[[#This Row],[AGOSTO]]/45-1,0))</f>
        <v>0</v>
      </c>
      <c r="AO49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5" s="101">
        <f t="shared" si="15"/>
        <v>0</v>
      </c>
      <c r="AT495">
        <f>IF(Tabla1[[#This Row],[MES ADEUDO DE AÑOS PASADOS ]]&gt;0,1,0)</f>
        <v>1</v>
      </c>
      <c r="AU495" s="9">
        <f t="shared" si="16"/>
        <v>1</v>
      </c>
      <c r="AV495" s="60">
        <f>IF(Tabla1[[#This Row],[MESES DE ADEUDO DEL AÑO EN CURSO ]]&gt;0,1,0)</f>
        <v>0</v>
      </c>
      <c r="AW495" s="42"/>
      <c r="AX495" s="42"/>
      <c r="AY495" s="42"/>
      <c r="AZ495" s="43"/>
    </row>
    <row r="496" spans="1:52" ht="21.75" thickBot="1" x14ac:dyDescent="0.35">
      <c r="A496" s="106">
        <v>490</v>
      </c>
      <c r="B496" s="5" t="s">
        <v>66</v>
      </c>
      <c r="C496" s="2" t="s">
        <v>575</v>
      </c>
      <c r="D496" s="32"/>
      <c r="E496" s="35" t="s">
        <v>455</v>
      </c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24">
        <f>SUM(Tabla1[[#This Row],[ENERO ]:[DICIEMBRE]])</f>
        <v>0</v>
      </c>
      <c r="W496">
        <v>0</v>
      </c>
      <c r="X496" s="21">
        <f>COUNTIF(Tabla1[[#This Row],[ENERO ]:[DICIEMBRE]],0)-(AS496)-IF(Tabla1[[#This Row],[BAJAS]]="BAJA",IF(Tabla1[[#This Row],[ALTAS]]="ALTA",VLOOKUP(Tabla1[[#This Row],[MES DE ALTA ]],$AW$6:$AX$17,2,FALSE),12)-VLOOKUP(Tabla1[[#This Row],[MES DE BAJA ]],$AW$6:$AX$17,2,FALSE),0)</f>
        <v>0</v>
      </c>
      <c r="Y496" s="68">
        <f>SUM(Tabla1[[#This Row],[MES ADEUDO DE AÑOS PASADOS ]:[MESES DE ADEUDO DEL AÑO EN CURSO ]])-Tabla1[[#This Row],[PAGO DE DEUDA ANTERIOR EN MESES]]</f>
        <v>0</v>
      </c>
      <c r="Z496" s="15">
        <f>Tabla1[[#This Row],[MES ADEUDO DE AÑOS PASADOS ]]*$T$2</f>
        <v>0</v>
      </c>
      <c r="AA496" s="15">
        <f>Tabla1[[#This Row],[MESES DE ADEUDO DEL AÑO EN CURSO ]]*$T$2</f>
        <v>0</v>
      </c>
      <c r="AB496" s="69">
        <f>SUM(Tabla1[[#This Row],[DEUDA DE LOS MESES PASADOS EN $$]:[DEUDA DEL AÑO 2013 $$ ]])</f>
        <v>0</v>
      </c>
      <c r="AD496">
        <f>Tabla1[[#This Row],[PAGO DE DEUDA ANTERIOR EN MESES]]*$T$2</f>
        <v>0</v>
      </c>
      <c r="AG496" s="100">
        <f>IF(Tabla1[[#This Row],[TIPO DE CONSUMIDOR]]="MEDIO",IF(Tabla1[[#This Row],[ENERO ]]&gt;22.5,Tabla1[[#This Row],[ENERO ]]/22.5-1,0),IF(Tabla1[[#This Row],[ENERO ]]&gt;45,Tabla1[[#This Row],[ENERO ]]/45-1,0))</f>
        <v>0</v>
      </c>
      <c r="AH49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6" s="100">
        <f>IF(Tabla1[[#This Row],[TIPO DE CONSUMIDOR]]="MEDIO",IF(Tabla1[[#This Row],[MARZO]]&gt;22.5,Tabla1[[#This Row],[MARZO]]/22.5-1,0),IF(Tabla1[[#This Row],[MARZO]]&gt;45,Tabla1[[#This Row],[MARZO]]/45-1,0))</f>
        <v>0</v>
      </c>
      <c r="AJ496" s="100">
        <f>IF(Tabla1[[#This Row],[TIPO DE CONSUMIDOR]]="MEDIO",IF(Tabla1[[#This Row],[ABRIL]]&gt;22.5,Tabla1[[#This Row],[ABRIL]]/22.5-1,0),IF(Tabla1[[#This Row],[ABRIL]]&gt;45,Tabla1[[#This Row],[ABRIL]]/45-1,0))</f>
        <v>0</v>
      </c>
      <c r="AK496" s="100">
        <f>IF(Tabla1[[#This Row],[TIPO DE CONSUMIDOR]]="MEDIO",IF(Tabla1[[#This Row],[MAYO ]]&gt;22.5,Tabla1[[#This Row],[MAYO ]]/22.5-1,0),IF(Tabla1[[#This Row],[MAYO ]]&gt;45,Tabla1[[#This Row],[MAYO ]]/45-1,0))</f>
        <v>0</v>
      </c>
      <c r="AL496" s="100">
        <f>IF(Tabla1[[#This Row],[TIPO DE CONSUMIDOR]]="MEDIO",IF(Tabla1[[#This Row],[JUNIO ]]&gt;22.5,Tabla1[[#This Row],[JUNIO ]]/22.5-1,0),IF(Tabla1[[#This Row],[JUNIO ]]&gt;45,Tabla1[[#This Row],[JUNIO ]]/45-1,0))</f>
        <v>0</v>
      </c>
      <c r="AM496" s="100">
        <f>IF(Tabla1[[#This Row],[TIPO DE CONSUMIDOR]]="MEDIO",IF(Tabla1[[#This Row],[JULIO ]]&gt;22.5,Tabla1[[#This Row],[JULIO ]]/22.5-1,0),IF(Tabla1[[#This Row],[JULIO ]]&gt;45,Tabla1[[#This Row],[JULIO ]]/45-1,0))</f>
        <v>0</v>
      </c>
      <c r="AN496" s="100">
        <f>IF(Tabla1[[#This Row],[TIPO DE CONSUMIDOR]]="MEDIO",IF(Tabla1[[#This Row],[AGOSTO]]&gt;22.5,Tabla1[[#This Row],[AGOSTO]]/22.5-1,0),IF(Tabla1[[#This Row],[AGOSTO]]&gt;45,Tabla1[[#This Row],[AGOSTO]]/45-1,0))</f>
        <v>0</v>
      </c>
      <c r="AO49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6" s="101">
        <f t="shared" si="15"/>
        <v>0</v>
      </c>
      <c r="AT496">
        <f>IF(Tabla1[[#This Row],[MES ADEUDO DE AÑOS PASADOS ]]&gt;0,1,0)</f>
        <v>0</v>
      </c>
      <c r="AU496" s="9">
        <f t="shared" si="16"/>
        <v>0</v>
      </c>
      <c r="AV496" s="60">
        <f>IF(Tabla1[[#This Row],[MESES DE ADEUDO DEL AÑO EN CURSO ]]&gt;0,1,0)</f>
        <v>0</v>
      </c>
      <c r="AW496" s="42"/>
      <c r="AX496" s="42"/>
      <c r="AY496" s="42"/>
      <c r="AZ496" s="43"/>
    </row>
    <row r="497" spans="1:52" ht="21.75" thickBot="1" x14ac:dyDescent="0.35">
      <c r="A497" s="106">
        <v>491</v>
      </c>
      <c r="B497" s="5" t="s">
        <v>98</v>
      </c>
      <c r="C497" s="2" t="s">
        <v>575</v>
      </c>
      <c r="D497" s="32"/>
      <c r="E497" s="35" t="s">
        <v>455</v>
      </c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24">
        <f>SUM(Tabla1[[#This Row],[ENERO ]:[DICIEMBRE]])</f>
        <v>0</v>
      </c>
      <c r="W497">
        <v>0</v>
      </c>
      <c r="X497" s="21">
        <f>COUNTIF(Tabla1[[#This Row],[ENERO ]:[DICIEMBRE]],0)-(AS497)-IF(Tabla1[[#This Row],[BAJAS]]="BAJA",IF(Tabla1[[#This Row],[ALTAS]]="ALTA",VLOOKUP(Tabla1[[#This Row],[MES DE ALTA ]],$AW$6:$AX$17,2,FALSE),12)-VLOOKUP(Tabla1[[#This Row],[MES DE BAJA ]],$AW$6:$AX$17,2,FALSE),0)</f>
        <v>0</v>
      </c>
      <c r="Y497" s="68">
        <f>SUM(Tabla1[[#This Row],[MES ADEUDO DE AÑOS PASADOS ]:[MESES DE ADEUDO DEL AÑO EN CURSO ]])-Tabla1[[#This Row],[PAGO DE DEUDA ANTERIOR EN MESES]]</f>
        <v>0</v>
      </c>
      <c r="Z497" s="15">
        <f>Tabla1[[#This Row],[MES ADEUDO DE AÑOS PASADOS ]]*$T$2</f>
        <v>0</v>
      </c>
      <c r="AA497" s="15">
        <f>Tabla1[[#This Row],[MESES DE ADEUDO DEL AÑO EN CURSO ]]*$T$2</f>
        <v>0</v>
      </c>
      <c r="AB497" s="69">
        <f>SUM(Tabla1[[#This Row],[DEUDA DE LOS MESES PASADOS EN $$]:[DEUDA DEL AÑO 2013 $$ ]])</f>
        <v>0</v>
      </c>
      <c r="AD497">
        <f>Tabla1[[#This Row],[PAGO DE DEUDA ANTERIOR EN MESES]]*$T$2</f>
        <v>0</v>
      </c>
      <c r="AG497" s="100">
        <f>IF(Tabla1[[#This Row],[TIPO DE CONSUMIDOR]]="MEDIO",IF(Tabla1[[#This Row],[ENERO ]]&gt;22.5,Tabla1[[#This Row],[ENERO ]]/22.5-1,0),IF(Tabla1[[#This Row],[ENERO ]]&gt;45,Tabla1[[#This Row],[ENERO ]]/45-1,0))</f>
        <v>0</v>
      </c>
      <c r="AH49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7" s="100">
        <f>IF(Tabla1[[#This Row],[TIPO DE CONSUMIDOR]]="MEDIO",IF(Tabla1[[#This Row],[MARZO]]&gt;22.5,Tabla1[[#This Row],[MARZO]]/22.5-1,0),IF(Tabla1[[#This Row],[MARZO]]&gt;45,Tabla1[[#This Row],[MARZO]]/45-1,0))</f>
        <v>0</v>
      </c>
      <c r="AJ497" s="100">
        <f>IF(Tabla1[[#This Row],[TIPO DE CONSUMIDOR]]="MEDIO",IF(Tabla1[[#This Row],[ABRIL]]&gt;22.5,Tabla1[[#This Row],[ABRIL]]/22.5-1,0),IF(Tabla1[[#This Row],[ABRIL]]&gt;45,Tabla1[[#This Row],[ABRIL]]/45-1,0))</f>
        <v>0</v>
      </c>
      <c r="AK497" s="100">
        <f>IF(Tabla1[[#This Row],[TIPO DE CONSUMIDOR]]="MEDIO",IF(Tabla1[[#This Row],[MAYO ]]&gt;22.5,Tabla1[[#This Row],[MAYO ]]/22.5-1,0),IF(Tabla1[[#This Row],[MAYO ]]&gt;45,Tabla1[[#This Row],[MAYO ]]/45-1,0))</f>
        <v>0</v>
      </c>
      <c r="AL497" s="100">
        <f>IF(Tabla1[[#This Row],[TIPO DE CONSUMIDOR]]="MEDIO",IF(Tabla1[[#This Row],[JUNIO ]]&gt;22.5,Tabla1[[#This Row],[JUNIO ]]/22.5-1,0),IF(Tabla1[[#This Row],[JUNIO ]]&gt;45,Tabla1[[#This Row],[JUNIO ]]/45-1,0))</f>
        <v>0</v>
      </c>
      <c r="AM497" s="100">
        <f>IF(Tabla1[[#This Row],[TIPO DE CONSUMIDOR]]="MEDIO",IF(Tabla1[[#This Row],[JULIO ]]&gt;22.5,Tabla1[[#This Row],[JULIO ]]/22.5-1,0),IF(Tabla1[[#This Row],[JULIO ]]&gt;45,Tabla1[[#This Row],[JULIO ]]/45-1,0))</f>
        <v>0</v>
      </c>
      <c r="AN497" s="100">
        <f>IF(Tabla1[[#This Row],[TIPO DE CONSUMIDOR]]="MEDIO",IF(Tabla1[[#This Row],[AGOSTO]]&gt;22.5,Tabla1[[#This Row],[AGOSTO]]/22.5-1,0),IF(Tabla1[[#This Row],[AGOSTO]]&gt;45,Tabla1[[#This Row],[AGOSTO]]/45-1,0))</f>
        <v>0</v>
      </c>
      <c r="AO49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7" s="101">
        <f t="shared" si="15"/>
        <v>0</v>
      </c>
      <c r="AT497">
        <f>IF(Tabla1[[#This Row],[MES ADEUDO DE AÑOS PASADOS ]]&gt;0,1,0)</f>
        <v>0</v>
      </c>
      <c r="AU497" s="9">
        <f t="shared" si="16"/>
        <v>0</v>
      </c>
      <c r="AV497" s="60">
        <f>IF(Tabla1[[#This Row],[MESES DE ADEUDO DEL AÑO EN CURSO ]]&gt;0,1,0)</f>
        <v>0</v>
      </c>
      <c r="AW497" s="42"/>
      <c r="AX497" s="42"/>
      <c r="AY497" s="42"/>
      <c r="AZ497" s="43"/>
    </row>
    <row r="498" spans="1:52" ht="21.75" thickBot="1" x14ac:dyDescent="0.35">
      <c r="A498" s="106">
        <v>492</v>
      </c>
      <c r="B498" s="5" t="s">
        <v>576</v>
      </c>
      <c r="C498" s="2" t="s">
        <v>575</v>
      </c>
      <c r="D498" s="32"/>
      <c r="E498" s="35" t="s">
        <v>455</v>
      </c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24">
        <f>SUM(Tabla1[[#This Row],[ENERO ]:[DICIEMBRE]])</f>
        <v>0</v>
      </c>
      <c r="W498">
        <v>0</v>
      </c>
      <c r="X498" s="21">
        <f>COUNTIF(Tabla1[[#This Row],[ENERO ]:[DICIEMBRE]],0)-(AS498)-IF(Tabla1[[#This Row],[BAJAS]]="BAJA",IF(Tabla1[[#This Row],[ALTAS]]="ALTA",VLOOKUP(Tabla1[[#This Row],[MES DE ALTA ]],$AW$6:$AX$17,2,FALSE),12)-VLOOKUP(Tabla1[[#This Row],[MES DE BAJA ]],$AW$6:$AX$17,2,FALSE),0)</f>
        <v>0</v>
      </c>
      <c r="Y498" s="68">
        <f>SUM(Tabla1[[#This Row],[MES ADEUDO DE AÑOS PASADOS ]:[MESES DE ADEUDO DEL AÑO EN CURSO ]])-Tabla1[[#This Row],[PAGO DE DEUDA ANTERIOR EN MESES]]</f>
        <v>0</v>
      </c>
      <c r="Z498" s="15">
        <f>Tabla1[[#This Row],[MES ADEUDO DE AÑOS PASADOS ]]*$T$2</f>
        <v>0</v>
      </c>
      <c r="AA498" s="15">
        <f>Tabla1[[#This Row],[MESES DE ADEUDO DEL AÑO EN CURSO ]]*$T$2</f>
        <v>0</v>
      </c>
      <c r="AB498" s="69">
        <f>SUM(Tabla1[[#This Row],[DEUDA DE LOS MESES PASADOS EN $$]:[DEUDA DEL AÑO 2013 $$ ]])</f>
        <v>0</v>
      </c>
      <c r="AD498">
        <f>Tabla1[[#This Row],[PAGO DE DEUDA ANTERIOR EN MESES]]*$T$2</f>
        <v>0</v>
      </c>
      <c r="AG498" s="100">
        <f>IF(Tabla1[[#This Row],[TIPO DE CONSUMIDOR]]="MEDIO",IF(Tabla1[[#This Row],[ENERO ]]&gt;22.5,Tabla1[[#This Row],[ENERO ]]/22.5-1,0),IF(Tabla1[[#This Row],[ENERO ]]&gt;45,Tabla1[[#This Row],[ENERO ]]/45-1,0))</f>
        <v>0</v>
      </c>
      <c r="AH49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8" s="100">
        <f>IF(Tabla1[[#This Row],[TIPO DE CONSUMIDOR]]="MEDIO",IF(Tabla1[[#This Row],[MARZO]]&gt;22.5,Tabla1[[#This Row],[MARZO]]/22.5-1,0),IF(Tabla1[[#This Row],[MARZO]]&gt;45,Tabla1[[#This Row],[MARZO]]/45-1,0))</f>
        <v>0</v>
      </c>
      <c r="AJ498" s="100">
        <f>IF(Tabla1[[#This Row],[TIPO DE CONSUMIDOR]]="MEDIO",IF(Tabla1[[#This Row],[ABRIL]]&gt;22.5,Tabla1[[#This Row],[ABRIL]]/22.5-1,0),IF(Tabla1[[#This Row],[ABRIL]]&gt;45,Tabla1[[#This Row],[ABRIL]]/45-1,0))</f>
        <v>0</v>
      </c>
      <c r="AK498" s="100">
        <f>IF(Tabla1[[#This Row],[TIPO DE CONSUMIDOR]]="MEDIO",IF(Tabla1[[#This Row],[MAYO ]]&gt;22.5,Tabla1[[#This Row],[MAYO ]]/22.5-1,0),IF(Tabla1[[#This Row],[MAYO ]]&gt;45,Tabla1[[#This Row],[MAYO ]]/45-1,0))</f>
        <v>0</v>
      </c>
      <c r="AL498" s="100">
        <f>IF(Tabla1[[#This Row],[TIPO DE CONSUMIDOR]]="MEDIO",IF(Tabla1[[#This Row],[JUNIO ]]&gt;22.5,Tabla1[[#This Row],[JUNIO ]]/22.5-1,0),IF(Tabla1[[#This Row],[JUNIO ]]&gt;45,Tabla1[[#This Row],[JUNIO ]]/45-1,0))</f>
        <v>0</v>
      </c>
      <c r="AM498" s="100">
        <f>IF(Tabla1[[#This Row],[TIPO DE CONSUMIDOR]]="MEDIO",IF(Tabla1[[#This Row],[JULIO ]]&gt;22.5,Tabla1[[#This Row],[JULIO ]]/22.5-1,0),IF(Tabla1[[#This Row],[JULIO ]]&gt;45,Tabla1[[#This Row],[JULIO ]]/45-1,0))</f>
        <v>0</v>
      </c>
      <c r="AN498" s="100">
        <f>IF(Tabla1[[#This Row],[TIPO DE CONSUMIDOR]]="MEDIO",IF(Tabla1[[#This Row],[AGOSTO]]&gt;22.5,Tabla1[[#This Row],[AGOSTO]]/22.5-1,0),IF(Tabla1[[#This Row],[AGOSTO]]&gt;45,Tabla1[[#This Row],[AGOSTO]]/45-1,0))</f>
        <v>0</v>
      </c>
      <c r="AO49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8" s="101">
        <f t="shared" si="15"/>
        <v>0</v>
      </c>
      <c r="AT498">
        <f>IF(Tabla1[[#This Row],[MES ADEUDO DE AÑOS PASADOS ]]&gt;0,1,0)</f>
        <v>0</v>
      </c>
      <c r="AU498" s="9">
        <f t="shared" si="16"/>
        <v>0</v>
      </c>
      <c r="AV498" s="60">
        <f>IF(Tabla1[[#This Row],[MESES DE ADEUDO DEL AÑO EN CURSO ]]&gt;0,1,0)</f>
        <v>0</v>
      </c>
      <c r="AW498" s="42"/>
      <c r="AX498" s="42"/>
      <c r="AY498" s="42"/>
      <c r="AZ498" s="43"/>
    </row>
    <row r="499" spans="1:52" ht="21.75" thickBot="1" x14ac:dyDescent="0.35">
      <c r="A499" s="106">
        <v>493</v>
      </c>
      <c r="B499" s="5" t="s">
        <v>247</v>
      </c>
      <c r="C499" s="2" t="s">
        <v>575</v>
      </c>
      <c r="D499" s="32"/>
      <c r="E499" s="35" t="s">
        <v>455</v>
      </c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24">
        <f>SUM(Tabla1[[#This Row],[ENERO ]:[DICIEMBRE]])</f>
        <v>0</v>
      </c>
      <c r="W499">
        <v>0</v>
      </c>
      <c r="X499" s="21">
        <f>COUNTIF(Tabla1[[#This Row],[ENERO ]:[DICIEMBRE]],0)-(AS499)-IF(Tabla1[[#This Row],[BAJAS]]="BAJA",IF(Tabla1[[#This Row],[ALTAS]]="ALTA",VLOOKUP(Tabla1[[#This Row],[MES DE ALTA ]],$AW$6:$AX$17,2,FALSE),12)-VLOOKUP(Tabla1[[#This Row],[MES DE BAJA ]],$AW$6:$AX$17,2,FALSE),0)</f>
        <v>0</v>
      </c>
      <c r="Y499" s="68">
        <f>SUM(Tabla1[[#This Row],[MES ADEUDO DE AÑOS PASADOS ]:[MESES DE ADEUDO DEL AÑO EN CURSO ]])-Tabla1[[#This Row],[PAGO DE DEUDA ANTERIOR EN MESES]]</f>
        <v>0</v>
      </c>
      <c r="Z499" s="15">
        <f>Tabla1[[#This Row],[MES ADEUDO DE AÑOS PASADOS ]]*$T$2</f>
        <v>0</v>
      </c>
      <c r="AA499" s="15">
        <f>Tabla1[[#This Row],[MESES DE ADEUDO DEL AÑO EN CURSO ]]*$T$2</f>
        <v>0</v>
      </c>
      <c r="AB499" s="69">
        <f>SUM(Tabla1[[#This Row],[DEUDA DE LOS MESES PASADOS EN $$]:[DEUDA DEL AÑO 2013 $$ ]])</f>
        <v>0</v>
      </c>
      <c r="AD499">
        <f>Tabla1[[#This Row],[PAGO DE DEUDA ANTERIOR EN MESES]]*$T$2</f>
        <v>0</v>
      </c>
      <c r="AG499" s="100">
        <f>IF(Tabla1[[#This Row],[TIPO DE CONSUMIDOR]]="MEDIO",IF(Tabla1[[#This Row],[ENERO ]]&gt;22.5,Tabla1[[#This Row],[ENERO ]]/22.5-1,0),IF(Tabla1[[#This Row],[ENERO ]]&gt;45,Tabla1[[#This Row],[ENERO ]]/45-1,0))</f>
        <v>0</v>
      </c>
      <c r="AH49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499" s="100">
        <f>IF(Tabla1[[#This Row],[TIPO DE CONSUMIDOR]]="MEDIO",IF(Tabla1[[#This Row],[MARZO]]&gt;22.5,Tabla1[[#This Row],[MARZO]]/22.5-1,0),IF(Tabla1[[#This Row],[MARZO]]&gt;45,Tabla1[[#This Row],[MARZO]]/45-1,0))</f>
        <v>0</v>
      </c>
      <c r="AJ499" s="100">
        <f>IF(Tabla1[[#This Row],[TIPO DE CONSUMIDOR]]="MEDIO",IF(Tabla1[[#This Row],[ABRIL]]&gt;22.5,Tabla1[[#This Row],[ABRIL]]/22.5-1,0),IF(Tabla1[[#This Row],[ABRIL]]&gt;45,Tabla1[[#This Row],[ABRIL]]/45-1,0))</f>
        <v>0</v>
      </c>
      <c r="AK499" s="100">
        <f>IF(Tabla1[[#This Row],[TIPO DE CONSUMIDOR]]="MEDIO",IF(Tabla1[[#This Row],[MAYO ]]&gt;22.5,Tabla1[[#This Row],[MAYO ]]/22.5-1,0),IF(Tabla1[[#This Row],[MAYO ]]&gt;45,Tabla1[[#This Row],[MAYO ]]/45-1,0))</f>
        <v>0</v>
      </c>
      <c r="AL499" s="100">
        <f>IF(Tabla1[[#This Row],[TIPO DE CONSUMIDOR]]="MEDIO",IF(Tabla1[[#This Row],[JUNIO ]]&gt;22.5,Tabla1[[#This Row],[JUNIO ]]/22.5-1,0),IF(Tabla1[[#This Row],[JUNIO ]]&gt;45,Tabla1[[#This Row],[JUNIO ]]/45-1,0))</f>
        <v>0</v>
      </c>
      <c r="AM499" s="100">
        <f>IF(Tabla1[[#This Row],[TIPO DE CONSUMIDOR]]="MEDIO",IF(Tabla1[[#This Row],[JULIO ]]&gt;22.5,Tabla1[[#This Row],[JULIO ]]/22.5-1,0),IF(Tabla1[[#This Row],[JULIO ]]&gt;45,Tabla1[[#This Row],[JULIO ]]/45-1,0))</f>
        <v>0</v>
      </c>
      <c r="AN499" s="100">
        <f>IF(Tabla1[[#This Row],[TIPO DE CONSUMIDOR]]="MEDIO",IF(Tabla1[[#This Row],[AGOSTO]]&gt;22.5,Tabla1[[#This Row],[AGOSTO]]/22.5-1,0),IF(Tabla1[[#This Row],[AGOSTO]]&gt;45,Tabla1[[#This Row],[AGOSTO]]/45-1,0))</f>
        <v>0</v>
      </c>
      <c r="AO49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49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49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49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499" s="101">
        <f t="shared" si="15"/>
        <v>0</v>
      </c>
      <c r="AT499">
        <f>IF(Tabla1[[#This Row],[MES ADEUDO DE AÑOS PASADOS ]]&gt;0,1,0)</f>
        <v>0</v>
      </c>
      <c r="AU499" s="9">
        <f t="shared" si="16"/>
        <v>0</v>
      </c>
      <c r="AV499" s="60">
        <f>IF(Tabla1[[#This Row],[MESES DE ADEUDO DEL AÑO EN CURSO ]]&gt;0,1,0)</f>
        <v>0</v>
      </c>
      <c r="AW499" s="42"/>
      <c r="AX499" s="42"/>
      <c r="AY499" s="42"/>
      <c r="AZ499" s="43"/>
    </row>
    <row r="500" spans="1:52" ht="21.75" thickBot="1" x14ac:dyDescent="0.35">
      <c r="A500" s="106">
        <v>494</v>
      </c>
      <c r="B500" s="5" t="s">
        <v>326</v>
      </c>
      <c r="C500" s="2" t="s">
        <v>575</v>
      </c>
      <c r="D500" s="32"/>
      <c r="E500" s="35" t="s">
        <v>455</v>
      </c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58">
        <f>SUM(Tabla1[[#This Row],[ENERO ]:[DICIEMBRE]])</f>
        <v>0</v>
      </c>
      <c r="W500">
        <v>0</v>
      </c>
      <c r="X500" s="21">
        <f>COUNTIF(Tabla1[[#This Row],[ENERO ]:[DICIEMBRE]],0)-(AS500)-IF(Tabla1[[#This Row],[BAJAS]]="BAJA",IF(Tabla1[[#This Row],[ALTAS]]="ALTA",VLOOKUP(Tabla1[[#This Row],[MES DE ALTA ]],$AW$6:$AX$17,2,FALSE),12)-VLOOKUP(Tabla1[[#This Row],[MES DE BAJA ]],$AW$6:$AX$17,2,FALSE),0)</f>
        <v>0</v>
      </c>
      <c r="Y500" s="68">
        <f>SUM(Tabla1[[#This Row],[MES ADEUDO DE AÑOS PASADOS ]:[MESES DE ADEUDO DEL AÑO EN CURSO ]])-Tabla1[[#This Row],[PAGO DE DEUDA ANTERIOR EN MESES]]</f>
        <v>0</v>
      </c>
      <c r="Z500" s="15">
        <f>Tabla1[[#This Row],[MES ADEUDO DE AÑOS PASADOS ]]*$T$2</f>
        <v>0</v>
      </c>
      <c r="AA500" s="15">
        <f>Tabla1[[#This Row],[MESES DE ADEUDO DEL AÑO EN CURSO ]]*$T$2</f>
        <v>0</v>
      </c>
      <c r="AB500" s="69">
        <f>SUM(Tabla1[[#This Row],[DEUDA DE LOS MESES PASADOS EN $$]:[DEUDA DEL AÑO 2013 $$ ]])</f>
        <v>0</v>
      </c>
      <c r="AD500">
        <f>Tabla1[[#This Row],[PAGO DE DEUDA ANTERIOR EN MESES]]*$T$2</f>
        <v>0</v>
      </c>
      <c r="AG500" s="100">
        <f>IF(Tabla1[[#This Row],[TIPO DE CONSUMIDOR]]="MEDIO",IF(Tabla1[[#This Row],[ENERO ]]&gt;22.5,Tabla1[[#This Row],[ENERO ]]/22.5-1,0),IF(Tabla1[[#This Row],[ENERO ]]&gt;45,Tabla1[[#This Row],[ENERO ]]/45-1,0))</f>
        <v>0</v>
      </c>
      <c r="AH50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0" s="100">
        <f>IF(Tabla1[[#This Row],[TIPO DE CONSUMIDOR]]="MEDIO",IF(Tabla1[[#This Row],[MARZO]]&gt;22.5,Tabla1[[#This Row],[MARZO]]/22.5-1,0),IF(Tabla1[[#This Row],[MARZO]]&gt;45,Tabla1[[#This Row],[MARZO]]/45-1,0))</f>
        <v>0</v>
      </c>
      <c r="AJ500" s="100">
        <f>IF(Tabla1[[#This Row],[TIPO DE CONSUMIDOR]]="MEDIO",IF(Tabla1[[#This Row],[ABRIL]]&gt;22.5,Tabla1[[#This Row],[ABRIL]]/22.5-1,0),IF(Tabla1[[#This Row],[ABRIL]]&gt;45,Tabla1[[#This Row],[ABRIL]]/45-1,0))</f>
        <v>0</v>
      </c>
      <c r="AK500" s="100">
        <f>IF(Tabla1[[#This Row],[TIPO DE CONSUMIDOR]]="MEDIO",IF(Tabla1[[#This Row],[MAYO ]]&gt;22.5,Tabla1[[#This Row],[MAYO ]]/22.5-1,0),IF(Tabla1[[#This Row],[MAYO ]]&gt;45,Tabla1[[#This Row],[MAYO ]]/45-1,0))</f>
        <v>0</v>
      </c>
      <c r="AL500" s="100">
        <f>IF(Tabla1[[#This Row],[TIPO DE CONSUMIDOR]]="MEDIO",IF(Tabla1[[#This Row],[JUNIO ]]&gt;22.5,Tabla1[[#This Row],[JUNIO ]]/22.5-1,0),IF(Tabla1[[#This Row],[JUNIO ]]&gt;45,Tabla1[[#This Row],[JUNIO ]]/45-1,0))</f>
        <v>0</v>
      </c>
      <c r="AM500" s="100">
        <f>IF(Tabla1[[#This Row],[TIPO DE CONSUMIDOR]]="MEDIO",IF(Tabla1[[#This Row],[JULIO ]]&gt;22.5,Tabla1[[#This Row],[JULIO ]]/22.5-1,0),IF(Tabla1[[#This Row],[JULIO ]]&gt;45,Tabla1[[#This Row],[JULIO ]]/45-1,0))</f>
        <v>0</v>
      </c>
      <c r="AN500" s="100">
        <f>IF(Tabla1[[#This Row],[TIPO DE CONSUMIDOR]]="MEDIO",IF(Tabla1[[#This Row],[AGOSTO]]&gt;22.5,Tabla1[[#This Row],[AGOSTO]]/22.5-1,0),IF(Tabla1[[#This Row],[AGOSTO]]&gt;45,Tabla1[[#This Row],[AGOSTO]]/45-1,0))</f>
        <v>0</v>
      </c>
      <c r="AO50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0" s="101">
        <f t="shared" si="15"/>
        <v>0</v>
      </c>
      <c r="AT500">
        <f>IF(Tabla1[[#This Row],[MES ADEUDO DE AÑOS PASADOS ]]&gt;0,1,0)</f>
        <v>0</v>
      </c>
      <c r="AU500" s="9">
        <f t="shared" si="16"/>
        <v>0</v>
      </c>
      <c r="AV500" s="60">
        <f>IF(Tabla1[[#This Row],[MESES DE ADEUDO DEL AÑO EN CURSO ]]&gt;0,1,0)</f>
        <v>0</v>
      </c>
      <c r="AW500" s="42"/>
      <c r="AX500" s="42"/>
      <c r="AY500" s="42"/>
      <c r="AZ500" s="43"/>
    </row>
    <row r="501" spans="1:52" ht="21.75" thickBot="1" x14ac:dyDescent="0.35">
      <c r="A501" s="106">
        <v>495</v>
      </c>
      <c r="B501" s="5" t="s">
        <v>381</v>
      </c>
      <c r="C501" s="2" t="s">
        <v>575</v>
      </c>
      <c r="D501" s="32"/>
      <c r="E501" s="35" t="s">
        <v>455</v>
      </c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24">
        <f>SUM(Tabla1[[#This Row],[ENERO ]:[DICIEMBRE]])</f>
        <v>0</v>
      </c>
      <c r="W501">
        <v>0</v>
      </c>
      <c r="X501" s="21">
        <f>COUNTIF(Tabla1[[#This Row],[ENERO ]:[DICIEMBRE]],0)-(AS501)-IF(Tabla1[[#This Row],[BAJAS]]="BAJA",IF(Tabla1[[#This Row],[ALTAS]]="ALTA",VLOOKUP(Tabla1[[#This Row],[MES DE ALTA ]],$AW$6:$AX$17,2,FALSE),12)-VLOOKUP(Tabla1[[#This Row],[MES DE BAJA ]],$AW$6:$AX$17,2,FALSE),0)</f>
        <v>0</v>
      </c>
      <c r="Y501" s="68">
        <f>SUM(Tabla1[[#This Row],[MES ADEUDO DE AÑOS PASADOS ]:[MESES DE ADEUDO DEL AÑO EN CURSO ]])-Tabla1[[#This Row],[PAGO DE DEUDA ANTERIOR EN MESES]]</f>
        <v>0</v>
      </c>
      <c r="Z501" s="15">
        <f>Tabla1[[#This Row],[MES ADEUDO DE AÑOS PASADOS ]]*$T$2</f>
        <v>0</v>
      </c>
      <c r="AA501" s="15">
        <f>Tabla1[[#This Row],[MESES DE ADEUDO DEL AÑO EN CURSO ]]*$T$2</f>
        <v>0</v>
      </c>
      <c r="AB501" s="69">
        <f>SUM(Tabla1[[#This Row],[DEUDA DE LOS MESES PASADOS EN $$]:[DEUDA DEL AÑO 2013 $$ ]])</f>
        <v>0</v>
      </c>
      <c r="AD501">
        <f>Tabla1[[#This Row],[PAGO DE DEUDA ANTERIOR EN MESES]]*$T$2</f>
        <v>0</v>
      </c>
      <c r="AG501" s="100">
        <f>IF(Tabla1[[#This Row],[TIPO DE CONSUMIDOR]]="MEDIO",IF(Tabla1[[#This Row],[ENERO ]]&gt;22.5,Tabla1[[#This Row],[ENERO ]]/22.5-1,0),IF(Tabla1[[#This Row],[ENERO ]]&gt;45,Tabla1[[#This Row],[ENERO ]]/45-1,0))</f>
        <v>0</v>
      </c>
      <c r="AH50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1" s="100">
        <f>IF(Tabla1[[#This Row],[TIPO DE CONSUMIDOR]]="MEDIO",IF(Tabla1[[#This Row],[MARZO]]&gt;22.5,Tabla1[[#This Row],[MARZO]]/22.5-1,0),IF(Tabla1[[#This Row],[MARZO]]&gt;45,Tabla1[[#This Row],[MARZO]]/45-1,0))</f>
        <v>0</v>
      </c>
      <c r="AJ501" s="100">
        <f>IF(Tabla1[[#This Row],[TIPO DE CONSUMIDOR]]="MEDIO",IF(Tabla1[[#This Row],[ABRIL]]&gt;22.5,Tabla1[[#This Row],[ABRIL]]/22.5-1,0),IF(Tabla1[[#This Row],[ABRIL]]&gt;45,Tabla1[[#This Row],[ABRIL]]/45-1,0))</f>
        <v>0</v>
      </c>
      <c r="AK501" s="100">
        <f>IF(Tabla1[[#This Row],[TIPO DE CONSUMIDOR]]="MEDIO",IF(Tabla1[[#This Row],[MAYO ]]&gt;22.5,Tabla1[[#This Row],[MAYO ]]/22.5-1,0),IF(Tabla1[[#This Row],[MAYO ]]&gt;45,Tabla1[[#This Row],[MAYO ]]/45-1,0))</f>
        <v>0</v>
      </c>
      <c r="AL501" s="100">
        <f>IF(Tabla1[[#This Row],[TIPO DE CONSUMIDOR]]="MEDIO",IF(Tabla1[[#This Row],[JUNIO ]]&gt;22.5,Tabla1[[#This Row],[JUNIO ]]/22.5-1,0),IF(Tabla1[[#This Row],[JUNIO ]]&gt;45,Tabla1[[#This Row],[JUNIO ]]/45-1,0))</f>
        <v>0</v>
      </c>
      <c r="AM501" s="100">
        <f>IF(Tabla1[[#This Row],[TIPO DE CONSUMIDOR]]="MEDIO",IF(Tabla1[[#This Row],[JULIO ]]&gt;22.5,Tabla1[[#This Row],[JULIO ]]/22.5-1,0),IF(Tabla1[[#This Row],[JULIO ]]&gt;45,Tabla1[[#This Row],[JULIO ]]/45-1,0))</f>
        <v>0</v>
      </c>
      <c r="AN501" s="100">
        <f>IF(Tabla1[[#This Row],[TIPO DE CONSUMIDOR]]="MEDIO",IF(Tabla1[[#This Row],[AGOSTO]]&gt;22.5,Tabla1[[#This Row],[AGOSTO]]/22.5-1,0),IF(Tabla1[[#This Row],[AGOSTO]]&gt;45,Tabla1[[#This Row],[AGOSTO]]/45-1,0))</f>
        <v>0</v>
      </c>
      <c r="AO50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1" s="101">
        <f t="shared" si="15"/>
        <v>0</v>
      </c>
      <c r="AT501">
        <f>IF(Tabla1[[#This Row],[MES ADEUDO DE AÑOS PASADOS ]]&gt;0,1,0)</f>
        <v>0</v>
      </c>
      <c r="AU501" s="9">
        <f t="shared" si="16"/>
        <v>0</v>
      </c>
      <c r="AV501" s="60">
        <f>IF(Tabla1[[#This Row],[MESES DE ADEUDO DEL AÑO EN CURSO ]]&gt;0,1,0)</f>
        <v>0</v>
      </c>
      <c r="AW501" s="42"/>
      <c r="AX501" s="42"/>
      <c r="AY501" s="42"/>
      <c r="AZ501" s="43"/>
    </row>
    <row r="502" spans="1:52" ht="21.75" thickBot="1" x14ac:dyDescent="0.35">
      <c r="A502" s="106">
        <v>496</v>
      </c>
      <c r="B502" s="5" t="s">
        <v>425</v>
      </c>
      <c r="C502" s="2" t="s">
        <v>575</v>
      </c>
      <c r="D502" s="32"/>
      <c r="E502" s="35" t="s">
        <v>455</v>
      </c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24">
        <f>SUM(Tabla1[[#This Row],[ENERO ]:[DICIEMBRE]])</f>
        <v>0</v>
      </c>
      <c r="W502">
        <v>0</v>
      </c>
      <c r="X502" s="21">
        <f>COUNTIF(Tabla1[[#This Row],[ENERO ]:[DICIEMBRE]],0)-(AS502)-IF(Tabla1[[#This Row],[BAJAS]]="BAJA",IF(Tabla1[[#This Row],[ALTAS]]="ALTA",VLOOKUP(Tabla1[[#This Row],[MES DE ALTA ]],$AW$6:$AX$17,2,FALSE),12)-VLOOKUP(Tabla1[[#This Row],[MES DE BAJA ]],$AW$6:$AX$17,2,FALSE),0)</f>
        <v>0</v>
      </c>
      <c r="Y502" s="68">
        <f>SUM(Tabla1[[#This Row],[MES ADEUDO DE AÑOS PASADOS ]:[MESES DE ADEUDO DEL AÑO EN CURSO ]])-Tabla1[[#This Row],[PAGO DE DEUDA ANTERIOR EN MESES]]</f>
        <v>0</v>
      </c>
      <c r="Z502" s="15">
        <f>Tabla1[[#This Row],[MES ADEUDO DE AÑOS PASADOS ]]*$T$2</f>
        <v>0</v>
      </c>
      <c r="AA502" s="15">
        <f>Tabla1[[#This Row],[MESES DE ADEUDO DEL AÑO EN CURSO ]]*$T$2</f>
        <v>0</v>
      </c>
      <c r="AB502" s="69">
        <f>SUM(Tabla1[[#This Row],[DEUDA DE LOS MESES PASADOS EN $$]:[DEUDA DEL AÑO 2013 $$ ]])</f>
        <v>0</v>
      </c>
      <c r="AD502">
        <f>Tabla1[[#This Row],[PAGO DE DEUDA ANTERIOR EN MESES]]*$T$2</f>
        <v>0</v>
      </c>
      <c r="AG502" s="100">
        <f>IF(Tabla1[[#This Row],[TIPO DE CONSUMIDOR]]="MEDIO",IF(Tabla1[[#This Row],[ENERO ]]&gt;22.5,Tabla1[[#This Row],[ENERO ]]/22.5-1,0),IF(Tabla1[[#This Row],[ENERO ]]&gt;45,Tabla1[[#This Row],[ENERO ]]/45-1,0))</f>
        <v>0</v>
      </c>
      <c r="AH50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2" s="100">
        <f>IF(Tabla1[[#This Row],[TIPO DE CONSUMIDOR]]="MEDIO",IF(Tabla1[[#This Row],[MARZO]]&gt;22.5,Tabla1[[#This Row],[MARZO]]/22.5-1,0),IF(Tabla1[[#This Row],[MARZO]]&gt;45,Tabla1[[#This Row],[MARZO]]/45-1,0))</f>
        <v>0</v>
      </c>
      <c r="AJ502" s="100">
        <f>IF(Tabla1[[#This Row],[TIPO DE CONSUMIDOR]]="MEDIO",IF(Tabla1[[#This Row],[ABRIL]]&gt;22.5,Tabla1[[#This Row],[ABRIL]]/22.5-1,0),IF(Tabla1[[#This Row],[ABRIL]]&gt;45,Tabla1[[#This Row],[ABRIL]]/45-1,0))</f>
        <v>0</v>
      </c>
      <c r="AK502" s="100">
        <f>IF(Tabla1[[#This Row],[TIPO DE CONSUMIDOR]]="MEDIO",IF(Tabla1[[#This Row],[MAYO ]]&gt;22.5,Tabla1[[#This Row],[MAYO ]]/22.5-1,0),IF(Tabla1[[#This Row],[MAYO ]]&gt;45,Tabla1[[#This Row],[MAYO ]]/45-1,0))</f>
        <v>0</v>
      </c>
      <c r="AL502" s="100">
        <f>IF(Tabla1[[#This Row],[TIPO DE CONSUMIDOR]]="MEDIO",IF(Tabla1[[#This Row],[JUNIO ]]&gt;22.5,Tabla1[[#This Row],[JUNIO ]]/22.5-1,0),IF(Tabla1[[#This Row],[JUNIO ]]&gt;45,Tabla1[[#This Row],[JUNIO ]]/45-1,0))</f>
        <v>0</v>
      </c>
      <c r="AM502" s="100">
        <f>IF(Tabla1[[#This Row],[TIPO DE CONSUMIDOR]]="MEDIO",IF(Tabla1[[#This Row],[JULIO ]]&gt;22.5,Tabla1[[#This Row],[JULIO ]]/22.5-1,0),IF(Tabla1[[#This Row],[JULIO ]]&gt;45,Tabla1[[#This Row],[JULIO ]]/45-1,0))</f>
        <v>0</v>
      </c>
      <c r="AN502" s="100">
        <f>IF(Tabla1[[#This Row],[TIPO DE CONSUMIDOR]]="MEDIO",IF(Tabla1[[#This Row],[AGOSTO]]&gt;22.5,Tabla1[[#This Row],[AGOSTO]]/22.5-1,0),IF(Tabla1[[#This Row],[AGOSTO]]&gt;45,Tabla1[[#This Row],[AGOSTO]]/45-1,0))</f>
        <v>0</v>
      </c>
      <c r="AO50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2" s="101">
        <f t="shared" si="15"/>
        <v>0</v>
      </c>
      <c r="AT502">
        <f>IF(Tabla1[[#This Row],[MES ADEUDO DE AÑOS PASADOS ]]&gt;0,1,0)</f>
        <v>0</v>
      </c>
      <c r="AU502" s="9">
        <f t="shared" si="16"/>
        <v>0</v>
      </c>
      <c r="AV502" s="60">
        <f>IF(Tabla1[[#This Row],[MESES DE ADEUDO DEL AÑO EN CURSO ]]&gt;0,1,0)</f>
        <v>0</v>
      </c>
      <c r="AW502" s="42"/>
      <c r="AX502" s="42"/>
      <c r="AY502" s="42"/>
      <c r="AZ502" s="43"/>
    </row>
    <row r="503" spans="1:52" ht="21.75" thickBot="1" x14ac:dyDescent="0.35">
      <c r="A503" s="106">
        <v>497</v>
      </c>
      <c r="B503" s="5" t="s">
        <v>152</v>
      </c>
      <c r="C503" s="2" t="s">
        <v>575</v>
      </c>
      <c r="D503" s="32"/>
      <c r="E503" s="35" t="s">
        <v>455</v>
      </c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24">
        <f>SUM(Tabla1[[#This Row],[ENERO ]:[DICIEMBRE]])</f>
        <v>0</v>
      </c>
      <c r="W503">
        <v>3</v>
      </c>
      <c r="X503" s="21">
        <f>COUNTIF(Tabla1[[#This Row],[ENERO ]:[DICIEMBRE]],0)-(AS503)-IF(Tabla1[[#This Row],[BAJAS]]="BAJA",IF(Tabla1[[#This Row],[ALTAS]]="ALTA",VLOOKUP(Tabla1[[#This Row],[MES DE ALTA ]],$AW$6:$AX$17,2,FALSE),12)-VLOOKUP(Tabla1[[#This Row],[MES DE BAJA ]],$AW$6:$AX$17,2,FALSE),0)</f>
        <v>0</v>
      </c>
      <c r="Y503" s="68">
        <f>SUM(Tabla1[[#This Row],[MES ADEUDO DE AÑOS PASADOS ]:[MESES DE ADEUDO DEL AÑO EN CURSO ]])-Tabla1[[#This Row],[PAGO DE DEUDA ANTERIOR EN MESES]]</f>
        <v>3</v>
      </c>
      <c r="Z503" s="15">
        <f>Tabla1[[#This Row],[MES ADEUDO DE AÑOS PASADOS ]]*$T$2</f>
        <v>135</v>
      </c>
      <c r="AA503" s="15">
        <f>Tabla1[[#This Row],[MESES DE ADEUDO DEL AÑO EN CURSO ]]*$T$2</f>
        <v>0</v>
      </c>
      <c r="AB503" s="69">
        <f>SUM(Tabla1[[#This Row],[DEUDA DE LOS MESES PASADOS EN $$]:[DEUDA DEL AÑO 2013 $$ ]])</f>
        <v>135</v>
      </c>
      <c r="AD503">
        <f>Tabla1[[#This Row],[PAGO DE DEUDA ANTERIOR EN MESES]]*$T$2</f>
        <v>0</v>
      </c>
      <c r="AG503" s="100">
        <f>IF(Tabla1[[#This Row],[TIPO DE CONSUMIDOR]]="MEDIO",IF(Tabla1[[#This Row],[ENERO ]]&gt;22.5,Tabla1[[#This Row],[ENERO ]]/22.5-1,0),IF(Tabla1[[#This Row],[ENERO ]]&gt;45,Tabla1[[#This Row],[ENERO ]]/45-1,0))</f>
        <v>0</v>
      </c>
      <c r="AH50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3" s="100">
        <f>IF(Tabla1[[#This Row],[TIPO DE CONSUMIDOR]]="MEDIO",IF(Tabla1[[#This Row],[MARZO]]&gt;22.5,Tabla1[[#This Row],[MARZO]]/22.5-1,0),IF(Tabla1[[#This Row],[MARZO]]&gt;45,Tabla1[[#This Row],[MARZO]]/45-1,0))</f>
        <v>0</v>
      </c>
      <c r="AJ503" s="100">
        <f>IF(Tabla1[[#This Row],[TIPO DE CONSUMIDOR]]="MEDIO",IF(Tabla1[[#This Row],[ABRIL]]&gt;22.5,Tabla1[[#This Row],[ABRIL]]/22.5-1,0),IF(Tabla1[[#This Row],[ABRIL]]&gt;45,Tabla1[[#This Row],[ABRIL]]/45-1,0))</f>
        <v>0</v>
      </c>
      <c r="AK503" s="100">
        <f>IF(Tabla1[[#This Row],[TIPO DE CONSUMIDOR]]="MEDIO",IF(Tabla1[[#This Row],[MAYO ]]&gt;22.5,Tabla1[[#This Row],[MAYO ]]/22.5-1,0),IF(Tabla1[[#This Row],[MAYO ]]&gt;45,Tabla1[[#This Row],[MAYO ]]/45-1,0))</f>
        <v>0</v>
      </c>
      <c r="AL503" s="100">
        <f>IF(Tabla1[[#This Row],[TIPO DE CONSUMIDOR]]="MEDIO",IF(Tabla1[[#This Row],[JUNIO ]]&gt;22.5,Tabla1[[#This Row],[JUNIO ]]/22.5-1,0),IF(Tabla1[[#This Row],[JUNIO ]]&gt;45,Tabla1[[#This Row],[JUNIO ]]/45-1,0))</f>
        <v>0</v>
      </c>
      <c r="AM503" s="100">
        <f>IF(Tabla1[[#This Row],[TIPO DE CONSUMIDOR]]="MEDIO",IF(Tabla1[[#This Row],[JULIO ]]&gt;22.5,Tabla1[[#This Row],[JULIO ]]/22.5-1,0),IF(Tabla1[[#This Row],[JULIO ]]&gt;45,Tabla1[[#This Row],[JULIO ]]/45-1,0))</f>
        <v>0</v>
      </c>
      <c r="AN503" s="100">
        <f>IF(Tabla1[[#This Row],[TIPO DE CONSUMIDOR]]="MEDIO",IF(Tabla1[[#This Row],[AGOSTO]]&gt;22.5,Tabla1[[#This Row],[AGOSTO]]/22.5-1,0),IF(Tabla1[[#This Row],[AGOSTO]]&gt;45,Tabla1[[#This Row],[AGOSTO]]/45-1,0))</f>
        <v>0</v>
      </c>
      <c r="AO50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3" s="101">
        <f t="shared" si="15"/>
        <v>0</v>
      </c>
      <c r="AT503">
        <f>IF(Tabla1[[#This Row],[MES ADEUDO DE AÑOS PASADOS ]]&gt;0,1,0)</f>
        <v>1</v>
      </c>
      <c r="AU503" s="9">
        <f t="shared" si="16"/>
        <v>1</v>
      </c>
      <c r="AV503" s="60">
        <f>IF(Tabla1[[#This Row],[MESES DE ADEUDO DEL AÑO EN CURSO ]]&gt;0,1,0)</f>
        <v>0</v>
      </c>
      <c r="AW503" s="42"/>
      <c r="AX503" s="42"/>
      <c r="AY503" s="42"/>
      <c r="AZ503" s="43"/>
    </row>
    <row r="504" spans="1:52" ht="21.75" thickBot="1" x14ac:dyDescent="0.35">
      <c r="A504" s="106">
        <v>498</v>
      </c>
      <c r="B504" s="5" t="s">
        <v>413</v>
      </c>
      <c r="C504" s="2" t="s">
        <v>575</v>
      </c>
      <c r="D504" s="32"/>
      <c r="E504" s="35" t="s">
        <v>455</v>
      </c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24">
        <f>SUM(Tabla1[[#This Row],[ENERO ]:[DICIEMBRE]])</f>
        <v>0</v>
      </c>
      <c r="W504">
        <v>4</v>
      </c>
      <c r="X504" s="21">
        <f>COUNTIF(Tabla1[[#This Row],[ENERO ]:[DICIEMBRE]],0)-(AS504)-IF(Tabla1[[#This Row],[BAJAS]]="BAJA",IF(Tabla1[[#This Row],[ALTAS]]="ALTA",VLOOKUP(Tabla1[[#This Row],[MES DE ALTA ]],$AW$6:$AX$17,2,FALSE),12)-VLOOKUP(Tabla1[[#This Row],[MES DE BAJA ]],$AW$6:$AX$17,2,FALSE),0)</f>
        <v>0</v>
      </c>
      <c r="Y504" s="68">
        <f>SUM(Tabla1[[#This Row],[MES ADEUDO DE AÑOS PASADOS ]:[MESES DE ADEUDO DEL AÑO EN CURSO ]])-Tabla1[[#This Row],[PAGO DE DEUDA ANTERIOR EN MESES]]</f>
        <v>4</v>
      </c>
      <c r="Z504" s="15">
        <f>Tabla1[[#This Row],[MES ADEUDO DE AÑOS PASADOS ]]*$T$2</f>
        <v>180</v>
      </c>
      <c r="AA504" s="15">
        <f>Tabla1[[#This Row],[MESES DE ADEUDO DEL AÑO EN CURSO ]]*$T$2</f>
        <v>0</v>
      </c>
      <c r="AB504" s="69">
        <f>SUM(Tabla1[[#This Row],[DEUDA DE LOS MESES PASADOS EN $$]:[DEUDA DEL AÑO 2013 $$ ]])</f>
        <v>180</v>
      </c>
      <c r="AD504">
        <f>Tabla1[[#This Row],[PAGO DE DEUDA ANTERIOR EN MESES]]*$T$2</f>
        <v>0</v>
      </c>
      <c r="AG504" s="100">
        <f>IF(Tabla1[[#This Row],[TIPO DE CONSUMIDOR]]="MEDIO",IF(Tabla1[[#This Row],[ENERO ]]&gt;22.5,Tabla1[[#This Row],[ENERO ]]/22.5-1,0),IF(Tabla1[[#This Row],[ENERO ]]&gt;45,Tabla1[[#This Row],[ENERO ]]/45-1,0))</f>
        <v>0</v>
      </c>
      <c r="AH50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4" s="100">
        <f>IF(Tabla1[[#This Row],[TIPO DE CONSUMIDOR]]="MEDIO",IF(Tabla1[[#This Row],[MARZO]]&gt;22.5,Tabla1[[#This Row],[MARZO]]/22.5-1,0),IF(Tabla1[[#This Row],[MARZO]]&gt;45,Tabla1[[#This Row],[MARZO]]/45-1,0))</f>
        <v>0</v>
      </c>
      <c r="AJ504" s="100">
        <f>IF(Tabla1[[#This Row],[TIPO DE CONSUMIDOR]]="MEDIO",IF(Tabla1[[#This Row],[ABRIL]]&gt;22.5,Tabla1[[#This Row],[ABRIL]]/22.5-1,0),IF(Tabla1[[#This Row],[ABRIL]]&gt;45,Tabla1[[#This Row],[ABRIL]]/45-1,0))</f>
        <v>0</v>
      </c>
      <c r="AK504" s="100">
        <f>IF(Tabla1[[#This Row],[TIPO DE CONSUMIDOR]]="MEDIO",IF(Tabla1[[#This Row],[MAYO ]]&gt;22.5,Tabla1[[#This Row],[MAYO ]]/22.5-1,0),IF(Tabla1[[#This Row],[MAYO ]]&gt;45,Tabla1[[#This Row],[MAYO ]]/45-1,0))</f>
        <v>0</v>
      </c>
      <c r="AL504" s="100">
        <f>IF(Tabla1[[#This Row],[TIPO DE CONSUMIDOR]]="MEDIO",IF(Tabla1[[#This Row],[JUNIO ]]&gt;22.5,Tabla1[[#This Row],[JUNIO ]]/22.5-1,0),IF(Tabla1[[#This Row],[JUNIO ]]&gt;45,Tabla1[[#This Row],[JUNIO ]]/45-1,0))</f>
        <v>0</v>
      </c>
      <c r="AM504" s="100">
        <f>IF(Tabla1[[#This Row],[TIPO DE CONSUMIDOR]]="MEDIO",IF(Tabla1[[#This Row],[JULIO ]]&gt;22.5,Tabla1[[#This Row],[JULIO ]]/22.5-1,0),IF(Tabla1[[#This Row],[JULIO ]]&gt;45,Tabla1[[#This Row],[JULIO ]]/45-1,0))</f>
        <v>0</v>
      </c>
      <c r="AN504" s="100">
        <f>IF(Tabla1[[#This Row],[TIPO DE CONSUMIDOR]]="MEDIO",IF(Tabla1[[#This Row],[AGOSTO]]&gt;22.5,Tabla1[[#This Row],[AGOSTO]]/22.5-1,0),IF(Tabla1[[#This Row],[AGOSTO]]&gt;45,Tabla1[[#This Row],[AGOSTO]]/45-1,0))</f>
        <v>0</v>
      </c>
      <c r="AO50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4" s="101">
        <f t="shared" si="15"/>
        <v>0</v>
      </c>
      <c r="AT504">
        <f>IF(Tabla1[[#This Row],[MES ADEUDO DE AÑOS PASADOS ]]&gt;0,1,0)</f>
        <v>1</v>
      </c>
      <c r="AU504" s="9">
        <f t="shared" si="16"/>
        <v>1</v>
      </c>
      <c r="AV504" s="60">
        <f>IF(Tabla1[[#This Row],[MESES DE ADEUDO DEL AÑO EN CURSO ]]&gt;0,1,0)</f>
        <v>0</v>
      </c>
      <c r="AW504" s="42"/>
      <c r="AX504" s="42"/>
      <c r="AY504" s="42"/>
      <c r="AZ504" s="43"/>
    </row>
    <row r="505" spans="1:52" ht="21.75" thickBot="1" x14ac:dyDescent="0.35">
      <c r="A505" s="106">
        <v>499</v>
      </c>
      <c r="B505" s="5" t="s">
        <v>619</v>
      </c>
      <c r="C505" s="2" t="s">
        <v>575</v>
      </c>
      <c r="D505" s="32"/>
      <c r="E505" s="35" t="s">
        <v>455</v>
      </c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24">
        <f>SUM(Tabla1[[#This Row],[ENERO ]:[DICIEMBRE]])</f>
        <v>0</v>
      </c>
      <c r="W505">
        <v>5</v>
      </c>
      <c r="X505" s="21">
        <f>COUNTIF(Tabla1[[#This Row],[ENERO ]:[DICIEMBRE]],0)-(AS505)-IF(Tabla1[[#This Row],[BAJAS]]="BAJA",IF(Tabla1[[#This Row],[ALTAS]]="ALTA",VLOOKUP(Tabla1[[#This Row],[MES DE ALTA ]],$AW$6:$AX$17,2,FALSE),12)-VLOOKUP(Tabla1[[#This Row],[MES DE BAJA ]],$AW$6:$AX$17,2,FALSE),0)</f>
        <v>0</v>
      </c>
      <c r="Y505" s="68">
        <f>SUM(Tabla1[[#This Row],[MES ADEUDO DE AÑOS PASADOS ]:[MESES DE ADEUDO DEL AÑO EN CURSO ]])-Tabla1[[#This Row],[PAGO DE DEUDA ANTERIOR EN MESES]]</f>
        <v>5</v>
      </c>
      <c r="Z505" s="15">
        <f>Tabla1[[#This Row],[MES ADEUDO DE AÑOS PASADOS ]]*$T$2</f>
        <v>225</v>
      </c>
      <c r="AA505" s="15">
        <f>Tabla1[[#This Row],[MESES DE ADEUDO DEL AÑO EN CURSO ]]*$T$2</f>
        <v>0</v>
      </c>
      <c r="AB505" s="69">
        <f>SUM(Tabla1[[#This Row],[DEUDA DE LOS MESES PASADOS EN $$]:[DEUDA DEL AÑO 2013 $$ ]])</f>
        <v>225</v>
      </c>
      <c r="AD505">
        <f>Tabla1[[#This Row],[PAGO DE DEUDA ANTERIOR EN MESES]]*$T$2</f>
        <v>0</v>
      </c>
      <c r="AG505" s="100">
        <f>IF(Tabla1[[#This Row],[TIPO DE CONSUMIDOR]]="MEDIO",IF(Tabla1[[#This Row],[ENERO ]]&gt;22.5,Tabla1[[#This Row],[ENERO ]]/22.5-1,0),IF(Tabla1[[#This Row],[ENERO ]]&gt;45,Tabla1[[#This Row],[ENERO ]]/45-1,0))</f>
        <v>0</v>
      </c>
      <c r="AH50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5" s="100">
        <f>IF(Tabla1[[#This Row],[TIPO DE CONSUMIDOR]]="MEDIO",IF(Tabla1[[#This Row],[MARZO]]&gt;22.5,Tabla1[[#This Row],[MARZO]]/22.5-1,0),IF(Tabla1[[#This Row],[MARZO]]&gt;45,Tabla1[[#This Row],[MARZO]]/45-1,0))</f>
        <v>0</v>
      </c>
      <c r="AJ505" s="100">
        <f>IF(Tabla1[[#This Row],[TIPO DE CONSUMIDOR]]="MEDIO",IF(Tabla1[[#This Row],[ABRIL]]&gt;22.5,Tabla1[[#This Row],[ABRIL]]/22.5-1,0),IF(Tabla1[[#This Row],[ABRIL]]&gt;45,Tabla1[[#This Row],[ABRIL]]/45-1,0))</f>
        <v>0</v>
      </c>
      <c r="AK505" s="100">
        <f>IF(Tabla1[[#This Row],[TIPO DE CONSUMIDOR]]="MEDIO",IF(Tabla1[[#This Row],[MAYO ]]&gt;22.5,Tabla1[[#This Row],[MAYO ]]/22.5-1,0),IF(Tabla1[[#This Row],[MAYO ]]&gt;45,Tabla1[[#This Row],[MAYO ]]/45-1,0))</f>
        <v>0</v>
      </c>
      <c r="AL505" s="100">
        <f>IF(Tabla1[[#This Row],[TIPO DE CONSUMIDOR]]="MEDIO",IF(Tabla1[[#This Row],[JUNIO ]]&gt;22.5,Tabla1[[#This Row],[JUNIO ]]/22.5-1,0),IF(Tabla1[[#This Row],[JUNIO ]]&gt;45,Tabla1[[#This Row],[JUNIO ]]/45-1,0))</f>
        <v>0</v>
      </c>
      <c r="AM505" s="100">
        <f>IF(Tabla1[[#This Row],[TIPO DE CONSUMIDOR]]="MEDIO",IF(Tabla1[[#This Row],[JULIO ]]&gt;22.5,Tabla1[[#This Row],[JULIO ]]/22.5-1,0),IF(Tabla1[[#This Row],[JULIO ]]&gt;45,Tabla1[[#This Row],[JULIO ]]/45-1,0))</f>
        <v>0</v>
      </c>
      <c r="AN505" s="100">
        <f>IF(Tabla1[[#This Row],[TIPO DE CONSUMIDOR]]="MEDIO",IF(Tabla1[[#This Row],[AGOSTO]]&gt;22.5,Tabla1[[#This Row],[AGOSTO]]/22.5-1,0),IF(Tabla1[[#This Row],[AGOSTO]]&gt;45,Tabla1[[#This Row],[AGOSTO]]/45-1,0))</f>
        <v>0</v>
      </c>
      <c r="AO50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5" s="101">
        <f t="shared" si="15"/>
        <v>0</v>
      </c>
      <c r="AT505">
        <f>IF(Tabla1[[#This Row],[MES ADEUDO DE AÑOS PASADOS ]]&gt;0,1,0)</f>
        <v>1</v>
      </c>
      <c r="AU505" s="9">
        <f t="shared" si="16"/>
        <v>1</v>
      </c>
      <c r="AV505" s="60">
        <f>IF(Tabla1[[#This Row],[MESES DE ADEUDO DEL AÑO EN CURSO ]]&gt;0,1,0)</f>
        <v>0</v>
      </c>
      <c r="AW505" s="42"/>
      <c r="AX505" s="42"/>
      <c r="AY505" s="42"/>
      <c r="AZ505" s="43"/>
    </row>
    <row r="506" spans="1:52" ht="21.75" thickBot="1" x14ac:dyDescent="0.35">
      <c r="A506" s="106">
        <v>500</v>
      </c>
      <c r="B506" s="5" t="s">
        <v>55</v>
      </c>
      <c r="C506" s="2" t="s">
        <v>575</v>
      </c>
      <c r="D506" s="32"/>
      <c r="E506" s="35" t="s">
        <v>455</v>
      </c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24">
        <f>SUM(Tabla1[[#This Row],[ENERO ]:[DICIEMBRE]])</f>
        <v>0</v>
      </c>
      <c r="W506">
        <v>7</v>
      </c>
      <c r="X506" s="21">
        <f>COUNTIF(Tabla1[[#This Row],[ENERO ]:[DICIEMBRE]],0)-(AS506)-IF(Tabla1[[#This Row],[BAJAS]]="BAJA",IF(Tabla1[[#This Row],[ALTAS]]="ALTA",VLOOKUP(Tabla1[[#This Row],[MES DE ALTA ]],$AW$6:$AX$17,2,FALSE),12)-VLOOKUP(Tabla1[[#This Row],[MES DE BAJA ]],$AW$6:$AX$17,2,FALSE),0)</f>
        <v>0</v>
      </c>
      <c r="Y506" s="68">
        <f>SUM(Tabla1[[#This Row],[MES ADEUDO DE AÑOS PASADOS ]:[MESES DE ADEUDO DEL AÑO EN CURSO ]])-Tabla1[[#This Row],[PAGO DE DEUDA ANTERIOR EN MESES]]</f>
        <v>7</v>
      </c>
      <c r="Z506" s="15">
        <f>Tabla1[[#This Row],[MES ADEUDO DE AÑOS PASADOS ]]*$T$2</f>
        <v>315</v>
      </c>
      <c r="AA506" s="15">
        <f>Tabla1[[#This Row],[MESES DE ADEUDO DEL AÑO EN CURSO ]]*$T$2</f>
        <v>0</v>
      </c>
      <c r="AB506" s="69">
        <f>SUM(Tabla1[[#This Row],[DEUDA DE LOS MESES PASADOS EN $$]:[DEUDA DEL AÑO 2013 $$ ]])</f>
        <v>315</v>
      </c>
      <c r="AD506">
        <f>Tabla1[[#This Row],[PAGO DE DEUDA ANTERIOR EN MESES]]*$T$2</f>
        <v>0</v>
      </c>
      <c r="AG506" s="100">
        <f>IF(Tabla1[[#This Row],[TIPO DE CONSUMIDOR]]="MEDIO",IF(Tabla1[[#This Row],[ENERO ]]&gt;22.5,Tabla1[[#This Row],[ENERO ]]/22.5-1,0),IF(Tabla1[[#This Row],[ENERO ]]&gt;45,Tabla1[[#This Row],[ENERO ]]/45-1,0))</f>
        <v>0</v>
      </c>
      <c r="AH50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6" s="100">
        <f>IF(Tabla1[[#This Row],[TIPO DE CONSUMIDOR]]="MEDIO",IF(Tabla1[[#This Row],[MARZO]]&gt;22.5,Tabla1[[#This Row],[MARZO]]/22.5-1,0),IF(Tabla1[[#This Row],[MARZO]]&gt;45,Tabla1[[#This Row],[MARZO]]/45-1,0))</f>
        <v>0</v>
      </c>
      <c r="AJ506" s="100">
        <f>IF(Tabla1[[#This Row],[TIPO DE CONSUMIDOR]]="MEDIO",IF(Tabla1[[#This Row],[ABRIL]]&gt;22.5,Tabla1[[#This Row],[ABRIL]]/22.5-1,0),IF(Tabla1[[#This Row],[ABRIL]]&gt;45,Tabla1[[#This Row],[ABRIL]]/45-1,0))</f>
        <v>0</v>
      </c>
      <c r="AK506" s="100">
        <f>IF(Tabla1[[#This Row],[TIPO DE CONSUMIDOR]]="MEDIO",IF(Tabla1[[#This Row],[MAYO ]]&gt;22.5,Tabla1[[#This Row],[MAYO ]]/22.5-1,0),IF(Tabla1[[#This Row],[MAYO ]]&gt;45,Tabla1[[#This Row],[MAYO ]]/45-1,0))</f>
        <v>0</v>
      </c>
      <c r="AL506" s="100">
        <f>IF(Tabla1[[#This Row],[TIPO DE CONSUMIDOR]]="MEDIO",IF(Tabla1[[#This Row],[JUNIO ]]&gt;22.5,Tabla1[[#This Row],[JUNIO ]]/22.5-1,0),IF(Tabla1[[#This Row],[JUNIO ]]&gt;45,Tabla1[[#This Row],[JUNIO ]]/45-1,0))</f>
        <v>0</v>
      </c>
      <c r="AM506" s="100">
        <f>IF(Tabla1[[#This Row],[TIPO DE CONSUMIDOR]]="MEDIO",IF(Tabla1[[#This Row],[JULIO ]]&gt;22.5,Tabla1[[#This Row],[JULIO ]]/22.5-1,0),IF(Tabla1[[#This Row],[JULIO ]]&gt;45,Tabla1[[#This Row],[JULIO ]]/45-1,0))</f>
        <v>0</v>
      </c>
      <c r="AN506" s="100">
        <f>IF(Tabla1[[#This Row],[TIPO DE CONSUMIDOR]]="MEDIO",IF(Tabla1[[#This Row],[AGOSTO]]&gt;22.5,Tabla1[[#This Row],[AGOSTO]]/22.5-1,0),IF(Tabla1[[#This Row],[AGOSTO]]&gt;45,Tabla1[[#This Row],[AGOSTO]]/45-1,0))</f>
        <v>0</v>
      </c>
      <c r="AO50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6" s="101">
        <f t="shared" si="15"/>
        <v>0</v>
      </c>
      <c r="AT506">
        <f>IF(Tabla1[[#This Row],[MES ADEUDO DE AÑOS PASADOS ]]&gt;0,1,0)</f>
        <v>1</v>
      </c>
      <c r="AU506" s="9">
        <f t="shared" si="16"/>
        <v>1</v>
      </c>
      <c r="AV506" s="60">
        <f>IF(Tabla1[[#This Row],[MESES DE ADEUDO DEL AÑO EN CURSO ]]&gt;0,1,0)</f>
        <v>0</v>
      </c>
      <c r="AW506" s="42"/>
      <c r="AX506" s="42"/>
      <c r="AY506" s="42"/>
      <c r="AZ506" s="43"/>
    </row>
    <row r="507" spans="1:52" ht="21.75" thickBot="1" x14ac:dyDescent="0.35">
      <c r="A507" s="106">
        <v>501</v>
      </c>
      <c r="B507" s="5" t="s">
        <v>412</v>
      </c>
      <c r="C507" s="2" t="s">
        <v>575</v>
      </c>
      <c r="D507" s="32"/>
      <c r="E507" s="35" t="s">
        <v>455</v>
      </c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24">
        <f>SUM(Tabla1[[#This Row],[ENERO ]:[DICIEMBRE]])</f>
        <v>0</v>
      </c>
      <c r="W507">
        <v>8</v>
      </c>
      <c r="X507" s="21">
        <f>COUNTIF(Tabla1[[#This Row],[ENERO ]:[DICIEMBRE]],0)-(AS507)-IF(Tabla1[[#This Row],[BAJAS]]="BAJA",IF(Tabla1[[#This Row],[ALTAS]]="ALTA",VLOOKUP(Tabla1[[#This Row],[MES DE ALTA ]],$AW$6:$AX$17,2,FALSE),12)-VLOOKUP(Tabla1[[#This Row],[MES DE BAJA ]],$AW$6:$AX$17,2,FALSE),0)</f>
        <v>0</v>
      </c>
      <c r="Y507" s="68">
        <f>SUM(Tabla1[[#This Row],[MES ADEUDO DE AÑOS PASADOS ]:[MESES DE ADEUDO DEL AÑO EN CURSO ]])-Tabla1[[#This Row],[PAGO DE DEUDA ANTERIOR EN MESES]]</f>
        <v>8</v>
      </c>
      <c r="Z507" s="15">
        <f>Tabla1[[#This Row],[MES ADEUDO DE AÑOS PASADOS ]]*$T$2</f>
        <v>360</v>
      </c>
      <c r="AA507" s="15">
        <f>Tabla1[[#This Row],[MESES DE ADEUDO DEL AÑO EN CURSO ]]*$T$2</f>
        <v>0</v>
      </c>
      <c r="AB507" s="69">
        <f>SUM(Tabla1[[#This Row],[DEUDA DE LOS MESES PASADOS EN $$]:[DEUDA DEL AÑO 2013 $$ ]])</f>
        <v>360</v>
      </c>
      <c r="AD507">
        <f>Tabla1[[#This Row],[PAGO DE DEUDA ANTERIOR EN MESES]]*$T$2</f>
        <v>0</v>
      </c>
      <c r="AG507" s="100">
        <f>IF(Tabla1[[#This Row],[TIPO DE CONSUMIDOR]]="MEDIO",IF(Tabla1[[#This Row],[ENERO ]]&gt;22.5,Tabla1[[#This Row],[ENERO ]]/22.5-1,0),IF(Tabla1[[#This Row],[ENERO ]]&gt;45,Tabla1[[#This Row],[ENERO ]]/45-1,0))</f>
        <v>0</v>
      </c>
      <c r="AH50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7" s="100">
        <f>IF(Tabla1[[#This Row],[TIPO DE CONSUMIDOR]]="MEDIO",IF(Tabla1[[#This Row],[MARZO]]&gt;22.5,Tabla1[[#This Row],[MARZO]]/22.5-1,0),IF(Tabla1[[#This Row],[MARZO]]&gt;45,Tabla1[[#This Row],[MARZO]]/45-1,0))</f>
        <v>0</v>
      </c>
      <c r="AJ507" s="100">
        <f>IF(Tabla1[[#This Row],[TIPO DE CONSUMIDOR]]="MEDIO",IF(Tabla1[[#This Row],[ABRIL]]&gt;22.5,Tabla1[[#This Row],[ABRIL]]/22.5-1,0),IF(Tabla1[[#This Row],[ABRIL]]&gt;45,Tabla1[[#This Row],[ABRIL]]/45-1,0))</f>
        <v>0</v>
      </c>
      <c r="AK507" s="100">
        <f>IF(Tabla1[[#This Row],[TIPO DE CONSUMIDOR]]="MEDIO",IF(Tabla1[[#This Row],[MAYO ]]&gt;22.5,Tabla1[[#This Row],[MAYO ]]/22.5-1,0),IF(Tabla1[[#This Row],[MAYO ]]&gt;45,Tabla1[[#This Row],[MAYO ]]/45-1,0))</f>
        <v>0</v>
      </c>
      <c r="AL507" s="100">
        <f>IF(Tabla1[[#This Row],[TIPO DE CONSUMIDOR]]="MEDIO",IF(Tabla1[[#This Row],[JUNIO ]]&gt;22.5,Tabla1[[#This Row],[JUNIO ]]/22.5-1,0),IF(Tabla1[[#This Row],[JUNIO ]]&gt;45,Tabla1[[#This Row],[JUNIO ]]/45-1,0))</f>
        <v>0</v>
      </c>
      <c r="AM507" s="100">
        <f>IF(Tabla1[[#This Row],[TIPO DE CONSUMIDOR]]="MEDIO",IF(Tabla1[[#This Row],[JULIO ]]&gt;22.5,Tabla1[[#This Row],[JULIO ]]/22.5-1,0),IF(Tabla1[[#This Row],[JULIO ]]&gt;45,Tabla1[[#This Row],[JULIO ]]/45-1,0))</f>
        <v>0</v>
      </c>
      <c r="AN507" s="100">
        <f>IF(Tabla1[[#This Row],[TIPO DE CONSUMIDOR]]="MEDIO",IF(Tabla1[[#This Row],[AGOSTO]]&gt;22.5,Tabla1[[#This Row],[AGOSTO]]/22.5-1,0),IF(Tabla1[[#This Row],[AGOSTO]]&gt;45,Tabla1[[#This Row],[AGOSTO]]/45-1,0))</f>
        <v>0</v>
      </c>
      <c r="AO50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7" s="101">
        <f t="shared" si="15"/>
        <v>0</v>
      </c>
      <c r="AT507">
        <f>IF(Tabla1[[#This Row],[MES ADEUDO DE AÑOS PASADOS ]]&gt;0,1,0)</f>
        <v>1</v>
      </c>
      <c r="AU507" s="9">
        <f t="shared" si="16"/>
        <v>1</v>
      </c>
      <c r="AV507" s="60">
        <f>IF(Tabla1[[#This Row],[MESES DE ADEUDO DEL AÑO EN CURSO ]]&gt;0,1,0)</f>
        <v>0</v>
      </c>
      <c r="AW507" s="42"/>
      <c r="AX507" s="42"/>
      <c r="AY507" s="42"/>
      <c r="AZ507" s="43"/>
    </row>
    <row r="508" spans="1:52" ht="21.75" thickBot="1" x14ac:dyDescent="0.35">
      <c r="A508" s="106">
        <v>502</v>
      </c>
      <c r="B508" s="5" t="s">
        <v>620</v>
      </c>
      <c r="C508" s="2" t="s">
        <v>575</v>
      </c>
      <c r="D508" s="32"/>
      <c r="E508" s="35" t="s">
        <v>455</v>
      </c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24">
        <f>SUM(Tabla1[[#This Row],[ENERO ]:[DICIEMBRE]])</f>
        <v>0</v>
      </c>
      <c r="W508">
        <v>9</v>
      </c>
      <c r="X508" s="21">
        <f>COUNTIF(Tabla1[[#This Row],[ENERO ]:[DICIEMBRE]],0)-(AS508)-IF(Tabla1[[#This Row],[BAJAS]]="BAJA",IF(Tabla1[[#This Row],[ALTAS]]="ALTA",VLOOKUP(Tabla1[[#This Row],[MES DE ALTA ]],$AW$6:$AX$17,2,FALSE),12)-VLOOKUP(Tabla1[[#This Row],[MES DE BAJA ]],$AW$6:$AX$17,2,FALSE),0)</f>
        <v>0</v>
      </c>
      <c r="Y508" s="68">
        <f>SUM(Tabla1[[#This Row],[MES ADEUDO DE AÑOS PASADOS ]:[MESES DE ADEUDO DEL AÑO EN CURSO ]])-Tabla1[[#This Row],[PAGO DE DEUDA ANTERIOR EN MESES]]</f>
        <v>9</v>
      </c>
      <c r="Z508" s="15">
        <f>Tabla1[[#This Row],[MES ADEUDO DE AÑOS PASADOS ]]*$T$2</f>
        <v>405</v>
      </c>
      <c r="AA508" s="15">
        <f>Tabla1[[#This Row],[MESES DE ADEUDO DEL AÑO EN CURSO ]]*$T$2</f>
        <v>0</v>
      </c>
      <c r="AB508" s="69">
        <f>SUM(Tabla1[[#This Row],[DEUDA DE LOS MESES PASADOS EN $$]:[DEUDA DEL AÑO 2013 $$ ]])</f>
        <v>405</v>
      </c>
      <c r="AD508">
        <f>Tabla1[[#This Row],[PAGO DE DEUDA ANTERIOR EN MESES]]*$T$2</f>
        <v>0</v>
      </c>
      <c r="AG508" s="100">
        <f>IF(Tabla1[[#This Row],[TIPO DE CONSUMIDOR]]="MEDIO",IF(Tabla1[[#This Row],[ENERO ]]&gt;22.5,Tabla1[[#This Row],[ENERO ]]/22.5-1,0),IF(Tabla1[[#This Row],[ENERO ]]&gt;45,Tabla1[[#This Row],[ENERO ]]/45-1,0))</f>
        <v>0</v>
      </c>
      <c r="AH50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8" s="100">
        <f>IF(Tabla1[[#This Row],[TIPO DE CONSUMIDOR]]="MEDIO",IF(Tabla1[[#This Row],[MARZO]]&gt;22.5,Tabla1[[#This Row],[MARZO]]/22.5-1,0),IF(Tabla1[[#This Row],[MARZO]]&gt;45,Tabla1[[#This Row],[MARZO]]/45-1,0))</f>
        <v>0</v>
      </c>
      <c r="AJ508" s="100">
        <f>IF(Tabla1[[#This Row],[TIPO DE CONSUMIDOR]]="MEDIO",IF(Tabla1[[#This Row],[ABRIL]]&gt;22.5,Tabla1[[#This Row],[ABRIL]]/22.5-1,0),IF(Tabla1[[#This Row],[ABRIL]]&gt;45,Tabla1[[#This Row],[ABRIL]]/45-1,0))</f>
        <v>0</v>
      </c>
      <c r="AK508" s="100">
        <f>IF(Tabla1[[#This Row],[TIPO DE CONSUMIDOR]]="MEDIO",IF(Tabla1[[#This Row],[MAYO ]]&gt;22.5,Tabla1[[#This Row],[MAYO ]]/22.5-1,0),IF(Tabla1[[#This Row],[MAYO ]]&gt;45,Tabla1[[#This Row],[MAYO ]]/45-1,0))</f>
        <v>0</v>
      </c>
      <c r="AL508" s="100">
        <f>IF(Tabla1[[#This Row],[TIPO DE CONSUMIDOR]]="MEDIO",IF(Tabla1[[#This Row],[JUNIO ]]&gt;22.5,Tabla1[[#This Row],[JUNIO ]]/22.5-1,0),IF(Tabla1[[#This Row],[JUNIO ]]&gt;45,Tabla1[[#This Row],[JUNIO ]]/45-1,0))</f>
        <v>0</v>
      </c>
      <c r="AM508" s="100">
        <f>IF(Tabla1[[#This Row],[TIPO DE CONSUMIDOR]]="MEDIO",IF(Tabla1[[#This Row],[JULIO ]]&gt;22.5,Tabla1[[#This Row],[JULIO ]]/22.5-1,0),IF(Tabla1[[#This Row],[JULIO ]]&gt;45,Tabla1[[#This Row],[JULIO ]]/45-1,0))</f>
        <v>0</v>
      </c>
      <c r="AN508" s="100">
        <f>IF(Tabla1[[#This Row],[TIPO DE CONSUMIDOR]]="MEDIO",IF(Tabla1[[#This Row],[AGOSTO]]&gt;22.5,Tabla1[[#This Row],[AGOSTO]]/22.5-1,0),IF(Tabla1[[#This Row],[AGOSTO]]&gt;45,Tabla1[[#This Row],[AGOSTO]]/45-1,0))</f>
        <v>0</v>
      </c>
      <c r="AO50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8" s="101">
        <f t="shared" si="15"/>
        <v>0</v>
      </c>
      <c r="AT508">
        <f>IF(Tabla1[[#This Row],[MES ADEUDO DE AÑOS PASADOS ]]&gt;0,1,0)</f>
        <v>1</v>
      </c>
      <c r="AU508" s="9">
        <f t="shared" si="16"/>
        <v>1</v>
      </c>
      <c r="AV508" s="60">
        <f>IF(Tabla1[[#This Row],[MESES DE ADEUDO DEL AÑO EN CURSO ]]&gt;0,1,0)</f>
        <v>0</v>
      </c>
      <c r="AW508" s="42"/>
      <c r="AX508" s="42"/>
      <c r="AY508" s="42"/>
      <c r="AZ508" s="43"/>
    </row>
    <row r="509" spans="1:52" ht="21.75" thickBot="1" x14ac:dyDescent="0.35">
      <c r="A509" s="106">
        <v>503</v>
      </c>
      <c r="B509" s="5" t="s">
        <v>38</v>
      </c>
      <c r="C509" s="2" t="s">
        <v>575</v>
      </c>
      <c r="D509" s="32"/>
      <c r="E509" s="35" t="s">
        <v>455</v>
      </c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58">
        <f>SUM(Tabla1[[#This Row],[ENERO ]:[DICIEMBRE]])</f>
        <v>0</v>
      </c>
      <c r="W509">
        <v>11</v>
      </c>
      <c r="X509" s="21">
        <f>COUNTIF(Tabla1[[#This Row],[ENERO ]:[DICIEMBRE]],0)-(AS509)-IF(Tabla1[[#This Row],[BAJAS]]="BAJA",IF(Tabla1[[#This Row],[ALTAS]]="ALTA",VLOOKUP(Tabla1[[#This Row],[MES DE ALTA ]],$AW$6:$AX$17,2,FALSE),12)-VLOOKUP(Tabla1[[#This Row],[MES DE BAJA ]],$AW$6:$AX$17,2,FALSE),0)</f>
        <v>0</v>
      </c>
      <c r="Y509" s="68">
        <f>SUM(Tabla1[[#This Row],[MES ADEUDO DE AÑOS PASADOS ]:[MESES DE ADEUDO DEL AÑO EN CURSO ]])-Tabla1[[#This Row],[PAGO DE DEUDA ANTERIOR EN MESES]]</f>
        <v>11</v>
      </c>
      <c r="Z509" s="15">
        <f>Tabla1[[#This Row],[MES ADEUDO DE AÑOS PASADOS ]]*$T$2</f>
        <v>495</v>
      </c>
      <c r="AA509" s="15">
        <f>Tabla1[[#This Row],[MESES DE ADEUDO DEL AÑO EN CURSO ]]*$T$2</f>
        <v>0</v>
      </c>
      <c r="AB509" s="69">
        <f>SUM(Tabla1[[#This Row],[DEUDA DE LOS MESES PASADOS EN $$]:[DEUDA DEL AÑO 2013 $$ ]])</f>
        <v>495</v>
      </c>
      <c r="AD509">
        <f>Tabla1[[#This Row],[PAGO DE DEUDA ANTERIOR EN MESES]]*$T$2</f>
        <v>0</v>
      </c>
      <c r="AG509" s="100">
        <f>IF(Tabla1[[#This Row],[TIPO DE CONSUMIDOR]]="MEDIO",IF(Tabla1[[#This Row],[ENERO ]]&gt;22.5,Tabla1[[#This Row],[ENERO ]]/22.5-1,0),IF(Tabla1[[#This Row],[ENERO ]]&gt;45,Tabla1[[#This Row],[ENERO ]]/45-1,0))</f>
        <v>0</v>
      </c>
      <c r="AH50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09" s="100">
        <f>IF(Tabla1[[#This Row],[TIPO DE CONSUMIDOR]]="MEDIO",IF(Tabla1[[#This Row],[MARZO]]&gt;22.5,Tabla1[[#This Row],[MARZO]]/22.5-1,0),IF(Tabla1[[#This Row],[MARZO]]&gt;45,Tabla1[[#This Row],[MARZO]]/45-1,0))</f>
        <v>0</v>
      </c>
      <c r="AJ509" s="100">
        <f>IF(Tabla1[[#This Row],[TIPO DE CONSUMIDOR]]="MEDIO",IF(Tabla1[[#This Row],[ABRIL]]&gt;22.5,Tabla1[[#This Row],[ABRIL]]/22.5-1,0),IF(Tabla1[[#This Row],[ABRIL]]&gt;45,Tabla1[[#This Row],[ABRIL]]/45-1,0))</f>
        <v>0</v>
      </c>
      <c r="AK509" s="100">
        <f>IF(Tabla1[[#This Row],[TIPO DE CONSUMIDOR]]="MEDIO",IF(Tabla1[[#This Row],[MAYO ]]&gt;22.5,Tabla1[[#This Row],[MAYO ]]/22.5-1,0),IF(Tabla1[[#This Row],[MAYO ]]&gt;45,Tabla1[[#This Row],[MAYO ]]/45-1,0))</f>
        <v>0</v>
      </c>
      <c r="AL509" s="100">
        <f>IF(Tabla1[[#This Row],[TIPO DE CONSUMIDOR]]="MEDIO",IF(Tabla1[[#This Row],[JUNIO ]]&gt;22.5,Tabla1[[#This Row],[JUNIO ]]/22.5-1,0),IF(Tabla1[[#This Row],[JUNIO ]]&gt;45,Tabla1[[#This Row],[JUNIO ]]/45-1,0))</f>
        <v>0</v>
      </c>
      <c r="AM509" s="100">
        <f>IF(Tabla1[[#This Row],[TIPO DE CONSUMIDOR]]="MEDIO",IF(Tabla1[[#This Row],[JULIO ]]&gt;22.5,Tabla1[[#This Row],[JULIO ]]/22.5-1,0),IF(Tabla1[[#This Row],[JULIO ]]&gt;45,Tabla1[[#This Row],[JULIO ]]/45-1,0))</f>
        <v>0</v>
      </c>
      <c r="AN509" s="100">
        <f>IF(Tabla1[[#This Row],[TIPO DE CONSUMIDOR]]="MEDIO",IF(Tabla1[[#This Row],[AGOSTO]]&gt;22.5,Tabla1[[#This Row],[AGOSTO]]/22.5-1,0),IF(Tabla1[[#This Row],[AGOSTO]]&gt;45,Tabla1[[#This Row],[AGOSTO]]/45-1,0))</f>
        <v>0</v>
      </c>
      <c r="AO50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0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0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0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09" s="101">
        <f t="shared" si="15"/>
        <v>0</v>
      </c>
      <c r="AT509">
        <f>IF(Tabla1[[#This Row],[MES ADEUDO DE AÑOS PASADOS ]]&gt;0,1,0)</f>
        <v>1</v>
      </c>
      <c r="AU509" s="9">
        <f t="shared" si="16"/>
        <v>1</v>
      </c>
      <c r="AV509" s="60">
        <f>IF(Tabla1[[#This Row],[MESES DE ADEUDO DEL AÑO EN CURSO ]]&gt;0,1,0)</f>
        <v>0</v>
      </c>
      <c r="AW509" s="42"/>
      <c r="AX509" s="42"/>
      <c r="AY509" s="42"/>
      <c r="AZ509" s="43"/>
    </row>
    <row r="510" spans="1:52" ht="21.75" thickBot="1" x14ac:dyDescent="0.35">
      <c r="A510" s="106">
        <v>504</v>
      </c>
      <c r="B510" s="5" t="s">
        <v>52</v>
      </c>
      <c r="C510" s="2" t="s">
        <v>575</v>
      </c>
      <c r="D510" s="32"/>
      <c r="E510" s="35" t="s">
        <v>455</v>
      </c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24">
        <f>SUM(Tabla1[[#This Row],[ENERO ]:[DICIEMBRE]])</f>
        <v>0</v>
      </c>
      <c r="W510">
        <v>12</v>
      </c>
      <c r="X510" s="21">
        <f>COUNTIF(Tabla1[[#This Row],[ENERO ]:[DICIEMBRE]],0)-(AS510)-IF(Tabla1[[#This Row],[BAJAS]]="BAJA",IF(Tabla1[[#This Row],[ALTAS]]="ALTA",VLOOKUP(Tabla1[[#This Row],[MES DE ALTA ]],$AW$6:$AX$17,2,FALSE),12)-VLOOKUP(Tabla1[[#This Row],[MES DE BAJA ]],$AW$6:$AX$17,2,FALSE),0)</f>
        <v>0</v>
      </c>
      <c r="Y510" s="68">
        <f>SUM(Tabla1[[#This Row],[MES ADEUDO DE AÑOS PASADOS ]:[MESES DE ADEUDO DEL AÑO EN CURSO ]])-Tabla1[[#This Row],[PAGO DE DEUDA ANTERIOR EN MESES]]</f>
        <v>12</v>
      </c>
      <c r="Z510" s="15">
        <f>Tabla1[[#This Row],[MES ADEUDO DE AÑOS PASADOS ]]*$T$2</f>
        <v>540</v>
      </c>
      <c r="AA510" s="15">
        <f>Tabla1[[#This Row],[MESES DE ADEUDO DEL AÑO EN CURSO ]]*$T$2</f>
        <v>0</v>
      </c>
      <c r="AB510" s="69">
        <f>SUM(Tabla1[[#This Row],[DEUDA DE LOS MESES PASADOS EN $$]:[DEUDA DEL AÑO 2013 $$ ]])</f>
        <v>540</v>
      </c>
      <c r="AD510">
        <f>Tabla1[[#This Row],[PAGO DE DEUDA ANTERIOR EN MESES]]*$T$2</f>
        <v>0</v>
      </c>
      <c r="AG510" s="100">
        <f>IF(Tabla1[[#This Row],[TIPO DE CONSUMIDOR]]="MEDIO",IF(Tabla1[[#This Row],[ENERO ]]&gt;22.5,Tabla1[[#This Row],[ENERO ]]/22.5-1,0),IF(Tabla1[[#This Row],[ENERO ]]&gt;45,Tabla1[[#This Row],[ENERO ]]/45-1,0))</f>
        <v>0</v>
      </c>
      <c r="AH51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0" s="100">
        <f>IF(Tabla1[[#This Row],[TIPO DE CONSUMIDOR]]="MEDIO",IF(Tabla1[[#This Row],[MARZO]]&gt;22.5,Tabla1[[#This Row],[MARZO]]/22.5-1,0),IF(Tabla1[[#This Row],[MARZO]]&gt;45,Tabla1[[#This Row],[MARZO]]/45-1,0))</f>
        <v>0</v>
      </c>
      <c r="AJ510" s="100">
        <f>IF(Tabla1[[#This Row],[TIPO DE CONSUMIDOR]]="MEDIO",IF(Tabla1[[#This Row],[ABRIL]]&gt;22.5,Tabla1[[#This Row],[ABRIL]]/22.5-1,0),IF(Tabla1[[#This Row],[ABRIL]]&gt;45,Tabla1[[#This Row],[ABRIL]]/45-1,0))</f>
        <v>0</v>
      </c>
      <c r="AK510" s="100">
        <f>IF(Tabla1[[#This Row],[TIPO DE CONSUMIDOR]]="MEDIO",IF(Tabla1[[#This Row],[MAYO ]]&gt;22.5,Tabla1[[#This Row],[MAYO ]]/22.5-1,0),IF(Tabla1[[#This Row],[MAYO ]]&gt;45,Tabla1[[#This Row],[MAYO ]]/45-1,0))</f>
        <v>0</v>
      </c>
      <c r="AL510" s="100">
        <f>IF(Tabla1[[#This Row],[TIPO DE CONSUMIDOR]]="MEDIO",IF(Tabla1[[#This Row],[JUNIO ]]&gt;22.5,Tabla1[[#This Row],[JUNIO ]]/22.5-1,0),IF(Tabla1[[#This Row],[JUNIO ]]&gt;45,Tabla1[[#This Row],[JUNIO ]]/45-1,0))</f>
        <v>0</v>
      </c>
      <c r="AM510" s="100">
        <f>IF(Tabla1[[#This Row],[TIPO DE CONSUMIDOR]]="MEDIO",IF(Tabla1[[#This Row],[JULIO ]]&gt;22.5,Tabla1[[#This Row],[JULIO ]]/22.5-1,0),IF(Tabla1[[#This Row],[JULIO ]]&gt;45,Tabla1[[#This Row],[JULIO ]]/45-1,0))</f>
        <v>0</v>
      </c>
      <c r="AN510" s="100">
        <f>IF(Tabla1[[#This Row],[TIPO DE CONSUMIDOR]]="MEDIO",IF(Tabla1[[#This Row],[AGOSTO]]&gt;22.5,Tabla1[[#This Row],[AGOSTO]]/22.5-1,0),IF(Tabla1[[#This Row],[AGOSTO]]&gt;45,Tabla1[[#This Row],[AGOSTO]]/45-1,0))</f>
        <v>0</v>
      </c>
      <c r="AO51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0" s="101">
        <f t="shared" si="15"/>
        <v>0</v>
      </c>
      <c r="AT510">
        <f>IF(Tabla1[[#This Row],[MES ADEUDO DE AÑOS PASADOS ]]&gt;0,1,0)</f>
        <v>1</v>
      </c>
      <c r="AU510" s="9">
        <f t="shared" si="16"/>
        <v>1</v>
      </c>
      <c r="AV510" s="60">
        <f>IF(Tabla1[[#This Row],[MESES DE ADEUDO DEL AÑO EN CURSO ]]&gt;0,1,0)</f>
        <v>0</v>
      </c>
      <c r="AW510" s="42"/>
      <c r="AX510" s="42"/>
      <c r="AY510" s="42"/>
      <c r="AZ510" s="43"/>
    </row>
    <row r="511" spans="1:52" ht="21.75" thickBot="1" x14ac:dyDescent="0.35">
      <c r="A511" s="106">
        <v>505</v>
      </c>
      <c r="B511" s="5" t="s">
        <v>197</v>
      </c>
      <c r="C511" s="2" t="s">
        <v>575</v>
      </c>
      <c r="D511" s="32"/>
      <c r="E511" s="35" t="s">
        <v>455</v>
      </c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24">
        <f>SUM(Tabla1[[#This Row],[ENERO ]:[DICIEMBRE]])</f>
        <v>0</v>
      </c>
      <c r="W511">
        <v>12</v>
      </c>
      <c r="X511" s="21">
        <f>COUNTIF(Tabla1[[#This Row],[ENERO ]:[DICIEMBRE]],0)-(AS511)-IF(Tabla1[[#This Row],[BAJAS]]="BAJA",IF(Tabla1[[#This Row],[ALTAS]]="ALTA",VLOOKUP(Tabla1[[#This Row],[MES DE ALTA ]],$AW$6:$AX$17,2,FALSE),12)-VLOOKUP(Tabla1[[#This Row],[MES DE BAJA ]],$AW$6:$AX$17,2,FALSE),0)</f>
        <v>0</v>
      </c>
      <c r="Y511" s="68">
        <f>SUM(Tabla1[[#This Row],[MES ADEUDO DE AÑOS PASADOS ]:[MESES DE ADEUDO DEL AÑO EN CURSO ]])-Tabla1[[#This Row],[PAGO DE DEUDA ANTERIOR EN MESES]]</f>
        <v>12</v>
      </c>
      <c r="Z511" s="15">
        <f>Tabla1[[#This Row],[MES ADEUDO DE AÑOS PASADOS ]]*$T$2</f>
        <v>540</v>
      </c>
      <c r="AA511" s="15">
        <f>Tabla1[[#This Row],[MESES DE ADEUDO DEL AÑO EN CURSO ]]*$T$2</f>
        <v>0</v>
      </c>
      <c r="AB511" s="69">
        <f>SUM(Tabla1[[#This Row],[DEUDA DE LOS MESES PASADOS EN $$]:[DEUDA DEL AÑO 2013 $$ ]])</f>
        <v>540</v>
      </c>
      <c r="AD511">
        <f>Tabla1[[#This Row],[PAGO DE DEUDA ANTERIOR EN MESES]]*$T$2</f>
        <v>0</v>
      </c>
      <c r="AG511" s="100">
        <f>IF(Tabla1[[#This Row],[TIPO DE CONSUMIDOR]]="MEDIO",IF(Tabla1[[#This Row],[ENERO ]]&gt;22.5,Tabla1[[#This Row],[ENERO ]]/22.5-1,0),IF(Tabla1[[#This Row],[ENERO ]]&gt;45,Tabla1[[#This Row],[ENERO ]]/45-1,0))</f>
        <v>0</v>
      </c>
      <c r="AH51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1" s="100">
        <f>IF(Tabla1[[#This Row],[TIPO DE CONSUMIDOR]]="MEDIO",IF(Tabla1[[#This Row],[MARZO]]&gt;22.5,Tabla1[[#This Row],[MARZO]]/22.5-1,0),IF(Tabla1[[#This Row],[MARZO]]&gt;45,Tabla1[[#This Row],[MARZO]]/45-1,0))</f>
        <v>0</v>
      </c>
      <c r="AJ511" s="100">
        <f>IF(Tabla1[[#This Row],[TIPO DE CONSUMIDOR]]="MEDIO",IF(Tabla1[[#This Row],[ABRIL]]&gt;22.5,Tabla1[[#This Row],[ABRIL]]/22.5-1,0),IF(Tabla1[[#This Row],[ABRIL]]&gt;45,Tabla1[[#This Row],[ABRIL]]/45-1,0))</f>
        <v>0</v>
      </c>
      <c r="AK511" s="100">
        <f>IF(Tabla1[[#This Row],[TIPO DE CONSUMIDOR]]="MEDIO",IF(Tabla1[[#This Row],[MAYO ]]&gt;22.5,Tabla1[[#This Row],[MAYO ]]/22.5-1,0),IF(Tabla1[[#This Row],[MAYO ]]&gt;45,Tabla1[[#This Row],[MAYO ]]/45-1,0))</f>
        <v>0</v>
      </c>
      <c r="AL511" s="100">
        <f>IF(Tabla1[[#This Row],[TIPO DE CONSUMIDOR]]="MEDIO",IF(Tabla1[[#This Row],[JUNIO ]]&gt;22.5,Tabla1[[#This Row],[JUNIO ]]/22.5-1,0),IF(Tabla1[[#This Row],[JUNIO ]]&gt;45,Tabla1[[#This Row],[JUNIO ]]/45-1,0))</f>
        <v>0</v>
      </c>
      <c r="AM511" s="100">
        <f>IF(Tabla1[[#This Row],[TIPO DE CONSUMIDOR]]="MEDIO",IF(Tabla1[[#This Row],[JULIO ]]&gt;22.5,Tabla1[[#This Row],[JULIO ]]/22.5-1,0),IF(Tabla1[[#This Row],[JULIO ]]&gt;45,Tabla1[[#This Row],[JULIO ]]/45-1,0))</f>
        <v>0</v>
      </c>
      <c r="AN511" s="100">
        <f>IF(Tabla1[[#This Row],[TIPO DE CONSUMIDOR]]="MEDIO",IF(Tabla1[[#This Row],[AGOSTO]]&gt;22.5,Tabla1[[#This Row],[AGOSTO]]/22.5-1,0),IF(Tabla1[[#This Row],[AGOSTO]]&gt;45,Tabla1[[#This Row],[AGOSTO]]/45-1,0))</f>
        <v>0</v>
      </c>
      <c r="AO51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1" s="101">
        <f t="shared" si="15"/>
        <v>0</v>
      </c>
      <c r="AT511">
        <f>IF(Tabla1[[#This Row],[MES ADEUDO DE AÑOS PASADOS ]]&gt;0,1,0)</f>
        <v>1</v>
      </c>
      <c r="AU511" s="9">
        <f t="shared" si="16"/>
        <v>1</v>
      </c>
      <c r="AV511" s="60">
        <f>IF(Tabla1[[#This Row],[MESES DE ADEUDO DEL AÑO EN CURSO ]]&gt;0,1,0)</f>
        <v>0</v>
      </c>
      <c r="AW511" s="42"/>
      <c r="AX511" s="42"/>
      <c r="AY511" s="42"/>
      <c r="AZ511" s="43"/>
    </row>
    <row r="512" spans="1:52" ht="21.75" thickBot="1" x14ac:dyDescent="0.35">
      <c r="A512" s="106">
        <v>506</v>
      </c>
      <c r="B512" s="5" t="s">
        <v>295</v>
      </c>
      <c r="C512" s="2" t="s">
        <v>575</v>
      </c>
      <c r="D512" s="32"/>
      <c r="E512" s="35" t="s">
        <v>455</v>
      </c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24">
        <f>SUM(Tabla1[[#This Row],[ENERO ]:[DICIEMBRE]])</f>
        <v>0</v>
      </c>
      <c r="W512">
        <v>12</v>
      </c>
      <c r="X512" s="21">
        <f>COUNTIF(Tabla1[[#This Row],[ENERO ]:[DICIEMBRE]],0)-(AS512)-IF(Tabla1[[#This Row],[BAJAS]]="BAJA",IF(Tabla1[[#This Row],[ALTAS]]="ALTA",VLOOKUP(Tabla1[[#This Row],[MES DE ALTA ]],$AW$6:$AX$17,2,FALSE),12)-VLOOKUP(Tabla1[[#This Row],[MES DE BAJA ]],$AW$6:$AX$17,2,FALSE),0)</f>
        <v>0</v>
      </c>
      <c r="Y512" s="68">
        <f>SUM(Tabla1[[#This Row],[MES ADEUDO DE AÑOS PASADOS ]:[MESES DE ADEUDO DEL AÑO EN CURSO ]])-Tabla1[[#This Row],[PAGO DE DEUDA ANTERIOR EN MESES]]</f>
        <v>12</v>
      </c>
      <c r="Z512" s="15">
        <f>Tabla1[[#This Row],[MES ADEUDO DE AÑOS PASADOS ]]*$T$2</f>
        <v>540</v>
      </c>
      <c r="AA512" s="15">
        <f>Tabla1[[#This Row],[MESES DE ADEUDO DEL AÑO EN CURSO ]]*$T$2</f>
        <v>0</v>
      </c>
      <c r="AB512" s="69">
        <f>SUM(Tabla1[[#This Row],[DEUDA DE LOS MESES PASADOS EN $$]:[DEUDA DEL AÑO 2013 $$ ]])</f>
        <v>540</v>
      </c>
      <c r="AD512">
        <f>Tabla1[[#This Row],[PAGO DE DEUDA ANTERIOR EN MESES]]*$T$2</f>
        <v>0</v>
      </c>
      <c r="AG512" s="100">
        <f>IF(Tabla1[[#This Row],[TIPO DE CONSUMIDOR]]="MEDIO",IF(Tabla1[[#This Row],[ENERO ]]&gt;22.5,Tabla1[[#This Row],[ENERO ]]/22.5-1,0),IF(Tabla1[[#This Row],[ENERO ]]&gt;45,Tabla1[[#This Row],[ENERO ]]/45-1,0))</f>
        <v>0</v>
      </c>
      <c r="AH51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2" s="100">
        <f>IF(Tabla1[[#This Row],[TIPO DE CONSUMIDOR]]="MEDIO",IF(Tabla1[[#This Row],[MARZO]]&gt;22.5,Tabla1[[#This Row],[MARZO]]/22.5-1,0),IF(Tabla1[[#This Row],[MARZO]]&gt;45,Tabla1[[#This Row],[MARZO]]/45-1,0))</f>
        <v>0</v>
      </c>
      <c r="AJ512" s="100">
        <f>IF(Tabla1[[#This Row],[TIPO DE CONSUMIDOR]]="MEDIO",IF(Tabla1[[#This Row],[ABRIL]]&gt;22.5,Tabla1[[#This Row],[ABRIL]]/22.5-1,0),IF(Tabla1[[#This Row],[ABRIL]]&gt;45,Tabla1[[#This Row],[ABRIL]]/45-1,0))</f>
        <v>0</v>
      </c>
      <c r="AK512" s="100">
        <f>IF(Tabla1[[#This Row],[TIPO DE CONSUMIDOR]]="MEDIO",IF(Tabla1[[#This Row],[MAYO ]]&gt;22.5,Tabla1[[#This Row],[MAYO ]]/22.5-1,0),IF(Tabla1[[#This Row],[MAYO ]]&gt;45,Tabla1[[#This Row],[MAYO ]]/45-1,0))</f>
        <v>0</v>
      </c>
      <c r="AL512" s="100">
        <f>IF(Tabla1[[#This Row],[TIPO DE CONSUMIDOR]]="MEDIO",IF(Tabla1[[#This Row],[JUNIO ]]&gt;22.5,Tabla1[[#This Row],[JUNIO ]]/22.5-1,0),IF(Tabla1[[#This Row],[JUNIO ]]&gt;45,Tabla1[[#This Row],[JUNIO ]]/45-1,0))</f>
        <v>0</v>
      </c>
      <c r="AM512" s="100">
        <f>IF(Tabla1[[#This Row],[TIPO DE CONSUMIDOR]]="MEDIO",IF(Tabla1[[#This Row],[JULIO ]]&gt;22.5,Tabla1[[#This Row],[JULIO ]]/22.5-1,0),IF(Tabla1[[#This Row],[JULIO ]]&gt;45,Tabla1[[#This Row],[JULIO ]]/45-1,0))</f>
        <v>0</v>
      </c>
      <c r="AN512" s="100">
        <f>IF(Tabla1[[#This Row],[TIPO DE CONSUMIDOR]]="MEDIO",IF(Tabla1[[#This Row],[AGOSTO]]&gt;22.5,Tabla1[[#This Row],[AGOSTO]]/22.5-1,0),IF(Tabla1[[#This Row],[AGOSTO]]&gt;45,Tabla1[[#This Row],[AGOSTO]]/45-1,0))</f>
        <v>0</v>
      </c>
      <c r="AO51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2" s="101">
        <f t="shared" si="15"/>
        <v>0</v>
      </c>
      <c r="AT512">
        <f>IF(Tabla1[[#This Row],[MES ADEUDO DE AÑOS PASADOS ]]&gt;0,1,0)</f>
        <v>1</v>
      </c>
      <c r="AU512" s="9">
        <f t="shared" si="16"/>
        <v>1</v>
      </c>
      <c r="AV512" s="60">
        <f>IF(Tabla1[[#This Row],[MESES DE ADEUDO DEL AÑO EN CURSO ]]&gt;0,1,0)</f>
        <v>0</v>
      </c>
      <c r="AW512" s="42"/>
      <c r="AX512" s="42"/>
      <c r="AY512" s="42"/>
      <c r="AZ512" s="43"/>
    </row>
    <row r="513" spans="1:52" ht="21.75" thickBot="1" x14ac:dyDescent="0.35">
      <c r="A513" s="106">
        <v>507</v>
      </c>
      <c r="B513" s="5" t="s">
        <v>392</v>
      </c>
      <c r="C513" s="2" t="s">
        <v>575</v>
      </c>
      <c r="D513" s="32"/>
      <c r="E513" s="35" t="s">
        <v>455</v>
      </c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24">
        <f>SUM(Tabla1[[#This Row],[ENERO ]:[DICIEMBRE]])</f>
        <v>0</v>
      </c>
      <c r="W513">
        <v>12</v>
      </c>
      <c r="X513" s="21">
        <f>COUNTIF(Tabla1[[#This Row],[ENERO ]:[DICIEMBRE]],0)-(AS513)-IF(Tabla1[[#This Row],[BAJAS]]="BAJA",IF(Tabla1[[#This Row],[ALTAS]]="ALTA",VLOOKUP(Tabla1[[#This Row],[MES DE ALTA ]],$AW$6:$AX$17,2,FALSE),12)-VLOOKUP(Tabla1[[#This Row],[MES DE BAJA ]],$AW$6:$AX$17,2,FALSE),0)</f>
        <v>0</v>
      </c>
      <c r="Y513" s="68">
        <f>SUM(Tabla1[[#This Row],[MES ADEUDO DE AÑOS PASADOS ]:[MESES DE ADEUDO DEL AÑO EN CURSO ]])-Tabla1[[#This Row],[PAGO DE DEUDA ANTERIOR EN MESES]]</f>
        <v>12</v>
      </c>
      <c r="Z513" s="15">
        <f>Tabla1[[#This Row],[MES ADEUDO DE AÑOS PASADOS ]]*$T$2</f>
        <v>540</v>
      </c>
      <c r="AA513" s="15">
        <f>Tabla1[[#This Row],[MESES DE ADEUDO DEL AÑO EN CURSO ]]*$T$2</f>
        <v>0</v>
      </c>
      <c r="AB513" s="69">
        <f>SUM(Tabla1[[#This Row],[DEUDA DE LOS MESES PASADOS EN $$]:[DEUDA DEL AÑO 2013 $$ ]])</f>
        <v>540</v>
      </c>
      <c r="AD513">
        <f>Tabla1[[#This Row],[PAGO DE DEUDA ANTERIOR EN MESES]]*$T$2</f>
        <v>0</v>
      </c>
      <c r="AG513" s="100">
        <f>IF(Tabla1[[#This Row],[TIPO DE CONSUMIDOR]]="MEDIO",IF(Tabla1[[#This Row],[ENERO ]]&gt;22.5,Tabla1[[#This Row],[ENERO ]]/22.5-1,0),IF(Tabla1[[#This Row],[ENERO ]]&gt;45,Tabla1[[#This Row],[ENERO ]]/45-1,0))</f>
        <v>0</v>
      </c>
      <c r="AH51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3" s="100">
        <f>IF(Tabla1[[#This Row],[TIPO DE CONSUMIDOR]]="MEDIO",IF(Tabla1[[#This Row],[MARZO]]&gt;22.5,Tabla1[[#This Row],[MARZO]]/22.5-1,0),IF(Tabla1[[#This Row],[MARZO]]&gt;45,Tabla1[[#This Row],[MARZO]]/45-1,0))</f>
        <v>0</v>
      </c>
      <c r="AJ513" s="100">
        <f>IF(Tabla1[[#This Row],[TIPO DE CONSUMIDOR]]="MEDIO",IF(Tabla1[[#This Row],[ABRIL]]&gt;22.5,Tabla1[[#This Row],[ABRIL]]/22.5-1,0),IF(Tabla1[[#This Row],[ABRIL]]&gt;45,Tabla1[[#This Row],[ABRIL]]/45-1,0))</f>
        <v>0</v>
      </c>
      <c r="AK513" s="100">
        <f>IF(Tabla1[[#This Row],[TIPO DE CONSUMIDOR]]="MEDIO",IF(Tabla1[[#This Row],[MAYO ]]&gt;22.5,Tabla1[[#This Row],[MAYO ]]/22.5-1,0),IF(Tabla1[[#This Row],[MAYO ]]&gt;45,Tabla1[[#This Row],[MAYO ]]/45-1,0))</f>
        <v>0</v>
      </c>
      <c r="AL513" s="100">
        <f>IF(Tabla1[[#This Row],[TIPO DE CONSUMIDOR]]="MEDIO",IF(Tabla1[[#This Row],[JUNIO ]]&gt;22.5,Tabla1[[#This Row],[JUNIO ]]/22.5-1,0),IF(Tabla1[[#This Row],[JUNIO ]]&gt;45,Tabla1[[#This Row],[JUNIO ]]/45-1,0))</f>
        <v>0</v>
      </c>
      <c r="AM513" s="100">
        <f>IF(Tabla1[[#This Row],[TIPO DE CONSUMIDOR]]="MEDIO",IF(Tabla1[[#This Row],[JULIO ]]&gt;22.5,Tabla1[[#This Row],[JULIO ]]/22.5-1,0),IF(Tabla1[[#This Row],[JULIO ]]&gt;45,Tabla1[[#This Row],[JULIO ]]/45-1,0))</f>
        <v>0</v>
      </c>
      <c r="AN513" s="100">
        <f>IF(Tabla1[[#This Row],[TIPO DE CONSUMIDOR]]="MEDIO",IF(Tabla1[[#This Row],[AGOSTO]]&gt;22.5,Tabla1[[#This Row],[AGOSTO]]/22.5-1,0),IF(Tabla1[[#This Row],[AGOSTO]]&gt;45,Tabla1[[#This Row],[AGOSTO]]/45-1,0))</f>
        <v>0</v>
      </c>
      <c r="AO51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3" s="101">
        <f t="shared" si="15"/>
        <v>0</v>
      </c>
      <c r="AT513">
        <f>IF(Tabla1[[#This Row],[MES ADEUDO DE AÑOS PASADOS ]]&gt;0,1,0)</f>
        <v>1</v>
      </c>
      <c r="AU513" s="9">
        <f t="shared" si="16"/>
        <v>1</v>
      </c>
      <c r="AV513" s="60">
        <f>IF(Tabla1[[#This Row],[MESES DE ADEUDO DEL AÑO EN CURSO ]]&gt;0,1,0)</f>
        <v>0</v>
      </c>
      <c r="AW513" s="42"/>
      <c r="AX513" s="42"/>
      <c r="AY513" s="42"/>
      <c r="AZ513" s="43"/>
    </row>
    <row r="514" spans="1:52" ht="21.75" thickBot="1" x14ac:dyDescent="0.35">
      <c r="A514" s="106">
        <v>508</v>
      </c>
      <c r="B514" s="5" t="s">
        <v>422</v>
      </c>
      <c r="C514" s="2" t="s">
        <v>575</v>
      </c>
      <c r="D514" s="32"/>
      <c r="E514" s="35" t="s">
        <v>455</v>
      </c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24">
        <f>SUM(Tabla1[[#This Row],[ENERO ]:[DICIEMBRE]])</f>
        <v>0</v>
      </c>
      <c r="W514">
        <v>12</v>
      </c>
      <c r="X514" s="21">
        <f>COUNTIF(Tabla1[[#This Row],[ENERO ]:[DICIEMBRE]],0)-(AS514)-IF(Tabla1[[#This Row],[BAJAS]]="BAJA",IF(Tabla1[[#This Row],[ALTAS]]="ALTA",VLOOKUP(Tabla1[[#This Row],[MES DE ALTA ]],$AW$6:$AX$17,2,FALSE),12)-VLOOKUP(Tabla1[[#This Row],[MES DE BAJA ]],$AW$6:$AX$17,2,FALSE),0)</f>
        <v>0</v>
      </c>
      <c r="Y514" s="68">
        <f>SUM(Tabla1[[#This Row],[MES ADEUDO DE AÑOS PASADOS ]:[MESES DE ADEUDO DEL AÑO EN CURSO ]])-Tabla1[[#This Row],[PAGO DE DEUDA ANTERIOR EN MESES]]</f>
        <v>12</v>
      </c>
      <c r="Z514" s="15">
        <f>Tabla1[[#This Row],[MES ADEUDO DE AÑOS PASADOS ]]*$T$2</f>
        <v>540</v>
      </c>
      <c r="AA514" s="15">
        <f>Tabla1[[#This Row],[MESES DE ADEUDO DEL AÑO EN CURSO ]]*$T$2</f>
        <v>0</v>
      </c>
      <c r="AB514" s="69">
        <f>SUM(Tabla1[[#This Row],[DEUDA DE LOS MESES PASADOS EN $$]:[DEUDA DEL AÑO 2013 $$ ]])</f>
        <v>540</v>
      </c>
      <c r="AD514">
        <f>Tabla1[[#This Row],[PAGO DE DEUDA ANTERIOR EN MESES]]*$T$2</f>
        <v>0</v>
      </c>
      <c r="AG514" s="100">
        <f>IF(Tabla1[[#This Row],[TIPO DE CONSUMIDOR]]="MEDIO",IF(Tabla1[[#This Row],[ENERO ]]&gt;22.5,Tabla1[[#This Row],[ENERO ]]/22.5-1,0),IF(Tabla1[[#This Row],[ENERO ]]&gt;45,Tabla1[[#This Row],[ENERO ]]/45-1,0))</f>
        <v>0</v>
      </c>
      <c r="AH51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4" s="100">
        <f>IF(Tabla1[[#This Row],[TIPO DE CONSUMIDOR]]="MEDIO",IF(Tabla1[[#This Row],[MARZO]]&gt;22.5,Tabla1[[#This Row],[MARZO]]/22.5-1,0),IF(Tabla1[[#This Row],[MARZO]]&gt;45,Tabla1[[#This Row],[MARZO]]/45-1,0))</f>
        <v>0</v>
      </c>
      <c r="AJ514" s="100">
        <f>IF(Tabla1[[#This Row],[TIPO DE CONSUMIDOR]]="MEDIO",IF(Tabla1[[#This Row],[ABRIL]]&gt;22.5,Tabla1[[#This Row],[ABRIL]]/22.5-1,0),IF(Tabla1[[#This Row],[ABRIL]]&gt;45,Tabla1[[#This Row],[ABRIL]]/45-1,0))</f>
        <v>0</v>
      </c>
      <c r="AK514" s="100">
        <f>IF(Tabla1[[#This Row],[TIPO DE CONSUMIDOR]]="MEDIO",IF(Tabla1[[#This Row],[MAYO ]]&gt;22.5,Tabla1[[#This Row],[MAYO ]]/22.5-1,0),IF(Tabla1[[#This Row],[MAYO ]]&gt;45,Tabla1[[#This Row],[MAYO ]]/45-1,0))</f>
        <v>0</v>
      </c>
      <c r="AL514" s="100">
        <f>IF(Tabla1[[#This Row],[TIPO DE CONSUMIDOR]]="MEDIO",IF(Tabla1[[#This Row],[JUNIO ]]&gt;22.5,Tabla1[[#This Row],[JUNIO ]]/22.5-1,0),IF(Tabla1[[#This Row],[JUNIO ]]&gt;45,Tabla1[[#This Row],[JUNIO ]]/45-1,0))</f>
        <v>0</v>
      </c>
      <c r="AM514" s="100">
        <f>IF(Tabla1[[#This Row],[TIPO DE CONSUMIDOR]]="MEDIO",IF(Tabla1[[#This Row],[JULIO ]]&gt;22.5,Tabla1[[#This Row],[JULIO ]]/22.5-1,0),IF(Tabla1[[#This Row],[JULIO ]]&gt;45,Tabla1[[#This Row],[JULIO ]]/45-1,0))</f>
        <v>0</v>
      </c>
      <c r="AN514" s="100">
        <f>IF(Tabla1[[#This Row],[TIPO DE CONSUMIDOR]]="MEDIO",IF(Tabla1[[#This Row],[AGOSTO]]&gt;22.5,Tabla1[[#This Row],[AGOSTO]]/22.5-1,0),IF(Tabla1[[#This Row],[AGOSTO]]&gt;45,Tabla1[[#This Row],[AGOSTO]]/45-1,0))</f>
        <v>0</v>
      </c>
      <c r="AO51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4" s="101">
        <f t="shared" si="15"/>
        <v>0</v>
      </c>
      <c r="AT514">
        <f>IF(Tabla1[[#This Row],[MES ADEUDO DE AÑOS PASADOS ]]&gt;0,1,0)</f>
        <v>1</v>
      </c>
      <c r="AU514" s="9">
        <f t="shared" si="16"/>
        <v>1</v>
      </c>
      <c r="AV514" s="60">
        <f>IF(Tabla1[[#This Row],[MESES DE ADEUDO DEL AÑO EN CURSO ]]&gt;0,1,0)</f>
        <v>0</v>
      </c>
      <c r="AW514" s="42"/>
      <c r="AX514" s="42"/>
      <c r="AY514" s="42"/>
      <c r="AZ514" s="43"/>
    </row>
    <row r="515" spans="1:52" ht="21.75" thickBot="1" x14ac:dyDescent="0.35">
      <c r="A515" s="106">
        <v>509</v>
      </c>
      <c r="B515" s="5" t="s">
        <v>577</v>
      </c>
      <c r="C515" s="2" t="s">
        <v>575</v>
      </c>
      <c r="D515" s="32"/>
      <c r="E515" s="35" t="s">
        <v>455</v>
      </c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24">
        <f>SUM(Tabla1[[#This Row],[ENERO ]:[DICIEMBRE]])</f>
        <v>0</v>
      </c>
      <c r="W515">
        <v>13</v>
      </c>
      <c r="X515" s="21">
        <f>COUNTIF(Tabla1[[#This Row],[ENERO ]:[DICIEMBRE]],0)-(AS515)-IF(Tabla1[[#This Row],[BAJAS]]="BAJA",IF(Tabla1[[#This Row],[ALTAS]]="ALTA",VLOOKUP(Tabla1[[#This Row],[MES DE ALTA ]],$AW$6:$AX$17,2,FALSE),12)-VLOOKUP(Tabla1[[#This Row],[MES DE BAJA ]],$AW$6:$AX$17,2,FALSE),0)</f>
        <v>0</v>
      </c>
      <c r="Y515" s="68">
        <f>SUM(Tabla1[[#This Row],[MES ADEUDO DE AÑOS PASADOS ]:[MESES DE ADEUDO DEL AÑO EN CURSO ]])-Tabla1[[#This Row],[PAGO DE DEUDA ANTERIOR EN MESES]]</f>
        <v>13</v>
      </c>
      <c r="Z515" s="15">
        <f>Tabla1[[#This Row],[MES ADEUDO DE AÑOS PASADOS ]]*$T$2</f>
        <v>585</v>
      </c>
      <c r="AA515" s="15">
        <f>Tabla1[[#This Row],[MESES DE ADEUDO DEL AÑO EN CURSO ]]*$T$2</f>
        <v>0</v>
      </c>
      <c r="AB515" s="69">
        <f>SUM(Tabla1[[#This Row],[DEUDA DE LOS MESES PASADOS EN $$]:[DEUDA DEL AÑO 2013 $$ ]])</f>
        <v>585</v>
      </c>
      <c r="AD515">
        <f>Tabla1[[#This Row],[PAGO DE DEUDA ANTERIOR EN MESES]]*$T$2</f>
        <v>0</v>
      </c>
      <c r="AG515" s="100">
        <f>IF(Tabla1[[#This Row],[TIPO DE CONSUMIDOR]]="MEDIO",IF(Tabla1[[#This Row],[ENERO ]]&gt;22.5,Tabla1[[#This Row],[ENERO ]]/22.5-1,0),IF(Tabla1[[#This Row],[ENERO ]]&gt;45,Tabla1[[#This Row],[ENERO ]]/45-1,0))</f>
        <v>0</v>
      </c>
      <c r="AH51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5" s="100">
        <f>IF(Tabla1[[#This Row],[TIPO DE CONSUMIDOR]]="MEDIO",IF(Tabla1[[#This Row],[MARZO]]&gt;22.5,Tabla1[[#This Row],[MARZO]]/22.5-1,0),IF(Tabla1[[#This Row],[MARZO]]&gt;45,Tabla1[[#This Row],[MARZO]]/45-1,0))</f>
        <v>0</v>
      </c>
      <c r="AJ515" s="100">
        <f>IF(Tabla1[[#This Row],[TIPO DE CONSUMIDOR]]="MEDIO",IF(Tabla1[[#This Row],[ABRIL]]&gt;22.5,Tabla1[[#This Row],[ABRIL]]/22.5-1,0),IF(Tabla1[[#This Row],[ABRIL]]&gt;45,Tabla1[[#This Row],[ABRIL]]/45-1,0))</f>
        <v>0</v>
      </c>
      <c r="AK515" s="100">
        <f>IF(Tabla1[[#This Row],[TIPO DE CONSUMIDOR]]="MEDIO",IF(Tabla1[[#This Row],[MAYO ]]&gt;22.5,Tabla1[[#This Row],[MAYO ]]/22.5-1,0),IF(Tabla1[[#This Row],[MAYO ]]&gt;45,Tabla1[[#This Row],[MAYO ]]/45-1,0))</f>
        <v>0</v>
      </c>
      <c r="AL515" s="100">
        <f>IF(Tabla1[[#This Row],[TIPO DE CONSUMIDOR]]="MEDIO",IF(Tabla1[[#This Row],[JUNIO ]]&gt;22.5,Tabla1[[#This Row],[JUNIO ]]/22.5-1,0),IF(Tabla1[[#This Row],[JUNIO ]]&gt;45,Tabla1[[#This Row],[JUNIO ]]/45-1,0))</f>
        <v>0</v>
      </c>
      <c r="AM515" s="100">
        <f>IF(Tabla1[[#This Row],[TIPO DE CONSUMIDOR]]="MEDIO",IF(Tabla1[[#This Row],[JULIO ]]&gt;22.5,Tabla1[[#This Row],[JULIO ]]/22.5-1,0),IF(Tabla1[[#This Row],[JULIO ]]&gt;45,Tabla1[[#This Row],[JULIO ]]/45-1,0))</f>
        <v>0</v>
      </c>
      <c r="AN515" s="100">
        <f>IF(Tabla1[[#This Row],[TIPO DE CONSUMIDOR]]="MEDIO",IF(Tabla1[[#This Row],[AGOSTO]]&gt;22.5,Tabla1[[#This Row],[AGOSTO]]/22.5-1,0),IF(Tabla1[[#This Row],[AGOSTO]]&gt;45,Tabla1[[#This Row],[AGOSTO]]/45-1,0))</f>
        <v>0</v>
      </c>
      <c r="AO51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5" s="101">
        <f t="shared" si="15"/>
        <v>0</v>
      </c>
      <c r="AT515">
        <f>IF(Tabla1[[#This Row],[MES ADEUDO DE AÑOS PASADOS ]]&gt;0,1,0)</f>
        <v>1</v>
      </c>
      <c r="AU515" s="9">
        <f t="shared" si="16"/>
        <v>1</v>
      </c>
      <c r="AV515" s="60">
        <f>IF(Tabla1[[#This Row],[MESES DE ADEUDO DEL AÑO EN CURSO ]]&gt;0,1,0)</f>
        <v>0</v>
      </c>
      <c r="AW515" s="42"/>
      <c r="AX515" s="42"/>
      <c r="AY515" s="42"/>
      <c r="AZ515" s="43"/>
    </row>
    <row r="516" spans="1:52" ht="21.75" thickBot="1" x14ac:dyDescent="0.35">
      <c r="A516" s="106">
        <v>510</v>
      </c>
      <c r="B516" s="5" t="s">
        <v>384</v>
      </c>
      <c r="C516" s="2" t="s">
        <v>575</v>
      </c>
      <c r="D516" s="32"/>
      <c r="E516" s="35" t="s">
        <v>455</v>
      </c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24">
        <f>SUM(Tabla1[[#This Row],[ENERO ]:[DICIEMBRE]])</f>
        <v>0</v>
      </c>
      <c r="W516">
        <v>15</v>
      </c>
      <c r="X516" s="21">
        <f>COUNTIF(Tabla1[[#This Row],[ENERO ]:[DICIEMBRE]],0)-(AS516)-IF(Tabla1[[#This Row],[BAJAS]]="BAJA",IF(Tabla1[[#This Row],[ALTAS]]="ALTA",VLOOKUP(Tabla1[[#This Row],[MES DE ALTA ]],$AW$6:$AX$17,2,FALSE),12)-VLOOKUP(Tabla1[[#This Row],[MES DE BAJA ]],$AW$6:$AX$17,2,FALSE),0)</f>
        <v>0</v>
      </c>
      <c r="Y516" s="68">
        <f>SUM(Tabla1[[#This Row],[MES ADEUDO DE AÑOS PASADOS ]:[MESES DE ADEUDO DEL AÑO EN CURSO ]])-Tabla1[[#This Row],[PAGO DE DEUDA ANTERIOR EN MESES]]</f>
        <v>15</v>
      </c>
      <c r="Z516" s="15">
        <f>Tabla1[[#This Row],[MES ADEUDO DE AÑOS PASADOS ]]*$T$2</f>
        <v>675</v>
      </c>
      <c r="AA516" s="15">
        <f>Tabla1[[#This Row],[MESES DE ADEUDO DEL AÑO EN CURSO ]]*$T$2</f>
        <v>0</v>
      </c>
      <c r="AB516" s="69">
        <f>SUM(Tabla1[[#This Row],[DEUDA DE LOS MESES PASADOS EN $$]:[DEUDA DEL AÑO 2013 $$ ]])</f>
        <v>675</v>
      </c>
      <c r="AD516">
        <f>Tabla1[[#This Row],[PAGO DE DEUDA ANTERIOR EN MESES]]*$T$2</f>
        <v>0</v>
      </c>
      <c r="AG516" s="100">
        <f>IF(Tabla1[[#This Row],[TIPO DE CONSUMIDOR]]="MEDIO",IF(Tabla1[[#This Row],[ENERO ]]&gt;22.5,Tabla1[[#This Row],[ENERO ]]/22.5-1,0),IF(Tabla1[[#This Row],[ENERO ]]&gt;45,Tabla1[[#This Row],[ENERO ]]/45-1,0))</f>
        <v>0</v>
      </c>
      <c r="AH51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6" s="100">
        <f>IF(Tabla1[[#This Row],[TIPO DE CONSUMIDOR]]="MEDIO",IF(Tabla1[[#This Row],[MARZO]]&gt;22.5,Tabla1[[#This Row],[MARZO]]/22.5-1,0),IF(Tabla1[[#This Row],[MARZO]]&gt;45,Tabla1[[#This Row],[MARZO]]/45-1,0))</f>
        <v>0</v>
      </c>
      <c r="AJ516" s="100">
        <f>IF(Tabla1[[#This Row],[TIPO DE CONSUMIDOR]]="MEDIO",IF(Tabla1[[#This Row],[ABRIL]]&gt;22.5,Tabla1[[#This Row],[ABRIL]]/22.5-1,0),IF(Tabla1[[#This Row],[ABRIL]]&gt;45,Tabla1[[#This Row],[ABRIL]]/45-1,0))</f>
        <v>0</v>
      </c>
      <c r="AK516" s="100">
        <f>IF(Tabla1[[#This Row],[TIPO DE CONSUMIDOR]]="MEDIO",IF(Tabla1[[#This Row],[MAYO ]]&gt;22.5,Tabla1[[#This Row],[MAYO ]]/22.5-1,0),IF(Tabla1[[#This Row],[MAYO ]]&gt;45,Tabla1[[#This Row],[MAYO ]]/45-1,0))</f>
        <v>0</v>
      </c>
      <c r="AL516" s="100">
        <f>IF(Tabla1[[#This Row],[TIPO DE CONSUMIDOR]]="MEDIO",IF(Tabla1[[#This Row],[JUNIO ]]&gt;22.5,Tabla1[[#This Row],[JUNIO ]]/22.5-1,0),IF(Tabla1[[#This Row],[JUNIO ]]&gt;45,Tabla1[[#This Row],[JUNIO ]]/45-1,0))</f>
        <v>0</v>
      </c>
      <c r="AM516" s="100">
        <f>IF(Tabla1[[#This Row],[TIPO DE CONSUMIDOR]]="MEDIO",IF(Tabla1[[#This Row],[JULIO ]]&gt;22.5,Tabla1[[#This Row],[JULIO ]]/22.5-1,0),IF(Tabla1[[#This Row],[JULIO ]]&gt;45,Tabla1[[#This Row],[JULIO ]]/45-1,0))</f>
        <v>0</v>
      </c>
      <c r="AN516" s="100">
        <f>IF(Tabla1[[#This Row],[TIPO DE CONSUMIDOR]]="MEDIO",IF(Tabla1[[#This Row],[AGOSTO]]&gt;22.5,Tabla1[[#This Row],[AGOSTO]]/22.5-1,0),IF(Tabla1[[#This Row],[AGOSTO]]&gt;45,Tabla1[[#This Row],[AGOSTO]]/45-1,0))</f>
        <v>0</v>
      </c>
      <c r="AO51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6" s="101">
        <f t="shared" si="15"/>
        <v>0</v>
      </c>
      <c r="AT516">
        <f>IF(Tabla1[[#This Row],[MES ADEUDO DE AÑOS PASADOS ]]&gt;0,1,0)</f>
        <v>1</v>
      </c>
      <c r="AU516" s="9">
        <f t="shared" si="16"/>
        <v>1</v>
      </c>
      <c r="AV516" s="60">
        <f>IF(Tabla1[[#This Row],[MESES DE ADEUDO DEL AÑO EN CURSO ]]&gt;0,1,0)</f>
        <v>0</v>
      </c>
      <c r="AW516" s="42"/>
      <c r="AX516" s="42"/>
      <c r="AY516" s="42"/>
      <c r="AZ516" s="43"/>
    </row>
    <row r="517" spans="1:52" ht="21.75" thickBot="1" x14ac:dyDescent="0.35">
      <c r="A517" s="106">
        <v>511</v>
      </c>
      <c r="B517" s="5" t="s">
        <v>387</v>
      </c>
      <c r="C517" s="2" t="s">
        <v>575</v>
      </c>
      <c r="D517" s="32"/>
      <c r="E517" s="35" t="s">
        <v>455</v>
      </c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58">
        <f>SUM(Tabla1[[#This Row],[ENERO ]:[DICIEMBRE]])</f>
        <v>0</v>
      </c>
      <c r="W517">
        <v>16</v>
      </c>
      <c r="X517" s="21">
        <f>COUNTIF(Tabla1[[#This Row],[ENERO ]:[DICIEMBRE]],0)-(AS517)-IF(Tabla1[[#This Row],[BAJAS]]="BAJA",IF(Tabla1[[#This Row],[ALTAS]]="ALTA",VLOOKUP(Tabla1[[#This Row],[MES DE ALTA ]],$AW$6:$AX$17,2,FALSE),12)-VLOOKUP(Tabla1[[#This Row],[MES DE BAJA ]],$AW$6:$AX$17,2,FALSE),0)</f>
        <v>0</v>
      </c>
      <c r="Y517" s="68">
        <f>SUM(Tabla1[[#This Row],[MES ADEUDO DE AÑOS PASADOS ]:[MESES DE ADEUDO DEL AÑO EN CURSO ]])-Tabla1[[#This Row],[PAGO DE DEUDA ANTERIOR EN MESES]]</f>
        <v>16</v>
      </c>
      <c r="Z517" s="15">
        <f>Tabla1[[#This Row],[MES ADEUDO DE AÑOS PASADOS ]]*$T$2</f>
        <v>720</v>
      </c>
      <c r="AA517" s="15">
        <f>Tabla1[[#This Row],[MESES DE ADEUDO DEL AÑO EN CURSO ]]*$T$2</f>
        <v>0</v>
      </c>
      <c r="AB517" s="69">
        <f>SUM(Tabla1[[#This Row],[DEUDA DE LOS MESES PASADOS EN $$]:[DEUDA DEL AÑO 2013 $$ ]])</f>
        <v>720</v>
      </c>
      <c r="AD517">
        <f>Tabla1[[#This Row],[PAGO DE DEUDA ANTERIOR EN MESES]]*$T$2</f>
        <v>0</v>
      </c>
      <c r="AG517" s="100">
        <f>IF(Tabla1[[#This Row],[TIPO DE CONSUMIDOR]]="MEDIO",IF(Tabla1[[#This Row],[ENERO ]]&gt;22.5,Tabla1[[#This Row],[ENERO ]]/22.5-1,0),IF(Tabla1[[#This Row],[ENERO ]]&gt;45,Tabla1[[#This Row],[ENERO ]]/45-1,0))</f>
        <v>0</v>
      </c>
      <c r="AH51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7" s="100">
        <f>IF(Tabla1[[#This Row],[TIPO DE CONSUMIDOR]]="MEDIO",IF(Tabla1[[#This Row],[MARZO]]&gt;22.5,Tabla1[[#This Row],[MARZO]]/22.5-1,0),IF(Tabla1[[#This Row],[MARZO]]&gt;45,Tabla1[[#This Row],[MARZO]]/45-1,0))</f>
        <v>0</v>
      </c>
      <c r="AJ517" s="100">
        <f>IF(Tabla1[[#This Row],[TIPO DE CONSUMIDOR]]="MEDIO",IF(Tabla1[[#This Row],[ABRIL]]&gt;22.5,Tabla1[[#This Row],[ABRIL]]/22.5-1,0),IF(Tabla1[[#This Row],[ABRIL]]&gt;45,Tabla1[[#This Row],[ABRIL]]/45-1,0))</f>
        <v>0</v>
      </c>
      <c r="AK517" s="100">
        <f>IF(Tabla1[[#This Row],[TIPO DE CONSUMIDOR]]="MEDIO",IF(Tabla1[[#This Row],[MAYO ]]&gt;22.5,Tabla1[[#This Row],[MAYO ]]/22.5-1,0),IF(Tabla1[[#This Row],[MAYO ]]&gt;45,Tabla1[[#This Row],[MAYO ]]/45-1,0))</f>
        <v>0</v>
      </c>
      <c r="AL517" s="100">
        <f>IF(Tabla1[[#This Row],[TIPO DE CONSUMIDOR]]="MEDIO",IF(Tabla1[[#This Row],[JUNIO ]]&gt;22.5,Tabla1[[#This Row],[JUNIO ]]/22.5-1,0),IF(Tabla1[[#This Row],[JUNIO ]]&gt;45,Tabla1[[#This Row],[JUNIO ]]/45-1,0))</f>
        <v>0</v>
      </c>
      <c r="AM517" s="100">
        <f>IF(Tabla1[[#This Row],[TIPO DE CONSUMIDOR]]="MEDIO",IF(Tabla1[[#This Row],[JULIO ]]&gt;22.5,Tabla1[[#This Row],[JULIO ]]/22.5-1,0),IF(Tabla1[[#This Row],[JULIO ]]&gt;45,Tabla1[[#This Row],[JULIO ]]/45-1,0))</f>
        <v>0</v>
      </c>
      <c r="AN517" s="100">
        <f>IF(Tabla1[[#This Row],[TIPO DE CONSUMIDOR]]="MEDIO",IF(Tabla1[[#This Row],[AGOSTO]]&gt;22.5,Tabla1[[#This Row],[AGOSTO]]/22.5-1,0),IF(Tabla1[[#This Row],[AGOSTO]]&gt;45,Tabla1[[#This Row],[AGOSTO]]/45-1,0))</f>
        <v>0</v>
      </c>
      <c r="AO51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7" s="101">
        <f t="shared" si="15"/>
        <v>0</v>
      </c>
      <c r="AT517">
        <f>IF(Tabla1[[#This Row],[MES ADEUDO DE AÑOS PASADOS ]]&gt;0,1,0)</f>
        <v>1</v>
      </c>
      <c r="AU517" s="9">
        <f t="shared" si="16"/>
        <v>1</v>
      </c>
      <c r="AV517" s="60">
        <f>IF(Tabla1[[#This Row],[MESES DE ADEUDO DEL AÑO EN CURSO ]]&gt;0,1,0)</f>
        <v>0</v>
      </c>
      <c r="AW517" s="42"/>
      <c r="AX517" s="42"/>
      <c r="AY517" s="42"/>
      <c r="AZ517" s="43"/>
    </row>
    <row r="518" spans="1:52" ht="21.75" thickBot="1" x14ac:dyDescent="0.35">
      <c r="A518" s="106">
        <v>512</v>
      </c>
      <c r="B518" s="5" t="s">
        <v>40</v>
      </c>
      <c r="C518" s="2" t="s">
        <v>575</v>
      </c>
      <c r="D518" s="32"/>
      <c r="E518" s="35" t="s">
        <v>455</v>
      </c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24">
        <f>SUM(Tabla1[[#This Row],[ENERO ]:[DICIEMBRE]])</f>
        <v>0</v>
      </c>
      <c r="W518">
        <v>17</v>
      </c>
      <c r="X518" s="21">
        <f>COUNTIF(Tabla1[[#This Row],[ENERO ]:[DICIEMBRE]],0)-(AS518)-IF(Tabla1[[#This Row],[BAJAS]]="BAJA",IF(Tabla1[[#This Row],[ALTAS]]="ALTA",VLOOKUP(Tabla1[[#This Row],[MES DE ALTA ]],$AW$6:$AX$17,2,FALSE),12)-VLOOKUP(Tabla1[[#This Row],[MES DE BAJA ]],$AW$6:$AX$17,2,FALSE),0)</f>
        <v>0</v>
      </c>
      <c r="Y518" s="68">
        <f>SUM(Tabla1[[#This Row],[MES ADEUDO DE AÑOS PASADOS ]:[MESES DE ADEUDO DEL AÑO EN CURSO ]])-Tabla1[[#This Row],[PAGO DE DEUDA ANTERIOR EN MESES]]</f>
        <v>17</v>
      </c>
      <c r="Z518" s="15">
        <f>Tabla1[[#This Row],[MES ADEUDO DE AÑOS PASADOS ]]*$T$2</f>
        <v>765</v>
      </c>
      <c r="AA518" s="15">
        <f>Tabla1[[#This Row],[MESES DE ADEUDO DEL AÑO EN CURSO ]]*$T$2</f>
        <v>0</v>
      </c>
      <c r="AB518" s="69">
        <f>SUM(Tabla1[[#This Row],[DEUDA DE LOS MESES PASADOS EN $$]:[DEUDA DEL AÑO 2013 $$ ]])</f>
        <v>765</v>
      </c>
      <c r="AD518">
        <f>Tabla1[[#This Row],[PAGO DE DEUDA ANTERIOR EN MESES]]*$T$2</f>
        <v>0</v>
      </c>
      <c r="AG518" s="100">
        <f>IF(Tabla1[[#This Row],[TIPO DE CONSUMIDOR]]="MEDIO",IF(Tabla1[[#This Row],[ENERO ]]&gt;22.5,Tabla1[[#This Row],[ENERO ]]/22.5-1,0),IF(Tabla1[[#This Row],[ENERO ]]&gt;45,Tabla1[[#This Row],[ENERO ]]/45-1,0))</f>
        <v>0</v>
      </c>
      <c r="AH51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8" s="100">
        <f>IF(Tabla1[[#This Row],[TIPO DE CONSUMIDOR]]="MEDIO",IF(Tabla1[[#This Row],[MARZO]]&gt;22.5,Tabla1[[#This Row],[MARZO]]/22.5-1,0),IF(Tabla1[[#This Row],[MARZO]]&gt;45,Tabla1[[#This Row],[MARZO]]/45-1,0))</f>
        <v>0</v>
      </c>
      <c r="AJ518" s="100">
        <f>IF(Tabla1[[#This Row],[TIPO DE CONSUMIDOR]]="MEDIO",IF(Tabla1[[#This Row],[ABRIL]]&gt;22.5,Tabla1[[#This Row],[ABRIL]]/22.5-1,0),IF(Tabla1[[#This Row],[ABRIL]]&gt;45,Tabla1[[#This Row],[ABRIL]]/45-1,0))</f>
        <v>0</v>
      </c>
      <c r="AK518" s="100">
        <f>IF(Tabla1[[#This Row],[TIPO DE CONSUMIDOR]]="MEDIO",IF(Tabla1[[#This Row],[MAYO ]]&gt;22.5,Tabla1[[#This Row],[MAYO ]]/22.5-1,0),IF(Tabla1[[#This Row],[MAYO ]]&gt;45,Tabla1[[#This Row],[MAYO ]]/45-1,0))</f>
        <v>0</v>
      </c>
      <c r="AL518" s="100">
        <f>IF(Tabla1[[#This Row],[TIPO DE CONSUMIDOR]]="MEDIO",IF(Tabla1[[#This Row],[JUNIO ]]&gt;22.5,Tabla1[[#This Row],[JUNIO ]]/22.5-1,0),IF(Tabla1[[#This Row],[JUNIO ]]&gt;45,Tabla1[[#This Row],[JUNIO ]]/45-1,0))</f>
        <v>0</v>
      </c>
      <c r="AM518" s="100">
        <f>IF(Tabla1[[#This Row],[TIPO DE CONSUMIDOR]]="MEDIO",IF(Tabla1[[#This Row],[JULIO ]]&gt;22.5,Tabla1[[#This Row],[JULIO ]]/22.5-1,0),IF(Tabla1[[#This Row],[JULIO ]]&gt;45,Tabla1[[#This Row],[JULIO ]]/45-1,0))</f>
        <v>0</v>
      </c>
      <c r="AN518" s="100">
        <f>IF(Tabla1[[#This Row],[TIPO DE CONSUMIDOR]]="MEDIO",IF(Tabla1[[#This Row],[AGOSTO]]&gt;22.5,Tabla1[[#This Row],[AGOSTO]]/22.5-1,0),IF(Tabla1[[#This Row],[AGOSTO]]&gt;45,Tabla1[[#This Row],[AGOSTO]]/45-1,0))</f>
        <v>0</v>
      </c>
      <c r="AO51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8" s="101">
        <f t="shared" si="15"/>
        <v>0</v>
      </c>
      <c r="AT518">
        <f>IF(Tabla1[[#This Row],[MES ADEUDO DE AÑOS PASADOS ]]&gt;0,1,0)</f>
        <v>1</v>
      </c>
      <c r="AU518" s="9">
        <f t="shared" si="16"/>
        <v>1</v>
      </c>
      <c r="AV518" s="60">
        <f>IF(Tabla1[[#This Row],[MESES DE ADEUDO DEL AÑO EN CURSO ]]&gt;0,1,0)</f>
        <v>0</v>
      </c>
      <c r="AW518" s="42"/>
      <c r="AX518" s="42"/>
      <c r="AY518" s="42"/>
      <c r="AZ518" s="43"/>
    </row>
    <row r="519" spans="1:52" ht="21.75" thickBot="1" x14ac:dyDescent="0.35">
      <c r="A519" s="106">
        <v>513</v>
      </c>
      <c r="B519" s="5" t="s">
        <v>44</v>
      </c>
      <c r="C519" s="2" t="s">
        <v>575</v>
      </c>
      <c r="D519" s="32"/>
      <c r="E519" s="35" t="s">
        <v>455</v>
      </c>
      <c r="F519" s="34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7"/>
      <c r="R519" s="24">
        <f>SUM(Tabla1[[#This Row],[ENERO ]:[DICIEMBRE]])</f>
        <v>0</v>
      </c>
      <c r="W519">
        <v>25</v>
      </c>
      <c r="X519" s="21">
        <f>COUNTIF(Tabla1[[#This Row],[ENERO ]:[DICIEMBRE]],0)-(AS519)-IF(Tabla1[[#This Row],[BAJAS]]="BAJA",IF(Tabla1[[#This Row],[ALTAS]]="ALTA",VLOOKUP(Tabla1[[#This Row],[MES DE ALTA ]],$AW$6:$AX$17,2,FALSE),12)-VLOOKUP(Tabla1[[#This Row],[MES DE BAJA ]],$AW$6:$AX$17,2,FALSE),0)</f>
        <v>0</v>
      </c>
      <c r="Y519" s="68">
        <f>SUM(Tabla1[[#This Row],[MES ADEUDO DE AÑOS PASADOS ]:[MESES DE ADEUDO DEL AÑO EN CURSO ]])-Tabla1[[#This Row],[PAGO DE DEUDA ANTERIOR EN MESES]]</f>
        <v>25</v>
      </c>
      <c r="Z519" s="15">
        <f>Tabla1[[#This Row],[MES ADEUDO DE AÑOS PASADOS ]]*$T$2</f>
        <v>1125</v>
      </c>
      <c r="AA519" s="15">
        <f>Tabla1[[#This Row],[MESES DE ADEUDO DEL AÑO EN CURSO ]]*$T$2</f>
        <v>0</v>
      </c>
      <c r="AB519" s="69">
        <f>SUM(Tabla1[[#This Row],[DEUDA DE LOS MESES PASADOS EN $$]:[DEUDA DEL AÑO 2013 $$ ]])</f>
        <v>1125</v>
      </c>
      <c r="AD519">
        <f>Tabla1[[#This Row],[PAGO DE DEUDA ANTERIOR EN MESES]]*$T$2</f>
        <v>0</v>
      </c>
      <c r="AG519" s="100">
        <f>IF(Tabla1[[#This Row],[TIPO DE CONSUMIDOR]]="MEDIO",IF(Tabla1[[#This Row],[ENERO ]]&gt;22.5,Tabla1[[#This Row],[ENERO ]]/22.5-1,0),IF(Tabla1[[#This Row],[ENERO ]]&gt;45,Tabla1[[#This Row],[ENERO ]]/45-1,0))</f>
        <v>0</v>
      </c>
      <c r="AH51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19" s="100">
        <f>IF(Tabla1[[#This Row],[TIPO DE CONSUMIDOR]]="MEDIO",IF(Tabla1[[#This Row],[MARZO]]&gt;22.5,Tabla1[[#This Row],[MARZO]]/22.5-1,0),IF(Tabla1[[#This Row],[MARZO]]&gt;45,Tabla1[[#This Row],[MARZO]]/45-1,0))</f>
        <v>0</v>
      </c>
      <c r="AJ519" s="100">
        <f>IF(Tabla1[[#This Row],[TIPO DE CONSUMIDOR]]="MEDIO",IF(Tabla1[[#This Row],[ABRIL]]&gt;22.5,Tabla1[[#This Row],[ABRIL]]/22.5-1,0),IF(Tabla1[[#This Row],[ABRIL]]&gt;45,Tabla1[[#This Row],[ABRIL]]/45-1,0))</f>
        <v>0</v>
      </c>
      <c r="AK519" s="100">
        <f>IF(Tabla1[[#This Row],[TIPO DE CONSUMIDOR]]="MEDIO",IF(Tabla1[[#This Row],[MAYO ]]&gt;22.5,Tabla1[[#This Row],[MAYO ]]/22.5-1,0),IF(Tabla1[[#This Row],[MAYO ]]&gt;45,Tabla1[[#This Row],[MAYO ]]/45-1,0))</f>
        <v>0</v>
      </c>
      <c r="AL519" s="100">
        <f>IF(Tabla1[[#This Row],[TIPO DE CONSUMIDOR]]="MEDIO",IF(Tabla1[[#This Row],[JUNIO ]]&gt;22.5,Tabla1[[#This Row],[JUNIO ]]/22.5-1,0),IF(Tabla1[[#This Row],[JUNIO ]]&gt;45,Tabla1[[#This Row],[JUNIO ]]/45-1,0))</f>
        <v>0</v>
      </c>
      <c r="AM519" s="100">
        <f>IF(Tabla1[[#This Row],[TIPO DE CONSUMIDOR]]="MEDIO",IF(Tabla1[[#This Row],[JULIO ]]&gt;22.5,Tabla1[[#This Row],[JULIO ]]/22.5-1,0),IF(Tabla1[[#This Row],[JULIO ]]&gt;45,Tabla1[[#This Row],[JULIO ]]/45-1,0))</f>
        <v>0</v>
      </c>
      <c r="AN519" s="100">
        <f>IF(Tabla1[[#This Row],[TIPO DE CONSUMIDOR]]="MEDIO",IF(Tabla1[[#This Row],[AGOSTO]]&gt;22.5,Tabla1[[#This Row],[AGOSTO]]/22.5-1,0),IF(Tabla1[[#This Row],[AGOSTO]]&gt;45,Tabla1[[#This Row],[AGOSTO]]/45-1,0))</f>
        <v>0</v>
      </c>
      <c r="AO51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1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1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1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19" s="101">
        <f t="shared" ref="AS519:AS582" si="17">SUM(AG519:AR519)</f>
        <v>0</v>
      </c>
      <c r="AT519">
        <f>IF(Tabla1[[#This Row],[MES ADEUDO DE AÑOS PASADOS ]]&gt;0,1,0)</f>
        <v>1</v>
      </c>
      <c r="AU519" s="9">
        <f t="shared" ref="AU519:AU584" si="18">IF(Y519&gt;0,1,0)</f>
        <v>1</v>
      </c>
      <c r="AV519" s="60">
        <f>IF(Tabla1[[#This Row],[MESES DE ADEUDO DEL AÑO EN CURSO ]]&gt;0,1,0)</f>
        <v>0</v>
      </c>
      <c r="AW519" s="42"/>
      <c r="AX519" s="42"/>
      <c r="AY519" s="42"/>
      <c r="AZ519" s="43"/>
    </row>
    <row r="520" spans="1:52" ht="21.75" thickBot="1" x14ac:dyDescent="0.35">
      <c r="A520" s="106">
        <v>514</v>
      </c>
      <c r="B520" s="5" t="s">
        <v>653</v>
      </c>
      <c r="C520" s="94" t="s">
        <v>575</v>
      </c>
      <c r="D520" s="32"/>
      <c r="E520" s="35" t="s">
        <v>455</v>
      </c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118">
        <f>SUM(Tabla1[[#This Row],[ENERO ]:[DICIEMBRE]])</f>
        <v>0</v>
      </c>
      <c r="W520">
        <v>28</v>
      </c>
      <c r="X520" s="21">
        <f>COUNTIF(Tabla1[[#This Row],[ENERO ]:[DICIEMBRE]],0)-(AS520)-IF(Tabla1[[#This Row],[BAJAS]]="BAJA",IF(Tabla1[[#This Row],[ALTAS]]="ALTA",VLOOKUP(Tabla1[[#This Row],[MES DE ALTA ]],$AW$6:$AX$17,2,FALSE),12)-VLOOKUP(Tabla1[[#This Row],[MES DE BAJA ]],$AW$6:$AX$17,2,FALSE),0)</f>
        <v>0</v>
      </c>
      <c r="Y520" s="91">
        <f>SUM(Tabla1[[#This Row],[MES ADEUDO DE AÑOS PASADOS ]:[MESES DE ADEUDO DEL AÑO EN CURSO ]])-Tabla1[[#This Row],[PAGO DE DEUDA ANTERIOR EN MESES]]</f>
        <v>28</v>
      </c>
      <c r="Z520" s="15">
        <f>Tabla1[[#This Row],[MES ADEUDO DE AÑOS PASADOS ]]*$T$2</f>
        <v>1260</v>
      </c>
      <c r="AA520" s="15">
        <f>Tabla1[[#This Row],[MESES DE ADEUDO DEL AÑO EN CURSO ]]*$T$2</f>
        <v>0</v>
      </c>
      <c r="AB520" s="69">
        <f>SUM(Tabla1[[#This Row],[DEUDA DE LOS MESES PASADOS EN $$]:[DEUDA DEL AÑO 2013 $$ ]])</f>
        <v>1260</v>
      </c>
      <c r="AD520">
        <f>Tabla1[[#This Row],[PAGO DE DEUDA ANTERIOR EN MESES]]*$T$2</f>
        <v>0</v>
      </c>
      <c r="AG520" s="100">
        <f>IF(Tabla1[[#This Row],[TIPO DE CONSUMIDOR]]="MEDIO",IF(Tabla1[[#This Row],[ENERO ]]&gt;22.5,Tabla1[[#This Row],[ENERO ]]/22.5-1,0),IF(Tabla1[[#This Row],[ENERO ]]&gt;45,Tabla1[[#This Row],[ENERO ]]/45-1,0))</f>
        <v>0</v>
      </c>
      <c r="AH52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0" s="100">
        <f>IF(Tabla1[[#This Row],[TIPO DE CONSUMIDOR]]="MEDIO",IF(Tabla1[[#This Row],[MARZO]]&gt;22.5,Tabla1[[#This Row],[MARZO]]/22.5-1,0),IF(Tabla1[[#This Row],[MARZO]]&gt;45,Tabla1[[#This Row],[MARZO]]/45-1,0))</f>
        <v>0</v>
      </c>
      <c r="AJ520" s="100">
        <f>IF(Tabla1[[#This Row],[TIPO DE CONSUMIDOR]]="MEDIO",IF(Tabla1[[#This Row],[ABRIL]]&gt;22.5,Tabla1[[#This Row],[ABRIL]]/22.5-1,0),IF(Tabla1[[#This Row],[ABRIL]]&gt;45,Tabla1[[#This Row],[ABRIL]]/45-1,0))</f>
        <v>0</v>
      </c>
      <c r="AK520" s="100">
        <f>IF(Tabla1[[#This Row],[TIPO DE CONSUMIDOR]]="MEDIO",IF(Tabla1[[#This Row],[MAYO ]]&gt;22.5,Tabla1[[#This Row],[MAYO ]]/22.5-1,0),IF(Tabla1[[#This Row],[MAYO ]]&gt;45,Tabla1[[#This Row],[MAYO ]]/45-1,0))</f>
        <v>0</v>
      </c>
      <c r="AL520" s="100">
        <f>IF(Tabla1[[#This Row],[TIPO DE CONSUMIDOR]]="MEDIO",IF(Tabla1[[#This Row],[JUNIO ]]&gt;22.5,Tabla1[[#This Row],[JUNIO ]]/22.5-1,0),IF(Tabla1[[#This Row],[JUNIO ]]&gt;45,Tabla1[[#This Row],[JUNIO ]]/45-1,0))</f>
        <v>0</v>
      </c>
      <c r="AM520" s="100">
        <f>IF(Tabla1[[#This Row],[TIPO DE CONSUMIDOR]]="MEDIO",IF(Tabla1[[#This Row],[JULIO ]]&gt;22.5,Tabla1[[#This Row],[JULIO ]]/22.5-1,0),IF(Tabla1[[#This Row],[JULIO ]]&gt;45,Tabla1[[#This Row],[JULIO ]]/45-1,0))</f>
        <v>0</v>
      </c>
      <c r="AN520" s="100">
        <f>IF(Tabla1[[#This Row],[TIPO DE CONSUMIDOR]]="MEDIO",IF(Tabla1[[#This Row],[AGOSTO]]&gt;22.5,Tabla1[[#This Row],[AGOSTO]]/22.5-1,0),IF(Tabla1[[#This Row],[AGOSTO]]&gt;45,Tabla1[[#This Row],[AGOSTO]]/45-1,0))</f>
        <v>0</v>
      </c>
      <c r="AO52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0" s="101">
        <f t="shared" si="17"/>
        <v>0</v>
      </c>
      <c r="AT520">
        <f>IF(Tabla1[[#This Row],[MES ADEUDO DE AÑOS PASADOS ]]&gt;0,1,0)</f>
        <v>1</v>
      </c>
      <c r="AU520" s="9">
        <f t="shared" si="18"/>
        <v>1</v>
      </c>
      <c r="AV520" s="60">
        <f>IF(Tabla1[[#This Row],[MESES DE ADEUDO DEL AÑO EN CURSO ]]&gt;0,1,0)</f>
        <v>0</v>
      </c>
      <c r="AW520" s="42"/>
      <c r="AX520" s="42"/>
      <c r="AY520" s="42"/>
      <c r="AZ520" s="43"/>
    </row>
    <row r="521" spans="1:52" ht="21.75" thickBot="1" x14ac:dyDescent="0.35">
      <c r="A521" s="106">
        <v>515</v>
      </c>
      <c r="B521" s="5" t="s">
        <v>45</v>
      </c>
      <c r="C521" s="2" t="s">
        <v>575</v>
      </c>
      <c r="D521" s="32"/>
      <c r="E521" s="35" t="s">
        <v>455</v>
      </c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24">
        <f>SUM(Tabla1[[#This Row],[ENERO ]:[DICIEMBRE]])</f>
        <v>0</v>
      </c>
      <c r="W521">
        <v>41</v>
      </c>
      <c r="X521" s="21">
        <f>COUNTIF(Tabla1[[#This Row],[ENERO ]:[DICIEMBRE]],0)-(AS521)-IF(Tabla1[[#This Row],[BAJAS]]="BAJA",IF(Tabla1[[#This Row],[ALTAS]]="ALTA",VLOOKUP(Tabla1[[#This Row],[MES DE ALTA ]],$AW$6:$AX$17,2,FALSE),12)-VLOOKUP(Tabla1[[#This Row],[MES DE BAJA ]],$AW$6:$AX$17,2,FALSE),0)</f>
        <v>0</v>
      </c>
      <c r="Y521" s="68">
        <f>SUM(Tabla1[[#This Row],[MES ADEUDO DE AÑOS PASADOS ]:[MESES DE ADEUDO DEL AÑO EN CURSO ]])-Tabla1[[#This Row],[PAGO DE DEUDA ANTERIOR EN MESES]]</f>
        <v>41</v>
      </c>
      <c r="Z521" s="15">
        <f>Tabla1[[#This Row],[MES ADEUDO DE AÑOS PASADOS ]]*$T$2</f>
        <v>1845</v>
      </c>
      <c r="AA521" s="15">
        <f>Tabla1[[#This Row],[MESES DE ADEUDO DEL AÑO EN CURSO ]]*$T$2</f>
        <v>0</v>
      </c>
      <c r="AB521" s="69">
        <f>SUM(Tabla1[[#This Row],[DEUDA DE LOS MESES PASADOS EN $$]:[DEUDA DEL AÑO 2013 $$ ]])</f>
        <v>1845</v>
      </c>
      <c r="AD521">
        <f>Tabla1[[#This Row],[PAGO DE DEUDA ANTERIOR EN MESES]]*$T$2</f>
        <v>0</v>
      </c>
      <c r="AG521" s="100">
        <f>IF(Tabla1[[#This Row],[TIPO DE CONSUMIDOR]]="MEDIO",IF(Tabla1[[#This Row],[ENERO ]]&gt;22.5,Tabla1[[#This Row],[ENERO ]]/22.5-1,0),IF(Tabla1[[#This Row],[ENERO ]]&gt;45,Tabla1[[#This Row],[ENERO ]]/45-1,0))</f>
        <v>0</v>
      </c>
      <c r="AH52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1" s="100">
        <f>IF(Tabla1[[#This Row],[TIPO DE CONSUMIDOR]]="MEDIO",IF(Tabla1[[#This Row],[MARZO]]&gt;22.5,Tabla1[[#This Row],[MARZO]]/22.5-1,0),IF(Tabla1[[#This Row],[MARZO]]&gt;45,Tabla1[[#This Row],[MARZO]]/45-1,0))</f>
        <v>0</v>
      </c>
      <c r="AJ521" s="100">
        <f>IF(Tabla1[[#This Row],[TIPO DE CONSUMIDOR]]="MEDIO",IF(Tabla1[[#This Row],[ABRIL]]&gt;22.5,Tabla1[[#This Row],[ABRIL]]/22.5-1,0),IF(Tabla1[[#This Row],[ABRIL]]&gt;45,Tabla1[[#This Row],[ABRIL]]/45-1,0))</f>
        <v>0</v>
      </c>
      <c r="AK521" s="100">
        <f>IF(Tabla1[[#This Row],[TIPO DE CONSUMIDOR]]="MEDIO",IF(Tabla1[[#This Row],[MAYO ]]&gt;22.5,Tabla1[[#This Row],[MAYO ]]/22.5-1,0),IF(Tabla1[[#This Row],[MAYO ]]&gt;45,Tabla1[[#This Row],[MAYO ]]/45-1,0))</f>
        <v>0</v>
      </c>
      <c r="AL521" s="100">
        <f>IF(Tabla1[[#This Row],[TIPO DE CONSUMIDOR]]="MEDIO",IF(Tabla1[[#This Row],[JUNIO ]]&gt;22.5,Tabla1[[#This Row],[JUNIO ]]/22.5-1,0),IF(Tabla1[[#This Row],[JUNIO ]]&gt;45,Tabla1[[#This Row],[JUNIO ]]/45-1,0))</f>
        <v>0</v>
      </c>
      <c r="AM521" s="100">
        <f>IF(Tabla1[[#This Row],[TIPO DE CONSUMIDOR]]="MEDIO",IF(Tabla1[[#This Row],[JULIO ]]&gt;22.5,Tabla1[[#This Row],[JULIO ]]/22.5-1,0),IF(Tabla1[[#This Row],[JULIO ]]&gt;45,Tabla1[[#This Row],[JULIO ]]/45-1,0))</f>
        <v>0</v>
      </c>
      <c r="AN521" s="100">
        <f>IF(Tabla1[[#This Row],[TIPO DE CONSUMIDOR]]="MEDIO",IF(Tabla1[[#This Row],[AGOSTO]]&gt;22.5,Tabla1[[#This Row],[AGOSTO]]/22.5-1,0),IF(Tabla1[[#This Row],[AGOSTO]]&gt;45,Tabla1[[#This Row],[AGOSTO]]/45-1,0))</f>
        <v>0</v>
      </c>
      <c r="AO52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1" s="101">
        <f t="shared" si="17"/>
        <v>0</v>
      </c>
      <c r="AT521">
        <f>IF(Tabla1[[#This Row],[MES ADEUDO DE AÑOS PASADOS ]]&gt;0,1,0)</f>
        <v>1</v>
      </c>
      <c r="AU521" s="9">
        <f t="shared" si="18"/>
        <v>1</v>
      </c>
      <c r="AV521" s="60">
        <f>IF(Tabla1[[#This Row],[MESES DE ADEUDO DEL AÑO EN CURSO ]]&gt;0,1,0)</f>
        <v>0</v>
      </c>
      <c r="AW521" s="42"/>
      <c r="AX521" s="42"/>
      <c r="AY521" s="42"/>
      <c r="AZ521" s="43"/>
    </row>
    <row r="522" spans="1:52" ht="21.75" thickBot="1" x14ac:dyDescent="0.35">
      <c r="A522" s="106">
        <v>516</v>
      </c>
      <c r="B522" s="5" t="s">
        <v>642</v>
      </c>
      <c r="C522" s="2" t="s">
        <v>575</v>
      </c>
      <c r="D522" s="32"/>
      <c r="E522" s="35" t="s">
        <v>455</v>
      </c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24">
        <f>SUM(Tabla1[[#This Row],[ENERO ]:[DICIEMBRE]])</f>
        <v>0</v>
      </c>
      <c r="W522">
        <v>45</v>
      </c>
      <c r="X522" s="21">
        <f>COUNTIF(Tabla1[[#This Row],[ENERO ]:[DICIEMBRE]],0)-(AS522)-IF(Tabla1[[#This Row],[BAJAS]]="BAJA",IF(Tabla1[[#This Row],[ALTAS]]="ALTA",VLOOKUP(Tabla1[[#This Row],[MES DE ALTA ]],$AW$6:$AX$17,2,FALSE),12)-VLOOKUP(Tabla1[[#This Row],[MES DE BAJA ]],$AW$6:$AX$17,2,FALSE),0)</f>
        <v>0</v>
      </c>
      <c r="Y522" s="68">
        <f>SUM(Tabla1[[#This Row],[MES ADEUDO DE AÑOS PASADOS ]:[MESES DE ADEUDO DEL AÑO EN CURSO ]])-Tabla1[[#This Row],[PAGO DE DEUDA ANTERIOR EN MESES]]</f>
        <v>45</v>
      </c>
      <c r="Z522" s="15">
        <f>Tabla1[[#This Row],[MES ADEUDO DE AÑOS PASADOS ]]*$T$2</f>
        <v>2025</v>
      </c>
      <c r="AA522" s="15">
        <f>Tabla1[[#This Row],[MESES DE ADEUDO DEL AÑO EN CURSO ]]*$T$2</f>
        <v>0</v>
      </c>
      <c r="AB522" s="69">
        <f>SUM(Tabla1[[#This Row],[DEUDA DE LOS MESES PASADOS EN $$]:[DEUDA DEL AÑO 2013 $$ ]])</f>
        <v>2025</v>
      </c>
      <c r="AD522">
        <f>Tabla1[[#This Row],[PAGO DE DEUDA ANTERIOR EN MESES]]*$T$2</f>
        <v>0</v>
      </c>
      <c r="AG522" s="100">
        <f>IF(Tabla1[[#This Row],[TIPO DE CONSUMIDOR]]="MEDIO",IF(Tabla1[[#This Row],[ENERO ]]&gt;22.5,Tabla1[[#This Row],[ENERO ]]/22.5-1,0),IF(Tabla1[[#This Row],[ENERO ]]&gt;45,Tabla1[[#This Row],[ENERO ]]/45-1,0))</f>
        <v>0</v>
      </c>
      <c r="AH52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2" s="100">
        <f>IF(Tabla1[[#This Row],[TIPO DE CONSUMIDOR]]="MEDIO",IF(Tabla1[[#This Row],[MARZO]]&gt;22.5,Tabla1[[#This Row],[MARZO]]/22.5-1,0),IF(Tabla1[[#This Row],[MARZO]]&gt;45,Tabla1[[#This Row],[MARZO]]/45-1,0))</f>
        <v>0</v>
      </c>
      <c r="AJ522" s="100">
        <f>IF(Tabla1[[#This Row],[TIPO DE CONSUMIDOR]]="MEDIO",IF(Tabla1[[#This Row],[ABRIL]]&gt;22.5,Tabla1[[#This Row],[ABRIL]]/22.5-1,0),IF(Tabla1[[#This Row],[ABRIL]]&gt;45,Tabla1[[#This Row],[ABRIL]]/45-1,0))</f>
        <v>0</v>
      </c>
      <c r="AK522" s="100">
        <f>IF(Tabla1[[#This Row],[TIPO DE CONSUMIDOR]]="MEDIO",IF(Tabla1[[#This Row],[MAYO ]]&gt;22.5,Tabla1[[#This Row],[MAYO ]]/22.5-1,0),IF(Tabla1[[#This Row],[MAYO ]]&gt;45,Tabla1[[#This Row],[MAYO ]]/45-1,0))</f>
        <v>0</v>
      </c>
      <c r="AL522" s="100">
        <f>IF(Tabla1[[#This Row],[TIPO DE CONSUMIDOR]]="MEDIO",IF(Tabla1[[#This Row],[JUNIO ]]&gt;22.5,Tabla1[[#This Row],[JUNIO ]]/22.5-1,0),IF(Tabla1[[#This Row],[JUNIO ]]&gt;45,Tabla1[[#This Row],[JUNIO ]]/45-1,0))</f>
        <v>0</v>
      </c>
      <c r="AM522" s="100">
        <f>IF(Tabla1[[#This Row],[TIPO DE CONSUMIDOR]]="MEDIO",IF(Tabla1[[#This Row],[JULIO ]]&gt;22.5,Tabla1[[#This Row],[JULIO ]]/22.5-1,0),IF(Tabla1[[#This Row],[JULIO ]]&gt;45,Tabla1[[#This Row],[JULIO ]]/45-1,0))</f>
        <v>0</v>
      </c>
      <c r="AN522" s="100">
        <f>IF(Tabla1[[#This Row],[TIPO DE CONSUMIDOR]]="MEDIO",IF(Tabla1[[#This Row],[AGOSTO]]&gt;22.5,Tabla1[[#This Row],[AGOSTO]]/22.5-1,0),IF(Tabla1[[#This Row],[AGOSTO]]&gt;45,Tabla1[[#This Row],[AGOSTO]]/45-1,0))</f>
        <v>0</v>
      </c>
      <c r="AO52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2" s="101">
        <f t="shared" si="17"/>
        <v>0</v>
      </c>
      <c r="AT522">
        <f>IF(Tabla1[[#This Row],[MES ADEUDO DE AÑOS PASADOS ]]&gt;0,1,0)</f>
        <v>1</v>
      </c>
      <c r="AU522" s="9">
        <f t="shared" si="18"/>
        <v>1</v>
      </c>
      <c r="AV522" s="60">
        <f>IF(Tabla1[[#This Row],[MESES DE ADEUDO DEL AÑO EN CURSO ]]&gt;0,1,0)</f>
        <v>0</v>
      </c>
      <c r="AW522" s="42"/>
      <c r="AX522" s="42"/>
      <c r="AY522" s="42"/>
      <c r="AZ522" s="43"/>
    </row>
    <row r="523" spans="1:52" ht="21.75" thickBot="1" x14ac:dyDescent="0.35">
      <c r="A523" s="106">
        <v>517</v>
      </c>
      <c r="B523" s="49" t="s">
        <v>578</v>
      </c>
      <c r="C523" s="50"/>
      <c r="D523" s="51"/>
      <c r="E523" s="62" t="s">
        <v>455</v>
      </c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24">
        <f>SUM(Tabla1[[#This Row],[ENERO ]:[DICIEMBRE]])</f>
        <v>0</v>
      </c>
      <c r="W523">
        <v>0</v>
      </c>
      <c r="X523" s="21">
        <f>COUNTIF(Tabla1[[#This Row],[ENERO ]:[DICIEMBRE]],0)-(AS523)-IF(Tabla1[[#This Row],[BAJAS]]="BAJA",IF(Tabla1[[#This Row],[ALTAS]]="ALTA",VLOOKUP(Tabla1[[#This Row],[MES DE ALTA ]],$AW$6:$AX$17,2,FALSE),12)-VLOOKUP(Tabla1[[#This Row],[MES DE BAJA ]],$AW$6:$AX$17,2,FALSE),0)</f>
        <v>0</v>
      </c>
      <c r="Y523" s="68">
        <f>SUM(Tabla1[[#This Row],[MES ADEUDO DE AÑOS PASADOS ]:[MESES DE ADEUDO DEL AÑO EN CURSO ]])-Tabla1[[#This Row],[PAGO DE DEUDA ANTERIOR EN MESES]]</f>
        <v>0</v>
      </c>
      <c r="Z523" s="15">
        <f>Tabla1[[#This Row],[MES ADEUDO DE AÑOS PASADOS ]]*$T$2</f>
        <v>0</v>
      </c>
      <c r="AA523" s="15">
        <f>Tabla1[[#This Row],[MESES DE ADEUDO DEL AÑO EN CURSO ]]*$T$2</f>
        <v>0</v>
      </c>
      <c r="AB523" s="69">
        <f>SUM(Tabla1[[#This Row],[DEUDA DE LOS MESES PASADOS EN $$]:[DEUDA DEL AÑO 2013 $$ ]])</f>
        <v>0</v>
      </c>
      <c r="AD523">
        <f>Tabla1[[#This Row],[PAGO DE DEUDA ANTERIOR EN MESES]]*$T$2</f>
        <v>0</v>
      </c>
      <c r="AG523" s="100">
        <f>IF(Tabla1[[#This Row],[TIPO DE CONSUMIDOR]]="MEDIO",IF(Tabla1[[#This Row],[ENERO ]]&gt;22.5,Tabla1[[#This Row],[ENERO ]]/22.5-1,0),IF(Tabla1[[#This Row],[ENERO ]]&gt;45,Tabla1[[#This Row],[ENERO ]]/45-1,0))</f>
        <v>0</v>
      </c>
      <c r="AH52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3" s="100">
        <f>IF(Tabla1[[#This Row],[TIPO DE CONSUMIDOR]]="MEDIO",IF(Tabla1[[#This Row],[MARZO]]&gt;22.5,Tabla1[[#This Row],[MARZO]]/22.5-1,0),IF(Tabla1[[#This Row],[MARZO]]&gt;45,Tabla1[[#This Row],[MARZO]]/45-1,0))</f>
        <v>0</v>
      </c>
      <c r="AJ523" s="100">
        <f>IF(Tabla1[[#This Row],[TIPO DE CONSUMIDOR]]="MEDIO",IF(Tabla1[[#This Row],[ABRIL]]&gt;22.5,Tabla1[[#This Row],[ABRIL]]/22.5-1,0),IF(Tabla1[[#This Row],[ABRIL]]&gt;45,Tabla1[[#This Row],[ABRIL]]/45-1,0))</f>
        <v>0</v>
      </c>
      <c r="AK523" s="100">
        <f>IF(Tabla1[[#This Row],[TIPO DE CONSUMIDOR]]="MEDIO",IF(Tabla1[[#This Row],[MAYO ]]&gt;22.5,Tabla1[[#This Row],[MAYO ]]/22.5-1,0),IF(Tabla1[[#This Row],[MAYO ]]&gt;45,Tabla1[[#This Row],[MAYO ]]/45-1,0))</f>
        <v>0</v>
      </c>
      <c r="AL523" s="100">
        <f>IF(Tabla1[[#This Row],[TIPO DE CONSUMIDOR]]="MEDIO",IF(Tabla1[[#This Row],[JUNIO ]]&gt;22.5,Tabla1[[#This Row],[JUNIO ]]/22.5-1,0),IF(Tabla1[[#This Row],[JUNIO ]]&gt;45,Tabla1[[#This Row],[JUNIO ]]/45-1,0))</f>
        <v>0</v>
      </c>
      <c r="AM523" s="100">
        <f>IF(Tabla1[[#This Row],[TIPO DE CONSUMIDOR]]="MEDIO",IF(Tabla1[[#This Row],[JULIO ]]&gt;22.5,Tabla1[[#This Row],[JULIO ]]/22.5-1,0),IF(Tabla1[[#This Row],[JULIO ]]&gt;45,Tabla1[[#This Row],[JULIO ]]/45-1,0))</f>
        <v>0</v>
      </c>
      <c r="AN523" s="100">
        <f>IF(Tabla1[[#This Row],[TIPO DE CONSUMIDOR]]="MEDIO",IF(Tabla1[[#This Row],[AGOSTO]]&gt;22.5,Tabla1[[#This Row],[AGOSTO]]/22.5-1,0),IF(Tabla1[[#This Row],[AGOSTO]]&gt;45,Tabla1[[#This Row],[AGOSTO]]/45-1,0))</f>
        <v>0</v>
      </c>
      <c r="AO52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3" s="101">
        <f t="shared" si="17"/>
        <v>0</v>
      </c>
      <c r="AT523">
        <f>IF(Tabla1[[#This Row],[MES ADEUDO DE AÑOS PASADOS ]]&gt;0,1,0)</f>
        <v>0</v>
      </c>
      <c r="AU523" s="9">
        <f t="shared" si="18"/>
        <v>0</v>
      </c>
      <c r="AV523" s="60">
        <f>IF(Tabla1[[#This Row],[MESES DE ADEUDO DEL AÑO EN CURSO ]]&gt;0,1,0)</f>
        <v>0</v>
      </c>
      <c r="AW523" s="42"/>
      <c r="AX523" s="42"/>
      <c r="AY523" s="42"/>
      <c r="AZ523" s="43"/>
    </row>
    <row r="524" spans="1:52" ht="21.75" thickBot="1" x14ac:dyDescent="0.35">
      <c r="A524" s="106">
        <v>518</v>
      </c>
      <c r="B524" s="5" t="s">
        <v>621</v>
      </c>
      <c r="C524" s="2"/>
      <c r="D524" s="32"/>
      <c r="E524" s="35" t="s">
        <v>455</v>
      </c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24">
        <f>SUM(Tabla1[[#This Row],[ENERO ]:[DICIEMBRE]])</f>
        <v>0</v>
      </c>
      <c r="W524">
        <v>0</v>
      </c>
      <c r="X524" s="21">
        <f>COUNTIF(Tabla1[[#This Row],[ENERO ]:[DICIEMBRE]],0)-(AS524)-IF(Tabla1[[#This Row],[BAJAS]]="BAJA",IF(Tabla1[[#This Row],[ALTAS]]="ALTA",VLOOKUP(Tabla1[[#This Row],[MES DE ALTA ]],$AW$6:$AX$17,2,FALSE),12)-VLOOKUP(Tabla1[[#This Row],[MES DE BAJA ]],$AW$6:$AX$17,2,FALSE),0)</f>
        <v>0</v>
      </c>
      <c r="Y524" s="68">
        <f>SUM(Tabla1[[#This Row],[MES ADEUDO DE AÑOS PASADOS ]:[MESES DE ADEUDO DEL AÑO EN CURSO ]])-Tabla1[[#This Row],[PAGO DE DEUDA ANTERIOR EN MESES]]</f>
        <v>0</v>
      </c>
      <c r="Z524" s="15">
        <f>Tabla1[[#This Row],[MES ADEUDO DE AÑOS PASADOS ]]*$T$2</f>
        <v>0</v>
      </c>
      <c r="AA524" s="15">
        <f>Tabla1[[#This Row],[MESES DE ADEUDO DEL AÑO EN CURSO ]]*$T$2</f>
        <v>0</v>
      </c>
      <c r="AB524" s="69">
        <f>SUM(Tabla1[[#This Row],[DEUDA DE LOS MESES PASADOS EN $$]:[DEUDA DEL AÑO 2013 $$ ]])</f>
        <v>0</v>
      </c>
      <c r="AD524">
        <f>Tabla1[[#This Row],[PAGO DE DEUDA ANTERIOR EN MESES]]*$T$2</f>
        <v>0</v>
      </c>
      <c r="AG524" s="100">
        <f>IF(Tabla1[[#This Row],[TIPO DE CONSUMIDOR]]="MEDIO",IF(Tabla1[[#This Row],[ENERO ]]&gt;22.5,Tabla1[[#This Row],[ENERO ]]/22.5-1,0),IF(Tabla1[[#This Row],[ENERO ]]&gt;45,Tabla1[[#This Row],[ENERO ]]/45-1,0))</f>
        <v>0</v>
      </c>
      <c r="AH52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4" s="100">
        <f>IF(Tabla1[[#This Row],[TIPO DE CONSUMIDOR]]="MEDIO",IF(Tabla1[[#This Row],[MARZO]]&gt;22.5,Tabla1[[#This Row],[MARZO]]/22.5-1,0),IF(Tabla1[[#This Row],[MARZO]]&gt;45,Tabla1[[#This Row],[MARZO]]/45-1,0))</f>
        <v>0</v>
      </c>
      <c r="AJ524" s="100">
        <f>IF(Tabla1[[#This Row],[TIPO DE CONSUMIDOR]]="MEDIO",IF(Tabla1[[#This Row],[ABRIL]]&gt;22.5,Tabla1[[#This Row],[ABRIL]]/22.5-1,0),IF(Tabla1[[#This Row],[ABRIL]]&gt;45,Tabla1[[#This Row],[ABRIL]]/45-1,0))</f>
        <v>0</v>
      </c>
      <c r="AK524" s="100">
        <f>IF(Tabla1[[#This Row],[TIPO DE CONSUMIDOR]]="MEDIO",IF(Tabla1[[#This Row],[MAYO ]]&gt;22.5,Tabla1[[#This Row],[MAYO ]]/22.5-1,0),IF(Tabla1[[#This Row],[MAYO ]]&gt;45,Tabla1[[#This Row],[MAYO ]]/45-1,0))</f>
        <v>0</v>
      </c>
      <c r="AL524" s="100">
        <f>IF(Tabla1[[#This Row],[TIPO DE CONSUMIDOR]]="MEDIO",IF(Tabla1[[#This Row],[JUNIO ]]&gt;22.5,Tabla1[[#This Row],[JUNIO ]]/22.5-1,0),IF(Tabla1[[#This Row],[JUNIO ]]&gt;45,Tabla1[[#This Row],[JUNIO ]]/45-1,0))</f>
        <v>0</v>
      </c>
      <c r="AM524" s="100">
        <f>IF(Tabla1[[#This Row],[TIPO DE CONSUMIDOR]]="MEDIO",IF(Tabla1[[#This Row],[JULIO ]]&gt;22.5,Tabla1[[#This Row],[JULIO ]]/22.5-1,0),IF(Tabla1[[#This Row],[JULIO ]]&gt;45,Tabla1[[#This Row],[JULIO ]]/45-1,0))</f>
        <v>0</v>
      </c>
      <c r="AN524" s="100">
        <f>IF(Tabla1[[#This Row],[TIPO DE CONSUMIDOR]]="MEDIO",IF(Tabla1[[#This Row],[AGOSTO]]&gt;22.5,Tabla1[[#This Row],[AGOSTO]]/22.5-1,0),IF(Tabla1[[#This Row],[AGOSTO]]&gt;45,Tabla1[[#This Row],[AGOSTO]]/45-1,0))</f>
        <v>0</v>
      </c>
      <c r="AO52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4" s="101">
        <f t="shared" si="17"/>
        <v>0</v>
      </c>
      <c r="AT524">
        <f>IF(Tabla1[[#This Row],[MES ADEUDO DE AÑOS PASADOS ]]&gt;0,1,0)</f>
        <v>0</v>
      </c>
      <c r="AU524" s="9">
        <f t="shared" si="18"/>
        <v>0</v>
      </c>
      <c r="AV524" s="60">
        <f>IF(Tabla1[[#This Row],[MESES DE ADEUDO DEL AÑO EN CURSO ]]&gt;0,1,0)</f>
        <v>0</v>
      </c>
      <c r="AW524" s="42"/>
      <c r="AX524" s="42"/>
      <c r="AY524" s="42"/>
      <c r="AZ524" s="43"/>
    </row>
    <row r="525" spans="1:52" ht="21.75" thickBot="1" x14ac:dyDescent="0.35">
      <c r="A525" s="106">
        <v>519</v>
      </c>
      <c r="B525" s="5" t="s">
        <v>286</v>
      </c>
      <c r="C525" s="2"/>
      <c r="D525" s="32"/>
      <c r="E525" s="35" t="s">
        <v>455</v>
      </c>
      <c r="F525" s="52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4"/>
      <c r="R525" s="24">
        <f>SUM(Tabla1[[#This Row],[ENERO ]:[DICIEMBRE]])</f>
        <v>0</v>
      </c>
      <c r="W525">
        <v>0</v>
      </c>
      <c r="X525" s="21">
        <f>COUNTIF(Tabla1[[#This Row],[ENERO ]:[DICIEMBRE]],0)-(AS525)-IF(Tabla1[[#This Row],[BAJAS]]="BAJA",IF(Tabla1[[#This Row],[ALTAS]]="ALTA",VLOOKUP(Tabla1[[#This Row],[MES DE ALTA ]],$AW$6:$AX$17,2,FALSE),12)-VLOOKUP(Tabla1[[#This Row],[MES DE BAJA ]],$AW$6:$AX$17,2,FALSE),0)</f>
        <v>0</v>
      </c>
      <c r="Y525" s="68">
        <f>SUM(Tabla1[[#This Row],[MES ADEUDO DE AÑOS PASADOS ]:[MESES DE ADEUDO DEL AÑO EN CURSO ]])-Tabla1[[#This Row],[PAGO DE DEUDA ANTERIOR EN MESES]]</f>
        <v>0</v>
      </c>
      <c r="Z525" s="15">
        <f>Tabla1[[#This Row],[MES ADEUDO DE AÑOS PASADOS ]]*$T$2</f>
        <v>0</v>
      </c>
      <c r="AA525" s="15">
        <f>Tabla1[[#This Row],[MESES DE ADEUDO DEL AÑO EN CURSO ]]*$T$2</f>
        <v>0</v>
      </c>
      <c r="AB525" s="69">
        <f>SUM(Tabla1[[#This Row],[DEUDA DE LOS MESES PASADOS EN $$]:[DEUDA DEL AÑO 2013 $$ ]])</f>
        <v>0</v>
      </c>
      <c r="AD525">
        <f>Tabla1[[#This Row],[PAGO DE DEUDA ANTERIOR EN MESES]]*$T$2</f>
        <v>0</v>
      </c>
      <c r="AG525" s="100">
        <f>IF(Tabla1[[#This Row],[TIPO DE CONSUMIDOR]]="MEDIO",IF(Tabla1[[#This Row],[ENERO ]]&gt;22.5,Tabla1[[#This Row],[ENERO ]]/22.5-1,0),IF(Tabla1[[#This Row],[ENERO ]]&gt;45,Tabla1[[#This Row],[ENERO ]]/45-1,0))</f>
        <v>0</v>
      </c>
      <c r="AH52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5" s="100">
        <f>IF(Tabla1[[#This Row],[TIPO DE CONSUMIDOR]]="MEDIO",IF(Tabla1[[#This Row],[MARZO]]&gt;22.5,Tabla1[[#This Row],[MARZO]]/22.5-1,0),IF(Tabla1[[#This Row],[MARZO]]&gt;45,Tabla1[[#This Row],[MARZO]]/45-1,0))</f>
        <v>0</v>
      </c>
      <c r="AJ525" s="100">
        <f>IF(Tabla1[[#This Row],[TIPO DE CONSUMIDOR]]="MEDIO",IF(Tabla1[[#This Row],[ABRIL]]&gt;22.5,Tabla1[[#This Row],[ABRIL]]/22.5-1,0),IF(Tabla1[[#This Row],[ABRIL]]&gt;45,Tabla1[[#This Row],[ABRIL]]/45-1,0))</f>
        <v>0</v>
      </c>
      <c r="AK525" s="100">
        <f>IF(Tabla1[[#This Row],[TIPO DE CONSUMIDOR]]="MEDIO",IF(Tabla1[[#This Row],[MAYO ]]&gt;22.5,Tabla1[[#This Row],[MAYO ]]/22.5-1,0),IF(Tabla1[[#This Row],[MAYO ]]&gt;45,Tabla1[[#This Row],[MAYO ]]/45-1,0))</f>
        <v>0</v>
      </c>
      <c r="AL525" s="100">
        <f>IF(Tabla1[[#This Row],[TIPO DE CONSUMIDOR]]="MEDIO",IF(Tabla1[[#This Row],[JUNIO ]]&gt;22.5,Tabla1[[#This Row],[JUNIO ]]/22.5-1,0),IF(Tabla1[[#This Row],[JUNIO ]]&gt;45,Tabla1[[#This Row],[JUNIO ]]/45-1,0))</f>
        <v>0</v>
      </c>
      <c r="AM525" s="100">
        <f>IF(Tabla1[[#This Row],[TIPO DE CONSUMIDOR]]="MEDIO",IF(Tabla1[[#This Row],[JULIO ]]&gt;22.5,Tabla1[[#This Row],[JULIO ]]/22.5-1,0),IF(Tabla1[[#This Row],[JULIO ]]&gt;45,Tabla1[[#This Row],[JULIO ]]/45-1,0))</f>
        <v>0</v>
      </c>
      <c r="AN525" s="100">
        <f>IF(Tabla1[[#This Row],[TIPO DE CONSUMIDOR]]="MEDIO",IF(Tabla1[[#This Row],[AGOSTO]]&gt;22.5,Tabla1[[#This Row],[AGOSTO]]/22.5-1,0),IF(Tabla1[[#This Row],[AGOSTO]]&gt;45,Tabla1[[#This Row],[AGOSTO]]/45-1,0))</f>
        <v>0</v>
      </c>
      <c r="AO52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5" s="101">
        <f t="shared" si="17"/>
        <v>0</v>
      </c>
      <c r="AT525">
        <f>IF(Tabla1[[#This Row],[MES ADEUDO DE AÑOS PASADOS ]]&gt;0,1,0)</f>
        <v>0</v>
      </c>
      <c r="AU525" s="9">
        <f t="shared" si="18"/>
        <v>0</v>
      </c>
      <c r="AV525" s="60">
        <f>IF(Tabla1[[#This Row],[MESES DE ADEUDO DEL AÑO EN CURSO ]]&gt;0,1,0)</f>
        <v>0</v>
      </c>
      <c r="AW525" s="42"/>
      <c r="AX525" s="42"/>
      <c r="AY525" s="42"/>
      <c r="AZ525" s="43"/>
    </row>
    <row r="526" spans="1:52" ht="21.75" thickBot="1" x14ac:dyDescent="0.35">
      <c r="A526" s="106">
        <v>520</v>
      </c>
      <c r="B526" s="5" t="s">
        <v>587</v>
      </c>
      <c r="C526" s="2"/>
      <c r="D526" s="32"/>
      <c r="E526" s="35" t="s">
        <v>489</v>
      </c>
      <c r="F526" s="52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4"/>
      <c r="R526" s="24">
        <f>SUM(Tabla1[[#This Row],[ENERO ]:[DICIEMBRE]])</f>
        <v>0</v>
      </c>
      <c r="W526">
        <v>0</v>
      </c>
      <c r="X526" s="21">
        <f>COUNTIF(Tabla1[[#This Row],[ENERO ]:[DICIEMBRE]],0)-(AS526)-IF(Tabla1[[#This Row],[BAJAS]]="BAJA",IF(Tabla1[[#This Row],[ALTAS]]="ALTA",VLOOKUP(Tabla1[[#This Row],[MES DE ALTA ]],$AW$6:$AX$17,2,FALSE),12)-VLOOKUP(Tabla1[[#This Row],[MES DE BAJA ]],$AW$6:$AX$17,2,FALSE),0)</f>
        <v>0</v>
      </c>
      <c r="Y526" s="68">
        <f>SUM(Tabla1[[#This Row],[MES ADEUDO DE AÑOS PASADOS ]:[MESES DE ADEUDO DEL AÑO EN CURSO ]])-Tabla1[[#This Row],[PAGO DE DEUDA ANTERIOR EN MESES]]</f>
        <v>0</v>
      </c>
      <c r="Z526" s="15">
        <f>Tabla1[[#This Row],[MES ADEUDO DE AÑOS PASADOS ]]*$T$2</f>
        <v>0</v>
      </c>
      <c r="AA526" s="15">
        <f>Tabla1[[#This Row],[MESES DE ADEUDO DEL AÑO EN CURSO ]]*$T$2</f>
        <v>0</v>
      </c>
      <c r="AB526" s="69">
        <f>SUM(Tabla1[[#This Row],[DEUDA DE LOS MESES PASADOS EN $$]:[DEUDA DEL AÑO 2013 $$ ]])</f>
        <v>0</v>
      </c>
      <c r="AD526">
        <f>Tabla1[[#This Row],[PAGO DE DEUDA ANTERIOR EN MESES]]*$T$2</f>
        <v>0</v>
      </c>
      <c r="AG526" s="100">
        <f>IF(Tabla1[[#This Row],[TIPO DE CONSUMIDOR]]="MEDIO",IF(Tabla1[[#This Row],[ENERO ]]&gt;22.5,Tabla1[[#This Row],[ENERO ]]/22.5-1,0),IF(Tabla1[[#This Row],[ENERO ]]&gt;45,Tabla1[[#This Row],[ENERO ]]/45-1,0))</f>
        <v>0</v>
      </c>
      <c r="AH52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6" s="100">
        <f>IF(Tabla1[[#This Row],[TIPO DE CONSUMIDOR]]="MEDIO",IF(Tabla1[[#This Row],[MARZO]]&gt;22.5,Tabla1[[#This Row],[MARZO]]/22.5-1,0),IF(Tabla1[[#This Row],[MARZO]]&gt;45,Tabla1[[#This Row],[MARZO]]/45-1,0))</f>
        <v>0</v>
      </c>
      <c r="AJ526" s="100">
        <f>IF(Tabla1[[#This Row],[TIPO DE CONSUMIDOR]]="MEDIO",IF(Tabla1[[#This Row],[ABRIL]]&gt;22.5,Tabla1[[#This Row],[ABRIL]]/22.5-1,0),IF(Tabla1[[#This Row],[ABRIL]]&gt;45,Tabla1[[#This Row],[ABRIL]]/45-1,0))</f>
        <v>0</v>
      </c>
      <c r="AK526" s="100">
        <f>IF(Tabla1[[#This Row],[TIPO DE CONSUMIDOR]]="MEDIO",IF(Tabla1[[#This Row],[MAYO ]]&gt;22.5,Tabla1[[#This Row],[MAYO ]]/22.5-1,0),IF(Tabla1[[#This Row],[MAYO ]]&gt;45,Tabla1[[#This Row],[MAYO ]]/45-1,0))</f>
        <v>0</v>
      </c>
      <c r="AL526" s="100">
        <f>IF(Tabla1[[#This Row],[TIPO DE CONSUMIDOR]]="MEDIO",IF(Tabla1[[#This Row],[JUNIO ]]&gt;22.5,Tabla1[[#This Row],[JUNIO ]]/22.5-1,0),IF(Tabla1[[#This Row],[JUNIO ]]&gt;45,Tabla1[[#This Row],[JUNIO ]]/45-1,0))</f>
        <v>0</v>
      </c>
      <c r="AM526" s="100">
        <f>IF(Tabla1[[#This Row],[TIPO DE CONSUMIDOR]]="MEDIO",IF(Tabla1[[#This Row],[JULIO ]]&gt;22.5,Tabla1[[#This Row],[JULIO ]]/22.5-1,0),IF(Tabla1[[#This Row],[JULIO ]]&gt;45,Tabla1[[#This Row],[JULIO ]]/45-1,0))</f>
        <v>0</v>
      </c>
      <c r="AN526" s="100">
        <f>IF(Tabla1[[#This Row],[TIPO DE CONSUMIDOR]]="MEDIO",IF(Tabla1[[#This Row],[AGOSTO]]&gt;22.5,Tabla1[[#This Row],[AGOSTO]]/22.5-1,0),IF(Tabla1[[#This Row],[AGOSTO]]&gt;45,Tabla1[[#This Row],[AGOSTO]]/45-1,0))</f>
        <v>0</v>
      </c>
      <c r="AO52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6" s="101">
        <f t="shared" si="17"/>
        <v>0</v>
      </c>
      <c r="AT526">
        <f>IF(Tabla1[[#This Row],[MES ADEUDO DE AÑOS PASADOS ]]&gt;0,1,0)</f>
        <v>0</v>
      </c>
      <c r="AU526" s="9">
        <f t="shared" si="18"/>
        <v>0</v>
      </c>
      <c r="AV526" s="60">
        <f>IF(Tabla1[[#This Row],[MESES DE ADEUDO DEL AÑO EN CURSO ]]&gt;0,1,0)</f>
        <v>0</v>
      </c>
      <c r="AW526" s="42"/>
      <c r="AX526" s="42"/>
      <c r="AY526" s="42"/>
      <c r="AZ526" s="43"/>
    </row>
    <row r="527" spans="1:52" ht="21.75" thickBot="1" x14ac:dyDescent="0.35">
      <c r="A527" s="106">
        <v>521</v>
      </c>
      <c r="B527" s="5" t="s">
        <v>327</v>
      </c>
      <c r="C527" s="2"/>
      <c r="D527" s="32"/>
      <c r="E527" s="35" t="s">
        <v>455</v>
      </c>
      <c r="F527" s="52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4"/>
      <c r="R527" s="24">
        <f>SUM(Tabla1[[#This Row],[ENERO ]:[DICIEMBRE]])</f>
        <v>0</v>
      </c>
      <c r="W527">
        <v>0</v>
      </c>
      <c r="X527" s="21">
        <f>COUNTIF(Tabla1[[#This Row],[ENERO ]:[DICIEMBRE]],0)-(AS527)-IF(Tabla1[[#This Row],[BAJAS]]="BAJA",IF(Tabla1[[#This Row],[ALTAS]]="ALTA",VLOOKUP(Tabla1[[#This Row],[MES DE ALTA ]],$AW$6:$AX$17,2,FALSE),12)-VLOOKUP(Tabla1[[#This Row],[MES DE BAJA ]],$AW$6:$AX$17,2,FALSE),0)</f>
        <v>0</v>
      </c>
      <c r="Y527" s="68">
        <f>SUM(Tabla1[[#This Row],[MES ADEUDO DE AÑOS PASADOS ]:[MESES DE ADEUDO DEL AÑO EN CURSO ]])-Tabla1[[#This Row],[PAGO DE DEUDA ANTERIOR EN MESES]]</f>
        <v>0</v>
      </c>
      <c r="Z527" s="15">
        <f>Tabla1[[#This Row],[MES ADEUDO DE AÑOS PASADOS ]]*$T$2</f>
        <v>0</v>
      </c>
      <c r="AA527" s="15">
        <f>Tabla1[[#This Row],[MESES DE ADEUDO DEL AÑO EN CURSO ]]*$T$2</f>
        <v>0</v>
      </c>
      <c r="AB527" s="69">
        <f>SUM(Tabla1[[#This Row],[DEUDA DE LOS MESES PASADOS EN $$]:[DEUDA DEL AÑO 2013 $$ ]])</f>
        <v>0</v>
      </c>
      <c r="AD527">
        <f>Tabla1[[#This Row],[PAGO DE DEUDA ANTERIOR EN MESES]]*$T$2</f>
        <v>0</v>
      </c>
      <c r="AG527" s="100">
        <f>IF(Tabla1[[#This Row],[TIPO DE CONSUMIDOR]]="MEDIO",IF(Tabla1[[#This Row],[ENERO ]]&gt;22.5,Tabla1[[#This Row],[ENERO ]]/22.5-1,0),IF(Tabla1[[#This Row],[ENERO ]]&gt;45,Tabla1[[#This Row],[ENERO ]]/45-1,0))</f>
        <v>0</v>
      </c>
      <c r="AH52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7" s="100">
        <f>IF(Tabla1[[#This Row],[TIPO DE CONSUMIDOR]]="MEDIO",IF(Tabla1[[#This Row],[MARZO]]&gt;22.5,Tabla1[[#This Row],[MARZO]]/22.5-1,0),IF(Tabla1[[#This Row],[MARZO]]&gt;45,Tabla1[[#This Row],[MARZO]]/45-1,0))</f>
        <v>0</v>
      </c>
      <c r="AJ527" s="100">
        <f>IF(Tabla1[[#This Row],[TIPO DE CONSUMIDOR]]="MEDIO",IF(Tabla1[[#This Row],[ABRIL]]&gt;22.5,Tabla1[[#This Row],[ABRIL]]/22.5-1,0),IF(Tabla1[[#This Row],[ABRIL]]&gt;45,Tabla1[[#This Row],[ABRIL]]/45-1,0))</f>
        <v>0</v>
      </c>
      <c r="AK527" s="100">
        <f>IF(Tabla1[[#This Row],[TIPO DE CONSUMIDOR]]="MEDIO",IF(Tabla1[[#This Row],[MAYO ]]&gt;22.5,Tabla1[[#This Row],[MAYO ]]/22.5-1,0),IF(Tabla1[[#This Row],[MAYO ]]&gt;45,Tabla1[[#This Row],[MAYO ]]/45-1,0))</f>
        <v>0</v>
      </c>
      <c r="AL527" s="100">
        <f>IF(Tabla1[[#This Row],[TIPO DE CONSUMIDOR]]="MEDIO",IF(Tabla1[[#This Row],[JUNIO ]]&gt;22.5,Tabla1[[#This Row],[JUNIO ]]/22.5-1,0),IF(Tabla1[[#This Row],[JUNIO ]]&gt;45,Tabla1[[#This Row],[JUNIO ]]/45-1,0))</f>
        <v>0</v>
      </c>
      <c r="AM527" s="100">
        <f>IF(Tabla1[[#This Row],[TIPO DE CONSUMIDOR]]="MEDIO",IF(Tabla1[[#This Row],[JULIO ]]&gt;22.5,Tabla1[[#This Row],[JULIO ]]/22.5-1,0),IF(Tabla1[[#This Row],[JULIO ]]&gt;45,Tabla1[[#This Row],[JULIO ]]/45-1,0))</f>
        <v>0</v>
      </c>
      <c r="AN527" s="100">
        <f>IF(Tabla1[[#This Row],[TIPO DE CONSUMIDOR]]="MEDIO",IF(Tabla1[[#This Row],[AGOSTO]]&gt;22.5,Tabla1[[#This Row],[AGOSTO]]/22.5-1,0),IF(Tabla1[[#This Row],[AGOSTO]]&gt;45,Tabla1[[#This Row],[AGOSTO]]/45-1,0))</f>
        <v>0</v>
      </c>
      <c r="AO52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7" s="101">
        <f t="shared" si="17"/>
        <v>0</v>
      </c>
      <c r="AT527">
        <f>IF(Tabla1[[#This Row],[MES ADEUDO DE AÑOS PASADOS ]]&gt;0,1,0)</f>
        <v>0</v>
      </c>
      <c r="AU527" s="9">
        <f t="shared" si="18"/>
        <v>0</v>
      </c>
      <c r="AV527" s="60">
        <f>IF(Tabla1[[#This Row],[MESES DE ADEUDO DEL AÑO EN CURSO ]]&gt;0,1,0)</f>
        <v>0</v>
      </c>
      <c r="AW527" s="44"/>
      <c r="AX527" s="44"/>
      <c r="AY527" s="44"/>
      <c r="AZ527" s="45"/>
    </row>
    <row r="528" spans="1:52" ht="21.75" thickBot="1" x14ac:dyDescent="0.35">
      <c r="A528" s="106">
        <v>522</v>
      </c>
      <c r="B528" s="5" t="s">
        <v>319</v>
      </c>
      <c r="C528" s="2"/>
      <c r="D528" s="32"/>
      <c r="E528" s="35" t="s">
        <v>455</v>
      </c>
      <c r="F528" s="52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4"/>
      <c r="R528" s="59">
        <f>SUM(Tabla1[[#This Row],[ENERO ]:[DICIEMBRE]])</f>
        <v>0</v>
      </c>
      <c r="W528">
        <v>0</v>
      </c>
      <c r="X528" s="21">
        <f>COUNTIF(Tabla1[[#This Row],[ENERO ]:[DICIEMBRE]],0)-(AS528)-IF(Tabla1[[#This Row],[BAJAS]]="BAJA",IF(Tabla1[[#This Row],[ALTAS]]="ALTA",VLOOKUP(Tabla1[[#This Row],[MES DE ALTA ]],$AW$6:$AX$17,2,FALSE),12)-VLOOKUP(Tabla1[[#This Row],[MES DE BAJA ]],$AW$6:$AX$17,2,FALSE),0)</f>
        <v>0</v>
      </c>
      <c r="Y528" s="68">
        <f>SUM(Tabla1[[#This Row],[MES ADEUDO DE AÑOS PASADOS ]:[MESES DE ADEUDO DEL AÑO EN CURSO ]])-Tabla1[[#This Row],[PAGO DE DEUDA ANTERIOR EN MESES]]</f>
        <v>0</v>
      </c>
      <c r="Z528" s="15">
        <f>Tabla1[[#This Row],[MES ADEUDO DE AÑOS PASADOS ]]*$T$2</f>
        <v>0</v>
      </c>
      <c r="AA528" s="15">
        <f>Tabla1[[#This Row],[MESES DE ADEUDO DEL AÑO EN CURSO ]]*$T$2</f>
        <v>0</v>
      </c>
      <c r="AB528" s="69">
        <f>SUM(Tabla1[[#This Row],[DEUDA DE LOS MESES PASADOS EN $$]:[DEUDA DEL AÑO 2013 $$ ]])</f>
        <v>0</v>
      </c>
      <c r="AD528">
        <f>Tabla1[[#This Row],[PAGO DE DEUDA ANTERIOR EN MESES]]*$T$2</f>
        <v>0</v>
      </c>
      <c r="AG528" s="100">
        <f>IF(Tabla1[[#This Row],[TIPO DE CONSUMIDOR]]="MEDIO",IF(Tabla1[[#This Row],[ENERO ]]&gt;22.5,Tabla1[[#This Row],[ENERO ]]/22.5-1,0),IF(Tabla1[[#This Row],[ENERO ]]&gt;45,Tabla1[[#This Row],[ENERO ]]/45-1,0))</f>
        <v>0</v>
      </c>
      <c r="AH52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8" s="100">
        <f>IF(Tabla1[[#This Row],[TIPO DE CONSUMIDOR]]="MEDIO",IF(Tabla1[[#This Row],[MARZO]]&gt;22.5,Tabla1[[#This Row],[MARZO]]/22.5-1,0),IF(Tabla1[[#This Row],[MARZO]]&gt;45,Tabla1[[#This Row],[MARZO]]/45-1,0))</f>
        <v>0</v>
      </c>
      <c r="AJ528" s="100">
        <f>IF(Tabla1[[#This Row],[TIPO DE CONSUMIDOR]]="MEDIO",IF(Tabla1[[#This Row],[ABRIL]]&gt;22.5,Tabla1[[#This Row],[ABRIL]]/22.5-1,0),IF(Tabla1[[#This Row],[ABRIL]]&gt;45,Tabla1[[#This Row],[ABRIL]]/45-1,0))</f>
        <v>0</v>
      </c>
      <c r="AK528" s="100">
        <f>IF(Tabla1[[#This Row],[TIPO DE CONSUMIDOR]]="MEDIO",IF(Tabla1[[#This Row],[MAYO ]]&gt;22.5,Tabla1[[#This Row],[MAYO ]]/22.5-1,0),IF(Tabla1[[#This Row],[MAYO ]]&gt;45,Tabla1[[#This Row],[MAYO ]]/45-1,0))</f>
        <v>0</v>
      </c>
      <c r="AL528" s="100">
        <f>IF(Tabla1[[#This Row],[TIPO DE CONSUMIDOR]]="MEDIO",IF(Tabla1[[#This Row],[JUNIO ]]&gt;22.5,Tabla1[[#This Row],[JUNIO ]]/22.5-1,0),IF(Tabla1[[#This Row],[JUNIO ]]&gt;45,Tabla1[[#This Row],[JUNIO ]]/45-1,0))</f>
        <v>0</v>
      </c>
      <c r="AM528" s="100">
        <f>IF(Tabla1[[#This Row],[TIPO DE CONSUMIDOR]]="MEDIO",IF(Tabla1[[#This Row],[JULIO ]]&gt;22.5,Tabla1[[#This Row],[JULIO ]]/22.5-1,0),IF(Tabla1[[#This Row],[JULIO ]]&gt;45,Tabla1[[#This Row],[JULIO ]]/45-1,0))</f>
        <v>0</v>
      </c>
      <c r="AN528" s="100">
        <f>IF(Tabla1[[#This Row],[TIPO DE CONSUMIDOR]]="MEDIO",IF(Tabla1[[#This Row],[AGOSTO]]&gt;22.5,Tabla1[[#This Row],[AGOSTO]]/22.5-1,0),IF(Tabla1[[#This Row],[AGOSTO]]&gt;45,Tabla1[[#This Row],[AGOSTO]]/45-1,0))</f>
        <v>0</v>
      </c>
      <c r="AO52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8" s="101">
        <f t="shared" si="17"/>
        <v>0</v>
      </c>
      <c r="AT528">
        <f>IF(Tabla1[[#This Row],[MES ADEUDO DE AÑOS PASADOS ]]&gt;0,1,0)</f>
        <v>0</v>
      </c>
      <c r="AU528" s="9">
        <f t="shared" si="18"/>
        <v>0</v>
      </c>
      <c r="AV528" s="60">
        <f>IF(Tabla1[[#This Row],[MESES DE ADEUDO DEL AÑO EN CURSO ]]&gt;0,1,0)</f>
        <v>0</v>
      </c>
      <c r="AW528" s="37"/>
      <c r="AX528" s="37"/>
      <c r="AY528" s="37"/>
      <c r="AZ528" s="37"/>
    </row>
    <row r="529" spans="1:52" ht="21.75" thickBot="1" x14ac:dyDescent="0.35">
      <c r="A529" s="106">
        <v>523</v>
      </c>
      <c r="B529" s="5" t="s">
        <v>306</v>
      </c>
      <c r="C529" s="2"/>
      <c r="D529" s="32"/>
      <c r="E529" s="35" t="s">
        <v>455</v>
      </c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9">
        <f>SUM(Tabla1[[#This Row],[ENERO ]:[DICIEMBRE]])</f>
        <v>0</v>
      </c>
      <c r="W529">
        <v>0</v>
      </c>
      <c r="X529" s="21">
        <f>COUNTIF(Tabla1[[#This Row],[ENERO ]:[DICIEMBRE]],0)-(AS529)-IF(Tabla1[[#This Row],[BAJAS]]="BAJA",IF(Tabla1[[#This Row],[ALTAS]]="ALTA",VLOOKUP(Tabla1[[#This Row],[MES DE ALTA ]],$AW$6:$AX$17,2,FALSE),12)-VLOOKUP(Tabla1[[#This Row],[MES DE BAJA ]],$AW$6:$AX$17,2,FALSE),0)</f>
        <v>0</v>
      </c>
      <c r="Y529" s="68">
        <f>SUM(Tabla1[[#This Row],[MES ADEUDO DE AÑOS PASADOS ]:[MESES DE ADEUDO DEL AÑO EN CURSO ]])-Tabla1[[#This Row],[PAGO DE DEUDA ANTERIOR EN MESES]]</f>
        <v>0</v>
      </c>
      <c r="Z529" s="15">
        <f>Tabla1[[#This Row],[MES ADEUDO DE AÑOS PASADOS ]]*$T$2</f>
        <v>0</v>
      </c>
      <c r="AA529" s="15">
        <f>Tabla1[[#This Row],[MESES DE ADEUDO DEL AÑO EN CURSO ]]*$T$2</f>
        <v>0</v>
      </c>
      <c r="AB529" s="69">
        <f>SUM(Tabla1[[#This Row],[DEUDA DE LOS MESES PASADOS EN $$]:[DEUDA DEL AÑO 2013 $$ ]])</f>
        <v>0</v>
      </c>
      <c r="AD529">
        <f>Tabla1[[#This Row],[PAGO DE DEUDA ANTERIOR EN MESES]]*$T$2</f>
        <v>0</v>
      </c>
      <c r="AG529" s="100">
        <f>IF(Tabla1[[#This Row],[TIPO DE CONSUMIDOR]]="MEDIO",IF(Tabla1[[#This Row],[ENERO ]]&gt;22.5,Tabla1[[#This Row],[ENERO ]]/22.5-1,0),IF(Tabla1[[#This Row],[ENERO ]]&gt;45,Tabla1[[#This Row],[ENERO ]]/45-1,0))</f>
        <v>0</v>
      </c>
      <c r="AH52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29" s="100">
        <f>IF(Tabla1[[#This Row],[TIPO DE CONSUMIDOR]]="MEDIO",IF(Tabla1[[#This Row],[MARZO]]&gt;22.5,Tabla1[[#This Row],[MARZO]]/22.5-1,0),IF(Tabla1[[#This Row],[MARZO]]&gt;45,Tabla1[[#This Row],[MARZO]]/45-1,0))</f>
        <v>0</v>
      </c>
      <c r="AJ529" s="100">
        <f>IF(Tabla1[[#This Row],[TIPO DE CONSUMIDOR]]="MEDIO",IF(Tabla1[[#This Row],[ABRIL]]&gt;22.5,Tabla1[[#This Row],[ABRIL]]/22.5-1,0),IF(Tabla1[[#This Row],[ABRIL]]&gt;45,Tabla1[[#This Row],[ABRIL]]/45-1,0))</f>
        <v>0</v>
      </c>
      <c r="AK529" s="100">
        <f>IF(Tabla1[[#This Row],[TIPO DE CONSUMIDOR]]="MEDIO",IF(Tabla1[[#This Row],[MAYO ]]&gt;22.5,Tabla1[[#This Row],[MAYO ]]/22.5-1,0),IF(Tabla1[[#This Row],[MAYO ]]&gt;45,Tabla1[[#This Row],[MAYO ]]/45-1,0))</f>
        <v>0</v>
      </c>
      <c r="AL529" s="100">
        <f>IF(Tabla1[[#This Row],[TIPO DE CONSUMIDOR]]="MEDIO",IF(Tabla1[[#This Row],[JUNIO ]]&gt;22.5,Tabla1[[#This Row],[JUNIO ]]/22.5-1,0),IF(Tabla1[[#This Row],[JUNIO ]]&gt;45,Tabla1[[#This Row],[JUNIO ]]/45-1,0))</f>
        <v>0</v>
      </c>
      <c r="AM529" s="100">
        <f>IF(Tabla1[[#This Row],[TIPO DE CONSUMIDOR]]="MEDIO",IF(Tabla1[[#This Row],[JULIO ]]&gt;22.5,Tabla1[[#This Row],[JULIO ]]/22.5-1,0),IF(Tabla1[[#This Row],[JULIO ]]&gt;45,Tabla1[[#This Row],[JULIO ]]/45-1,0))</f>
        <v>0</v>
      </c>
      <c r="AN529" s="100">
        <f>IF(Tabla1[[#This Row],[TIPO DE CONSUMIDOR]]="MEDIO",IF(Tabla1[[#This Row],[AGOSTO]]&gt;22.5,Tabla1[[#This Row],[AGOSTO]]/22.5-1,0),IF(Tabla1[[#This Row],[AGOSTO]]&gt;45,Tabla1[[#This Row],[AGOSTO]]/45-1,0))</f>
        <v>0</v>
      </c>
      <c r="AO52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2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2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2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29" s="101">
        <f t="shared" si="17"/>
        <v>0</v>
      </c>
      <c r="AT529">
        <f>IF(Tabla1[[#This Row],[MES ADEUDO DE AÑOS PASADOS ]]&gt;0,1,0)</f>
        <v>0</v>
      </c>
      <c r="AU529" s="9">
        <f t="shared" si="18"/>
        <v>0</v>
      </c>
      <c r="AV529" s="60">
        <f>IF(Tabla1[[#This Row],[MESES DE ADEUDO DEL AÑO EN CURSO ]]&gt;0,1,0)</f>
        <v>0</v>
      </c>
      <c r="AW529" s="37"/>
      <c r="AX529" s="37"/>
      <c r="AY529" s="37"/>
      <c r="AZ529" s="37"/>
    </row>
    <row r="530" spans="1:52" ht="21.75" thickBot="1" x14ac:dyDescent="0.35">
      <c r="A530" s="106">
        <v>524</v>
      </c>
      <c r="B530" s="5" t="s">
        <v>352</v>
      </c>
      <c r="C530" s="2"/>
      <c r="D530" s="32"/>
      <c r="E530" s="35" t="s">
        <v>455</v>
      </c>
      <c r="F530" s="52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4"/>
      <c r="R530" s="59">
        <f>SUM(Tabla1[[#This Row],[ENERO ]:[DICIEMBRE]])</f>
        <v>0</v>
      </c>
      <c r="W530">
        <v>0</v>
      </c>
      <c r="X530" s="21">
        <f>COUNTIF(Tabla1[[#This Row],[ENERO ]:[DICIEMBRE]],0)-(AS530)-IF(Tabla1[[#This Row],[BAJAS]]="BAJA",IF(Tabla1[[#This Row],[ALTAS]]="ALTA",VLOOKUP(Tabla1[[#This Row],[MES DE ALTA ]],$AW$6:$AX$17,2,FALSE),12)-VLOOKUP(Tabla1[[#This Row],[MES DE BAJA ]],$AW$6:$AX$17,2,FALSE),0)</f>
        <v>0</v>
      </c>
      <c r="Y530" s="68">
        <f>SUM(Tabla1[[#This Row],[MES ADEUDO DE AÑOS PASADOS ]:[MESES DE ADEUDO DEL AÑO EN CURSO ]])-Tabla1[[#This Row],[PAGO DE DEUDA ANTERIOR EN MESES]]</f>
        <v>0</v>
      </c>
      <c r="Z530" s="15">
        <f>Tabla1[[#This Row],[MES ADEUDO DE AÑOS PASADOS ]]*$T$2</f>
        <v>0</v>
      </c>
      <c r="AA530" s="15">
        <f>Tabla1[[#This Row],[MESES DE ADEUDO DEL AÑO EN CURSO ]]*$T$2</f>
        <v>0</v>
      </c>
      <c r="AB530" s="69">
        <f>SUM(Tabla1[[#This Row],[DEUDA DE LOS MESES PASADOS EN $$]:[DEUDA DEL AÑO 2013 $$ ]])</f>
        <v>0</v>
      </c>
      <c r="AD530">
        <f>Tabla1[[#This Row],[PAGO DE DEUDA ANTERIOR EN MESES]]*$T$2</f>
        <v>0</v>
      </c>
      <c r="AG530" s="100">
        <f>IF(Tabla1[[#This Row],[TIPO DE CONSUMIDOR]]="MEDIO",IF(Tabla1[[#This Row],[ENERO ]]&gt;22.5,Tabla1[[#This Row],[ENERO ]]/22.5-1,0),IF(Tabla1[[#This Row],[ENERO ]]&gt;45,Tabla1[[#This Row],[ENERO ]]/45-1,0))</f>
        <v>0</v>
      </c>
      <c r="AH53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0" s="100">
        <f>IF(Tabla1[[#This Row],[TIPO DE CONSUMIDOR]]="MEDIO",IF(Tabla1[[#This Row],[MARZO]]&gt;22.5,Tabla1[[#This Row],[MARZO]]/22.5-1,0),IF(Tabla1[[#This Row],[MARZO]]&gt;45,Tabla1[[#This Row],[MARZO]]/45-1,0))</f>
        <v>0</v>
      </c>
      <c r="AJ530" s="100">
        <f>IF(Tabla1[[#This Row],[TIPO DE CONSUMIDOR]]="MEDIO",IF(Tabla1[[#This Row],[ABRIL]]&gt;22.5,Tabla1[[#This Row],[ABRIL]]/22.5-1,0),IF(Tabla1[[#This Row],[ABRIL]]&gt;45,Tabla1[[#This Row],[ABRIL]]/45-1,0))</f>
        <v>0</v>
      </c>
      <c r="AK530" s="100">
        <f>IF(Tabla1[[#This Row],[TIPO DE CONSUMIDOR]]="MEDIO",IF(Tabla1[[#This Row],[MAYO ]]&gt;22.5,Tabla1[[#This Row],[MAYO ]]/22.5-1,0),IF(Tabla1[[#This Row],[MAYO ]]&gt;45,Tabla1[[#This Row],[MAYO ]]/45-1,0))</f>
        <v>0</v>
      </c>
      <c r="AL530" s="100">
        <f>IF(Tabla1[[#This Row],[TIPO DE CONSUMIDOR]]="MEDIO",IF(Tabla1[[#This Row],[JUNIO ]]&gt;22.5,Tabla1[[#This Row],[JUNIO ]]/22.5-1,0),IF(Tabla1[[#This Row],[JUNIO ]]&gt;45,Tabla1[[#This Row],[JUNIO ]]/45-1,0))</f>
        <v>0</v>
      </c>
      <c r="AM530" s="100">
        <f>IF(Tabla1[[#This Row],[TIPO DE CONSUMIDOR]]="MEDIO",IF(Tabla1[[#This Row],[JULIO ]]&gt;22.5,Tabla1[[#This Row],[JULIO ]]/22.5-1,0),IF(Tabla1[[#This Row],[JULIO ]]&gt;45,Tabla1[[#This Row],[JULIO ]]/45-1,0))</f>
        <v>0</v>
      </c>
      <c r="AN530" s="100">
        <f>IF(Tabla1[[#This Row],[TIPO DE CONSUMIDOR]]="MEDIO",IF(Tabla1[[#This Row],[AGOSTO]]&gt;22.5,Tabla1[[#This Row],[AGOSTO]]/22.5-1,0),IF(Tabla1[[#This Row],[AGOSTO]]&gt;45,Tabla1[[#This Row],[AGOSTO]]/45-1,0))</f>
        <v>0</v>
      </c>
      <c r="AO53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0" s="101">
        <f t="shared" si="17"/>
        <v>0</v>
      </c>
      <c r="AT530">
        <f>IF(Tabla1[[#This Row],[MES ADEUDO DE AÑOS PASADOS ]]&gt;0,1,0)</f>
        <v>0</v>
      </c>
      <c r="AU530" s="9">
        <f t="shared" si="18"/>
        <v>0</v>
      </c>
      <c r="AV530" s="60">
        <f>IF(Tabla1[[#This Row],[MESES DE ADEUDO DEL AÑO EN CURSO ]]&gt;0,1,0)</f>
        <v>0</v>
      </c>
    </row>
    <row r="531" spans="1:52" ht="21.75" thickBot="1" x14ac:dyDescent="0.35">
      <c r="A531" s="106">
        <v>525</v>
      </c>
      <c r="B531" s="5" t="s">
        <v>590</v>
      </c>
      <c r="C531" s="2"/>
      <c r="D531" s="32"/>
      <c r="E531" s="35" t="s">
        <v>455</v>
      </c>
      <c r="F531" s="52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4"/>
      <c r="R531" s="59">
        <f>SUM(Tabla1[[#This Row],[ENERO ]:[DICIEMBRE]])</f>
        <v>0</v>
      </c>
      <c r="W531">
        <v>0</v>
      </c>
      <c r="X531" s="21">
        <f>COUNTIF(Tabla1[[#This Row],[ENERO ]:[DICIEMBRE]],0)-(AS531)-IF(Tabla1[[#This Row],[BAJAS]]="BAJA",IF(Tabla1[[#This Row],[ALTAS]]="ALTA",VLOOKUP(Tabla1[[#This Row],[MES DE ALTA ]],$AW$6:$AX$17,2,FALSE),12)-VLOOKUP(Tabla1[[#This Row],[MES DE BAJA ]],$AW$6:$AX$17,2,FALSE),0)</f>
        <v>0</v>
      </c>
      <c r="Y531" s="68">
        <f>SUM(Tabla1[[#This Row],[MES ADEUDO DE AÑOS PASADOS ]:[MESES DE ADEUDO DEL AÑO EN CURSO ]])-Tabla1[[#This Row],[PAGO DE DEUDA ANTERIOR EN MESES]]</f>
        <v>0</v>
      </c>
      <c r="Z531" s="15">
        <f>Tabla1[[#This Row],[MES ADEUDO DE AÑOS PASADOS ]]*$T$2</f>
        <v>0</v>
      </c>
      <c r="AA531" s="15">
        <f>Tabla1[[#This Row],[MESES DE ADEUDO DEL AÑO EN CURSO ]]*$T$2</f>
        <v>0</v>
      </c>
      <c r="AB531" s="69">
        <f>SUM(Tabla1[[#This Row],[DEUDA DE LOS MESES PASADOS EN $$]:[DEUDA DEL AÑO 2013 $$ ]])</f>
        <v>0</v>
      </c>
      <c r="AD531">
        <f>Tabla1[[#This Row],[PAGO DE DEUDA ANTERIOR EN MESES]]*$T$2</f>
        <v>0</v>
      </c>
      <c r="AG531" s="100">
        <f>IF(Tabla1[[#This Row],[TIPO DE CONSUMIDOR]]="MEDIO",IF(Tabla1[[#This Row],[ENERO ]]&gt;22.5,Tabla1[[#This Row],[ENERO ]]/22.5-1,0),IF(Tabla1[[#This Row],[ENERO ]]&gt;45,Tabla1[[#This Row],[ENERO ]]/45-1,0))</f>
        <v>0</v>
      </c>
      <c r="AH53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1" s="100">
        <f>IF(Tabla1[[#This Row],[TIPO DE CONSUMIDOR]]="MEDIO",IF(Tabla1[[#This Row],[MARZO]]&gt;22.5,Tabla1[[#This Row],[MARZO]]/22.5-1,0),IF(Tabla1[[#This Row],[MARZO]]&gt;45,Tabla1[[#This Row],[MARZO]]/45-1,0))</f>
        <v>0</v>
      </c>
      <c r="AJ531" s="100">
        <f>IF(Tabla1[[#This Row],[TIPO DE CONSUMIDOR]]="MEDIO",IF(Tabla1[[#This Row],[ABRIL]]&gt;22.5,Tabla1[[#This Row],[ABRIL]]/22.5-1,0),IF(Tabla1[[#This Row],[ABRIL]]&gt;45,Tabla1[[#This Row],[ABRIL]]/45-1,0))</f>
        <v>0</v>
      </c>
      <c r="AK531" s="100">
        <f>IF(Tabla1[[#This Row],[TIPO DE CONSUMIDOR]]="MEDIO",IF(Tabla1[[#This Row],[MAYO ]]&gt;22.5,Tabla1[[#This Row],[MAYO ]]/22.5-1,0),IF(Tabla1[[#This Row],[MAYO ]]&gt;45,Tabla1[[#This Row],[MAYO ]]/45-1,0))</f>
        <v>0</v>
      </c>
      <c r="AL531" s="100">
        <f>IF(Tabla1[[#This Row],[TIPO DE CONSUMIDOR]]="MEDIO",IF(Tabla1[[#This Row],[JUNIO ]]&gt;22.5,Tabla1[[#This Row],[JUNIO ]]/22.5-1,0),IF(Tabla1[[#This Row],[JUNIO ]]&gt;45,Tabla1[[#This Row],[JUNIO ]]/45-1,0))</f>
        <v>0</v>
      </c>
      <c r="AM531" s="100">
        <f>IF(Tabla1[[#This Row],[TIPO DE CONSUMIDOR]]="MEDIO",IF(Tabla1[[#This Row],[JULIO ]]&gt;22.5,Tabla1[[#This Row],[JULIO ]]/22.5-1,0),IF(Tabla1[[#This Row],[JULIO ]]&gt;45,Tabla1[[#This Row],[JULIO ]]/45-1,0))</f>
        <v>0</v>
      </c>
      <c r="AN531" s="100">
        <f>IF(Tabla1[[#This Row],[TIPO DE CONSUMIDOR]]="MEDIO",IF(Tabla1[[#This Row],[AGOSTO]]&gt;22.5,Tabla1[[#This Row],[AGOSTO]]/22.5-1,0),IF(Tabla1[[#This Row],[AGOSTO]]&gt;45,Tabla1[[#This Row],[AGOSTO]]/45-1,0))</f>
        <v>0</v>
      </c>
      <c r="AO53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1" s="101">
        <f t="shared" si="17"/>
        <v>0</v>
      </c>
      <c r="AT531">
        <f>IF(Tabla1[[#This Row],[MES ADEUDO DE AÑOS PASADOS ]]&gt;0,1,0)</f>
        <v>0</v>
      </c>
      <c r="AU531" s="9">
        <f t="shared" si="18"/>
        <v>0</v>
      </c>
      <c r="AV531" s="60">
        <f>IF(Tabla1[[#This Row],[MESES DE ADEUDO DEL AÑO EN CURSO ]]&gt;0,1,0)</f>
        <v>0</v>
      </c>
    </row>
    <row r="532" spans="1:52" ht="21.75" thickBot="1" x14ac:dyDescent="0.35">
      <c r="A532" s="106">
        <v>526</v>
      </c>
      <c r="B532" s="5" t="s">
        <v>382</v>
      </c>
      <c r="C532" s="2"/>
      <c r="D532" s="32"/>
      <c r="E532" s="35" t="s">
        <v>455</v>
      </c>
      <c r="F532" s="52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4"/>
      <c r="R532" s="55">
        <f>SUM(Tabla1[[#This Row],[ENERO ]:[DICIEMBRE]])</f>
        <v>0</v>
      </c>
      <c r="W532">
        <v>0</v>
      </c>
      <c r="X532" s="21">
        <f>COUNTIF(Tabla1[[#This Row],[ENERO ]:[DICIEMBRE]],0)-(AS532)-IF(Tabla1[[#This Row],[BAJAS]]="BAJA",IF(Tabla1[[#This Row],[ALTAS]]="ALTA",VLOOKUP(Tabla1[[#This Row],[MES DE ALTA ]],$AW$6:$AX$17,2,FALSE),12)-VLOOKUP(Tabla1[[#This Row],[MES DE BAJA ]],$AW$6:$AX$17,2,FALSE),0)</f>
        <v>0</v>
      </c>
      <c r="Y532" s="68">
        <f>SUM(Tabla1[[#This Row],[MES ADEUDO DE AÑOS PASADOS ]:[MESES DE ADEUDO DEL AÑO EN CURSO ]])-Tabla1[[#This Row],[PAGO DE DEUDA ANTERIOR EN MESES]]</f>
        <v>0</v>
      </c>
      <c r="Z532" s="15">
        <f>Tabla1[[#This Row],[MES ADEUDO DE AÑOS PASADOS ]]*$T$2</f>
        <v>0</v>
      </c>
      <c r="AA532" s="15">
        <f>Tabla1[[#This Row],[MESES DE ADEUDO DEL AÑO EN CURSO ]]*$T$2</f>
        <v>0</v>
      </c>
      <c r="AB532" s="69">
        <f>SUM(Tabla1[[#This Row],[DEUDA DE LOS MESES PASADOS EN $$]:[DEUDA DEL AÑO 2013 $$ ]])</f>
        <v>0</v>
      </c>
      <c r="AD532">
        <f>Tabla1[[#This Row],[PAGO DE DEUDA ANTERIOR EN MESES]]*$T$2</f>
        <v>0</v>
      </c>
      <c r="AG532" s="100">
        <f>IF(Tabla1[[#This Row],[TIPO DE CONSUMIDOR]]="MEDIO",IF(Tabla1[[#This Row],[ENERO ]]&gt;22.5,Tabla1[[#This Row],[ENERO ]]/22.5-1,0),IF(Tabla1[[#This Row],[ENERO ]]&gt;45,Tabla1[[#This Row],[ENERO ]]/45-1,0))</f>
        <v>0</v>
      </c>
      <c r="AH53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2" s="100">
        <f>IF(Tabla1[[#This Row],[TIPO DE CONSUMIDOR]]="MEDIO",IF(Tabla1[[#This Row],[MARZO]]&gt;22.5,Tabla1[[#This Row],[MARZO]]/22.5-1,0),IF(Tabla1[[#This Row],[MARZO]]&gt;45,Tabla1[[#This Row],[MARZO]]/45-1,0))</f>
        <v>0</v>
      </c>
      <c r="AJ532" s="100">
        <f>IF(Tabla1[[#This Row],[TIPO DE CONSUMIDOR]]="MEDIO",IF(Tabla1[[#This Row],[ABRIL]]&gt;22.5,Tabla1[[#This Row],[ABRIL]]/22.5-1,0),IF(Tabla1[[#This Row],[ABRIL]]&gt;45,Tabla1[[#This Row],[ABRIL]]/45-1,0))</f>
        <v>0</v>
      </c>
      <c r="AK532" s="100">
        <f>IF(Tabla1[[#This Row],[TIPO DE CONSUMIDOR]]="MEDIO",IF(Tabla1[[#This Row],[MAYO ]]&gt;22.5,Tabla1[[#This Row],[MAYO ]]/22.5-1,0),IF(Tabla1[[#This Row],[MAYO ]]&gt;45,Tabla1[[#This Row],[MAYO ]]/45-1,0))</f>
        <v>0</v>
      </c>
      <c r="AL532" s="100">
        <f>IF(Tabla1[[#This Row],[TIPO DE CONSUMIDOR]]="MEDIO",IF(Tabla1[[#This Row],[JUNIO ]]&gt;22.5,Tabla1[[#This Row],[JUNIO ]]/22.5-1,0),IF(Tabla1[[#This Row],[JUNIO ]]&gt;45,Tabla1[[#This Row],[JUNIO ]]/45-1,0))</f>
        <v>0</v>
      </c>
      <c r="AM532" s="100">
        <f>IF(Tabla1[[#This Row],[TIPO DE CONSUMIDOR]]="MEDIO",IF(Tabla1[[#This Row],[JULIO ]]&gt;22.5,Tabla1[[#This Row],[JULIO ]]/22.5-1,0),IF(Tabla1[[#This Row],[JULIO ]]&gt;45,Tabla1[[#This Row],[JULIO ]]/45-1,0))</f>
        <v>0</v>
      </c>
      <c r="AN532" s="100">
        <f>IF(Tabla1[[#This Row],[TIPO DE CONSUMIDOR]]="MEDIO",IF(Tabla1[[#This Row],[AGOSTO]]&gt;22.5,Tabla1[[#This Row],[AGOSTO]]/22.5-1,0),IF(Tabla1[[#This Row],[AGOSTO]]&gt;45,Tabla1[[#This Row],[AGOSTO]]/45-1,0))</f>
        <v>0</v>
      </c>
      <c r="AO53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2" s="101">
        <f t="shared" si="17"/>
        <v>0</v>
      </c>
      <c r="AT532">
        <f>IF(Tabla1[[#This Row],[MES ADEUDO DE AÑOS PASADOS ]]&gt;0,1,0)</f>
        <v>0</v>
      </c>
      <c r="AU532" s="9">
        <f t="shared" si="18"/>
        <v>0</v>
      </c>
      <c r="AV532" s="60">
        <f>IF(Tabla1[[#This Row],[MESES DE ADEUDO DEL AÑO EN CURSO ]]&gt;0,1,0)</f>
        <v>0</v>
      </c>
    </row>
    <row r="533" spans="1:52" ht="21" x14ac:dyDescent="0.3">
      <c r="A533" s="106">
        <v>527</v>
      </c>
      <c r="B533" s="5" t="s">
        <v>414</v>
      </c>
      <c r="C533" s="2"/>
      <c r="D533" s="32"/>
      <c r="E533" s="35" t="s">
        <v>455</v>
      </c>
      <c r="F533" s="52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4"/>
      <c r="R533" s="59">
        <f>SUM(Tabla1[[#This Row],[ENERO ]:[DICIEMBRE]])</f>
        <v>0</v>
      </c>
      <c r="W533">
        <v>0</v>
      </c>
      <c r="X533" s="21">
        <f>COUNTIF(Tabla1[[#This Row],[ENERO ]:[DICIEMBRE]],0)-(AS533)-IF(Tabla1[[#This Row],[BAJAS]]="BAJA",IF(Tabla1[[#This Row],[ALTAS]]="ALTA",VLOOKUP(Tabla1[[#This Row],[MES DE ALTA ]],$AW$6:$AX$17,2,FALSE),12)-VLOOKUP(Tabla1[[#This Row],[MES DE BAJA ]],$AW$6:$AX$17,2,FALSE),0)</f>
        <v>0</v>
      </c>
      <c r="Y533" s="68">
        <f>SUM(Tabla1[[#This Row],[MES ADEUDO DE AÑOS PASADOS ]:[MESES DE ADEUDO DEL AÑO EN CURSO ]])-Tabla1[[#This Row],[PAGO DE DEUDA ANTERIOR EN MESES]]</f>
        <v>0</v>
      </c>
      <c r="Z533" s="15">
        <f>Tabla1[[#This Row],[MES ADEUDO DE AÑOS PASADOS ]]*$T$2</f>
        <v>0</v>
      </c>
      <c r="AA533" s="15">
        <f>Tabla1[[#This Row],[MESES DE ADEUDO DEL AÑO EN CURSO ]]*$T$2</f>
        <v>0</v>
      </c>
      <c r="AB533" s="69">
        <f>SUM(Tabla1[[#This Row],[DEUDA DE LOS MESES PASADOS EN $$]:[DEUDA DEL AÑO 2013 $$ ]])</f>
        <v>0</v>
      </c>
      <c r="AD533">
        <f>Tabla1[[#This Row],[PAGO DE DEUDA ANTERIOR EN MESES]]*$T$2</f>
        <v>0</v>
      </c>
      <c r="AG533" s="100">
        <f>IF(Tabla1[[#This Row],[TIPO DE CONSUMIDOR]]="MEDIO",IF(Tabla1[[#This Row],[ENERO ]]&gt;22.5,Tabla1[[#This Row],[ENERO ]]/22.5-1,0),IF(Tabla1[[#This Row],[ENERO ]]&gt;45,Tabla1[[#This Row],[ENERO ]]/45-1,0))</f>
        <v>0</v>
      </c>
      <c r="AH53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3" s="100">
        <f>IF(Tabla1[[#This Row],[TIPO DE CONSUMIDOR]]="MEDIO",IF(Tabla1[[#This Row],[MARZO]]&gt;22.5,Tabla1[[#This Row],[MARZO]]/22.5-1,0),IF(Tabla1[[#This Row],[MARZO]]&gt;45,Tabla1[[#This Row],[MARZO]]/45-1,0))</f>
        <v>0</v>
      </c>
      <c r="AJ533" s="100">
        <f>IF(Tabla1[[#This Row],[TIPO DE CONSUMIDOR]]="MEDIO",IF(Tabla1[[#This Row],[ABRIL]]&gt;22.5,Tabla1[[#This Row],[ABRIL]]/22.5-1,0),IF(Tabla1[[#This Row],[ABRIL]]&gt;45,Tabla1[[#This Row],[ABRIL]]/45-1,0))</f>
        <v>0</v>
      </c>
      <c r="AK533" s="100">
        <f>IF(Tabla1[[#This Row],[TIPO DE CONSUMIDOR]]="MEDIO",IF(Tabla1[[#This Row],[MAYO ]]&gt;22.5,Tabla1[[#This Row],[MAYO ]]/22.5-1,0),IF(Tabla1[[#This Row],[MAYO ]]&gt;45,Tabla1[[#This Row],[MAYO ]]/45-1,0))</f>
        <v>0</v>
      </c>
      <c r="AL533" s="100">
        <f>IF(Tabla1[[#This Row],[TIPO DE CONSUMIDOR]]="MEDIO",IF(Tabla1[[#This Row],[JUNIO ]]&gt;22.5,Tabla1[[#This Row],[JUNIO ]]/22.5-1,0),IF(Tabla1[[#This Row],[JUNIO ]]&gt;45,Tabla1[[#This Row],[JUNIO ]]/45-1,0))</f>
        <v>0</v>
      </c>
      <c r="AM533" s="100">
        <f>IF(Tabla1[[#This Row],[TIPO DE CONSUMIDOR]]="MEDIO",IF(Tabla1[[#This Row],[JULIO ]]&gt;22.5,Tabla1[[#This Row],[JULIO ]]/22.5-1,0),IF(Tabla1[[#This Row],[JULIO ]]&gt;45,Tabla1[[#This Row],[JULIO ]]/45-1,0))</f>
        <v>0</v>
      </c>
      <c r="AN533" s="100">
        <f>IF(Tabla1[[#This Row],[TIPO DE CONSUMIDOR]]="MEDIO",IF(Tabla1[[#This Row],[AGOSTO]]&gt;22.5,Tabla1[[#This Row],[AGOSTO]]/22.5-1,0),IF(Tabla1[[#This Row],[AGOSTO]]&gt;45,Tabla1[[#This Row],[AGOSTO]]/45-1,0))</f>
        <v>0</v>
      </c>
      <c r="AO53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3" s="101">
        <f t="shared" si="17"/>
        <v>0</v>
      </c>
      <c r="AT533">
        <f>IF(Tabla1[[#This Row],[MES ADEUDO DE AÑOS PASADOS ]]&gt;0,1,0)</f>
        <v>0</v>
      </c>
      <c r="AU533" s="9">
        <f t="shared" si="18"/>
        <v>0</v>
      </c>
      <c r="AV533" s="60">
        <f>IF(Tabla1[[#This Row],[MESES DE ADEUDO DEL AÑO EN CURSO ]]&gt;0,1,0)</f>
        <v>0</v>
      </c>
    </row>
    <row r="534" spans="1:52" ht="21.75" thickBot="1" x14ac:dyDescent="0.35">
      <c r="A534" s="106">
        <v>528</v>
      </c>
      <c r="B534" s="5"/>
      <c r="C534" s="94"/>
      <c r="D534" s="46"/>
      <c r="E534" s="36"/>
      <c r="F534" s="52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4"/>
      <c r="R534" s="92">
        <f>SUM(Tabla1[[#This Row],[ENERO ]:[DICIEMBRE]])</f>
        <v>0</v>
      </c>
      <c r="W534">
        <v>0</v>
      </c>
      <c r="X534" s="21">
        <f>COUNTIF(Tabla1[[#This Row],[ENERO ]:[DICIEMBRE]],0)-(AS534)-IF(Tabla1[[#This Row],[BAJAS]]="BAJA",IF(Tabla1[[#This Row],[ALTAS]]="ALTA",VLOOKUP(Tabla1[[#This Row],[MES DE ALTA ]],$AW$6:$AX$17,2,FALSE),12)-VLOOKUP(Tabla1[[#This Row],[MES DE BAJA ]],$AW$6:$AX$17,2,FALSE),0)</f>
        <v>0</v>
      </c>
      <c r="Y534" s="91">
        <f>SUM(Tabla1[[#This Row],[MES ADEUDO DE AÑOS PASADOS ]:[MESES DE ADEUDO DEL AÑO EN CURSO ]])-Tabla1[[#This Row],[PAGO DE DEUDA ANTERIOR EN MESES]]</f>
        <v>0</v>
      </c>
      <c r="Z534" s="15">
        <f>Tabla1[[#This Row],[MES ADEUDO DE AÑOS PASADOS ]]*$T$2</f>
        <v>0</v>
      </c>
      <c r="AA534" s="15">
        <f>Tabla1[[#This Row],[MESES DE ADEUDO DEL AÑO EN CURSO ]]*$T$2</f>
        <v>0</v>
      </c>
      <c r="AB534" s="69">
        <f>SUM(Tabla1[[#This Row],[DEUDA DE LOS MESES PASADOS EN $$]:[DEUDA DEL AÑO 2013 $$ ]])</f>
        <v>0</v>
      </c>
      <c r="AD534">
        <f>Tabla1[[#This Row],[PAGO DE DEUDA ANTERIOR EN MESES]]*$T$2</f>
        <v>0</v>
      </c>
      <c r="AG534" s="100">
        <f>IF(Tabla1[[#This Row],[TIPO DE CONSUMIDOR]]="MEDIO",IF(Tabla1[[#This Row],[ENERO ]]&gt;22.5,Tabla1[[#This Row],[ENERO ]]/22.5-1,0),IF(Tabla1[[#This Row],[ENERO ]]&gt;45,Tabla1[[#This Row],[ENERO ]]/45-1,0))</f>
        <v>0</v>
      </c>
      <c r="AH53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4" s="100">
        <f>IF(Tabla1[[#This Row],[TIPO DE CONSUMIDOR]]="MEDIO",IF(Tabla1[[#This Row],[MARZO]]&gt;22.5,Tabla1[[#This Row],[MARZO]]/22.5-1,0),IF(Tabla1[[#This Row],[MARZO]]&gt;45,Tabla1[[#This Row],[MARZO]]/45-1,0))</f>
        <v>0</v>
      </c>
      <c r="AJ534" s="100">
        <f>IF(Tabla1[[#This Row],[TIPO DE CONSUMIDOR]]="MEDIO",IF(Tabla1[[#This Row],[ABRIL]]&gt;22.5,Tabla1[[#This Row],[ABRIL]]/22.5-1,0),IF(Tabla1[[#This Row],[ABRIL]]&gt;45,Tabla1[[#This Row],[ABRIL]]/45-1,0))</f>
        <v>0</v>
      </c>
      <c r="AK534" s="100">
        <f>IF(Tabla1[[#This Row],[TIPO DE CONSUMIDOR]]="MEDIO",IF(Tabla1[[#This Row],[MAYO ]]&gt;22.5,Tabla1[[#This Row],[MAYO ]]/22.5-1,0),IF(Tabla1[[#This Row],[MAYO ]]&gt;45,Tabla1[[#This Row],[MAYO ]]/45-1,0))</f>
        <v>0</v>
      </c>
      <c r="AL534" s="100">
        <f>IF(Tabla1[[#This Row],[TIPO DE CONSUMIDOR]]="MEDIO",IF(Tabla1[[#This Row],[JUNIO ]]&gt;22.5,Tabla1[[#This Row],[JUNIO ]]/22.5-1,0),IF(Tabla1[[#This Row],[JUNIO ]]&gt;45,Tabla1[[#This Row],[JUNIO ]]/45-1,0))</f>
        <v>0</v>
      </c>
      <c r="AM534" s="100">
        <f>IF(Tabla1[[#This Row],[TIPO DE CONSUMIDOR]]="MEDIO",IF(Tabla1[[#This Row],[JULIO ]]&gt;22.5,Tabla1[[#This Row],[JULIO ]]/22.5-1,0),IF(Tabla1[[#This Row],[JULIO ]]&gt;45,Tabla1[[#This Row],[JULIO ]]/45-1,0))</f>
        <v>0</v>
      </c>
      <c r="AN534" s="100">
        <f>IF(Tabla1[[#This Row],[TIPO DE CONSUMIDOR]]="MEDIO",IF(Tabla1[[#This Row],[AGOSTO]]&gt;22.5,Tabla1[[#This Row],[AGOSTO]]/22.5-1,0),IF(Tabla1[[#This Row],[AGOSTO]]&gt;45,Tabla1[[#This Row],[AGOSTO]]/45-1,0))</f>
        <v>0</v>
      </c>
      <c r="AO53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4" s="101">
        <f t="shared" si="17"/>
        <v>0</v>
      </c>
      <c r="AT534">
        <f>IF(Tabla1[[#This Row],[MES ADEUDO DE AÑOS PASADOS ]]&gt;0,1,0)</f>
        <v>0</v>
      </c>
      <c r="AU534" s="9">
        <f t="shared" si="18"/>
        <v>0</v>
      </c>
      <c r="AV534" s="60">
        <f>IF(Tabla1[[#This Row],[MESES DE ADEUDO DEL AÑO EN CURSO ]]&gt;0,1,0)</f>
        <v>0</v>
      </c>
    </row>
    <row r="535" spans="1:52" ht="21" x14ac:dyDescent="0.3">
      <c r="A535" s="106">
        <v>529</v>
      </c>
      <c r="B535" s="5"/>
      <c r="C535" s="94"/>
      <c r="D535" s="32"/>
      <c r="E535" s="35"/>
      <c r="F535" s="52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4"/>
      <c r="R535" s="92">
        <f>SUM(Tabla1[[#This Row],[ENERO ]:[DICIEMBRE]])</f>
        <v>0</v>
      </c>
      <c r="W535">
        <v>0</v>
      </c>
      <c r="X535" s="21">
        <f>COUNTIF(Tabla1[[#This Row],[ENERO ]:[DICIEMBRE]],0)-(AS535)-IF(Tabla1[[#This Row],[BAJAS]]="BAJA",IF(Tabla1[[#This Row],[ALTAS]]="ALTA",VLOOKUP(Tabla1[[#This Row],[MES DE ALTA ]],$AW$6:$AX$17,2,FALSE),12)-VLOOKUP(Tabla1[[#This Row],[MES DE BAJA ]],$AW$6:$AX$17,2,FALSE),0)</f>
        <v>0</v>
      </c>
      <c r="Y535" s="91">
        <f>SUM(Tabla1[[#This Row],[MES ADEUDO DE AÑOS PASADOS ]:[MESES DE ADEUDO DEL AÑO EN CURSO ]])-Tabla1[[#This Row],[PAGO DE DEUDA ANTERIOR EN MESES]]</f>
        <v>0</v>
      </c>
      <c r="Z535" s="15">
        <f>Tabla1[[#This Row],[MES ADEUDO DE AÑOS PASADOS ]]*$T$2</f>
        <v>0</v>
      </c>
      <c r="AA535" s="15">
        <f>Tabla1[[#This Row],[MESES DE ADEUDO DEL AÑO EN CURSO ]]*$T$2</f>
        <v>0</v>
      </c>
      <c r="AB535" s="69">
        <f>SUM(Tabla1[[#This Row],[DEUDA DE LOS MESES PASADOS EN $$]:[DEUDA DEL AÑO 2013 $$ ]])</f>
        <v>0</v>
      </c>
      <c r="AD535">
        <f>Tabla1[[#This Row],[PAGO DE DEUDA ANTERIOR EN MESES]]*$T$2</f>
        <v>0</v>
      </c>
      <c r="AG535" s="100">
        <f>IF(Tabla1[[#This Row],[TIPO DE CONSUMIDOR]]="MEDIO",IF(Tabla1[[#This Row],[ENERO ]]&gt;22.5,Tabla1[[#This Row],[ENERO ]]/22.5-1,0),IF(Tabla1[[#This Row],[ENERO ]]&gt;45,Tabla1[[#This Row],[ENERO ]]/45-1,0))</f>
        <v>0</v>
      </c>
      <c r="AH53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5" s="100">
        <f>IF(Tabla1[[#This Row],[TIPO DE CONSUMIDOR]]="MEDIO",IF(Tabla1[[#This Row],[MARZO]]&gt;22.5,Tabla1[[#This Row],[MARZO]]/22.5-1,0),IF(Tabla1[[#This Row],[MARZO]]&gt;45,Tabla1[[#This Row],[MARZO]]/45-1,0))</f>
        <v>0</v>
      </c>
      <c r="AJ535" s="100">
        <f>IF(Tabla1[[#This Row],[TIPO DE CONSUMIDOR]]="MEDIO",IF(Tabla1[[#This Row],[ABRIL]]&gt;22.5,Tabla1[[#This Row],[ABRIL]]/22.5-1,0),IF(Tabla1[[#This Row],[ABRIL]]&gt;45,Tabla1[[#This Row],[ABRIL]]/45-1,0))</f>
        <v>0</v>
      </c>
      <c r="AK535" s="100">
        <f>IF(Tabla1[[#This Row],[TIPO DE CONSUMIDOR]]="MEDIO",IF(Tabla1[[#This Row],[MAYO ]]&gt;22.5,Tabla1[[#This Row],[MAYO ]]/22.5-1,0),IF(Tabla1[[#This Row],[MAYO ]]&gt;45,Tabla1[[#This Row],[MAYO ]]/45-1,0))</f>
        <v>0</v>
      </c>
      <c r="AL535" s="100">
        <f>IF(Tabla1[[#This Row],[TIPO DE CONSUMIDOR]]="MEDIO",IF(Tabla1[[#This Row],[JUNIO ]]&gt;22.5,Tabla1[[#This Row],[JUNIO ]]/22.5-1,0),IF(Tabla1[[#This Row],[JUNIO ]]&gt;45,Tabla1[[#This Row],[JUNIO ]]/45-1,0))</f>
        <v>0</v>
      </c>
      <c r="AM535" s="100">
        <f>IF(Tabla1[[#This Row],[TIPO DE CONSUMIDOR]]="MEDIO",IF(Tabla1[[#This Row],[JULIO ]]&gt;22.5,Tabla1[[#This Row],[JULIO ]]/22.5-1,0),IF(Tabla1[[#This Row],[JULIO ]]&gt;45,Tabla1[[#This Row],[JULIO ]]/45-1,0))</f>
        <v>0</v>
      </c>
      <c r="AN535" s="100">
        <f>IF(Tabla1[[#This Row],[TIPO DE CONSUMIDOR]]="MEDIO",IF(Tabla1[[#This Row],[AGOSTO]]&gt;22.5,Tabla1[[#This Row],[AGOSTO]]/22.5-1,0),IF(Tabla1[[#This Row],[AGOSTO]]&gt;45,Tabla1[[#This Row],[AGOSTO]]/45-1,0))</f>
        <v>0</v>
      </c>
      <c r="AO53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5" s="101">
        <f t="shared" si="17"/>
        <v>0</v>
      </c>
      <c r="AT535">
        <f>IF(Tabla1[[#This Row],[MES ADEUDO DE AÑOS PASADOS ]]&gt;0,1,0)</f>
        <v>0</v>
      </c>
      <c r="AU535" s="9">
        <f t="shared" si="18"/>
        <v>0</v>
      </c>
      <c r="AV535" s="60">
        <f>IF(Tabla1[[#This Row],[MESES DE ADEUDO DEL AÑO EN CURSO ]]&gt;0,1,0)</f>
        <v>0</v>
      </c>
    </row>
    <row r="536" spans="1:52" ht="21" x14ac:dyDescent="0.3">
      <c r="A536" s="106">
        <v>530</v>
      </c>
      <c r="B536" s="5"/>
      <c r="C536" s="94"/>
      <c r="D536" s="46"/>
      <c r="E536" s="36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92">
        <f>SUM(Tabla1[[#This Row],[ENERO ]:[DICIEMBRE]])</f>
        <v>0</v>
      </c>
      <c r="W536">
        <v>0</v>
      </c>
      <c r="X536" s="21">
        <f>COUNTIF(Tabla1[[#This Row],[ENERO ]:[DICIEMBRE]],0)-(AS536)-IF(Tabla1[[#This Row],[BAJAS]]="BAJA",IF(Tabla1[[#This Row],[ALTAS]]="ALTA",VLOOKUP(Tabla1[[#This Row],[MES DE ALTA ]],$AW$6:$AX$17,2,FALSE),12)-VLOOKUP(Tabla1[[#This Row],[MES DE BAJA ]],$AW$6:$AX$17,2,FALSE),0)</f>
        <v>0</v>
      </c>
      <c r="Y536" s="91">
        <f>SUM(Tabla1[[#This Row],[MES ADEUDO DE AÑOS PASADOS ]:[MESES DE ADEUDO DEL AÑO EN CURSO ]])-Tabla1[[#This Row],[PAGO DE DEUDA ANTERIOR EN MESES]]</f>
        <v>0</v>
      </c>
      <c r="Z536" s="15">
        <f>Tabla1[[#This Row],[MES ADEUDO DE AÑOS PASADOS ]]*$T$2</f>
        <v>0</v>
      </c>
      <c r="AA536" s="15">
        <f>Tabla1[[#This Row],[MESES DE ADEUDO DEL AÑO EN CURSO ]]*$T$2</f>
        <v>0</v>
      </c>
      <c r="AB536" s="69">
        <f>SUM(Tabla1[[#This Row],[DEUDA DE LOS MESES PASADOS EN $$]:[DEUDA DEL AÑO 2013 $$ ]])</f>
        <v>0</v>
      </c>
      <c r="AD536">
        <f>Tabla1[[#This Row],[PAGO DE DEUDA ANTERIOR EN MESES]]*$T$2</f>
        <v>0</v>
      </c>
      <c r="AG536" s="100">
        <f>IF(Tabla1[[#This Row],[TIPO DE CONSUMIDOR]]="MEDIO",IF(Tabla1[[#This Row],[ENERO ]]&gt;22.5,Tabla1[[#This Row],[ENERO ]]/22.5-1,0),IF(Tabla1[[#This Row],[ENERO ]]&gt;45,Tabla1[[#This Row],[ENERO ]]/45-1,0))</f>
        <v>0</v>
      </c>
      <c r="AH53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6" s="100">
        <f>IF(Tabla1[[#This Row],[TIPO DE CONSUMIDOR]]="MEDIO",IF(Tabla1[[#This Row],[MARZO]]&gt;22.5,Tabla1[[#This Row],[MARZO]]/22.5-1,0),IF(Tabla1[[#This Row],[MARZO]]&gt;45,Tabla1[[#This Row],[MARZO]]/45-1,0))</f>
        <v>0</v>
      </c>
      <c r="AJ536" s="100">
        <f>IF(Tabla1[[#This Row],[TIPO DE CONSUMIDOR]]="MEDIO",IF(Tabla1[[#This Row],[ABRIL]]&gt;22.5,Tabla1[[#This Row],[ABRIL]]/22.5-1,0),IF(Tabla1[[#This Row],[ABRIL]]&gt;45,Tabla1[[#This Row],[ABRIL]]/45-1,0))</f>
        <v>0</v>
      </c>
      <c r="AK536" s="100">
        <f>IF(Tabla1[[#This Row],[TIPO DE CONSUMIDOR]]="MEDIO",IF(Tabla1[[#This Row],[MAYO ]]&gt;22.5,Tabla1[[#This Row],[MAYO ]]/22.5-1,0),IF(Tabla1[[#This Row],[MAYO ]]&gt;45,Tabla1[[#This Row],[MAYO ]]/45-1,0))</f>
        <v>0</v>
      </c>
      <c r="AL536" s="100">
        <f>IF(Tabla1[[#This Row],[TIPO DE CONSUMIDOR]]="MEDIO",IF(Tabla1[[#This Row],[JUNIO ]]&gt;22.5,Tabla1[[#This Row],[JUNIO ]]/22.5-1,0),IF(Tabla1[[#This Row],[JUNIO ]]&gt;45,Tabla1[[#This Row],[JUNIO ]]/45-1,0))</f>
        <v>0</v>
      </c>
      <c r="AM536" s="100">
        <f>IF(Tabla1[[#This Row],[TIPO DE CONSUMIDOR]]="MEDIO",IF(Tabla1[[#This Row],[JULIO ]]&gt;22.5,Tabla1[[#This Row],[JULIO ]]/22.5-1,0),IF(Tabla1[[#This Row],[JULIO ]]&gt;45,Tabla1[[#This Row],[JULIO ]]/45-1,0))</f>
        <v>0</v>
      </c>
      <c r="AN536" s="100">
        <f>IF(Tabla1[[#This Row],[TIPO DE CONSUMIDOR]]="MEDIO",IF(Tabla1[[#This Row],[AGOSTO]]&gt;22.5,Tabla1[[#This Row],[AGOSTO]]/22.5-1,0),IF(Tabla1[[#This Row],[AGOSTO]]&gt;45,Tabla1[[#This Row],[AGOSTO]]/45-1,0))</f>
        <v>0</v>
      </c>
      <c r="AO53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6" s="101">
        <f t="shared" si="17"/>
        <v>0</v>
      </c>
      <c r="AT536">
        <f>IF(Tabla1[[#This Row],[MES ADEUDO DE AÑOS PASADOS ]]&gt;0,1,0)</f>
        <v>0</v>
      </c>
      <c r="AU536" s="9">
        <f t="shared" si="18"/>
        <v>0</v>
      </c>
      <c r="AV536" s="60">
        <f>IF(Tabla1[[#This Row],[MESES DE ADEUDO DEL AÑO EN CURSO ]]&gt;0,1,0)</f>
        <v>0</v>
      </c>
    </row>
    <row r="537" spans="1:52" ht="21.75" thickBot="1" x14ac:dyDescent="0.35">
      <c r="A537" s="106">
        <v>531</v>
      </c>
      <c r="B537" s="5"/>
      <c r="C537" s="94"/>
      <c r="D537" s="46"/>
      <c r="E537" s="36"/>
      <c r="F537" s="52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4"/>
      <c r="R537" s="92">
        <f>SUM(Tabla1[[#This Row],[ENERO ]:[DICIEMBRE]])</f>
        <v>0</v>
      </c>
      <c r="W537">
        <v>0</v>
      </c>
      <c r="X537" s="21">
        <f>COUNTIF(Tabla1[[#This Row],[ENERO ]:[DICIEMBRE]],0)-(AS537)-IF(Tabla1[[#This Row],[BAJAS]]="BAJA",IF(Tabla1[[#This Row],[ALTAS]]="ALTA",VLOOKUP(Tabla1[[#This Row],[MES DE ALTA ]],$AW$6:$AX$17,2,FALSE),12)-VLOOKUP(Tabla1[[#This Row],[MES DE BAJA ]],$AW$6:$AX$17,2,FALSE),0)</f>
        <v>0</v>
      </c>
      <c r="Y537" s="91">
        <f>SUM(Tabla1[[#This Row],[MES ADEUDO DE AÑOS PASADOS ]:[MESES DE ADEUDO DEL AÑO EN CURSO ]])-Tabla1[[#This Row],[PAGO DE DEUDA ANTERIOR EN MESES]]</f>
        <v>0</v>
      </c>
      <c r="Z537" s="15">
        <f>Tabla1[[#This Row],[MES ADEUDO DE AÑOS PASADOS ]]*$T$2</f>
        <v>0</v>
      </c>
      <c r="AA537" s="15">
        <f>Tabla1[[#This Row],[MESES DE ADEUDO DEL AÑO EN CURSO ]]*$T$2</f>
        <v>0</v>
      </c>
      <c r="AB537" s="69">
        <f>SUM(Tabla1[[#This Row],[DEUDA DE LOS MESES PASADOS EN $$]:[DEUDA DEL AÑO 2013 $$ ]])</f>
        <v>0</v>
      </c>
      <c r="AD537">
        <f>Tabla1[[#This Row],[PAGO DE DEUDA ANTERIOR EN MESES]]*$T$2</f>
        <v>0</v>
      </c>
      <c r="AG537" s="100">
        <f>IF(Tabla1[[#This Row],[TIPO DE CONSUMIDOR]]="MEDIO",IF(Tabla1[[#This Row],[ENERO ]]&gt;22.5,Tabla1[[#This Row],[ENERO ]]/22.5-1,0),IF(Tabla1[[#This Row],[ENERO ]]&gt;45,Tabla1[[#This Row],[ENERO ]]/45-1,0))</f>
        <v>0</v>
      </c>
      <c r="AH53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7" s="100">
        <f>IF(Tabla1[[#This Row],[TIPO DE CONSUMIDOR]]="MEDIO",IF(Tabla1[[#This Row],[MARZO]]&gt;22.5,Tabla1[[#This Row],[MARZO]]/22.5-1,0),IF(Tabla1[[#This Row],[MARZO]]&gt;45,Tabla1[[#This Row],[MARZO]]/45-1,0))</f>
        <v>0</v>
      </c>
      <c r="AJ537" s="100">
        <f>IF(Tabla1[[#This Row],[TIPO DE CONSUMIDOR]]="MEDIO",IF(Tabla1[[#This Row],[ABRIL]]&gt;22.5,Tabla1[[#This Row],[ABRIL]]/22.5-1,0),IF(Tabla1[[#This Row],[ABRIL]]&gt;45,Tabla1[[#This Row],[ABRIL]]/45-1,0))</f>
        <v>0</v>
      </c>
      <c r="AK537" s="100">
        <f>IF(Tabla1[[#This Row],[TIPO DE CONSUMIDOR]]="MEDIO",IF(Tabla1[[#This Row],[MAYO ]]&gt;22.5,Tabla1[[#This Row],[MAYO ]]/22.5-1,0),IF(Tabla1[[#This Row],[MAYO ]]&gt;45,Tabla1[[#This Row],[MAYO ]]/45-1,0))</f>
        <v>0</v>
      </c>
      <c r="AL537" s="100">
        <f>IF(Tabla1[[#This Row],[TIPO DE CONSUMIDOR]]="MEDIO",IF(Tabla1[[#This Row],[JUNIO ]]&gt;22.5,Tabla1[[#This Row],[JUNIO ]]/22.5-1,0),IF(Tabla1[[#This Row],[JUNIO ]]&gt;45,Tabla1[[#This Row],[JUNIO ]]/45-1,0))</f>
        <v>0</v>
      </c>
      <c r="AM537" s="100">
        <f>IF(Tabla1[[#This Row],[TIPO DE CONSUMIDOR]]="MEDIO",IF(Tabla1[[#This Row],[JULIO ]]&gt;22.5,Tabla1[[#This Row],[JULIO ]]/22.5-1,0),IF(Tabla1[[#This Row],[JULIO ]]&gt;45,Tabla1[[#This Row],[JULIO ]]/45-1,0))</f>
        <v>0</v>
      </c>
      <c r="AN537" s="100">
        <f>IF(Tabla1[[#This Row],[TIPO DE CONSUMIDOR]]="MEDIO",IF(Tabla1[[#This Row],[AGOSTO]]&gt;22.5,Tabla1[[#This Row],[AGOSTO]]/22.5-1,0),IF(Tabla1[[#This Row],[AGOSTO]]&gt;45,Tabla1[[#This Row],[AGOSTO]]/45-1,0))</f>
        <v>0</v>
      </c>
      <c r="AO53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7" s="101">
        <f t="shared" si="17"/>
        <v>0</v>
      </c>
      <c r="AT537">
        <f>IF(Tabla1[[#This Row],[MES ADEUDO DE AÑOS PASADOS ]]&gt;0,1,0)</f>
        <v>0</v>
      </c>
      <c r="AU537" s="9">
        <f t="shared" si="18"/>
        <v>0</v>
      </c>
      <c r="AV537" s="60">
        <f>IF(Tabla1[[#This Row],[MESES DE ADEUDO DEL AÑO EN CURSO ]]&gt;0,1,0)</f>
        <v>0</v>
      </c>
    </row>
    <row r="538" spans="1:52" ht="21.75" thickBot="1" x14ac:dyDescent="0.35">
      <c r="A538" s="106">
        <v>532</v>
      </c>
      <c r="B538" s="5" t="s">
        <v>215</v>
      </c>
      <c r="C538" s="2"/>
      <c r="D538" s="32"/>
      <c r="E538" s="35" t="s">
        <v>455</v>
      </c>
      <c r="F538" s="52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4"/>
      <c r="R538" s="59">
        <f>SUM(Tabla1[[#This Row],[ENERO ]:[DICIEMBRE]])</f>
        <v>0</v>
      </c>
      <c r="W538">
        <v>2</v>
      </c>
      <c r="X538" s="21">
        <f>COUNTIF(Tabla1[[#This Row],[ENERO ]:[DICIEMBRE]],0)-(AS538)-IF(Tabla1[[#This Row],[BAJAS]]="BAJA",IF(Tabla1[[#This Row],[ALTAS]]="ALTA",VLOOKUP(Tabla1[[#This Row],[MES DE ALTA ]],$AW$6:$AX$17,2,FALSE),12)-VLOOKUP(Tabla1[[#This Row],[MES DE BAJA ]],$AW$6:$AX$17,2,FALSE),0)</f>
        <v>0</v>
      </c>
      <c r="Y538" s="68">
        <f>SUM(Tabla1[[#This Row],[MES ADEUDO DE AÑOS PASADOS ]:[MESES DE ADEUDO DEL AÑO EN CURSO ]])-Tabla1[[#This Row],[PAGO DE DEUDA ANTERIOR EN MESES]]</f>
        <v>2</v>
      </c>
      <c r="Z538" s="15">
        <f>Tabla1[[#This Row],[MES ADEUDO DE AÑOS PASADOS ]]*$T$2</f>
        <v>90</v>
      </c>
      <c r="AA538" s="15">
        <f>Tabla1[[#This Row],[MESES DE ADEUDO DEL AÑO EN CURSO ]]*$T$2</f>
        <v>0</v>
      </c>
      <c r="AB538" s="69">
        <f>SUM(Tabla1[[#This Row],[DEUDA DE LOS MESES PASADOS EN $$]:[DEUDA DEL AÑO 2013 $$ ]])</f>
        <v>90</v>
      </c>
      <c r="AD538">
        <f>Tabla1[[#This Row],[PAGO DE DEUDA ANTERIOR EN MESES]]*$T$2</f>
        <v>0</v>
      </c>
      <c r="AG538" s="100">
        <f>IF(Tabla1[[#This Row],[TIPO DE CONSUMIDOR]]="MEDIO",IF(Tabla1[[#This Row],[ENERO ]]&gt;22.5,Tabla1[[#This Row],[ENERO ]]/22.5-1,0),IF(Tabla1[[#This Row],[ENERO ]]&gt;45,Tabla1[[#This Row],[ENERO ]]/45-1,0))</f>
        <v>0</v>
      </c>
      <c r="AH53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8" s="100">
        <f>IF(Tabla1[[#This Row],[TIPO DE CONSUMIDOR]]="MEDIO",IF(Tabla1[[#This Row],[MARZO]]&gt;22.5,Tabla1[[#This Row],[MARZO]]/22.5-1,0),IF(Tabla1[[#This Row],[MARZO]]&gt;45,Tabla1[[#This Row],[MARZO]]/45-1,0))</f>
        <v>0</v>
      </c>
      <c r="AJ538" s="100">
        <f>IF(Tabla1[[#This Row],[TIPO DE CONSUMIDOR]]="MEDIO",IF(Tabla1[[#This Row],[ABRIL]]&gt;22.5,Tabla1[[#This Row],[ABRIL]]/22.5-1,0),IF(Tabla1[[#This Row],[ABRIL]]&gt;45,Tabla1[[#This Row],[ABRIL]]/45-1,0))</f>
        <v>0</v>
      </c>
      <c r="AK538" s="100">
        <f>IF(Tabla1[[#This Row],[TIPO DE CONSUMIDOR]]="MEDIO",IF(Tabla1[[#This Row],[MAYO ]]&gt;22.5,Tabla1[[#This Row],[MAYO ]]/22.5-1,0),IF(Tabla1[[#This Row],[MAYO ]]&gt;45,Tabla1[[#This Row],[MAYO ]]/45-1,0))</f>
        <v>0</v>
      </c>
      <c r="AL538" s="100">
        <f>IF(Tabla1[[#This Row],[TIPO DE CONSUMIDOR]]="MEDIO",IF(Tabla1[[#This Row],[JUNIO ]]&gt;22.5,Tabla1[[#This Row],[JUNIO ]]/22.5-1,0),IF(Tabla1[[#This Row],[JUNIO ]]&gt;45,Tabla1[[#This Row],[JUNIO ]]/45-1,0))</f>
        <v>0</v>
      </c>
      <c r="AM538" s="100">
        <f>IF(Tabla1[[#This Row],[TIPO DE CONSUMIDOR]]="MEDIO",IF(Tabla1[[#This Row],[JULIO ]]&gt;22.5,Tabla1[[#This Row],[JULIO ]]/22.5-1,0),IF(Tabla1[[#This Row],[JULIO ]]&gt;45,Tabla1[[#This Row],[JULIO ]]/45-1,0))</f>
        <v>0</v>
      </c>
      <c r="AN538" s="100">
        <f>IF(Tabla1[[#This Row],[TIPO DE CONSUMIDOR]]="MEDIO",IF(Tabla1[[#This Row],[AGOSTO]]&gt;22.5,Tabla1[[#This Row],[AGOSTO]]/22.5-1,0),IF(Tabla1[[#This Row],[AGOSTO]]&gt;45,Tabla1[[#This Row],[AGOSTO]]/45-1,0))</f>
        <v>0</v>
      </c>
      <c r="AO53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8" s="101">
        <f t="shared" si="17"/>
        <v>0</v>
      </c>
      <c r="AT538">
        <f>IF(Tabla1[[#This Row],[MES ADEUDO DE AÑOS PASADOS ]]&gt;0,1,0)</f>
        <v>1</v>
      </c>
      <c r="AU538" s="9">
        <f t="shared" si="18"/>
        <v>1</v>
      </c>
      <c r="AV538" s="60">
        <f>IF(Tabla1[[#This Row],[MESES DE ADEUDO DEL AÑO EN CURSO ]]&gt;0,1,0)</f>
        <v>0</v>
      </c>
    </row>
    <row r="539" spans="1:52" ht="21.75" thickBot="1" x14ac:dyDescent="0.35">
      <c r="A539" s="106">
        <v>533</v>
      </c>
      <c r="B539" s="5" t="s">
        <v>419</v>
      </c>
      <c r="C539" s="2"/>
      <c r="D539" s="32"/>
      <c r="E539" s="35" t="s">
        <v>455</v>
      </c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9">
        <f>SUM(Tabla1[[#This Row],[ENERO ]:[DICIEMBRE]])</f>
        <v>0</v>
      </c>
      <c r="W539">
        <v>2</v>
      </c>
      <c r="X539" s="21">
        <f>COUNTIF(Tabla1[[#This Row],[ENERO ]:[DICIEMBRE]],0)-(AS539)-IF(Tabla1[[#This Row],[BAJAS]]="BAJA",IF(Tabla1[[#This Row],[ALTAS]]="ALTA",VLOOKUP(Tabla1[[#This Row],[MES DE ALTA ]],$AW$6:$AX$17,2,FALSE),12)-VLOOKUP(Tabla1[[#This Row],[MES DE BAJA ]],$AW$6:$AX$17,2,FALSE),0)</f>
        <v>0</v>
      </c>
      <c r="Y539" s="68">
        <f>SUM(Tabla1[[#This Row],[MES ADEUDO DE AÑOS PASADOS ]:[MESES DE ADEUDO DEL AÑO EN CURSO ]])-Tabla1[[#This Row],[PAGO DE DEUDA ANTERIOR EN MESES]]</f>
        <v>2</v>
      </c>
      <c r="Z539" s="15">
        <f>Tabla1[[#This Row],[MES ADEUDO DE AÑOS PASADOS ]]*$T$2</f>
        <v>90</v>
      </c>
      <c r="AA539" s="15">
        <f>Tabla1[[#This Row],[MESES DE ADEUDO DEL AÑO EN CURSO ]]*$T$2</f>
        <v>0</v>
      </c>
      <c r="AB539" s="69">
        <f>SUM(Tabla1[[#This Row],[DEUDA DE LOS MESES PASADOS EN $$]:[DEUDA DEL AÑO 2013 $$ ]])</f>
        <v>90</v>
      </c>
      <c r="AD539">
        <f>Tabla1[[#This Row],[PAGO DE DEUDA ANTERIOR EN MESES]]*$T$2</f>
        <v>0</v>
      </c>
      <c r="AG539" s="100">
        <f>IF(Tabla1[[#This Row],[TIPO DE CONSUMIDOR]]="MEDIO",IF(Tabla1[[#This Row],[ENERO ]]&gt;22.5,Tabla1[[#This Row],[ENERO ]]/22.5-1,0),IF(Tabla1[[#This Row],[ENERO ]]&gt;45,Tabla1[[#This Row],[ENERO ]]/45-1,0))</f>
        <v>0</v>
      </c>
      <c r="AH53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39" s="100">
        <f>IF(Tabla1[[#This Row],[TIPO DE CONSUMIDOR]]="MEDIO",IF(Tabla1[[#This Row],[MARZO]]&gt;22.5,Tabla1[[#This Row],[MARZO]]/22.5-1,0),IF(Tabla1[[#This Row],[MARZO]]&gt;45,Tabla1[[#This Row],[MARZO]]/45-1,0))</f>
        <v>0</v>
      </c>
      <c r="AJ539" s="100">
        <f>IF(Tabla1[[#This Row],[TIPO DE CONSUMIDOR]]="MEDIO",IF(Tabla1[[#This Row],[ABRIL]]&gt;22.5,Tabla1[[#This Row],[ABRIL]]/22.5-1,0),IF(Tabla1[[#This Row],[ABRIL]]&gt;45,Tabla1[[#This Row],[ABRIL]]/45-1,0))</f>
        <v>0</v>
      </c>
      <c r="AK539" s="100">
        <f>IF(Tabla1[[#This Row],[TIPO DE CONSUMIDOR]]="MEDIO",IF(Tabla1[[#This Row],[MAYO ]]&gt;22.5,Tabla1[[#This Row],[MAYO ]]/22.5-1,0),IF(Tabla1[[#This Row],[MAYO ]]&gt;45,Tabla1[[#This Row],[MAYO ]]/45-1,0))</f>
        <v>0</v>
      </c>
      <c r="AL539" s="100">
        <f>IF(Tabla1[[#This Row],[TIPO DE CONSUMIDOR]]="MEDIO",IF(Tabla1[[#This Row],[JUNIO ]]&gt;22.5,Tabla1[[#This Row],[JUNIO ]]/22.5-1,0),IF(Tabla1[[#This Row],[JUNIO ]]&gt;45,Tabla1[[#This Row],[JUNIO ]]/45-1,0))</f>
        <v>0</v>
      </c>
      <c r="AM539" s="100">
        <f>IF(Tabla1[[#This Row],[TIPO DE CONSUMIDOR]]="MEDIO",IF(Tabla1[[#This Row],[JULIO ]]&gt;22.5,Tabla1[[#This Row],[JULIO ]]/22.5-1,0),IF(Tabla1[[#This Row],[JULIO ]]&gt;45,Tabla1[[#This Row],[JULIO ]]/45-1,0))</f>
        <v>0</v>
      </c>
      <c r="AN539" s="100">
        <f>IF(Tabla1[[#This Row],[TIPO DE CONSUMIDOR]]="MEDIO",IF(Tabla1[[#This Row],[AGOSTO]]&gt;22.5,Tabla1[[#This Row],[AGOSTO]]/22.5-1,0),IF(Tabla1[[#This Row],[AGOSTO]]&gt;45,Tabla1[[#This Row],[AGOSTO]]/45-1,0))</f>
        <v>0</v>
      </c>
      <c r="AO53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3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3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3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39" s="101">
        <f t="shared" si="17"/>
        <v>0</v>
      </c>
      <c r="AT539">
        <f>IF(Tabla1[[#This Row],[MES ADEUDO DE AÑOS PASADOS ]]&gt;0,1,0)</f>
        <v>1</v>
      </c>
      <c r="AU539" s="9">
        <f t="shared" si="18"/>
        <v>1</v>
      </c>
      <c r="AV539" s="60">
        <f>IF(Tabla1[[#This Row],[MESES DE ADEUDO DEL AÑO EN CURSO ]]&gt;0,1,0)</f>
        <v>0</v>
      </c>
    </row>
    <row r="540" spans="1:52" ht="21.75" thickBot="1" x14ac:dyDescent="0.35">
      <c r="A540" s="106">
        <v>534</v>
      </c>
      <c r="B540" s="5" t="s">
        <v>584</v>
      </c>
      <c r="C540" s="2"/>
      <c r="D540" s="32"/>
      <c r="E540" s="35" t="s">
        <v>455</v>
      </c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9">
        <f>SUM(Tabla1[[#This Row],[ENERO ]:[DICIEMBRE]])</f>
        <v>0</v>
      </c>
      <c r="W540">
        <v>3</v>
      </c>
      <c r="X540" s="21">
        <f>COUNTIF(Tabla1[[#This Row],[ENERO ]:[DICIEMBRE]],0)-(AS540)-IF(Tabla1[[#This Row],[BAJAS]]="BAJA",IF(Tabla1[[#This Row],[ALTAS]]="ALTA",VLOOKUP(Tabla1[[#This Row],[MES DE ALTA ]],$AW$6:$AX$17,2,FALSE),12)-VLOOKUP(Tabla1[[#This Row],[MES DE BAJA ]],$AW$6:$AX$17,2,FALSE),0)</f>
        <v>0</v>
      </c>
      <c r="Y540" s="68">
        <f>SUM(Tabla1[[#This Row],[MES ADEUDO DE AÑOS PASADOS ]:[MESES DE ADEUDO DEL AÑO EN CURSO ]])-Tabla1[[#This Row],[PAGO DE DEUDA ANTERIOR EN MESES]]</f>
        <v>3</v>
      </c>
      <c r="Z540" s="15">
        <f>Tabla1[[#This Row],[MES ADEUDO DE AÑOS PASADOS ]]*$T$2</f>
        <v>135</v>
      </c>
      <c r="AA540" s="15">
        <f>Tabla1[[#This Row],[MESES DE ADEUDO DEL AÑO EN CURSO ]]*$T$2</f>
        <v>0</v>
      </c>
      <c r="AB540" s="69">
        <f>SUM(Tabla1[[#This Row],[DEUDA DE LOS MESES PASADOS EN $$]:[DEUDA DEL AÑO 2013 $$ ]])</f>
        <v>135</v>
      </c>
      <c r="AD540">
        <f>Tabla1[[#This Row],[PAGO DE DEUDA ANTERIOR EN MESES]]*$T$2</f>
        <v>0</v>
      </c>
      <c r="AG540" s="100">
        <f>IF(Tabla1[[#This Row],[TIPO DE CONSUMIDOR]]="MEDIO",IF(Tabla1[[#This Row],[ENERO ]]&gt;22.5,Tabla1[[#This Row],[ENERO ]]/22.5-1,0),IF(Tabla1[[#This Row],[ENERO ]]&gt;45,Tabla1[[#This Row],[ENERO ]]/45-1,0))</f>
        <v>0</v>
      </c>
      <c r="AH54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0" s="100">
        <f>IF(Tabla1[[#This Row],[TIPO DE CONSUMIDOR]]="MEDIO",IF(Tabla1[[#This Row],[MARZO]]&gt;22.5,Tabla1[[#This Row],[MARZO]]/22.5-1,0),IF(Tabla1[[#This Row],[MARZO]]&gt;45,Tabla1[[#This Row],[MARZO]]/45-1,0))</f>
        <v>0</v>
      </c>
      <c r="AJ540" s="100">
        <f>IF(Tabla1[[#This Row],[TIPO DE CONSUMIDOR]]="MEDIO",IF(Tabla1[[#This Row],[ABRIL]]&gt;22.5,Tabla1[[#This Row],[ABRIL]]/22.5-1,0),IF(Tabla1[[#This Row],[ABRIL]]&gt;45,Tabla1[[#This Row],[ABRIL]]/45-1,0))</f>
        <v>0</v>
      </c>
      <c r="AK540" s="100">
        <f>IF(Tabla1[[#This Row],[TIPO DE CONSUMIDOR]]="MEDIO",IF(Tabla1[[#This Row],[MAYO ]]&gt;22.5,Tabla1[[#This Row],[MAYO ]]/22.5-1,0),IF(Tabla1[[#This Row],[MAYO ]]&gt;45,Tabla1[[#This Row],[MAYO ]]/45-1,0))</f>
        <v>0</v>
      </c>
      <c r="AL540" s="100">
        <f>IF(Tabla1[[#This Row],[TIPO DE CONSUMIDOR]]="MEDIO",IF(Tabla1[[#This Row],[JUNIO ]]&gt;22.5,Tabla1[[#This Row],[JUNIO ]]/22.5-1,0),IF(Tabla1[[#This Row],[JUNIO ]]&gt;45,Tabla1[[#This Row],[JUNIO ]]/45-1,0))</f>
        <v>0</v>
      </c>
      <c r="AM540" s="100">
        <f>IF(Tabla1[[#This Row],[TIPO DE CONSUMIDOR]]="MEDIO",IF(Tabla1[[#This Row],[JULIO ]]&gt;22.5,Tabla1[[#This Row],[JULIO ]]/22.5-1,0),IF(Tabla1[[#This Row],[JULIO ]]&gt;45,Tabla1[[#This Row],[JULIO ]]/45-1,0))</f>
        <v>0</v>
      </c>
      <c r="AN540" s="100">
        <f>IF(Tabla1[[#This Row],[TIPO DE CONSUMIDOR]]="MEDIO",IF(Tabla1[[#This Row],[AGOSTO]]&gt;22.5,Tabla1[[#This Row],[AGOSTO]]/22.5-1,0),IF(Tabla1[[#This Row],[AGOSTO]]&gt;45,Tabla1[[#This Row],[AGOSTO]]/45-1,0))</f>
        <v>0</v>
      </c>
      <c r="AO54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0" s="101">
        <f t="shared" si="17"/>
        <v>0</v>
      </c>
      <c r="AT540">
        <f>IF(Tabla1[[#This Row],[MES ADEUDO DE AÑOS PASADOS ]]&gt;0,1,0)</f>
        <v>1</v>
      </c>
      <c r="AU540" s="9">
        <f t="shared" si="18"/>
        <v>1</v>
      </c>
      <c r="AV540" s="60">
        <f>IF(Tabla1[[#This Row],[MESES DE ADEUDO DEL AÑO EN CURSO ]]&gt;0,1,0)</f>
        <v>0</v>
      </c>
    </row>
    <row r="541" spans="1:52" ht="21.75" thickBot="1" x14ac:dyDescent="0.35">
      <c r="A541" s="106">
        <v>535</v>
      </c>
      <c r="B541" s="5" t="s">
        <v>279</v>
      </c>
      <c r="C541" s="2"/>
      <c r="D541" s="32"/>
      <c r="E541" s="35" t="s">
        <v>455</v>
      </c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5">
        <f>SUM(Tabla1[[#This Row],[ENERO ]:[DICIEMBRE]])</f>
        <v>0</v>
      </c>
      <c r="W541">
        <v>5</v>
      </c>
      <c r="X541" s="21">
        <f>COUNTIF(Tabla1[[#This Row],[ENERO ]:[DICIEMBRE]],0)-(AS541)-IF(Tabla1[[#This Row],[BAJAS]]="BAJA",IF(Tabla1[[#This Row],[ALTAS]]="ALTA",VLOOKUP(Tabla1[[#This Row],[MES DE ALTA ]],$AW$6:$AX$17,2,FALSE),12)-VLOOKUP(Tabla1[[#This Row],[MES DE BAJA ]],$AW$6:$AX$17,2,FALSE),0)</f>
        <v>0</v>
      </c>
      <c r="Y541" s="68">
        <f>SUM(Tabla1[[#This Row],[MES ADEUDO DE AÑOS PASADOS ]:[MESES DE ADEUDO DEL AÑO EN CURSO ]])-Tabla1[[#This Row],[PAGO DE DEUDA ANTERIOR EN MESES]]</f>
        <v>5</v>
      </c>
      <c r="Z541" s="15">
        <f>Tabla1[[#This Row],[MES ADEUDO DE AÑOS PASADOS ]]*$T$2</f>
        <v>225</v>
      </c>
      <c r="AA541" s="15">
        <f>Tabla1[[#This Row],[MESES DE ADEUDO DEL AÑO EN CURSO ]]*$T$2</f>
        <v>0</v>
      </c>
      <c r="AB541" s="69">
        <f>SUM(Tabla1[[#This Row],[DEUDA DE LOS MESES PASADOS EN $$]:[DEUDA DEL AÑO 2013 $$ ]])</f>
        <v>225</v>
      </c>
      <c r="AD541">
        <f>Tabla1[[#This Row],[PAGO DE DEUDA ANTERIOR EN MESES]]*$T$2</f>
        <v>0</v>
      </c>
      <c r="AG541" s="100">
        <f>IF(Tabla1[[#This Row],[TIPO DE CONSUMIDOR]]="MEDIO",IF(Tabla1[[#This Row],[ENERO ]]&gt;22.5,Tabla1[[#This Row],[ENERO ]]/22.5-1,0),IF(Tabla1[[#This Row],[ENERO ]]&gt;45,Tabla1[[#This Row],[ENERO ]]/45-1,0))</f>
        <v>0</v>
      </c>
      <c r="AH54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1" s="100">
        <f>IF(Tabla1[[#This Row],[TIPO DE CONSUMIDOR]]="MEDIO",IF(Tabla1[[#This Row],[MARZO]]&gt;22.5,Tabla1[[#This Row],[MARZO]]/22.5-1,0),IF(Tabla1[[#This Row],[MARZO]]&gt;45,Tabla1[[#This Row],[MARZO]]/45-1,0))</f>
        <v>0</v>
      </c>
      <c r="AJ541" s="100">
        <f>IF(Tabla1[[#This Row],[TIPO DE CONSUMIDOR]]="MEDIO",IF(Tabla1[[#This Row],[ABRIL]]&gt;22.5,Tabla1[[#This Row],[ABRIL]]/22.5-1,0),IF(Tabla1[[#This Row],[ABRIL]]&gt;45,Tabla1[[#This Row],[ABRIL]]/45-1,0))</f>
        <v>0</v>
      </c>
      <c r="AK541" s="100">
        <f>IF(Tabla1[[#This Row],[TIPO DE CONSUMIDOR]]="MEDIO",IF(Tabla1[[#This Row],[MAYO ]]&gt;22.5,Tabla1[[#This Row],[MAYO ]]/22.5-1,0),IF(Tabla1[[#This Row],[MAYO ]]&gt;45,Tabla1[[#This Row],[MAYO ]]/45-1,0))</f>
        <v>0</v>
      </c>
      <c r="AL541" s="100">
        <f>IF(Tabla1[[#This Row],[TIPO DE CONSUMIDOR]]="MEDIO",IF(Tabla1[[#This Row],[JUNIO ]]&gt;22.5,Tabla1[[#This Row],[JUNIO ]]/22.5-1,0),IF(Tabla1[[#This Row],[JUNIO ]]&gt;45,Tabla1[[#This Row],[JUNIO ]]/45-1,0))</f>
        <v>0</v>
      </c>
      <c r="AM541" s="100">
        <f>IF(Tabla1[[#This Row],[TIPO DE CONSUMIDOR]]="MEDIO",IF(Tabla1[[#This Row],[JULIO ]]&gt;22.5,Tabla1[[#This Row],[JULIO ]]/22.5-1,0),IF(Tabla1[[#This Row],[JULIO ]]&gt;45,Tabla1[[#This Row],[JULIO ]]/45-1,0))</f>
        <v>0</v>
      </c>
      <c r="AN541" s="100">
        <f>IF(Tabla1[[#This Row],[TIPO DE CONSUMIDOR]]="MEDIO",IF(Tabla1[[#This Row],[AGOSTO]]&gt;22.5,Tabla1[[#This Row],[AGOSTO]]/22.5-1,0),IF(Tabla1[[#This Row],[AGOSTO]]&gt;45,Tabla1[[#This Row],[AGOSTO]]/45-1,0))</f>
        <v>0</v>
      </c>
      <c r="AO54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1" s="101">
        <f t="shared" si="17"/>
        <v>0</v>
      </c>
      <c r="AT541">
        <f>IF(Tabla1[[#This Row],[MES ADEUDO DE AÑOS PASADOS ]]&gt;0,1,0)</f>
        <v>1</v>
      </c>
      <c r="AU541" s="9">
        <f t="shared" si="18"/>
        <v>1</v>
      </c>
      <c r="AV541" s="60">
        <f>IF(Tabla1[[#This Row],[MESES DE ADEUDO DEL AÑO EN CURSO ]]&gt;0,1,0)</f>
        <v>0</v>
      </c>
    </row>
    <row r="542" spans="1:52" ht="21.75" thickBot="1" x14ac:dyDescent="0.35">
      <c r="A542" s="106">
        <v>536</v>
      </c>
      <c r="B542" s="5" t="s">
        <v>589</v>
      </c>
      <c r="C542" s="2"/>
      <c r="D542" s="32"/>
      <c r="E542" s="35" t="s">
        <v>455</v>
      </c>
      <c r="F542" s="52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4"/>
      <c r="R542" s="59">
        <f>SUM(Tabla1[[#This Row],[ENERO ]:[DICIEMBRE]])</f>
        <v>0</v>
      </c>
      <c r="W542">
        <v>5</v>
      </c>
      <c r="X542" s="21">
        <f>COUNTIF(Tabla1[[#This Row],[ENERO ]:[DICIEMBRE]],0)-(AS542)-IF(Tabla1[[#This Row],[BAJAS]]="BAJA",IF(Tabla1[[#This Row],[ALTAS]]="ALTA",VLOOKUP(Tabla1[[#This Row],[MES DE ALTA ]],$AW$6:$AX$17,2,FALSE),12)-VLOOKUP(Tabla1[[#This Row],[MES DE BAJA ]],$AW$6:$AX$17,2,FALSE),0)</f>
        <v>0</v>
      </c>
      <c r="Y542" s="68">
        <f>SUM(Tabla1[[#This Row],[MES ADEUDO DE AÑOS PASADOS ]:[MESES DE ADEUDO DEL AÑO EN CURSO ]])-Tabla1[[#This Row],[PAGO DE DEUDA ANTERIOR EN MESES]]</f>
        <v>5</v>
      </c>
      <c r="Z542" s="15">
        <f>Tabla1[[#This Row],[MES ADEUDO DE AÑOS PASADOS ]]*$T$2</f>
        <v>225</v>
      </c>
      <c r="AA542" s="15">
        <f>Tabla1[[#This Row],[MESES DE ADEUDO DEL AÑO EN CURSO ]]*$T$2</f>
        <v>0</v>
      </c>
      <c r="AB542" s="69">
        <f>SUM(Tabla1[[#This Row],[DEUDA DE LOS MESES PASADOS EN $$]:[DEUDA DEL AÑO 2013 $$ ]])</f>
        <v>225</v>
      </c>
      <c r="AD542">
        <f>Tabla1[[#This Row],[PAGO DE DEUDA ANTERIOR EN MESES]]*$T$2</f>
        <v>0</v>
      </c>
      <c r="AG542" s="100">
        <f>IF(Tabla1[[#This Row],[TIPO DE CONSUMIDOR]]="MEDIO",IF(Tabla1[[#This Row],[ENERO ]]&gt;22.5,Tabla1[[#This Row],[ENERO ]]/22.5-1,0),IF(Tabla1[[#This Row],[ENERO ]]&gt;45,Tabla1[[#This Row],[ENERO ]]/45-1,0))</f>
        <v>0</v>
      </c>
      <c r="AH54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2" s="100">
        <f>IF(Tabla1[[#This Row],[TIPO DE CONSUMIDOR]]="MEDIO",IF(Tabla1[[#This Row],[MARZO]]&gt;22.5,Tabla1[[#This Row],[MARZO]]/22.5-1,0),IF(Tabla1[[#This Row],[MARZO]]&gt;45,Tabla1[[#This Row],[MARZO]]/45-1,0))</f>
        <v>0</v>
      </c>
      <c r="AJ542" s="100">
        <f>IF(Tabla1[[#This Row],[TIPO DE CONSUMIDOR]]="MEDIO",IF(Tabla1[[#This Row],[ABRIL]]&gt;22.5,Tabla1[[#This Row],[ABRIL]]/22.5-1,0),IF(Tabla1[[#This Row],[ABRIL]]&gt;45,Tabla1[[#This Row],[ABRIL]]/45-1,0))</f>
        <v>0</v>
      </c>
      <c r="AK542" s="100">
        <f>IF(Tabla1[[#This Row],[TIPO DE CONSUMIDOR]]="MEDIO",IF(Tabla1[[#This Row],[MAYO ]]&gt;22.5,Tabla1[[#This Row],[MAYO ]]/22.5-1,0),IF(Tabla1[[#This Row],[MAYO ]]&gt;45,Tabla1[[#This Row],[MAYO ]]/45-1,0))</f>
        <v>0</v>
      </c>
      <c r="AL542" s="100">
        <f>IF(Tabla1[[#This Row],[TIPO DE CONSUMIDOR]]="MEDIO",IF(Tabla1[[#This Row],[JUNIO ]]&gt;22.5,Tabla1[[#This Row],[JUNIO ]]/22.5-1,0),IF(Tabla1[[#This Row],[JUNIO ]]&gt;45,Tabla1[[#This Row],[JUNIO ]]/45-1,0))</f>
        <v>0</v>
      </c>
      <c r="AM542" s="100">
        <f>IF(Tabla1[[#This Row],[TIPO DE CONSUMIDOR]]="MEDIO",IF(Tabla1[[#This Row],[JULIO ]]&gt;22.5,Tabla1[[#This Row],[JULIO ]]/22.5-1,0),IF(Tabla1[[#This Row],[JULIO ]]&gt;45,Tabla1[[#This Row],[JULIO ]]/45-1,0))</f>
        <v>0</v>
      </c>
      <c r="AN542" s="100">
        <f>IF(Tabla1[[#This Row],[TIPO DE CONSUMIDOR]]="MEDIO",IF(Tabla1[[#This Row],[AGOSTO]]&gt;22.5,Tabla1[[#This Row],[AGOSTO]]/22.5-1,0),IF(Tabla1[[#This Row],[AGOSTO]]&gt;45,Tabla1[[#This Row],[AGOSTO]]/45-1,0))</f>
        <v>0</v>
      </c>
      <c r="AO54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2" s="101">
        <f t="shared" si="17"/>
        <v>0</v>
      </c>
      <c r="AT542">
        <f>IF(Tabla1[[#This Row],[MES ADEUDO DE AÑOS PASADOS ]]&gt;0,1,0)</f>
        <v>1</v>
      </c>
      <c r="AU542" s="9">
        <f t="shared" si="18"/>
        <v>1</v>
      </c>
      <c r="AV542" s="60">
        <f>IF(Tabla1[[#This Row],[MESES DE ADEUDO DEL AÑO EN CURSO ]]&gt;0,1,0)</f>
        <v>0</v>
      </c>
    </row>
    <row r="543" spans="1:52" ht="21.75" thickBot="1" x14ac:dyDescent="0.35">
      <c r="A543" s="106">
        <v>537</v>
      </c>
      <c r="B543" s="5" t="s">
        <v>285</v>
      </c>
      <c r="C543" s="2"/>
      <c r="D543" s="32"/>
      <c r="E543" s="35" t="s">
        <v>455</v>
      </c>
      <c r="F543" s="52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4"/>
      <c r="R543" s="59">
        <f>SUM(Tabla1[[#This Row],[ENERO ]:[DICIEMBRE]])</f>
        <v>0</v>
      </c>
      <c r="W543">
        <v>6</v>
      </c>
      <c r="X543" s="21">
        <f>COUNTIF(Tabla1[[#This Row],[ENERO ]:[DICIEMBRE]],0)-(AS543)-IF(Tabla1[[#This Row],[BAJAS]]="BAJA",IF(Tabla1[[#This Row],[ALTAS]]="ALTA",VLOOKUP(Tabla1[[#This Row],[MES DE ALTA ]],$AW$6:$AX$17,2,FALSE),12)-VLOOKUP(Tabla1[[#This Row],[MES DE BAJA ]],$AW$6:$AX$17,2,FALSE),0)</f>
        <v>0</v>
      </c>
      <c r="Y543" s="68">
        <f>SUM(Tabla1[[#This Row],[MES ADEUDO DE AÑOS PASADOS ]:[MESES DE ADEUDO DEL AÑO EN CURSO ]])-Tabla1[[#This Row],[PAGO DE DEUDA ANTERIOR EN MESES]]</f>
        <v>6</v>
      </c>
      <c r="Z543" s="15">
        <f>Tabla1[[#This Row],[MES ADEUDO DE AÑOS PASADOS ]]*$T$2</f>
        <v>270</v>
      </c>
      <c r="AA543" s="15">
        <f>Tabla1[[#This Row],[MESES DE ADEUDO DEL AÑO EN CURSO ]]*$T$2</f>
        <v>0</v>
      </c>
      <c r="AB543" s="69">
        <f>SUM(Tabla1[[#This Row],[DEUDA DE LOS MESES PASADOS EN $$]:[DEUDA DEL AÑO 2013 $$ ]])</f>
        <v>270</v>
      </c>
      <c r="AD543">
        <f>Tabla1[[#This Row],[PAGO DE DEUDA ANTERIOR EN MESES]]*$T$2</f>
        <v>0</v>
      </c>
      <c r="AG543" s="100">
        <f>IF(Tabla1[[#This Row],[TIPO DE CONSUMIDOR]]="MEDIO",IF(Tabla1[[#This Row],[ENERO ]]&gt;22.5,Tabla1[[#This Row],[ENERO ]]/22.5-1,0),IF(Tabla1[[#This Row],[ENERO ]]&gt;45,Tabla1[[#This Row],[ENERO ]]/45-1,0))</f>
        <v>0</v>
      </c>
      <c r="AH54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3" s="100">
        <f>IF(Tabla1[[#This Row],[TIPO DE CONSUMIDOR]]="MEDIO",IF(Tabla1[[#This Row],[MARZO]]&gt;22.5,Tabla1[[#This Row],[MARZO]]/22.5-1,0),IF(Tabla1[[#This Row],[MARZO]]&gt;45,Tabla1[[#This Row],[MARZO]]/45-1,0))</f>
        <v>0</v>
      </c>
      <c r="AJ543" s="100">
        <f>IF(Tabla1[[#This Row],[TIPO DE CONSUMIDOR]]="MEDIO",IF(Tabla1[[#This Row],[ABRIL]]&gt;22.5,Tabla1[[#This Row],[ABRIL]]/22.5-1,0),IF(Tabla1[[#This Row],[ABRIL]]&gt;45,Tabla1[[#This Row],[ABRIL]]/45-1,0))</f>
        <v>0</v>
      </c>
      <c r="AK543" s="100">
        <f>IF(Tabla1[[#This Row],[TIPO DE CONSUMIDOR]]="MEDIO",IF(Tabla1[[#This Row],[MAYO ]]&gt;22.5,Tabla1[[#This Row],[MAYO ]]/22.5-1,0),IF(Tabla1[[#This Row],[MAYO ]]&gt;45,Tabla1[[#This Row],[MAYO ]]/45-1,0))</f>
        <v>0</v>
      </c>
      <c r="AL543" s="100">
        <f>IF(Tabla1[[#This Row],[TIPO DE CONSUMIDOR]]="MEDIO",IF(Tabla1[[#This Row],[JUNIO ]]&gt;22.5,Tabla1[[#This Row],[JUNIO ]]/22.5-1,0),IF(Tabla1[[#This Row],[JUNIO ]]&gt;45,Tabla1[[#This Row],[JUNIO ]]/45-1,0))</f>
        <v>0</v>
      </c>
      <c r="AM543" s="100">
        <f>IF(Tabla1[[#This Row],[TIPO DE CONSUMIDOR]]="MEDIO",IF(Tabla1[[#This Row],[JULIO ]]&gt;22.5,Tabla1[[#This Row],[JULIO ]]/22.5-1,0),IF(Tabla1[[#This Row],[JULIO ]]&gt;45,Tabla1[[#This Row],[JULIO ]]/45-1,0))</f>
        <v>0</v>
      </c>
      <c r="AN543" s="100">
        <f>IF(Tabla1[[#This Row],[TIPO DE CONSUMIDOR]]="MEDIO",IF(Tabla1[[#This Row],[AGOSTO]]&gt;22.5,Tabla1[[#This Row],[AGOSTO]]/22.5-1,0),IF(Tabla1[[#This Row],[AGOSTO]]&gt;45,Tabla1[[#This Row],[AGOSTO]]/45-1,0))</f>
        <v>0</v>
      </c>
      <c r="AO54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3" s="101">
        <f t="shared" si="17"/>
        <v>0</v>
      </c>
      <c r="AT543">
        <f>IF(Tabla1[[#This Row],[MES ADEUDO DE AÑOS PASADOS ]]&gt;0,1,0)</f>
        <v>1</v>
      </c>
      <c r="AU543" s="9">
        <f t="shared" si="18"/>
        <v>1</v>
      </c>
      <c r="AV543" s="60">
        <f>IF(Tabla1[[#This Row],[MESES DE ADEUDO DEL AÑO EN CURSO ]]&gt;0,1,0)</f>
        <v>0</v>
      </c>
    </row>
    <row r="544" spans="1:52" ht="21.75" thickBot="1" x14ac:dyDescent="0.35">
      <c r="A544" s="106">
        <v>538</v>
      </c>
      <c r="B544" s="5" t="s">
        <v>585</v>
      </c>
      <c r="C544" s="2"/>
      <c r="D544" s="32"/>
      <c r="E544" s="35" t="s">
        <v>455</v>
      </c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9">
        <f>SUM(Tabla1[[#This Row],[ENERO ]:[DICIEMBRE]])</f>
        <v>0</v>
      </c>
      <c r="W544">
        <v>7</v>
      </c>
      <c r="X544" s="21">
        <f>COUNTIF(Tabla1[[#This Row],[ENERO ]:[DICIEMBRE]],0)-(AS544)-IF(Tabla1[[#This Row],[BAJAS]]="BAJA",IF(Tabla1[[#This Row],[ALTAS]]="ALTA",VLOOKUP(Tabla1[[#This Row],[MES DE ALTA ]],$AW$6:$AX$17,2,FALSE),12)-VLOOKUP(Tabla1[[#This Row],[MES DE BAJA ]],$AW$6:$AX$17,2,FALSE),0)</f>
        <v>0</v>
      </c>
      <c r="Y544" s="68">
        <f>SUM(Tabla1[[#This Row],[MES ADEUDO DE AÑOS PASADOS ]:[MESES DE ADEUDO DEL AÑO EN CURSO ]])-Tabla1[[#This Row],[PAGO DE DEUDA ANTERIOR EN MESES]]</f>
        <v>7</v>
      </c>
      <c r="Z544" s="15">
        <f>Tabla1[[#This Row],[MES ADEUDO DE AÑOS PASADOS ]]*$T$2</f>
        <v>315</v>
      </c>
      <c r="AA544" s="15">
        <f>Tabla1[[#This Row],[MESES DE ADEUDO DEL AÑO EN CURSO ]]*$T$2</f>
        <v>0</v>
      </c>
      <c r="AB544" s="69">
        <f>SUM(Tabla1[[#This Row],[DEUDA DE LOS MESES PASADOS EN $$]:[DEUDA DEL AÑO 2013 $$ ]])</f>
        <v>315</v>
      </c>
      <c r="AD544">
        <f>Tabla1[[#This Row],[PAGO DE DEUDA ANTERIOR EN MESES]]*$T$2</f>
        <v>0</v>
      </c>
      <c r="AG544" s="100">
        <f>IF(Tabla1[[#This Row],[TIPO DE CONSUMIDOR]]="MEDIO",IF(Tabla1[[#This Row],[ENERO ]]&gt;22.5,Tabla1[[#This Row],[ENERO ]]/22.5-1,0),IF(Tabla1[[#This Row],[ENERO ]]&gt;45,Tabla1[[#This Row],[ENERO ]]/45-1,0))</f>
        <v>0</v>
      </c>
      <c r="AH54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4" s="100">
        <f>IF(Tabla1[[#This Row],[TIPO DE CONSUMIDOR]]="MEDIO",IF(Tabla1[[#This Row],[MARZO]]&gt;22.5,Tabla1[[#This Row],[MARZO]]/22.5-1,0),IF(Tabla1[[#This Row],[MARZO]]&gt;45,Tabla1[[#This Row],[MARZO]]/45-1,0))</f>
        <v>0</v>
      </c>
      <c r="AJ544" s="100">
        <f>IF(Tabla1[[#This Row],[TIPO DE CONSUMIDOR]]="MEDIO",IF(Tabla1[[#This Row],[ABRIL]]&gt;22.5,Tabla1[[#This Row],[ABRIL]]/22.5-1,0),IF(Tabla1[[#This Row],[ABRIL]]&gt;45,Tabla1[[#This Row],[ABRIL]]/45-1,0))</f>
        <v>0</v>
      </c>
      <c r="AK544" s="100">
        <f>IF(Tabla1[[#This Row],[TIPO DE CONSUMIDOR]]="MEDIO",IF(Tabla1[[#This Row],[MAYO ]]&gt;22.5,Tabla1[[#This Row],[MAYO ]]/22.5-1,0),IF(Tabla1[[#This Row],[MAYO ]]&gt;45,Tabla1[[#This Row],[MAYO ]]/45-1,0))</f>
        <v>0</v>
      </c>
      <c r="AL544" s="100">
        <f>IF(Tabla1[[#This Row],[TIPO DE CONSUMIDOR]]="MEDIO",IF(Tabla1[[#This Row],[JUNIO ]]&gt;22.5,Tabla1[[#This Row],[JUNIO ]]/22.5-1,0),IF(Tabla1[[#This Row],[JUNIO ]]&gt;45,Tabla1[[#This Row],[JUNIO ]]/45-1,0))</f>
        <v>0</v>
      </c>
      <c r="AM544" s="100">
        <f>IF(Tabla1[[#This Row],[TIPO DE CONSUMIDOR]]="MEDIO",IF(Tabla1[[#This Row],[JULIO ]]&gt;22.5,Tabla1[[#This Row],[JULIO ]]/22.5-1,0),IF(Tabla1[[#This Row],[JULIO ]]&gt;45,Tabla1[[#This Row],[JULIO ]]/45-1,0))</f>
        <v>0</v>
      </c>
      <c r="AN544" s="100">
        <f>IF(Tabla1[[#This Row],[TIPO DE CONSUMIDOR]]="MEDIO",IF(Tabla1[[#This Row],[AGOSTO]]&gt;22.5,Tabla1[[#This Row],[AGOSTO]]/22.5-1,0),IF(Tabla1[[#This Row],[AGOSTO]]&gt;45,Tabla1[[#This Row],[AGOSTO]]/45-1,0))</f>
        <v>0</v>
      </c>
      <c r="AO54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4" s="101">
        <f t="shared" si="17"/>
        <v>0</v>
      </c>
      <c r="AT544">
        <f>IF(Tabla1[[#This Row],[MES ADEUDO DE AÑOS PASADOS ]]&gt;0,1,0)</f>
        <v>1</v>
      </c>
      <c r="AU544" s="9">
        <f t="shared" si="18"/>
        <v>1</v>
      </c>
      <c r="AV544" s="60">
        <f>IF(Tabla1[[#This Row],[MESES DE ADEUDO DEL AÑO EN CURSO ]]&gt;0,1,0)</f>
        <v>0</v>
      </c>
    </row>
    <row r="545" spans="1:48" ht="21.75" thickBot="1" x14ac:dyDescent="0.35">
      <c r="A545" s="106">
        <v>539</v>
      </c>
      <c r="B545" s="5" t="s">
        <v>269</v>
      </c>
      <c r="C545" s="2"/>
      <c r="D545" s="32"/>
      <c r="E545" s="35" t="s">
        <v>455</v>
      </c>
      <c r="F545" s="52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4"/>
      <c r="R545" s="55">
        <f>SUM(Tabla1[[#This Row],[ENERO ]:[DICIEMBRE]])</f>
        <v>0</v>
      </c>
      <c r="W545">
        <v>7</v>
      </c>
      <c r="X545" s="21">
        <f>COUNTIF(Tabla1[[#This Row],[ENERO ]:[DICIEMBRE]],0)-(AS545)-IF(Tabla1[[#This Row],[BAJAS]]="BAJA",IF(Tabla1[[#This Row],[ALTAS]]="ALTA",VLOOKUP(Tabla1[[#This Row],[MES DE ALTA ]],$AW$6:$AX$17,2,FALSE),12)-VLOOKUP(Tabla1[[#This Row],[MES DE BAJA ]],$AW$6:$AX$17,2,FALSE),0)</f>
        <v>0</v>
      </c>
      <c r="Y545" s="68">
        <f>SUM(Tabla1[[#This Row],[MES ADEUDO DE AÑOS PASADOS ]:[MESES DE ADEUDO DEL AÑO EN CURSO ]])-Tabla1[[#This Row],[PAGO DE DEUDA ANTERIOR EN MESES]]</f>
        <v>7</v>
      </c>
      <c r="Z545" s="15">
        <f>Tabla1[[#This Row],[MES ADEUDO DE AÑOS PASADOS ]]*$T$2</f>
        <v>315</v>
      </c>
      <c r="AA545" s="15">
        <f>Tabla1[[#This Row],[MESES DE ADEUDO DEL AÑO EN CURSO ]]*$T$2</f>
        <v>0</v>
      </c>
      <c r="AB545" s="69">
        <f>SUM(Tabla1[[#This Row],[DEUDA DE LOS MESES PASADOS EN $$]:[DEUDA DEL AÑO 2013 $$ ]])</f>
        <v>315</v>
      </c>
      <c r="AD545">
        <f>Tabla1[[#This Row],[PAGO DE DEUDA ANTERIOR EN MESES]]*$T$2</f>
        <v>0</v>
      </c>
      <c r="AG545" s="100">
        <f>IF(Tabla1[[#This Row],[TIPO DE CONSUMIDOR]]="MEDIO",IF(Tabla1[[#This Row],[ENERO ]]&gt;22.5,Tabla1[[#This Row],[ENERO ]]/22.5-1,0),IF(Tabla1[[#This Row],[ENERO ]]&gt;45,Tabla1[[#This Row],[ENERO ]]/45-1,0))</f>
        <v>0</v>
      </c>
      <c r="AH54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5" s="100">
        <f>IF(Tabla1[[#This Row],[TIPO DE CONSUMIDOR]]="MEDIO",IF(Tabla1[[#This Row],[MARZO]]&gt;22.5,Tabla1[[#This Row],[MARZO]]/22.5-1,0),IF(Tabla1[[#This Row],[MARZO]]&gt;45,Tabla1[[#This Row],[MARZO]]/45-1,0))</f>
        <v>0</v>
      </c>
      <c r="AJ545" s="100">
        <f>IF(Tabla1[[#This Row],[TIPO DE CONSUMIDOR]]="MEDIO",IF(Tabla1[[#This Row],[ABRIL]]&gt;22.5,Tabla1[[#This Row],[ABRIL]]/22.5-1,0),IF(Tabla1[[#This Row],[ABRIL]]&gt;45,Tabla1[[#This Row],[ABRIL]]/45-1,0))</f>
        <v>0</v>
      </c>
      <c r="AK545" s="100">
        <f>IF(Tabla1[[#This Row],[TIPO DE CONSUMIDOR]]="MEDIO",IF(Tabla1[[#This Row],[MAYO ]]&gt;22.5,Tabla1[[#This Row],[MAYO ]]/22.5-1,0),IF(Tabla1[[#This Row],[MAYO ]]&gt;45,Tabla1[[#This Row],[MAYO ]]/45-1,0))</f>
        <v>0</v>
      </c>
      <c r="AL545" s="100">
        <f>IF(Tabla1[[#This Row],[TIPO DE CONSUMIDOR]]="MEDIO",IF(Tabla1[[#This Row],[JUNIO ]]&gt;22.5,Tabla1[[#This Row],[JUNIO ]]/22.5-1,0),IF(Tabla1[[#This Row],[JUNIO ]]&gt;45,Tabla1[[#This Row],[JUNIO ]]/45-1,0))</f>
        <v>0</v>
      </c>
      <c r="AM545" s="100">
        <f>IF(Tabla1[[#This Row],[TIPO DE CONSUMIDOR]]="MEDIO",IF(Tabla1[[#This Row],[JULIO ]]&gt;22.5,Tabla1[[#This Row],[JULIO ]]/22.5-1,0),IF(Tabla1[[#This Row],[JULIO ]]&gt;45,Tabla1[[#This Row],[JULIO ]]/45-1,0))</f>
        <v>0</v>
      </c>
      <c r="AN545" s="100">
        <f>IF(Tabla1[[#This Row],[TIPO DE CONSUMIDOR]]="MEDIO",IF(Tabla1[[#This Row],[AGOSTO]]&gt;22.5,Tabla1[[#This Row],[AGOSTO]]/22.5-1,0),IF(Tabla1[[#This Row],[AGOSTO]]&gt;45,Tabla1[[#This Row],[AGOSTO]]/45-1,0))</f>
        <v>0</v>
      </c>
      <c r="AO54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5" s="101">
        <f t="shared" si="17"/>
        <v>0</v>
      </c>
      <c r="AT545">
        <f>IF(Tabla1[[#This Row],[MES ADEUDO DE AÑOS PASADOS ]]&gt;0,1,0)</f>
        <v>1</v>
      </c>
      <c r="AU545" s="9">
        <f t="shared" si="18"/>
        <v>1</v>
      </c>
      <c r="AV545" s="60">
        <f>IF(Tabla1[[#This Row],[MESES DE ADEUDO DEL AÑO EN CURSO ]]&gt;0,1,0)</f>
        <v>0</v>
      </c>
    </row>
    <row r="546" spans="1:48" ht="21.75" thickBot="1" x14ac:dyDescent="0.35">
      <c r="A546" s="106">
        <v>540</v>
      </c>
      <c r="B546" s="5" t="s">
        <v>624</v>
      </c>
      <c r="C546" s="2"/>
      <c r="D546" s="32"/>
      <c r="E546" s="35" t="s">
        <v>455</v>
      </c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9">
        <f>SUM(Tabla1[[#This Row],[ENERO ]:[DICIEMBRE]])</f>
        <v>0</v>
      </c>
      <c r="W546">
        <v>8</v>
      </c>
      <c r="X546" s="21">
        <f>COUNTIF(Tabla1[[#This Row],[ENERO ]:[DICIEMBRE]],0)-(AS546)-IF(Tabla1[[#This Row],[BAJAS]]="BAJA",IF(Tabla1[[#This Row],[ALTAS]]="ALTA",VLOOKUP(Tabla1[[#This Row],[MES DE ALTA ]],$AW$6:$AX$17,2,FALSE),12)-VLOOKUP(Tabla1[[#This Row],[MES DE BAJA ]],$AW$6:$AX$17,2,FALSE),0)</f>
        <v>0</v>
      </c>
      <c r="Y546" s="68">
        <f>SUM(Tabla1[[#This Row],[MES ADEUDO DE AÑOS PASADOS ]:[MESES DE ADEUDO DEL AÑO EN CURSO ]])-Tabla1[[#This Row],[PAGO DE DEUDA ANTERIOR EN MESES]]</f>
        <v>8</v>
      </c>
      <c r="Z546" s="15">
        <f>Tabla1[[#This Row],[MES ADEUDO DE AÑOS PASADOS ]]*$T$2</f>
        <v>360</v>
      </c>
      <c r="AA546" s="15">
        <f>Tabla1[[#This Row],[MESES DE ADEUDO DEL AÑO EN CURSO ]]*$T$2</f>
        <v>0</v>
      </c>
      <c r="AB546" s="69">
        <f>SUM(Tabla1[[#This Row],[DEUDA DE LOS MESES PASADOS EN $$]:[DEUDA DEL AÑO 2013 $$ ]])</f>
        <v>360</v>
      </c>
      <c r="AD546">
        <f>Tabla1[[#This Row],[PAGO DE DEUDA ANTERIOR EN MESES]]*$T$2</f>
        <v>0</v>
      </c>
      <c r="AG546" s="100">
        <f>IF(Tabla1[[#This Row],[TIPO DE CONSUMIDOR]]="MEDIO",IF(Tabla1[[#This Row],[ENERO ]]&gt;22.5,Tabla1[[#This Row],[ENERO ]]/22.5-1,0),IF(Tabla1[[#This Row],[ENERO ]]&gt;45,Tabla1[[#This Row],[ENERO ]]/45-1,0))</f>
        <v>0</v>
      </c>
      <c r="AH54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6" s="100">
        <f>IF(Tabla1[[#This Row],[TIPO DE CONSUMIDOR]]="MEDIO",IF(Tabla1[[#This Row],[MARZO]]&gt;22.5,Tabla1[[#This Row],[MARZO]]/22.5-1,0),IF(Tabla1[[#This Row],[MARZO]]&gt;45,Tabla1[[#This Row],[MARZO]]/45-1,0))</f>
        <v>0</v>
      </c>
      <c r="AJ546" s="100">
        <f>IF(Tabla1[[#This Row],[TIPO DE CONSUMIDOR]]="MEDIO",IF(Tabla1[[#This Row],[ABRIL]]&gt;22.5,Tabla1[[#This Row],[ABRIL]]/22.5-1,0),IF(Tabla1[[#This Row],[ABRIL]]&gt;45,Tabla1[[#This Row],[ABRIL]]/45-1,0))</f>
        <v>0</v>
      </c>
      <c r="AK546" s="100">
        <f>IF(Tabla1[[#This Row],[TIPO DE CONSUMIDOR]]="MEDIO",IF(Tabla1[[#This Row],[MAYO ]]&gt;22.5,Tabla1[[#This Row],[MAYO ]]/22.5-1,0),IF(Tabla1[[#This Row],[MAYO ]]&gt;45,Tabla1[[#This Row],[MAYO ]]/45-1,0))</f>
        <v>0</v>
      </c>
      <c r="AL546" s="100">
        <f>IF(Tabla1[[#This Row],[TIPO DE CONSUMIDOR]]="MEDIO",IF(Tabla1[[#This Row],[JUNIO ]]&gt;22.5,Tabla1[[#This Row],[JUNIO ]]/22.5-1,0),IF(Tabla1[[#This Row],[JUNIO ]]&gt;45,Tabla1[[#This Row],[JUNIO ]]/45-1,0))</f>
        <v>0</v>
      </c>
      <c r="AM546" s="100">
        <f>IF(Tabla1[[#This Row],[TIPO DE CONSUMIDOR]]="MEDIO",IF(Tabla1[[#This Row],[JULIO ]]&gt;22.5,Tabla1[[#This Row],[JULIO ]]/22.5-1,0),IF(Tabla1[[#This Row],[JULIO ]]&gt;45,Tabla1[[#This Row],[JULIO ]]/45-1,0))</f>
        <v>0</v>
      </c>
      <c r="AN546" s="100">
        <f>IF(Tabla1[[#This Row],[TIPO DE CONSUMIDOR]]="MEDIO",IF(Tabla1[[#This Row],[AGOSTO]]&gt;22.5,Tabla1[[#This Row],[AGOSTO]]/22.5-1,0),IF(Tabla1[[#This Row],[AGOSTO]]&gt;45,Tabla1[[#This Row],[AGOSTO]]/45-1,0))</f>
        <v>0</v>
      </c>
      <c r="AO54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6" s="101">
        <f t="shared" si="17"/>
        <v>0</v>
      </c>
      <c r="AT546">
        <f>IF(Tabla1[[#This Row],[MES ADEUDO DE AÑOS PASADOS ]]&gt;0,1,0)</f>
        <v>1</v>
      </c>
      <c r="AU546" s="9">
        <f t="shared" si="18"/>
        <v>1</v>
      </c>
      <c r="AV546" s="60">
        <f>IF(Tabla1[[#This Row],[MESES DE ADEUDO DEL AÑO EN CURSO ]]&gt;0,1,0)</f>
        <v>0</v>
      </c>
    </row>
    <row r="547" spans="1:48" ht="21.75" thickBot="1" x14ac:dyDescent="0.35">
      <c r="A547" s="106">
        <v>541</v>
      </c>
      <c r="B547" s="5" t="s">
        <v>242</v>
      </c>
      <c r="C547" s="2"/>
      <c r="D547" s="32"/>
      <c r="E547" s="35" t="s">
        <v>455</v>
      </c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9">
        <f>SUM(Tabla1[[#This Row],[ENERO ]:[DICIEMBRE]])</f>
        <v>0</v>
      </c>
      <c r="W547">
        <v>9</v>
      </c>
      <c r="X547" s="21">
        <f>COUNTIF(Tabla1[[#This Row],[ENERO ]:[DICIEMBRE]],0)-(AS547)-IF(Tabla1[[#This Row],[BAJAS]]="BAJA",IF(Tabla1[[#This Row],[ALTAS]]="ALTA",VLOOKUP(Tabla1[[#This Row],[MES DE ALTA ]],$AW$6:$AX$17,2,FALSE),12)-VLOOKUP(Tabla1[[#This Row],[MES DE BAJA ]],$AW$6:$AX$17,2,FALSE),0)</f>
        <v>0</v>
      </c>
      <c r="Y547" s="68">
        <f>SUM(Tabla1[[#This Row],[MES ADEUDO DE AÑOS PASADOS ]:[MESES DE ADEUDO DEL AÑO EN CURSO ]])-Tabla1[[#This Row],[PAGO DE DEUDA ANTERIOR EN MESES]]</f>
        <v>9</v>
      </c>
      <c r="Z547" s="15">
        <f>Tabla1[[#This Row],[MES ADEUDO DE AÑOS PASADOS ]]*$T$2</f>
        <v>405</v>
      </c>
      <c r="AA547" s="15">
        <f>Tabla1[[#This Row],[MESES DE ADEUDO DEL AÑO EN CURSO ]]*$T$2</f>
        <v>0</v>
      </c>
      <c r="AB547" s="69">
        <f>SUM(Tabla1[[#This Row],[DEUDA DE LOS MESES PASADOS EN $$]:[DEUDA DEL AÑO 2013 $$ ]])</f>
        <v>405</v>
      </c>
      <c r="AD547">
        <f>Tabla1[[#This Row],[PAGO DE DEUDA ANTERIOR EN MESES]]*$T$2</f>
        <v>0</v>
      </c>
      <c r="AG547" s="100">
        <f>IF(Tabla1[[#This Row],[TIPO DE CONSUMIDOR]]="MEDIO",IF(Tabla1[[#This Row],[ENERO ]]&gt;22.5,Tabla1[[#This Row],[ENERO ]]/22.5-1,0),IF(Tabla1[[#This Row],[ENERO ]]&gt;45,Tabla1[[#This Row],[ENERO ]]/45-1,0))</f>
        <v>0</v>
      </c>
      <c r="AH54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7" s="100">
        <f>IF(Tabla1[[#This Row],[TIPO DE CONSUMIDOR]]="MEDIO",IF(Tabla1[[#This Row],[MARZO]]&gt;22.5,Tabla1[[#This Row],[MARZO]]/22.5-1,0),IF(Tabla1[[#This Row],[MARZO]]&gt;45,Tabla1[[#This Row],[MARZO]]/45-1,0))</f>
        <v>0</v>
      </c>
      <c r="AJ547" s="100">
        <f>IF(Tabla1[[#This Row],[TIPO DE CONSUMIDOR]]="MEDIO",IF(Tabla1[[#This Row],[ABRIL]]&gt;22.5,Tabla1[[#This Row],[ABRIL]]/22.5-1,0),IF(Tabla1[[#This Row],[ABRIL]]&gt;45,Tabla1[[#This Row],[ABRIL]]/45-1,0))</f>
        <v>0</v>
      </c>
      <c r="AK547" s="100">
        <f>IF(Tabla1[[#This Row],[TIPO DE CONSUMIDOR]]="MEDIO",IF(Tabla1[[#This Row],[MAYO ]]&gt;22.5,Tabla1[[#This Row],[MAYO ]]/22.5-1,0),IF(Tabla1[[#This Row],[MAYO ]]&gt;45,Tabla1[[#This Row],[MAYO ]]/45-1,0))</f>
        <v>0</v>
      </c>
      <c r="AL547" s="100">
        <f>IF(Tabla1[[#This Row],[TIPO DE CONSUMIDOR]]="MEDIO",IF(Tabla1[[#This Row],[JUNIO ]]&gt;22.5,Tabla1[[#This Row],[JUNIO ]]/22.5-1,0),IF(Tabla1[[#This Row],[JUNIO ]]&gt;45,Tabla1[[#This Row],[JUNIO ]]/45-1,0))</f>
        <v>0</v>
      </c>
      <c r="AM547" s="100">
        <f>IF(Tabla1[[#This Row],[TIPO DE CONSUMIDOR]]="MEDIO",IF(Tabla1[[#This Row],[JULIO ]]&gt;22.5,Tabla1[[#This Row],[JULIO ]]/22.5-1,0),IF(Tabla1[[#This Row],[JULIO ]]&gt;45,Tabla1[[#This Row],[JULIO ]]/45-1,0))</f>
        <v>0</v>
      </c>
      <c r="AN547" s="100">
        <f>IF(Tabla1[[#This Row],[TIPO DE CONSUMIDOR]]="MEDIO",IF(Tabla1[[#This Row],[AGOSTO]]&gt;22.5,Tabla1[[#This Row],[AGOSTO]]/22.5-1,0),IF(Tabla1[[#This Row],[AGOSTO]]&gt;45,Tabla1[[#This Row],[AGOSTO]]/45-1,0))</f>
        <v>0</v>
      </c>
      <c r="AO54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7" s="101">
        <f t="shared" si="17"/>
        <v>0</v>
      </c>
      <c r="AT547">
        <f>IF(Tabla1[[#This Row],[MES ADEUDO DE AÑOS PASADOS ]]&gt;0,1,0)</f>
        <v>1</v>
      </c>
      <c r="AU547" s="9">
        <f t="shared" si="18"/>
        <v>1</v>
      </c>
      <c r="AV547" s="60">
        <f>IF(Tabla1[[#This Row],[MESES DE ADEUDO DEL AÑO EN CURSO ]]&gt;0,1,0)</f>
        <v>0</v>
      </c>
    </row>
    <row r="548" spans="1:48" ht="21.75" thickBot="1" x14ac:dyDescent="0.35">
      <c r="A548" s="106">
        <v>542</v>
      </c>
      <c r="B548" s="5" t="s">
        <v>297</v>
      </c>
      <c r="C548" s="2"/>
      <c r="D548" s="32"/>
      <c r="E548" s="35" t="s">
        <v>455</v>
      </c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9">
        <f>SUM(Tabla1[[#This Row],[ENERO ]:[DICIEMBRE]])</f>
        <v>0</v>
      </c>
      <c r="W548">
        <v>9</v>
      </c>
      <c r="X548" s="21">
        <f>COUNTIF(Tabla1[[#This Row],[ENERO ]:[DICIEMBRE]],0)-(AS548)-IF(Tabla1[[#This Row],[BAJAS]]="BAJA",IF(Tabla1[[#This Row],[ALTAS]]="ALTA",VLOOKUP(Tabla1[[#This Row],[MES DE ALTA ]],$AW$6:$AX$17,2,FALSE),12)-VLOOKUP(Tabla1[[#This Row],[MES DE BAJA ]],$AW$6:$AX$17,2,FALSE),0)</f>
        <v>0</v>
      </c>
      <c r="Y548" s="68">
        <f>SUM(Tabla1[[#This Row],[MES ADEUDO DE AÑOS PASADOS ]:[MESES DE ADEUDO DEL AÑO EN CURSO ]])-Tabla1[[#This Row],[PAGO DE DEUDA ANTERIOR EN MESES]]</f>
        <v>9</v>
      </c>
      <c r="Z548" s="15">
        <f>Tabla1[[#This Row],[MES ADEUDO DE AÑOS PASADOS ]]*$T$2</f>
        <v>405</v>
      </c>
      <c r="AA548" s="15">
        <f>Tabla1[[#This Row],[MESES DE ADEUDO DEL AÑO EN CURSO ]]*$T$2</f>
        <v>0</v>
      </c>
      <c r="AB548" s="69">
        <f>SUM(Tabla1[[#This Row],[DEUDA DE LOS MESES PASADOS EN $$]:[DEUDA DEL AÑO 2013 $$ ]])</f>
        <v>405</v>
      </c>
      <c r="AD548">
        <f>Tabla1[[#This Row],[PAGO DE DEUDA ANTERIOR EN MESES]]*$T$2</f>
        <v>0</v>
      </c>
      <c r="AG548" s="100">
        <f>IF(Tabla1[[#This Row],[TIPO DE CONSUMIDOR]]="MEDIO",IF(Tabla1[[#This Row],[ENERO ]]&gt;22.5,Tabla1[[#This Row],[ENERO ]]/22.5-1,0),IF(Tabla1[[#This Row],[ENERO ]]&gt;45,Tabla1[[#This Row],[ENERO ]]/45-1,0))</f>
        <v>0</v>
      </c>
      <c r="AH54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8" s="100">
        <f>IF(Tabla1[[#This Row],[TIPO DE CONSUMIDOR]]="MEDIO",IF(Tabla1[[#This Row],[MARZO]]&gt;22.5,Tabla1[[#This Row],[MARZO]]/22.5-1,0),IF(Tabla1[[#This Row],[MARZO]]&gt;45,Tabla1[[#This Row],[MARZO]]/45-1,0))</f>
        <v>0</v>
      </c>
      <c r="AJ548" s="100">
        <f>IF(Tabla1[[#This Row],[TIPO DE CONSUMIDOR]]="MEDIO",IF(Tabla1[[#This Row],[ABRIL]]&gt;22.5,Tabla1[[#This Row],[ABRIL]]/22.5-1,0),IF(Tabla1[[#This Row],[ABRIL]]&gt;45,Tabla1[[#This Row],[ABRIL]]/45-1,0))</f>
        <v>0</v>
      </c>
      <c r="AK548" s="100">
        <f>IF(Tabla1[[#This Row],[TIPO DE CONSUMIDOR]]="MEDIO",IF(Tabla1[[#This Row],[MAYO ]]&gt;22.5,Tabla1[[#This Row],[MAYO ]]/22.5-1,0),IF(Tabla1[[#This Row],[MAYO ]]&gt;45,Tabla1[[#This Row],[MAYO ]]/45-1,0))</f>
        <v>0</v>
      </c>
      <c r="AL548" s="100">
        <f>IF(Tabla1[[#This Row],[TIPO DE CONSUMIDOR]]="MEDIO",IF(Tabla1[[#This Row],[JUNIO ]]&gt;22.5,Tabla1[[#This Row],[JUNIO ]]/22.5-1,0),IF(Tabla1[[#This Row],[JUNIO ]]&gt;45,Tabla1[[#This Row],[JUNIO ]]/45-1,0))</f>
        <v>0</v>
      </c>
      <c r="AM548" s="100">
        <f>IF(Tabla1[[#This Row],[TIPO DE CONSUMIDOR]]="MEDIO",IF(Tabla1[[#This Row],[JULIO ]]&gt;22.5,Tabla1[[#This Row],[JULIO ]]/22.5-1,0),IF(Tabla1[[#This Row],[JULIO ]]&gt;45,Tabla1[[#This Row],[JULIO ]]/45-1,0))</f>
        <v>0</v>
      </c>
      <c r="AN548" s="100">
        <f>IF(Tabla1[[#This Row],[TIPO DE CONSUMIDOR]]="MEDIO",IF(Tabla1[[#This Row],[AGOSTO]]&gt;22.5,Tabla1[[#This Row],[AGOSTO]]/22.5-1,0),IF(Tabla1[[#This Row],[AGOSTO]]&gt;45,Tabla1[[#This Row],[AGOSTO]]/45-1,0))</f>
        <v>0</v>
      </c>
      <c r="AO54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8" s="101">
        <f t="shared" si="17"/>
        <v>0</v>
      </c>
      <c r="AT548">
        <f>IF(Tabla1[[#This Row],[MES ADEUDO DE AÑOS PASADOS ]]&gt;0,1,0)</f>
        <v>1</v>
      </c>
      <c r="AU548" s="9">
        <f t="shared" si="18"/>
        <v>1</v>
      </c>
      <c r="AV548" s="60">
        <f>IF(Tabla1[[#This Row],[MESES DE ADEUDO DEL AÑO EN CURSO ]]&gt;0,1,0)</f>
        <v>0</v>
      </c>
    </row>
    <row r="549" spans="1:48" ht="21.75" thickBot="1" x14ac:dyDescent="0.35">
      <c r="A549" s="106">
        <v>543</v>
      </c>
      <c r="B549" s="5" t="s">
        <v>282</v>
      </c>
      <c r="C549" s="2"/>
      <c r="D549" s="32"/>
      <c r="E549" s="35" t="s">
        <v>455</v>
      </c>
      <c r="F549" s="52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4"/>
      <c r="R549" s="59">
        <f>SUM(Tabla1[[#This Row],[ENERO ]:[DICIEMBRE]])</f>
        <v>0</v>
      </c>
      <c r="W549">
        <v>10</v>
      </c>
      <c r="X549" s="21">
        <f>COUNTIF(Tabla1[[#This Row],[ENERO ]:[DICIEMBRE]],0)-(AS549)-IF(Tabla1[[#This Row],[BAJAS]]="BAJA",IF(Tabla1[[#This Row],[ALTAS]]="ALTA",VLOOKUP(Tabla1[[#This Row],[MES DE ALTA ]],$AW$6:$AX$17,2,FALSE),12)-VLOOKUP(Tabla1[[#This Row],[MES DE BAJA ]],$AW$6:$AX$17,2,FALSE),0)</f>
        <v>0</v>
      </c>
      <c r="Y549" s="68">
        <f>SUM(Tabla1[[#This Row],[MES ADEUDO DE AÑOS PASADOS ]:[MESES DE ADEUDO DEL AÑO EN CURSO ]])-Tabla1[[#This Row],[PAGO DE DEUDA ANTERIOR EN MESES]]</f>
        <v>10</v>
      </c>
      <c r="Z549" s="15">
        <f>Tabla1[[#This Row],[MES ADEUDO DE AÑOS PASADOS ]]*$T$2</f>
        <v>450</v>
      </c>
      <c r="AA549" s="15">
        <f>Tabla1[[#This Row],[MESES DE ADEUDO DEL AÑO EN CURSO ]]*$T$2</f>
        <v>0</v>
      </c>
      <c r="AB549" s="69">
        <f>SUM(Tabla1[[#This Row],[DEUDA DE LOS MESES PASADOS EN $$]:[DEUDA DEL AÑO 2013 $$ ]])</f>
        <v>450</v>
      </c>
      <c r="AD549">
        <f>Tabla1[[#This Row],[PAGO DE DEUDA ANTERIOR EN MESES]]*$T$2</f>
        <v>0</v>
      </c>
      <c r="AG549" s="100">
        <f>IF(Tabla1[[#This Row],[TIPO DE CONSUMIDOR]]="MEDIO",IF(Tabla1[[#This Row],[ENERO ]]&gt;22.5,Tabla1[[#This Row],[ENERO ]]/22.5-1,0),IF(Tabla1[[#This Row],[ENERO ]]&gt;45,Tabla1[[#This Row],[ENERO ]]/45-1,0))</f>
        <v>0</v>
      </c>
      <c r="AH54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49" s="100">
        <f>IF(Tabla1[[#This Row],[TIPO DE CONSUMIDOR]]="MEDIO",IF(Tabla1[[#This Row],[MARZO]]&gt;22.5,Tabla1[[#This Row],[MARZO]]/22.5-1,0),IF(Tabla1[[#This Row],[MARZO]]&gt;45,Tabla1[[#This Row],[MARZO]]/45-1,0))</f>
        <v>0</v>
      </c>
      <c r="AJ549" s="100">
        <f>IF(Tabla1[[#This Row],[TIPO DE CONSUMIDOR]]="MEDIO",IF(Tabla1[[#This Row],[ABRIL]]&gt;22.5,Tabla1[[#This Row],[ABRIL]]/22.5-1,0),IF(Tabla1[[#This Row],[ABRIL]]&gt;45,Tabla1[[#This Row],[ABRIL]]/45-1,0))</f>
        <v>0</v>
      </c>
      <c r="AK549" s="100">
        <f>IF(Tabla1[[#This Row],[TIPO DE CONSUMIDOR]]="MEDIO",IF(Tabla1[[#This Row],[MAYO ]]&gt;22.5,Tabla1[[#This Row],[MAYO ]]/22.5-1,0),IF(Tabla1[[#This Row],[MAYO ]]&gt;45,Tabla1[[#This Row],[MAYO ]]/45-1,0))</f>
        <v>0</v>
      </c>
      <c r="AL549" s="100">
        <f>IF(Tabla1[[#This Row],[TIPO DE CONSUMIDOR]]="MEDIO",IF(Tabla1[[#This Row],[JUNIO ]]&gt;22.5,Tabla1[[#This Row],[JUNIO ]]/22.5-1,0),IF(Tabla1[[#This Row],[JUNIO ]]&gt;45,Tabla1[[#This Row],[JUNIO ]]/45-1,0))</f>
        <v>0</v>
      </c>
      <c r="AM549" s="100">
        <f>IF(Tabla1[[#This Row],[TIPO DE CONSUMIDOR]]="MEDIO",IF(Tabla1[[#This Row],[JULIO ]]&gt;22.5,Tabla1[[#This Row],[JULIO ]]/22.5-1,0),IF(Tabla1[[#This Row],[JULIO ]]&gt;45,Tabla1[[#This Row],[JULIO ]]/45-1,0))</f>
        <v>0</v>
      </c>
      <c r="AN549" s="100">
        <f>IF(Tabla1[[#This Row],[TIPO DE CONSUMIDOR]]="MEDIO",IF(Tabla1[[#This Row],[AGOSTO]]&gt;22.5,Tabla1[[#This Row],[AGOSTO]]/22.5-1,0),IF(Tabla1[[#This Row],[AGOSTO]]&gt;45,Tabla1[[#This Row],[AGOSTO]]/45-1,0))</f>
        <v>0</v>
      </c>
      <c r="AO54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4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4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4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49" s="101">
        <f t="shared" si="17"/>
        <v>0</v>
      </c>
      <c r="AT549">
        <f>IF(Tabla1[[#This Row],[MES ADEUDO DE AÑOS PASADOS ]]&gt;0,1,0)</f>
        <v>1</v>
      </c>
      <c r="AU549" s="9">
        <f t="shared" si="18"/>
        <v>1</v>
      </c>
      <c r="AV549" s="60">
        <f>IF(Tabla1[[#This Row],[MESES DE ADEUDO DEL AÑO EN CURSO ]]&gt;0,1,0)</f>
        <v>0</v>
      </c>
    </row>
    <row r="550" spans="1:48" ht="21.75" thickBot="1" x14ac:dyDescent="0.35">
      <c r="A550" s="106">
        <v>544</v>
      </c>
      <c r="B550" s="5" t="s">
        <v>388</v>
      </c>
      <c r="C550" s="2"/>
      <c r="D550" s="32"/>
      <c r="E550" s="35" t="s">
        <v>455</v>
      </c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9">
        <f>SUM(Tabla1[[#This Row],[ENERO ]:[DICIEMBRE]])</f>
        <v>0</v>
      </c>
      <c r="W550">
        <v>10</v>
      </c>
      <c r="X550" s="21">
        <f>COUNTIF(Tabla1[[#This Row],[ENERO ]:[DICIEMBRE]],0)-(AS550)-IF(Tabla1[[#This Row],[BAJAS]]="BAJA",IF(Tabla1[[#This Row],[ALTAS]]="ALTA",VLOOKUP(Tabla1[[#This Row],[MES DE ALTA ]],$AW$6:$AX$17,2,FALSE),12)-VLOOKUP(Tabla1[[#This Row],[MES DE BAJA ]],$AW$6:$AX$17,2,FALSE),0)</f>
        <v>0</v>
      </c>
      <c r="Y550" s="68">
        <f>SUM(Tabla1[[#This Row],[MES ADEUDO DE AÑOS PASADOS ]:[MESES DE ADEUDO DEL AÑO EN CURSO ]])-Tabla1[[#This Row],[PAGO DE DEUDA ANTERIOR EN MESES]]</f>
        <v>10</v>
      </c>
      <c r="Z550" s="15">
        <f>Tabla1[[#This Row],[MES ADEUDO DE AÑOS PASADOS ]]*$T$2</f>
        <v>450</v>
      </c>
      <c r="AA550" s="15">
        <f>Tabla1[[#This Row],[MESES DE ADEUDO DEL AÑO EN CURSO ]]*$T$2</f>
        <v>0</v>
      </c>
      <c r="AB550" s="69">
        <f>SUM(Tabla1[[#This Row],[DEUDA DE LOS MESES PASADOS EN $$]:[DEUDA DEL AÑO 2013 $$ ]])</f>
        <v>450</v>
      </c>
      <c r="AD550">
        <f>Tabla1[[#This Row],[PAGO DE DEUDA ANTERIOR EN MESES]]*$T$2</f>
        <v>0</v>
      </c>
      <c r="AG550" s="100">
        <f>IF(Tabla1[[#This Row],[TIPO DE CONSUMIDOR]]="MEDIO",IF(Tabla1[[#This Row],[ENERO ]]&gt;22.5,Tabla1[[#This Row],[ENERO ]]/22.5-1,0),IF(Tabla1[[#This Row],[ENERO ]]&gt;45,Tabla1[[#This Row],[ENERO ]]/45-1,0))</f>
        <v>0</v>
      </c>
      <c r="AH55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0" s="100">
        <f>IF(Tabla1[[#This Row],[TIPO DE CONSUMIDOR]]="MEDIO",IF(Tabla1[[#This Row],[MARZO]]&gt;22.5,Tabla1[[#This Row],[MARZO]]/22.5-1,0),IF(Tabla1[[#This Row],[MARZO]]&gt;45,Tabla1[[#This Row],[MARZO]]/45-1,0))</f>
        <v>0</v>
      </c>
      <c r="AJ550" s="100">
        <f>IF(Tabla1[[#This Row],[TIPO DE CONSUMIDOR]]="MEDIO",IF(Tabla1[[#This Row],[ABRIL]]&gt;22.5,Tabla1[[#This Row],[ABRIL]]/22.5-1,0),IF(Tabla1[[#This Row],[ABRIL]]&gt;45,Tabla1[[#This Row],[ABRIL]]/45-1,0))</f>
        <v>0</v>
      </c>
      <c r="AK550" s="100">
        <f>IF(Tabla1[[#This Row],[TIPO DE CONSUMIDOR]]="MEDIO",IF(Tabla1[[#This Row],[MAYO ]]&gt;22.5,Tabla1[[#This Row],[MAYO ]]/22.5-1,0),IF(Tabla1[[#This Row],[MAYO ]]&gt;45,Tabla1[[#This Row],[MAYO ]]/45-1,0))</f>
        <v>0</v>
      </c>
      <c r="AL550" s="100">
        <f>IF(Tabla1[[#This Row],[TIPO DE CONSUMIDOR]]="MEDIO",IF(Tabla1[[#This Row],[JUNIO ]]&gt;22.5,Tabla1[[#This Row],[JUNIO ]]/22.5-1,0),IF(Tabla1[[#This Row],[JUNIO ]]&gt;45,Tabla1[[#This Row],[JUNIO ]]/45-1,0))</f>
        <v>0</v>
      </c>
      <c r="AM550" s="100">
        <f>IF(Tabla1[[#This Row],[TIPO DE CONSUMIDOR]]="MEDIO",IF(Tabla1[[#This Row],[JULIO ]]&gt;22.5,Tabla1[[#This Row],[JULIO ]]/22.5-1,0),IF(Tabla1[[#This Row],[JULIO ]]&gt;45,Tabla1[[#This Row],[JULIO ]]/45-1,0))</f>
        <v>0</v>
      </c>
      <c r="AN550" s="100">
        <f>IF(Tabla1[[#This Row],[TIPO DE CONSUMIDOR]]="MEDIO",IF(Tabla1[[#This Row],[AGOSTO]]&gt;22.5,Tabla1[[#This Row],[AGOSTO]]/22.5-1,0),IF(Tabla1[[#This Row],[AGOSTO]]&gt;45,Tabla1[[#This Row],[AGOSTO]]/45-1,0))</f>
        <v>0</v>
      </c>
      <c r="AO55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0" s="101">
        <f t="shared" si="17"/>
        <v>0</v>
      </c>
      <c r="AT550">
        <f>IF(Tabla1[[#This Row],[MES ADEUDO DE AÑOS PASADOS ]]&gt;0,1,0)</f>
        <v>1</v>
      </c>
      <c r="AU550" s="9">
        <f t="shared" si="18"/>
        <v>1</v>
      </c>
      <c r="AV550" s="60">
        <f>IF(Tabla1[[#This Row],[MESES DE ADEUDO DEL AÑO EN CURSO ]]&gt;0,1,0)</f>
        <v>0</v>
      </c>
    </row>
    <row r="551" spans="1:48" ht="21.75" thickBot="1" x14ac:dyDescent="0.35">
      <c r="A551" s="106">
        <v>545</v>
      </c>
      <c r="B551" s="5" t="s">
        <v>224</v>
      </c>
      <c r="C551" s="2"/>
      <c r="D551" s="32"/>
      <c r="E551" s="35" t="s">
        <v>455</v>
      </c>
      <c r="F551" s="52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4"/>
      <c r="R551" s="55">
        <f>SUM(Tabla1[[#This Row],[ENERO ]:[DICIEMBRE]])</f>
        <v>0</v>
      </c>
      <c r="W551">
        <v>11</v>
      </c>
      <c r="X551" s="21">
        <f>COUNTIF(Tabla1[[#This Row],[ENERO ]:[DICIEMBRE]],0)-(AS551)-IF(Tabla1[[#This Row],[BAJAS]]="BAJA",IF(Tabla1[[#This Row],[ALTAS]]="ALTA",VLOOKUP(Tabla1[[#This Row],[MES DE ALTA ]],$AW$6:$AX$17,2,FALSE),12)-VLOOKUP(Tabla1[[#This Row],[MES DE BAJA ]],$AW$6:$AX$17,2,FALSE),0)</f>
        <v>0</v>
      </c>
      <c r="Y551" s="68">
        <f>SUM(Tabla1[[#This Row],[MES ADEUDO DE AÑOS PASADOS ]:[MESES DE ADEUDO DEL AÑO EN CURSO ]])-Tabla1[[#This Row],[PAGO DE DEUDA ANTERIOR EN MESES]]</f>
        <v>11</v>
      </c>
      <c r="Z551" s="15">
        <f>Tabla1[[#This Row],[MES ADEUDO DE AÑOS PASADOS ]]*$T$2</f>
        <v>495</v>
      </c>
      <c r="AA551" s="15">
        <f>Tabla1[[#This Row],[MESES DE ADEUDO DEL AÑO EN CURSO ]]*$T$2</f>
        <v>0</v>
      </c>
      <c r="AB551" s="69">
        <f>SUM(Tabla1[[#This Row],[DEUDA DE LOS MESES PASADOS EN $$]:[DEUDA DEL AÑO 2013 $$ ]])</f>
        <v>495</v>
      </c>
      <c r="AD551">
        <f>Tabla1[[#This Row],[PAGO DE DEUDA ANTERIOR EN MESES]]*$T$2</f>
        <v>0</v>
      </c>
      <c r="AG551" s="100">
        <f>IF(Tabla1[[#This Row],[TIPO DE CONSUMIDOR]]="MEDIO",IF(Tabla1[[#This Row],[ENERO ]]&gt;22.5,Tabla1[[#This Row],[ENERO ]]/22.5-1,0),IF(Tabla1[[#This Row],[ENERO ]]&gt;45,Tabla1[[#This Row],[ENERO ]]/45-1,0))</f>
        <v>0</v>
      </c>
      <c r="AH55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1" s="100">
        <f>IF(Tabla1[[#This Row],[TIPO DE CONSUMIDOR]]="MEDIO",IF(Tabla1[[#This Row],[MARZO]]&gt;22.5,Tabla1[[#This Row],[MARZO]]/22.5-1,0),IF(Tabla1[[#This Row],[MARZO]]&gt;45,Tabla1[[#This Row],[MARZO]]/45-1,0))</f>
        <v>0</v>
      </c>
      <c r="AJ551" s="100">
        <f>IF(Tabla1[[#This Row],[TIPO DE CONSUMIDOR]]="MEDIO",IF(Tabla1[[#This Row],[ABRIL]]&gt;22.5,Tabla1[[#This Row],[ABRIL]]/22.5-1,0),IF(Tabla1[[#This Row],[ABRIL]]&gt;45,Tabla1[[#This Row],[ABRIL]]/45-1,0))</f>
        <v>0</v>
      </c>
      <c r="AK551" s="100">
        <f>IF(Tabla1[[#This Row],[TIPO DE CONSUMIDOR]]="MEDIO",IF(Tabla1[[#This Row],[MAYO ]]&gt;22.5,Tabla1[[#This Row],[MAYO ]]/22.5-1,0),IF(Tabla1[[#This Row],[MAYO ]]&gt;45,Tabla1[[#This Row],[MAYO ]]/45-1,0))</f>
        <v>0</v>
      </c>
      <c r="AL551" s="100">
        <f>IF(Tabla1[[#This Row],[TIPO DE CONSUMIDOR]]="MEDIO",IF(Tabla1[[#This Row],[JUNIO ]]&gt;22.5,Tabla1[[#This Row],[JUNIO ]]/22.5-1,0),IF(Tabla1[[#This Row],[JUNIO ]]&gt;45,Tabla1[[#This Row],[JUNIO ]]/45-1,0))</f>
        <v>0</v>
      </c>
      <c r="AM551" s="100">
        <f>IF(Tabla1[[#This Row],[TIPO DE CONSUMIDOR]]="MEDIO",IF(Tabla1[[#This Row],[JULIO ]]&gt;22.5,Tabla1[[#This Row],[JULIO ]]/22.5-1,0),IF(Tabla1[[#This Row],[JULIO ]]&gt;45,Tabla1[[#This Row],[JULIO ]]/45-1,0))</f>
        <v>0</v>
      </c>
      <c r="AN551" s="100">
        <f>IF(Tabla1[[#This Row],[TIPO DE CONSUMIDOR]]="MEDIO",IF(Tabla1[[#This Row],[AGOSTO]]&gt;22.5,Tabla1[[#This Row],[AGOSTO]]/22.5-1,0),IF(Tabla1[[#This Row],[AGOSTO]]&gt;45,Tabla1[[#This Row],[AGOSTO]]/45-1,0))</f>
        <v>0</v>
      </c>
      <c r="AO55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1" s="101">
        <f t="shared" si="17"/>
        <v>0</v>
      </c>
      <c r="AT551">
        <f>IF(Tabla1[[#This Row],[MES ADEUDO DE AÑOS PASADOS ]]&gt;0,1,0)</f>
        <v>1</v>
      </c>
      <c r="AU551" s="9">
        <f t="shared" si="18"/>
        <v>1</v>
      </c>
      <c r="AV551" s="60">
        <f>IF(Tabla1[[#This Row],[MESES DE ADEUDO DEL AÑO EN CURSO ]]&gt;0,1,0)</f>
        <v>0</v>
      </c>
    </row>
    <row r="552" spans="1:48" ht="21.75" thickBot="1" x14ac:dyDescent="0.35">
      <c r="A552" s="106">
        <v>546</v>
      </c>
      <c r="B552" s="5" t="s">
        <v>236</v>
      </c>
      <c r="C552" s="2"/>
      <c r="D552" s="32"/>
      <c r="E552" s="35" t="s">
        <v>455</v>
      </c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9">
        <f>SUM(Tabla1[[#This Row],[ENERO ]:[DICIEMBRE]])</f>
        <v>0</v>
      </c>
      <c r="W552">
        <v>12</v>
      </c>
      <c r="X552" s="21">
        <f>COUNTIF(Tabla1[[#This Row],[ENERO ]:[DICIEMBRE]],0)-(AS552)-IF(Tabla1[[#This Row],[BAJAS]]="BAJA",IF(Tabla1[[#This Row],[ALTAS]]="ALTA",VLOOKUP(Tabla1[[#This Row],[MES DE ALTA ]],$AW$6:$AX$17,2,FALSE),12)-VLOOKUP(Tabla1[[#This Row],[MES DE BAJA ]],$AW$6:$AX$17,2,FALSE),0)</f>
        <v>0</v>
      </c>
      <c r="Y552" s="68">
        <f>SUM(Tabla1[[#This Row],[MES ADEUDO DE AÑOS PASADOS ]:[MESES DE ADEUDO DEL AÑO EN CURSO ]])-Tabla1[[#This Row],[PAGO DE DEUDA ANTERIOR EN MESES]]</f>
        <v>12</v>
      </c>
      <c r="Z552" s="15">
        <f>Tabla1[[#This Row],[MES ADEUDO DE AÑOS PASADOS ]]*$T$2</f>
        <v>540</v>
      </c>
      <c r="AA552" s="15">
        <f>Tabla1[[#This Row],[MESES DE ADEUDO DEL AÑO EN CURSO ]]*$T$2</f>
        <v>0</v>
      </c>
      <c r="AB552" s="69">
        <f>SUM(Tabla1[[#This Row],[DEUDA DE LOS MESES PASADOS EN $$]:[DEUDA DEL AÑO 2013 $$ ]])</f>
        <v>540</v>
      </c>
      <c r="AD552">
        <f>Tabla1[[#This Row],[PAGO DE DEUDA ANTERIOR EN MESES]]*$T$2</f>
        <v>0</v>
      </c>
      <c r="AG552" s="100">
        <f>IF(Tabla1[[#This Row],[TIPO DE CONSUMIDOR]]="MEDIO",IF(Tabla1[[#This Row],[ENERO ]]&gt;22.5,Tabla1[[#This Row],[ENERO ]]/22.5-1,0),IF(Tabla1[[#This Row],[ENERO ]]&gt;45,Tabla1[[#This Row],[ENERO ]]/45-1,0))</f>
        <v>0</v>
      </c>
      <c r="AH55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2" s="100">
        <f>IF(Tabla1[[#This Row],[TIPO DE CONSUMIDOR]]="MEDIO",IF(Tabla1[[#This Row],[MARZO]]&gt;22.5,Tabla1[[#This Row],[MARZO]]/22.5-1,0),IF(Tabla1[[#This Row],[MARZO]]&gt;45,Tabla1[[#This Row],[MARZO]]/45-1,0))</f>
        <v>0</v>
      </c>
      <c r="AJ552" s="100">
        <f>IF(Tabla1[[#This Row],[TIPO DE CONSUMIDOR]]="MEDIO",IF(Tabla1[[#This Row],[ABRIL]]&gt;22.5,Tabla1[[#This Row],[ABRIL]]/22.5-1,0),IF(Tabla1[[#This Row],[ABRIL]]&gt;45,Tabla1[[#This Row],[ABRIL]]/45-1,0))</f>
        <v>0</v>
      </c>
      <c r="AK552" s="100">
        <f>IF(Tabla1[[#This Row],[TIPO DE CONSUMIDOR]]="MEDIO",IF(Tabla1[[#This Row],[MAYO ]]&gt;22.5,Tabla1[[#This Row],[MAYO ]]/22.5-1,0),IF(Tabla1[[#This Row],[MAYO ]]&gt;45,Tabla1[[#This Row],[MAYO ]]/45-1,0))</f>
        <v>0</v>
      </c>
      <c r="AL552" s="100">
        <f>IF(Tabla1[[#This Row],[TIPO DE CONSUMIDOR]]="MEDIO",IF(Tabla1[[#This Row],[JUNIO ]]&gt;22.5,Tabla1[[#This Row],[JUNIO ]]/22.5-1,0),IF(Tabla1[[#This Row],[JUNIO ]]&gt;45,Tabla1[[#This Row],[JUNIO ]]/45-1,0))</f>
        <v>0</v>
      </c>
      <c r="AM552" s="100">
        <f>IF(Tabla1[[#This Row],[TIPO DE CONSUMIDOR]]="MEDIO",IF(Tabla1[[#This Row],[JULIO ]]&gt;22.5,Tabla1[[#This Row],[JULIO ]]/22.5-1,0),IF(Tabla1[[#This Row],[JULIO ]]&gt;45,Tabla1[[#This Row],[JULIO ]]/45-1,0))</f>
        <v>0</v>
      </c>
      <c r="AN552" s="100">
        <f>IF(Tabla1[[#This Row],[TIPO DE CONSUMIDOR]]="MEDIO",IF(Tabla1[[#This Row],[AGOSTO]]&gt;22.5,Tabla1[[#This Row],[AGOSTO]]/22.5-1,0),IF(Tabla1[[#This Row],[AGOSTO]]&gt;45,Tabla1[[#This Row],[AGOSTO]]/45-1,0))</f>
        <v>0</v>
      </c>
      <c r="AO55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2" s="101">
        <f t="shared" si="17"/>
        <v>0</v>
      </c>
      <c r="AT552">
        <f>IF(Tabla1[[#This Row],[MES ADEUDO DE AÑOS PASADOS ]]&gt;0,1,0)</f>
        <v>1</v>
      </c>
      <c r="AU552" s="9">
        <f t="shared" si="18"/>
        <v>1</v>
      </c>
      <c r="AV552" s="60">
        <f>IF(Tabla1[[#This Row],[MESES DE ADEUDO DEL AÑO EN CURSO ]]&gt;0,1,0)</f>
        <v>0</v>
      </c>
    </row>
    <row r="553" spans="1:48" ht="21.75" thickBot="1" x14ac:dyDescent="0.35">
      <c r="A553" s="106">
        <v>547</v>
      </c>
      <c r="B553" s="5" t="s">
        <v>210</v>
      </c>
      <c r="C553" s="2"/>
      <c r="D553" s="32"/>
      <c r="E553" s="35" t="s">
        <v>455</v>
      </c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9">
        <f>SUM(Tabla1[[#This Row],[ENERO ]:[DICIEMBRE]])</f>
        <v>0</v>
      </c>
      <c r="W553">
        <v>12</v>
      </c>
      <c r="X553" s="21">
        <f>COUNTIF(Tabla1[[#This Row],[ENERO ]:[DICIEMBRE]],0)-(AS553)-IF(Tabla1[[#This Row],[BAJAS]]="BAJA",IF(Tabla1[[#This Row],[ALTAS]]="ALTA",VLOOKUP(Tabla1[[#This Row],[MES DE ALTA ]],$AW$6:$AX$17,2,FALSE),12)-VLOOKUP(Tabla1[[#This Row],[MES DE BAJA ]],$AW$6:$AX$17,2,FALSE),0)</f>
        <v>0</v>
      </c>
      <c r="Y553" s="68">
        <f>SUM(Tabla1[[#This Row],[MES ADEUDO DE AÑOS PASADOS ]:[MESES DE ADEUDO DEL AÑO EN CURSO ]])-Tabla1[[#This Row],[PAGO DE DEUDA ANTERIOR EN MESES]]</f>
        <v>12</v>
      </c>
      <c r="Z553" s="15">
        <f>Tabla1[[#This Row],[MES ADEUDO DE AÑOS PASADOS ]]*$T$2</f>
        <v>540</v>
      </c>
      <c r="AA553" s="15">
        <f>Tabla1[[#This Row],[MESES DE ADEUDO DEL AÑO EN CURSO ]]*$T$2</f>
        <v>0</v>
      </c>
      <c r="AB553" s="69">
        <f>SUM(Tabla1[[#This Row],[DEUDA DE LOS MESES PASADOS EN $$]:[DEUDA DEL AÑO 2013 $$ ]])</f>
        <v>540</v>
      </c>
      <c r="AD553">
        <f>Tabla1[[#This Row],[PAGO DE DEUDA ANTERIOR EN MESES]]*$T$2</f>
        <v>0</v>
      </c>
      <c r="AG553" s="100">
        <f>IF(Tabla1[[#This Row],[TIPO DE CONSUMIDOR]]="MEDIO",IF(Tabla1[[#This Row],[ENERO ]]&gt;22.5,Tabla1[[#This Row],[ENERO ]]/22.5-1,0),IF(Tabla1[[#This Row],[ENERO ]]&gt;45,Tabla1[[#This Row],[ENERO ]]/45-1,0))</f>
        <v>0</v>
      </c>
      <c r="AH55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3" s="100">
        <f>IF(Tabla1[[#This Row],[TIPO DE CONSUMIDOR]]="MEDIO",IF(Tabla1[[#This Row],[MARZO]]&gt;22.5,Tabla1[[#This Row],[MARZO]]/22.5-1,0),IF(Tabla1[[#This Row],[MARZO]]&gt;45,Tabla1[[#This Row],[MARZO]]/45-1,0))</f>
        <v>0</v>
      </c>
      <c r="AJ553" s="100">
        <f>IF(Tabla1[[#This Row],[TIPO DE CONSUMIDOR]]="MEDIO",IF(Tabla1[[#This Row],[ABRIL]]&gt;22.5,Tabla1[[#This Row],[ABRIL]]/22.5-1,0),IF(Tabla1[[#This Row],[ABRIL]]&gt;45,Tabla1[[#This Row],[ABRIL]]/45-1,0))</f>
        <v>0</v>
      </c>
      <c r="AK553" s="100">
        <f>IF(Tabla1[[#This Row],[TIPO DE CONSUMIDOR]]="MEDIO",IF(Tabla1[[#This Row],[MAYO ]]&gt;22.5,Tabla1[[#This Row],[MAYO ]]/22.5-1,0),IF(Tabla1[[#This Row],[MAYO ]]&gt;45,Tabla1[[#This Row],[MAYO ]]/45-1,0))</f>
        <v>0</v>
      </c>
      <c r="AL553" s="100">
        <f>IF(Tabla1[[#This Row],[TIPO DE CONSUMIDOR]]="MEDIO",IF(Tabla1[[#This Row],[JUNIO ]]&gt;22.5,Tabla1[[#This Row],[JUNIO ]]/22.5-1,0),IF(Tabla1[[#This Row],[JUNIO ]]&gt;45,Tabla1[[#This Row],[JUNIO ]]/45-1,0))</f>
        <v>0</v>
      </c>
      <c r="AM553" s="100">
        <f>IF(Tabla1[[#This Row],[TIPO DE CONSUMIDOR]]="MEDIO",IF(Tabla1[[#This Row],[JULIO ]]&gt;22.5,Tabla1[[#This Row],[JULIO ]]/22.5-1,0),IF(Tabla1[[#This Row],[JULIO ]]&gt;45,Tabla1[[#This Row],[JULIO ]]/45-1,0))</f>
        <v>0</v>
      </c>
      <c r="AN553" s="100">
        <f>IF(Tabla1[[#This Row],[TIPO DE CONSUMIDOR]]="MEDIO",IF(Tabla1[[#This Row],[AGOSTO]]&gt;22.5,Tabla1[[#This Row],[AGOSTO]]/22.5-1,0),IF(Tabla1[[#This Row],[AGOSTO]]&gt;45,Tabla1[[#This Row],[AGOSTO]]/45-1,0))</f>
        <v>0</v>
      </c>
      <c r="AO55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3" s="101">
        <f t="shared" si="17"/>
        <v>0</v>
      </c>
      <c r="AT553">
        <f>IF(Tabla1[[#This Row],[MES ADEUDO DE AÑOS PASADOS ]]&gt;0,1,0)</f>
        <v>1</v>
      </c>
      <c r="AU553" s="9">
        <f t="shared" si="18"/>
        <v>1</v>
      </c>
      <c r="AV553" s="60">
        <f>IF(Tabla1[[#This Row],[MESES DE ADEUDO DEL AÑO EN CURSO ]]&gt;0,1,0)</f>
        <v>0</v>
      </c>
    </row>
    <row r="554" spans="1:48" ht="21.75" thickBot="1" x14ac:dyDescent="0.35">
      <c r="A554" s="106">
        <v>548</v>
      </c>
      <c r="B554" s="5" t="s">
        <v>213</v>
      </c>
      <c r="C554" s="2"/>
      <c r="D554" s="32"/>
      <c r="E554" s="35" t="s">
        <v>455</v>
      </c>
      <c r="F554" s="52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4"/>
      <c r="R554" s="59">
        <f>SUM(Tabla1[[#This Row],[ENERO ]:[DICIEMBRE]])</f>
        <v>0</v>
      </c>
      <c r="W554">
        <v>12</v>
      </c>
      <c r="X554" s="21">
        <f>COUNTIF(Tabla1[[#This Row],[ENERO ]:[DICIEMBRE]],0)-(AS554)-IF(Tabla1[[#This Row],[BAJAS]]="BAJA",IF(Tabla1[[#This Row],[ALTAS]]="ALTA",VLOOKUP(Tabla1[[#This Row],[MES DE ALTA ]],$AW$6:$AX$17,2,FALSE),12)-VLOOKUP(Tabla1[[#This Row],[MES DE BAJA ]],$AW$6:$AX$17,2,FALSE),0)</f>
        <v>0</v>
      </c>
      <c r="Y554" s="68">
        <f>SUM(Tabla1[[#This Row],[MES ADEUDO DE AÑOS PASADOS ]:[MESES DE ADEUDO DEL AÑO EN CURSO ]])-Tabla1[[#This Row],[PAGO DE DEUDA ANTERIOR EN MESES]]</f>
        <v>12</v>
      </c>
      <c r="Z554" s="15">
        <f>Tabla1[[#This Row],[MES ADEUDO DE AÑOS PASADOS ]]*$T$2</f>
        <v>540</v>
      </c>
      <c r="AA554" s="15">
        <f>Tabla1[[#This Row],[MESES DE ADEUDO DEL AÑO EN CURSO ]]*$T$2</f>
        <v>0</v>
      </c>
      <c r="AB554" s="69">
        <f>SUM(Tabla1[[#This Row],[DEUDA DE LOS MESES PASADOS EN $$]:[DEUDA DEL AÑO 2013 $$ ]])</f>
        <v>540</v>
      </c>
      <c r="AD554">
        <f>Tabla1[[#This Row],[PAGO DE DEUDA ANTERIOR EN MESES]]*$T$2</f>
        <v>0</v>
      </c>
      <c r="AG554" s="100">
        <f>IF(Tabla1[[#This Row],[TIPO DE CONSUMIDOR]]="MEDIO",IF(Tabla1[[#This Row],[ENERO ]]&gt;22.5,Tabla1[[#This Row],[ENERO ]]/22.5-1,0),IF(Tabla1[[#This Row],[ENERO ]]&gt;45,Tabla1[[#This Row],[ENERO ]]/45-1,0))</f>
        <v>0</v>
      </c>
      <c r="AH55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4" s="100">
        <f>IF(Tabla1[[#This Row],[TIPO DE CONSUMIDOR]]="MEDIO",IF(Tabla1[[#This Row],[MARZO]]&gt;22.5,Tabla1[[#This Row],[MARZO]]/22.5-1,0),IF(Tabla1[[#This Row],[MARZO]]&gt;45,Tabla1[[#This Row],[MARZO]]/45-1,0))</f>
        <v>0</v>
      </c>
      <c r="AJ554" s="100">
        <f>IF(Tabla1[[#This Row],[TIPO DE CONSUMIDOR]]="MEDIO",IF(Tabla1[[#This Row],[ABRIL]]&gt;22.5,Tabla1[[#This Row],[ABRIL]]/22.5-1,0),IF(Tabla1[[#This Row],[ABRIL]]&gt;45,Tabla1[[#This Row],[ABRIL]]/45-1,0))</f>
        <v>0</v>
      </c>
      <c r="AK554" s="100">
        <f>IF(Tabla1[[#This Row],[TIPO DE CONSUMIDOR]]="MEDIO",IF(Tabla1[[#This Row],[MAYO ]]&gt;22.5,Tabla1[[#This Row],[MAYO ]]/22.5-1,0),IF(Tabla1[[#This Row],[MAYO ]]&gt;45,Tabla1[[#This Row],[MAYO ]]/45-1,0))</f>
        <v>0</v>
      </c>
      <c r="AL554" s="100">
        <f>IF(Tabla1[[#This Row],[TIPO DE CONSUMIDOR]]="MEDIO",IF(Tabla1[[#This Row],[JUNIO ]]&gt;22.5,Tabla1[[#This Row],[JUNIO ]]/22.5-1,0),IF(Tabla1[[#This Row],[JUNIO ]]&gt;45,Tabla1[[#This Row],[JUNIO ]]/45-1,0))</f>
        <v>0</v>
      </c>
      <c r="AM554" s="100">
        <f>IF(Tabla1[[#This Row],[TIPO DE CONSUMIDOR]]="MEDIO",IF(Tabla1[[#This Row],[JULIO ]]&gt;22.5,Tabla1[[#This Row],[JULIO ]]/22.5-1,0),IF(Tabla1[[#This Row],[JULIO ]]&gt;45,Tabla1[[#This Row],[JULIO ]]/45-1,0))</f>
        <v>0</v>
      </c>
      <c r="AN554" s="100">
        <f>IF(Tabla1[[#This Row],[TIPO DE CONSUMIDOR]]="MEDIO",IF(Tabla1[[#This Row],[AGOSTO]]&gt;22.5,Tabla1[[#This Row],[AGOSTO]]/22.5-1,0),IF(Tabla1[[#This Row],[AGOSTO]]&gt;45,Tabla1[[#This Row],[AGOSTO]]/45-1,0))</f>
        <v>0</v>
      </c>
      <c r="AO55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4" s="101">
        <f t="shared" si="17"/>
        <v>0</v>
      </c>
      <c r="AT554">
        <f>IF(Tabla1[[#This Row],[MES ADEUDO DE AÑOS PASADOS ]]&gt;0,1,0)</f>
        <v>1</v>
      </c>
      <c r="AU554" s="9">
        <f t="shared" si="18"/>
        <v>1</v>
      </c>
      <c r="AV554" s="60">
        <f>IF(Tabla1[[#This Row],[MESES DE ADEUDO DEL AÑO EN CURSO ]]&gt;0,1,0)</f>
        <v>0</v>
      </c>
    </row>
    <row r="555" spans="1:48" ht="21.75" thickBot="1" x14ac:dyDescent="0.35">
      <c r="A555" s="106">
        <v>549</v>
      </c>
      <c r="B555" s="5" t="s">
        <v>259</v>
      </c>
      <c r="C555" s="2"/>
      <c r="D555" s="32"/>
      <c r="E555" s="35" t="s">
        <v>455</v>
      </c>
      <c r="F555" s="52"/>
      <c r="G555" s="52"/>
      <c r="H555" s="52"/>
      <c r="I555" s="52"/>
      <c r="J555" s="52"/>
      <c r="K555" s="52"/>
      <c r="L555" s="52"/>
      <c r="M555" s="53"/>
      <c r="N555" s="53"/>
      <c r="O555" s="53"/>
      <c r="P555" s="53"/>
      <c r="Q555" s="54"/>
      <c r="R555" s="55">
        <f>SUM(Tabla1[[#This Row],[ENERO ]:[DICIEMBRE]])</f>
        <v>0</v>
      </c>
      <c r="W555">
        <v>12</v>
      </c>
      <c r="X555" s="21">
        <f>COUNTIF(Tabla1[[#This Row],[ENERO ]:[DICIEMBRE]],0)-(AS555)-IF(Tabla1[[#This Row],[BAJAS]]="BAJA",IF(Tabla1[[#This Row],[ALTAS]]="ALTA",VLOOKUP(Tabla1[[#This Row],[MES DE ALTA ]],$AW$6:$AX$17,2,FALSE),12)-VLOOKUP(Tabla1[[#This Row],[MES DE BAJA ]],$AW$6:$AX$17,2,FALSE),0)</f>
        <v>0</v>
      </c>
      <c r="Y555" s="68">
        <f>SUM(Tabla1[[#This Row],[MES ADEUDO DE AÑOS PASADOS ]:[MESES DE ADEUDO DEL AÑO EN CURSO ]])-Tabla1[[#This Row],[PAGO DE DEUDA ANTERIOR EN MESES]]</f>
        <v>12</v>
      </c>
      <c r="Z555" s="15">
        <f>Tabla1[[#This Row],[MES ADEUDO DE AÑOS PASADOS ]]*$T$2</f>
        <v>540</v>
      </c>
      <c r="AA555" s="15">
        <f>Tabla1[[#This Row],[MESES DE ADEUDO DEL AÑO EN CURSO ]]*$T$2</f>
        <v>0</v>
      </c>
      <c r="AB555" s="69">
        <f>SUM(Tabla1[[#This Row],[DEUDA DE LOS MESES PASADOS EN $$]:[DEUDA DEL AÑO 2013 $$ ]])</f>
        <v>540</v>
      </c>
      <c r="AD555">
        <f>Tabla1[[#This Row],[PAGO DE DEUDA ANTERIOR EN MESES]]*$T$2</f>
        <v>0</v>
      </c>
      <c r="AG555" s="100">
        <f>IF(Tabla1[[#This Row],[TIPO DE CONSUMIDOR]]="MEDIO",IF(Tabla1[[#This Row],[ENERO ]]&gt;22.5,Tabla1[[#This Row],[ENERO ]]/22.5-1,0),IF(Tabla1[[#This Row],[ENERO ]]&gt;45,Tabla1[[#This Row],[ENERO ]]/45-1,0))</f>
        <v>0</v>
      </c>
      <c r="AH55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5" s="100">
        <f>IF(Tabla1[[#This Row],[TIPO DE CONSUMIDOR]]="MEDIO",IF(Tabla1[[#This Row],[MARZO]]&gt;22.5,Tabla1[[#This Row],[MARZO]]/22.5-1,0),IF(Tabla1[[#This Row],[MARZO]]&gt;45,Tabla1[[#This Row],[MARZO]]/45-1,0))</f>
        <v>0</v>
      </c>
      <c r="AJ555" s="100">
        <f>IF(Tabla1[[#This Row],[TIPO DE CONSUMIDOR]]="MEDIO",IF(Tabla1[[#This Row],[ABRIL]]&gt;22.5,Tabla1[[#This Row],[ABRIL]]/22.5-1,0),IF(Tabla1[[#This Row],[ABRIL]]&gt;45,Tabla1[[#This Row],[ABRIL]]/45-1,0))</f>
        <v>0</v>
      </c>
      <c r="AK555" s="100">
        <f>IF(Tabla1[[#This Row],[TIPO DE CONSUMIDOR]]="MEDIO",IF(Tabla1[[#This Row],[MAYO ]]&gt;22.5,Tabla1[[#This Row],[MAYO ]]/22.5-1,0),IF(Tabla1[[#This Row],[MAYO ]]&gt;45,Tabla1[[#This Row],[MAYO ]]/45-1,0))</f>
        <v>0</v>
      </c>
      <c r="AL555" s="100">
        <f>IF(Tabla1[[#This Row],[TIPO DE CONSUMIDOR]]="MEDIO",IF(Tabla1[[#This Row],[JUNIO ]]&gt;22.5,Tabla1[[#This Row],[JUNIO ]]/22.5-1,0),IF(Tabla1[[#This Row],[JUNIO ]]&gt;45,Tabla1[[#This Row],[JUNIO ]]/45-1,0))</f>
        <v>0</v>
      </c>
      <c r="AM555" s="100">
        <f>IF(Tabla1[[#This Row],[TIPO DE CONSUMIDOR]]="MEDIO",IF(Tabla1[[#This Row],[JULIO ]]&gt;22.5,Tabla1[[#This Row],[JULIO ]]/22.5-1,0),IF(Tabla1[[#This Row],[JULIO ]]&gt;45,Tabla1[[#This Row],[JULIO ]]/45-1,0))</f>
        <v>0</v>
      </c>
      <c r="AN555" s="100">
        <f>IF(Tabla1[[#This Row],[TIPO DE CONSUMIDOR]]="MEDIO",IF(Tabla1[[#This Row],[AGOSTO]]&gt;22.5,Tabla1[[#This Row],[AGOSTO]]/22.5-1,0),IF(Tabla1[[#This Row],[AGOSTO]]&gt;45,Tabla1[[#This Row],[AGOSTO]]/45-1,0))</f>
        <v>0</v>
      </c>
      <c r="AO55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5" s="101">
        <f t="shared" si="17"/>
        <v>0</v>
      </c>
      <c r="AT555">
        <f>IF(Tabla1[[#This Row],[MES ADEUDO DE AÑOS PASADOS ]]&gt;0,1,0)</f>
        <v>1</v>
      </c>
      <c r="AU555" s="9">
        <f t="shared" si="18"/>
        <v>1</v>
      </c>
      <c r="AV555" s="60">
        <f>IF(Tabla1[[#This Row],[MESES DE ADEUDO DEL AÑO EN CURSO ]]&gt;0,1,0)</f>
        <v>0</v>
      </c>
    </row>
    <row r="556" spans="1:48" ht="21" x14ac:dyDescent="0.3">
      <c r="A556" s="106">
        <v>550</v>
      </c>
      <c r="B556" s="5" t="s">
        <v>623</v>
      </c>
      <c r="C556" s="2"/>
      <c r="D556" s="32"/>
      <c r="E556" s="35" t="s">
        <v>489</v>
      </c>
      <c r="F556" s="52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4"/>
      <c r="R556" s="59">
        <f>SUM(Tabla1[[#This Row],[ENERO ]:[DICIEMBRE]])</f>
        <v>0</v>
      </c>
      <c r="W556">
        <v>12</v>
      </c>
      <c r="X556" s="21">
        <f>COUNTIF(Tabla1[[#This Row],[ENERO ]:[DICIEMBRE]],0)-(AS556)-IF(Tabla1[[#This Row],[BAJAS]]="BAJA",IF(Tabla1[[#This Row],[ALTAS]]="ALTA",VLOOKUP(Tabla1[[#This Row],[MES DE ALTA ]],$AW$6:$AX$17,2,FALSE),12)-VLOOKUP(Tabla1[[#This Row],[MES DE BAJA ]],$AW$6:$AX$17,2,FALSE),0)</f>
        <v>0</v>
      </c>
      <c r="Y556" s="68">
        <f>SUM(Tabla1[[#This Row],[MES ADEUDO DE AÑOS PASADOS ]:[MESES DE ADEUDO DEL AÑO EN CURSO ]])-Tabla1[[#This Row],[PAGO DE DEUDA ANTERIOR EN MESES]]</f>
        <v>12</v>
      </c>
      <c r="Z556" s="15">
        <f>Tabla1[[#This Row],[MES ADEUDO DE AÑOS PASADOS ]]*$T$2</f>
        <v>540</v>
      </c>
      <c r="AA556" s="15">
        <f>Tabla1[[#This Row],[MESES DE ADEUDO DEL AÑO EN CURSO ]]*$T$2</f>
        <v>0</v>
      </c>
      <c r="AB556" s="69">
        <f>SUM(Tabla1[[#This Row],[DEUDA DE LOS MESES PASADOS EN $$]:[DEUDA DEL AÑO 2013 $$ ]])</f>
        <v>540</v>
      </c>
      <c r="AD556">
        <f>Tabla1[[#This Row],[PAGO DE DEUDA ANTERIOR EN MESES]]*$T$2</f>
        <v>0</v>
      </c>
      <c r="AG556" s="100">
        <f>IF(Tabla1[[#This Row],[TIPO DE CONSUMIDOR]]="MEDIO",IF(Tabla1[[#This Row],[ENERO ]]&gt;22.5,Tabla1[[#This Row],[ENERO ]]/22.5-1,0),IF(Tabla1[[#This Row],[ENERO ]]&gt;45,Tabla1[[#This Row],[ENERO ]]/45-1,0))</f>
        <v>0</v>
      </c>
      <c r="AH55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6" s="100">
        <f>IF(Tabla1[[#This Row],[TIPO DE CONSUMIDOR]]="MEDIO",IF(Tabla1[[#This Row],[MARZO]]&gt;22.5,Tabla1[[#This Row],[MARZO]]/22.5-1,0),IF(Tabla1[[#This Row],[MARZO]]&gt;45,Tabla1[[#This Row],[MARZO]]/45-1,0))</f>
        <v>0</v>
      </c>
      <c r="AJ556" s="100">
        <f>IF(Tabla1[[#This Row],[TIPO DE CONSUMIDOR]]="MEDIO",IF(Tabla1[[#This Row],[ABRIL]]&gt;22.5,Tabla1[[#This Row],[ABRIL]]/22.5-1,0),IF(Tabla1[[#This Row],[ABRIL]]&gt;45,Tabla1[[#This Row],[ABRIL]]/45-1,0))</f>
        <v>0</v>
      </c>
      <c r="AK556" s="100">
        <f>IF(Tabla1[[#This Row],[TIPO DE CONSUMIDOR]]="MEDIO",IF(Tabla1[[#This Row],[MAYO ]]&gt;22.5,Tabla1[[#This Row],[MAYO ]]/22.5-1,0),IF(Tabla1[[#This Row],[MAYO ]]&gt;45,Tabla1[[#This Row],[MAYO ]]/45-1,0))</f>
        <v>0</v>
      </c>
      <c r="AL556" s="100">
        <f>IF(Tabla1[[#This Row],[TIPO DE CONSUMIDOR]]="MEDIO",IF(Tabla1[[#This Row],[JUNIO ]]&gt;22.5,Tabla1[[#This Row],[JUNIO ]]/22.5-1,0),IF(Tabla1[[#This Row],[JUNIO ]]&gt;45,Tabla1[[#This Row],[JUNIO ]]/45-1,0))</f>
        <v>0</v>
      </c>
      <c r="AM556" s="100">
        <f>IF(Tabla1[[#This Row],[TIPO DE CONSUMIDOR]]="MEDIO",IF(Tabla1[[#This Row],[JULIO ]]&gt;22.5,Tabla1[[#This Row],[JULIO ]]/22.5-1,0),IF(Tabla1[[#This Row],[JULIO ]]&gt;45,Tabla1[[#This Row],[JULIO ]]/45-1,0))</f>
        <v>0</v>
      </c>
      <c r="AN556" s="100">
        <f>IF(Tabla1[[#This Row],[TIPO DE CONSUMIDOR]]="MEDIO",IF(Tabla1[[#This Row],[AGOSTO]]&gt;22.5,Tabla1[[#This Row],[AGOSTO]]/22.5-1,0),IF(Tabla1[[#This Row],[AGOSTO]]&gt;45,Tabla1[[#This Row],[AGOSTO]]/45-1,0))</f>
        <v>0</v>
      </c>
      <c r="AO55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6" s="101">
        <f t="shared" si="17"/>
        <v>0</v>
      </c>
      <c r="AT556">
        <f>IF(Tabla1[[#This Row],[MES ADEUDO DE AÑOS PASADOS ]]&gt;0,1,0)</f>
        <v>1</v>
      </c>
      <c r="AU556" s="9">
        <f t="shared" si="18"/>
        <v>1</v>
      </c>
      <c r="AV556" s="60">
        <f>IF(Tabla1[[#This Row],[MESES DE ADEUDO DEL AÑO EN CURSO ]]&gt;0,1,0)</f>
        <v>0</v>
      </c>
    </row>
    <row r="557" spans="1:48" ht="21.75" thickBot="1" x14ac:dyDescent="0.35">
      <c r="A557" s="106">
        <v>551</v>
      </c>
      <c r="B557" s="5" t="s">
        <v>588</v>
      </c>
      <c r="C557" s="2"/>
      <c r="D557" s="46"/>
      <c r="E557" s="36" t="s">
        <v>455</v>
      </c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9">
        <f>SUM(Tabla1[[#This Row],[ENERO ]:[DICIEMBRE]])</f>
        <v>0</v>
      </c>
      <c r="W557">
        <v>12</v>
      </c>
      <c r="X557" s="21">
        <f>COUNTIF(Tabla1[[#This Row],[ENERO ]:[DICIEMBRE]],0)-(AS557)-IF(Tabla1[[#This Row],[BAJAS]]="BAJA",IF(Tabla1[[#This Row],[ALTAS]]="ALTA",VLOOKUP(Tabla1[[#This Row],[MES DE ALTA ]],$AW$6:$AX$17,2,FALSE),12)-VLOOKUP(Tabla1[[#This Row],[MES DE BAJA ]],$AW$6:$AX$17,2,FALSE),0)</f>
        <v>0</v>
      </c>
      <c r="Y557" s="68">
        <f>SUM(Tabla1[[#This Row],[MES ADEUDO DE AÑOS PASADOS ]:[MESES DE ADEUDO DEL AÑO EN CURSO ]])-Tabla1[[#This Row],[PAGO DE DEUDA ANTERIOR EN MESES]]</f>
        <v>12</v>
      </c>
      <c r="Z557" s="15">
        <f>Tabla1[[#This Row],[MES ADEUDO DE AÑOS PASADOS ]]*$T$2</f>
        <v>540</v>
      </c>
      <c r="AA557" s="15">
        <f>Tabla1[[#This Row],[MESES DE ADEUDO DEL AÑO EN CURSO ]]*$T$2</f>
        <v>0</v>
      </c>
      <c r="AB557" s="69">
        <f>SUM(Tabla1[[#This Row],[DEUDA DE LOS MESES PASADOS EN $$]:[DEUDA DEL AÑO 2013 $$ ]])</f>
        <v>540</v>
      </c>
      <c r="AD557">
        <f>Tabla1[[#This Row],[PAGO DE DEUDA ANTERIOR EN MESES]]*$T$2</f>
        <v>0</v>
      </c>
      <c r="AG557" s="100">
        <f>IF(Tabla1[[#This Row],[TIPO DE CONSUMIDOR]]="MEDIO",IF(Tabla1[[#This Row],[ENERO ]]&gt;22.5,Tabla1[[#This Row],[ENERO ]]/22.5-1,0),IF(Tabla1[[#This Row],[ENERO ]]&gt;45,Tabla1[[#This Row],[ENERO ]]/45-1,0))</f>
        <v>0</v>
      </c>
      <c r="AH55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7" s="100">
        <f>IF(Tabla1[[#This Row],[TIPO DE CONSUMIDOR]]="MEDIO",IF(Tabla1[[#This Row],[MARZO]]&gt;22.5,Tabla1[[#This Row],[MARZO]]/22.5-1,0),IF(Tabla1[[#This Row],[MARZO]]&gt;45,Tabla1[[#This Row],[MARZO]]/45-1,0))</f>
        <v>0</v>
      </c>
      <c r="AJ557" s="100">
        <f>IF(Tabla1[[#This Row],[TIPO DE CONSUMIDOR]]="MEDIO",IF(Tabla1[[#This Row],[ABRIL]]&gt;22.5,Tabla1[[#This Row],[ABRIL]]/22.5-1,0),IF(Tabla1[[#This Row],[ABRIL]]&gt;45,Tabla1[[#This Row],[ABRIL]]/45-1,0))</f>
        <v>0</v>
      </c>
      <c r="AK557" s="100">
        <f>IF(Tabla1[[#This Row],[TIPO DE CONSUMIDOR]]="MEDIO",IF(Tabla1[[#This Row],[MAYO ]]&gt;22.5,Tabla1[[#This Row],[MAYO ]]/22.5-1,0),IF(Tabla1[[#This Row],[MAYO ]]&gt;45,Tabla1[[#This Row],[MAYO ]]/45-1,0))</f>
        <v>0</v>
      </c>
      <c r="AL557" s="100">
        <f>IF(Tabla1[[#This Row],[TIPO DE CONSUMIDOR]]="MEDIO",IF(Tabla1[[#This Row],[JUNIO ]]&gt;22.5,Tabla1[[#This Row],[JUNIO ]]/22.5-1,0),IF(Tabla1[[#This Row],[JUNIO ]]&gt;45,Tabla1[[#This Row],[JUNIO ]]/45-1,0))</f>
        <v>0</v>
      </c>
      <c r="AM557" s="100">
        <f>IF(Tabla1[[#This Row],[TIPO DE CONSUMIDOR]]="MEDIO",IF(Tabla1[[#This Row],[JULIO ]]&gt;22.5,Tabla1[[#This Row],[JULIO ]]/22.5-1,0),IF(Tabla1[[#This Row],[JULIO ]]&gt;45,Tabla1[[#This Row],[JULIO ]]/45-1,0))</f>
        <v>0</v>
      </c>
      <c r="AN557" s="100">
        <f>IF(Tabla1[[#This Row],[TIPO DE CONSUMIDOR]]="MEDIO",IF(Tabla1[[#This Row],[AGOSTO]]&gt;22.5,Tabla1[[#This Row],[AGOSTO]]/22.5-1,0),IF(Tabla1[[#This Row],[AGOSTO]]&gt;45,Tabla1[[#This Row],[AGOSTO]]/45-1,0))</f>
        <v>0</v>
      </c>
      <c r="AO55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7" s="101">
        <f t="shared" si="17"/>
        <v>0</v>
      </c>
      <c r="AT557">
        <f>IF(Tabla1[[#This Row],[MES ADEUDO DE AÑOS PASADOS ]]&gt;0,1,0)</f>
        <v>1</v>
      </c>
      <c r="AU557" s="9">
        <f t="shared" si="18"/>
        <v>1</v>
      </c>
      <c r="AV557" s="60">
        <f>IF(Tabla1[[#This Row],[MESES DE ADEUDO DEL AÑO EN CURSO ]]&gt;0,1,0)</f>
        <v>0</v>
      </c>
    </row>
    <row r="558" spans="1:48" ht="21.75" thickBot="1" x14ac:dyDescent="0.35">
      <c r="A558" s="106">
        <v>552</v>
      </c>
      <c r="B558" s="5" t="s">
        <v>338</v>
      </c>
      <c r="C558" s="2"/>
      <c r="D558" s="32"/>
      <c r="E558" s="35" t="s">
        <v>455</v>
      </c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9">
        <f>SUM(Tabla1[[#This Row],[ENERO ]:[DICIEMBRE]])</f>
        <v>0</v>
      </c>
      <c r="W558">
        <v>12</v>
      </c>
      <c r="X558" s="21">
        <f>COUNTIF(Tabla1[[#This Row],[ENERO ]:[DICIEMBRE]],0)-(AS558)-IF(Tabla1[[#This Row],[BAJAS]]="BAJA",IF(Tabla1[[#This Row],[ALTAS]]="ALTA",VLOOKUP(Tabla1[[#This Row],[MES DE ALTA ]],$AW$6:$AX$17,2,FALSE),12)-VLOOKUP(Tabla1[[#This Row],[MES DE BAJA ]],$AW$6:$AX$17,2,FALSE),0)</f>
        <v>0</v>
      </c>
      <c r="Y558" s="68">
        <f>SUM(Tabla1[[#This Row],[MES ADEUDO DE AÑOS PASADOS ]:[MESES DE ADEUDO DEL AÑO EN CURSO ]])-Tabla1[[#This Row],[PAGO DE DEUDA ANTERIOR EN MESES]]</f>
        <v>12</v>
      </c>
      <c r="Z558" s="15">
        <f>Tabla1[[#This Row],[MES ADEUDO DE AÑOS PASADOS ]]*$T$2</f>
        <v>540</v>
      </c>
      <c r="AA558" s="15">
        <f>Tabla1[[#This Row],[MESES DE ADEUDO DEL AÑO EN CURSO ]]*$T$2</f>
        <v>0</v>
      </c>
      <c r="AB558" s="69">
        <f>SUM(Tabla1[[#This Row],[DEUDA DE LOS MESES PASADOS EN $$]:[DEUDA DEL AÑO 2013 $$ ]])</f>
        <v>540</v>
      </c>
      <c r="AD558">
        <f>Tabla1[[#This Row],[PAGO DE DEUDA ANTERIOR EN MESES]]*$T$2</f>
        <v>0</v>
      </c>
      <c r="AG558" s="100">
        <f>IF(Tabla1[[#This Row],[TIPO DE CONSUMIDOR]]="MEDIO",IF(Tabla1[[#This Row],[ENERO ]]&gt;22.5,Tabla1[[#This Row],[ENERO ]]/22.5-1,0),IF(Tabla1[[#This Row],[ENERO ]]&gt;45,Tabla1[[#This Row],[ENERO ]]/45-1,0))</f>
        <v>0</v>
      </c>
      <c r="AH55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8" s="100">
        <f>IF(Tabla1[[#This Row],[TIPO DE CONSUMIDOR]]="MEDIO",IF(Tabla1[[#This Row],[MARZO]]&gt;22.5,Tabla1[[#This Row],[MARZO]]/22.5-1,0),IF(Tabla1[[#This Row],[MARZO]]&gt;45,Tabla1[[#This Row],[MARZO]]/45-1,0))</f>
        <v>0</v>
      </c>
      <c r="AJ558" s="100">
        <f>IF(Tabla1[[#This Row],[TIPO DE CONSUMIDOR]]="MEDIO",IF(Tabla1[[#This Row],[ABRIL]]&gt;22.5,Tabla1[[#This Row],[ABRIL]]/22.5-1,0),IF(Tabla1[[#This Row],[ABRIL]]&gt;45,Tabla1[[#This Row],[ABRIL]]/45-1,0))</f>
        <v>0</v>
      </c>
      <c r="AK558" s="100">
        <f>IF(Tabla1[[#This Row],[TIPO DE CONSUMIDOR]]="MEDIO",IF(Tabla1[[#This Row],[MAYO ]]&gt;22.5,Tabla1[[#This Row],[MAYO ]]/22.5-1,0),IF(Tabla1[[#This Row],[MAYO ]]&gt;45,Tabla1[[#This Row],[MAYO ]]/45-1,0))</f>
        <v>0</v>
      </c>
      <c r="AL558" s="100">
        <f>IF(Tabla1[[#This Row],[TIPO DE CONSUMIDOR]]="MEDIO",IF(Tabla1[[#This Row],[JUNIO ]]&gt;22.5,Tabla1[[#This Row],[JUNIO ]]/22.5-1,0),IF(Tabla1[[#This Row],[JUNIO ]]&gt;45,Tabla1[[#This Row],[JUNIO ]]/45-1,0))</f>
        <v>0</v>
      </c>
      <c r="AM558" s="100">
        <f>IF(Tabla1[[#This Row],[TIPO DE CONSUMIDOR]]="MEDIO",IF(Tabla1[[#This Row],[JULIO ]]&gt;22.5,Tabla1[[#This Row],[JULIO ]]/22.5-1,0),IF(Tabla1[[#This Row],[JULIO ]]&gt;45,Tabla1[[#This Row],[JULIO ]]/45-1,0))</f>
        <v>0</v>
      </c>
      <c r="AN558" s="100">
        <f>IF(Tabla1[[#This Row],[TIPO DE CONSUMIDOR]]="MEDIO",IF(Tabla1[[#This Row],[AGOSTO]]&gt;22.5,Tabla1[[#This Row],[AGOSTO]]/22.5-1,0),IF(Tabla1[[#This Row],[AGOSTO]]&gt;45,Tabla1[[#This Row],[AGOSTO]]/45-1,0))</f>
        <v>0</v>
      </c>
      <c r="AO55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8" s="101">
        <f t="shared" si="17"/>
        <v>0</v>
      </c>
      <c r="AT558">
        <f>IF(Tabla1[[#This Row],[MES ADEUDO DE AÑOS PASADOS ]]&gt;0,1,0)</f>
        <v>1</v>
      </c>
      <c r="AU558" s="9">
        <f t="shared" si="18"/>
        <v>1</v>
      </c>
      <c r="AV558" s="60">
        <f>IF(Tabla1[[#This Row],[MESES DE ADEUDO DEL AÑO EN CURSO ]]&gt;0,1,0)</f>
        <v>0</v>
      </c>
    </row>
    <row r="559" spans="1:48" ht="21.75" thickBot="1" x14ac:dyDescent="0.35">
      <c r="A559" s="106">
        <v>553</v>
      </c>
      <c r="B559" s="5" t="s">
        <v>368</v>
      </c>
      <c r="C559" s="2"/>
      <c r="D559" s="32"/>
      <c r="E559" s="35" t="s">
        <v>455</v>
      </c>
      <c r="F559" s="52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4"/>
      <c r="R559" s="59">
        <f>SUM(Tabla1[[#This Row],[ENERO ]:[DICIEMBRE]])</f>
        <v>0</v>
      </c>
      <c r="W559">
        <v>12</v>
      </c>
      <c r="X559" s="21">
        <f>COUNTIF(Tabla1[[#This Row],[ENERO ]:[DICIEMBRE]],0)-(AS559)-IF(Tabla1[[#This Row],[BAJAS]]="BAJA",IF(Tabla1[[#This Row],[ALTAS]]="ALTA",VLOOKUP(Tabla1[[#This Row],[MES DE ALTA ]],$AW$6:$AX$17,2,FALSE),12)-VLOOKUP(Tabla1[[#This Row],[MES DE BAJA ]],$AW$6:$AX$17,2,FALSE),0)</f>
        <v>0</v>
      </c>
      <c r="Y559" s="68">
        <f>SUM(Tabla1[[#This Row],[MES ADEUDO DE AÑOS PASADOS ]:[MESES DE ADEUDO DEL AÑO EN CURSO ]])-Tabla1[[#This Row],[PAGO DE DEUDA ANTERIOR EN MESES]]</f>
        <v>12</v>
      </c>
      <c r="Z559" s="15">
        <f>Tabla1[[#This Row],[MES ADEUDO DE AÑOS PASADOS ]]*$T$2</f>
        <v>540</v>
      </c>
      <c r="AA559" s="15">
        <f>Tabla1[[#This Row],[MESES DE ADEUDO DEL AÑO EN CURSO ]]*$T$2</f>
        <v>0</v>
      </c>
      <c r="AB559" s="69">
        <f>SUM(Tabla1[[#This Row],[DEUDA DE LOS MESES PASADOS EN $$]:[DEUDA DEL AÑO 2013 $$ ]])</f>
        <v>540</v>
      </c>
      <c r="AD559">
        <f>Tabla1[[#This Row],[PAGO DE DEUDA ANTERIOR EN MESES]]*$T$2</f>
        <v>0</v>
      </c>
      <c r="AG559" s="100">
        <f>IF(Tabla1[[#This Row],[TIPO DE CONSUMIDOR]]="MEDIO",IF(Tabla1[[#This Row],[ENERO ]]&gt;22.5,Tabla1[[#This Row],[ENERO ]]/22.5-1,0),IF(Tabla1[[#This Row],[ENERO ]]&gt;45,Tabla1[[#This Row],[ENERO ]]/45-1,0))</f>
        <v>0</v>
      </c>
      <c r="AH55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59" s="100">
        <f>IF(Tabla1[[#This Row],[TIPO DE CONSUMIDOR]]="MEDIO",IF(Tabla1[[#This Row],[MARZO]]&gt;22.5,Tabla1[[#This Row],[MARZO]]/22.5-1,0),IF(Tabla1[[#This Row],[MARZO]]&gt;45,Tabla1[[#This Row],[MARZO]]/45-1,0))</f>
        <v>0</v>
      </c>
      <c r="AJ559" s="100">
        <f>IF(Tabla1[[#This Row],[TIPO DE CONSUMIDOR]]="MEDIO",IF(Tabla1[[#This Row],[ABRIL]]&gt;22.5,Tabla1[[#This Row],[ABRIL]]/22.5-1,0),IF(Tabla1[[#This Row],[ABRIL]]&gt;45,Tabla1[[#This Row],[ABRIL]]/45-1,0))</f>
        <v>0</v>
      </c>
      <c r="AK559" s="100">
        <f>IF(Tabla1[[#This Row],[TIPO DE CONSUMIDOR]]="MEDIO",IF(Tabla1[[#This Row],[MAYO ]]&gt;22.5,Tabla1[[#This Row],[MAYO ]]/22.5-1,0),IF(Tabla1[[#This Row],[MAYO ]]&gt;45,Tabla1[[#This Row],[MAYO ]]/45-1,0))</f>
        <v>0</v>
      </c>
      <c r="AL559" s="100">
        <f>IF(Tabla1[[#This Row],[TIPO DE CONSUMIDOR]]="MEDIO",IF(Tabla1[[#This Row],[JUNIO ]]&gt;22.5,Tabla1[[#This Row],[JUNIO ]]/22.5-1,0),IF(Tabla1[[#This Row],[JUNIO ]]&gt;45,Tabla1[[#This Row],[JUNIO ]]/45-1,0))</f>
        <v>0</v>
      </c>
      <c r="AM559" s="100">
        <f>IF(Tabla1[[#This Row],[TIPO DE CONSUMIDOR]]="MEDIO",IF(Tabla1[[#This Row],[JULIO ]]&gt;22.5,Tabla1[[#This Row],[JULIO ]]/22.5-1,0),IF(Tabla1[[#This Row],[JULIO ]]&gt;45,Tabla1[[#This Row],[JULIO ]]/45-1,0))</f>
        <v>0</v>
      </c>
      <c r="AN559" s="100">
        <f>IF(Tabla1[[#This Row],[TIPO DE CONSUMIDOR]]="MEDIO",IF(Tabla1[[#This Row],[AGOSTO]]&gt;22.5,Tabla1[[#This Row],[AGOSTO]]/22.5-1,0),IF(Tabla1[[#This Row],[AGOSTO]]&gt;45,Tabla1[[#This Row],[AGOSTO]]/45-1,0))</f>
        <v>0</v>
      </c>
      <c r="AO55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5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5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5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59" s="101">
        <f t="shared" si="17"/>
        <v>0</v>
      </c>
      <c r="AT559">
        <f>IF(Tabla1[[#This Row],[MES ADEUDO DE AÑOS PASADOS ]]&gt;0,1,0)</f>
        <v>1</v>
      </c>
      <c r="AU559" s="9">
        <f t="shared" si="18"/>
        <v>1</v>
      </c>
      <c r="AV559" s="60">
        <f>IF(Tabla1[[#This Row],[MESES DE ADEUDO DEL AÑO EN CURSO ]]&gt;0,1,0)</f>
        <v>0</v>
      </c>
    </row>
    <row r="560" spans="1:48" ht="21.75" thickBot="1" x14ac:dyDescent="0.35">
      <c r="A560" s="106">
        <v>554</v>
      </c>
      <c r="B560" s="5" t="s">
        <v>398</v>
      </c>
      <c r="C560" s="2"/>
      <c r="D560" s="32"/>
      <c r="E560" s="35" t="s">
        <v>455</v>
      </c>
      <c r="F560" s="52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4"/>
      <c r="R560" s="59">
        <f>SUM(Tabla1[[#This Row],[ENERO ]:[DICIEMBRE]])</f>
        <v>0</v>
      </c>
      <c r="W560">
        <v>12</v>
      </c>
      <c r="X560" s="21">
        <f>COUNTIF(Tabla1[[#This Row],[ENERO ]:[DICIEMBRE]],0)-(AS560)-IF(Tabla1[[#This Row],[BAJAS]]="BAJA",IF(Tabla1[[#This Row],[ALTAS]]="ALTA",VLOOKUP(Tabla1[[#This Row],[MES DE ALTA ]],$AW$6:$AX$17,2,FALSE),12)-VLOOKUP(Tabla1[[#This Row],[MES DE BAJA ]],$AW$6:$AX$17,2,FALSE),0)</f>
        <v>0</v>
      </c>
      <c r="Y560" s="68">
        <f>SUM(Tabla1[[#This Row],[MES ADEUDO DE AÑOS PASADOS ]:[MESES DE ADEUDO DEL AÑO EN CURSO ]])-Tabla1[[#This Row],[PAGO DE DEUDA ANTERIOR EN MESES]]</f>
        <v>12</v>
      </c>
      <c r="Z560" s="15">
        <f>Tabla1[[#This Row],[MES ADEUDO DE AÑOS PASADOS ]]*$T$2</f>
        <v>540</v>
      </c>
      <c r="AA560" s="15">
        <f>Tabla1[[#This Row],[MESES DE ADEUDO DEL AÑO EN CURSO ]]*$T$2</f>
        <v>0</v>
      </c>
      <c r="AB560" s="69">
        <f>SUM(Tabla1[[#This Row],[DEUDA DE LOS MESES PASADOS EN $$]:[DEUDA DEL AÑO 2013 $$ ]])</f>
        <v>540</v>
      </c>
      <c r="AD560">
        <f>Tabla1[[#This Row],[PAGO DE DEUDA ANTERIOR EN MESES]]*$T$2</f>
        <v>0</v>
      </c>
      <c r="AG560" s="100">
        <f>IF(Tabla1[[#This Row],[TIPO DE CONSUMIDOR]]="MEDIO",IF(Tabla1[[#This Row],[ENERO ]]&gt;22.5,Tabla1[[#This Row],[ENERO ]]/22.5-1,0),IF(Tabla1[[#This Row],[ENERO ]]&gt;45,Tabla1[[#This Row],[ENERO ]]/45-1,0))</f>
        <v>0</v>
      </c>
      <c r="AH56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0" s="100">
        <f>IF(Tabla1[[#This Row],[TIPO DE CONSUMIDOR]]="MEDIO",IF(Tabla1[[#This Row],[MARZO]]&gt;22.5,Tabla1[[#This Row],[MARZO]]/22.5-1,0),IF(Tabla1[[#This Row],[MARZO]]&gt;45,Tabla1[[#This Row],[MARZO]]/45-1,0))</f>
        <v>0</v>
      </c>
      <c r="AJ560" s="100">
        <f>IF(Tabla1[[#This Row],[TIPO DE CONSUMIDOR]]="MEDIO",IF(Tabla1[[#This Row],[ABRIL]]&gt;22.5,Tabla1[[#This Row],[ABRIL]]/22.5-1,0),IF(Tabla1[[#This Row],[ABRIL]]&gt;45,Tabla1[[#This Row],[ABRIL]]/45-1,0))</f>
        <v>0</v>
      </c>
      <c r="AK560" s="100">
        <f>IF(Tabla1[[#This Row],[TIPO DE CONSUMIDOR]]="MEDIO",IF(Tabla1[[#This Row],[MAYO ]]&gt;22.5,Tabla1[[#This Row],[MAYO ]]/22.5-1,0),IF(Tabla1[[#This Row],[MAYO ]]&gt;45,Tabla1[[#This Row],[MAYO ]]/45-1,0))</f>
        <v>0</v>
      </c>
      <c r="AL560" s="100">
        <f>IF(Tabla1[[#This Row],[TIPO DE CONSUMIDOR]]="MEDIO",IF(Tabla1[[#This Row],[JUNIO ]]&gt;22.5,Tabla1[[#This Row],[JUNIO ]]/22.5-1,0),IF(Tabla1[[#This Row],[JUNIO ]]&gt;45,Tabla1[[#This Row],[JUNIO ]]/45-1,0))</f>
        <v>0</v>
      </c>
      <c r="AM560" s="100">
        <f>IF(Tabla1[[#This Row],[TIPO DE CONSUMIDOR]]="MEDIO",IF(Tabla1[[#This Row],[JULIO ]]&gt;22.5,Tabla1[[#This Row],[JULIO ]]/22.5-1,0),IF(Tabla1[[#This Row],[JULIO ]]&gt;45,Tabla1[[#This Row],[JULIO ]]/45-1,0))</f>
        <v>0</v>
      </c>
      <c r="AN560" s="100">
        <f>IF(Tabla1[[#This Row],[TIPO DE CONSUMIDOR]]="MEDIO",IF(Tabla1[[#This Row],[AGOSTO]]&gt;22.5,Tabla1[[#This Row],[AGOSTO]]/22.5-1,0),IF(Tabla1[[#This Row],[AGOSTO]]&gt;45,Tabla1[[#This Row],[AGOSTO]]/45-1,0))</f>
        <v>0</v>
      </c>
      <c r="AO56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0" s="101">
        <f t="shared" si="17"/>
        <v>0</v>
      </c>
      <c r="AT560">
        <f>IF(Tabla1[[#This Row],[MES ADEUDO DE AÑOS PASADOS ]]&gt;0,1,0)</f>
        <v>1</v>
      </c>
      <c r="AU560" s="9">
        <f t="shared" si="18"/>
        <v>1</v>
      </c>
      <c r="AV560" s="60">
        <f>IF(Tabla1[[#This Row],[MESES DE ADEUDO DEL AÑO EN CURSO ]]&gt;0,1,0)</f>
        <v>0</v>
      </c>
    </row>
    <row r="561" spans="1:48" ht="21" x14ac:dyDescent="0.3">
      <c r="A561" s="106">
        <v>555</v>
      </c>
      <c r="B561" s="5" t="s">
        <v>133</v>
      </c>
      <c r="C561" s="2"/>
      <c r="D561" s="32"/>
      <c r="E561" s="35" t="s">
        <v>455</v>
      </c>
      <c r="F561" s="52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4"/>
      <c r="R561" s="59">
        <f>SUM(Tabla1[[#This Row],[ENERO ]:[DICIEMBRE]])</f>
        <v>0</v>
      </c>
      <c r="W561">
        <v>13</v>
      </c>
      <c r="X561" s="21">
        <f>COUNTIF(Tabla1[[#This Row],[ENERO ]:[DICIEMBRE]],0)-(AS561)-IF(Tabla1[[#This Row],[BAJAS]]="BAJA",IF(Tabla1[[#This Row],[ALTAS]]="ALTA",VLOOKUP(Tabla1[[#This Row],[MES DE ALTA ]],$AW$6:$AX$17,2,FALSE),12)-VLOOKUP(Tabla1[[#This Row],[MES DE BAJA ]],$AW$6:$AX$17,2,FALSE),0)</f>
        <v>0</v>
      </c>
      <c r="Y561" s="68">
        <f>SUM(Tabla1[[#This Row],[MES ADEUDO DE AÑOS PASADOS ]:[MESES DE ADEUDO DEL AÑO EN CURSO ]])-Tabla1[[#This Row],[PAGO DE DEUDA ANTERIOR EN MESES]]</f>
        <v>13</v>
      </c>
      <c r="Z561" s="15">
        <f>Tabla1[[#This Row],[MES ADEUDO DE AÑOS PASADOS ]]*$T$2</f>
        <v>585</v>
      </c>
      <c r="AA561" s="15">
        <f>Tabla1[[#This Row],[MESES DE ADEUDO DEL AÑO EN CURSO ]]*$T$2</f>
        <v>0</v>
      </c>
      <c r="AB561" s="69">
        <f>SUM(Tabla1[[#This Row],[DEUDA DE LOS MESES PASADOS EN $$]:[DEUDA DEL AÑO 2013 $$ ]])</f>
        <v>585</v>
      </c>
      <c r="AD561">
        <f>Tabla1[[#This Row],[PAGO DE DEUDA ANTERIOR EN MESES]]*$T$2</f>
        <v>0</v>
      </c>
      <c r="AG561" s="100">
        <f>IF(Tabla1[[#This Row],[TIPO DE CONSUMIDOR]]="MEDIO",IF(Tabla1[[#This Row],[ENERO ]]&gt;22.5,Tabla1[[#This Row],[ENERO ]]/22.5-1,0),IF(Tabla1[[#This Row],[ENERO ]]&gt;45,Tabla1[[#This Row],[ENERO ]]/45-1,0))</f>
        <v>0</v>
      </c>
      <c r="AH56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1" s="100">
        <f>IF(Tabla1[[#This Row],[TIPO DE CONSUMIDOR]]="MEDIO",IF(Tabla1[[#This Row],[MARZO]]&gt;22.5,Tabla1[[#This Row],[MARZO]]/22.5-1,0),IF(Tabla1[[#This Row],[MARZO]]&gt;45,Tabla1[[#This Row],[MARZO]]/45-1,0))</f>
        <v>0</v>
      </c>
      <c r="AJ561" s="100">
        <f>IF(Tabla1[[#This Row],[TIPO DE CONSUMIDOR]]="MEDIO",IF(Tabla1[[#This Row],[ABRIL]]&gt;22.5,Tabla1[[#This Row],[ABRIL]]/22.5-1,0),IF(Tabla1[[#This Row],[ABRIL]]&gt;45,Tabla1[[#This Row],[ABRIL]]/45-1,0))</f>
        <v>0</v>
      </c>
      <c r="AK561" s="100">
        <f>IF(Tabla1[[#This Row],[TIPO DE CONSUMIDOR]]="MEDIO",IF(Tabla1[[#This Row],[MAYO ]]&gt;22.5,Tabla1[[#This Row],[MAYO ]]/22.5-1,0),IF(Tabla1[[#This Row],[MAYO ]]&gt;45,Tabla1[[#This Row],[MAYO ]]/45-1,0))</f>
        <v>0</v>
      </c>
      <c r="AL561" s="100">
        <f>IF(Tabla1[[#This Row],[TIPO DE CONSUMIDOR]]="MEDIO",IF(Tabla1[[#This Row],[JUNIO ]]&gt;22.5,Tabla1[[#This Row],[JUNIO ]]/22.5-1,0),IF(Tabla1[[#This Row],[JUNIO ]]&gt;45,Tabla1[[#This Row],[JUNIO ]]/45-1,0))</f>
        <v>0</v>
      </c>
      <c r="AM561" s="100">
        <f>IF(Tabla1[[#This Row],[TIPO DE CONSUMIDOR]]="MEDIO",IF(Tabla1[[#This Row],[JULIO ]]&gt;22.5,Tabla1[[#This Row],[JULIO ]]/22.5-1,0),IF(Tabla1[[#This Row],[JULIO ]]&gt;45,Tabla1[[#This Row],[JULIO ]]/45-1,0))</f>
        <v>0</v>
      </c>
      <c r="AN561" s="100">
        <f>IF(Tabla1[[#This Row],[TIPO DE CONSUMIDOR]]="MEDIO",IF(Tabla1[[#This Row],[AGOSTO]]&gt;22.5,Tabla1[[#This Row],[AGOSTO]]/22.5-1,0),IF(Tabla1[[#This Row],[AGOSTO]]&gt;45,Tabla1[[#This Row],[AGOSTO]]/45-1,0))</f>
        <v>0</v>
      </c>
      <c r="AO56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1" s="101">
        <f t="shared" si="17"/>
        <v>0</v>
      </c>
      <c r="AT561">
        <f>IF(Tabla1[[#This Row],[MES ADEUDO DE AÑOS PASADOS ]]&gt;0,1,0)</f>
        <v>1</v>
      </c>
      <c r="AU561" s="9">
        <f t="shared" si="18"/>
        <v>1</v>
      </c>
      <c r="AV561" s="60">
        <f>IF(Tabla1[[#This Row],[MESES DE ADEUDO DEL AÑO EN CURSO ]]&gt;0,1,0)</f>
        <v>0</v>
      </c>
    </row>
    <row r="562" spans="1:48" ht="21.75" thickBot="1" x14ac:dyDescent="0.35">
      <c r="A562" s="106">
        <v>556</v>
      </c>
      <c r="B562" s="5" t="s">
        <v>405</v>
      </c>
      <c r="C562" s="2"/>
      <c r="D562" s="46"/>
      <c r="E562" s="36" t="s">
        <v>455</v>
      </c>
      <c r="F562" s="52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4"/>
      <c r="R562" s="59">
        <f>SUM(Tabla1[[#This Row],[ENERO ]:[DICIEMBRE]])</f>
        <v>0</v>
      </c>
      <c r="W562">
        <v>14</v>
      </c>
      <c r="X562" s="21">
        <f>COUNTIF(Tabla1[[#This Row],[ENERO ]:[DICIEMBRE]],0)-(AS562)-IF(Tabla1[[#This Row],[BAJAS]]="BAJA",IF(Tabla1[[#This Row],[ALTAS]]="ALTA",VLOOKUP(Tabla1[[#This Row],[MES DE ALTA ]],$AW$6:$AX$17,2,FALSE),12)-VLOOKUP(Tabla1[[#This Row],[MES DE BAJA ]],$AW$6:$AX$17,2,FALSE),0)</f>
        <v>0</v>
      </c>
      <c r="Y562" s="68">
        <f>SUM(Tabla1[[#This Row],[MES ADEUDO DE AÑOS PASADOS ]:[MESES DE ADEUDO DEL AÑO EN CURSO ]])-Tabla1[[#This Row],[PAGO DE DEUDA ANTERIOR EN MESES]]</f>
        <v>14</v>
      </c>
      <c r="Z562" s="15">
        <f>Tabla1[[#This Row],[MES ADEUDO DE AÑOS PASADOS ]]*$T$2</f>
        <v>630</v>
      </c>
      <c r="AA562" s="15">
        <f>Tabla1[[#This Row],[MESES DE ADEUDO DEL AÑO EN CURSO ]]*$T$2</f>
        <v>0</v>
      </c>
      <c r="AB562" s="69">
        <f>SUM(Tabla1[[#This Row],[DEUDA DE LOS MESES PASADOS EN $$]:[DEUDA DEL AÑO 2013 $$ ]])</f>
        <v>630</v>
      </c>
      <c r="AD562">
        <f>Tabla1[[#This Row],[PAGO DE DEUDA ANTERIOR EN MESES]]*$T$2</f>
        <v>0</v>
      </c>
      <c r="AG562" s="100">
        <f>IF(Tabla1[[#This Row],[TIPO DE CONSUMIDOR]]="MEDIO",IF(Tabla1[[#This Row],[ENERO ]]&gt;22.5,Tabla1[[#This Row],[ENERO ]]/22.5-1,0),IF(Tabla1[[#This Row],[ENERO ]]&gt;45,Tabla1[[#This Row],[ENERO ]]/45-1,0))</f>
        <v>0</v>
      </c>
      <c r="AH56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2" s="100">
        <f>IF(Tabla1[[#This Row],[TIPO DE CONSUMIDOR]]="MEDIO",IF(Tabla1[[#This Row],[MARZO]]&gt;22.5,Tabla1[[#This Row],[MARZO]]/22.5-1,0),IF(Tabla1[[#This Row],[MARZO]]&gt;45,Tabla1[[#This Row],[MARZO]]/45-1,0))</f>
        <v>0</v>
      </c>
      <c r="AJ562" s="100">
        <f>IF(Tabla1[[#This Row],[TIPO DE CONSUMIDOR]]="MEDIO",IF(Tabla1[[#This Row],[ABRIL]]&gt;22.5,Tabla1[[#This Row],[ABRIL]]/22.5-1,0),IF(Tabla1[[#This Row],[ABRIL]]&gt;45,Tabla1[[#This Row],[ABRIL]]/45-1,0))</f>
        <v>0</v>
      </c>
      <c r="AK562" s="100">
        <f>IF(Tabla1[[#This Row],[TIPO DE CONSUMIDOR]]="MEDIO",IF(Tabla1[[#This Row],[MAYO ]]&gt;22.5,Tabla1[[#This Row],[MAYO ]]/22.5-1,0),IF(Tabla1[[#This Row],[MAYO ]]&gt;45,Tabla1[[#This Row],[MAYO ]]/45-1,0))</f>
        <v>0</v>
      </c>
      <c r="AL562" s="100">
        <f>IF(Tabla1[[#This Row],[TIPO DE CONSUMIDOR]]="MEDIO",IF(Tabla1[[#This Row],[JUNIO ]]&gt;22.5,Tabla1[[#This Row],[JUNIO ]]/22.5-1,0),IF(Tabla1[[#This Row],[JUNIO ]]&gt;45,Tabla1[[#This Row],[JUNIO ]]/45-1,0))</f>
        <v>0</v>
      </c>
      <c r="AM562" s="100">
        <f>IF(Tabla1[[#This Row],[TIPO DE CONSUMIDOR]]="MEDIO",IF(Tabla1[[#This Row],[JULIO ]]&gt;22.5,Tabla1[[#This Row],[JULIO ]]/22.5-1,0),IF(Tabla1[[#This Row],[JULIO ]]&gt;45,Tabla1[[#This Row],[JULIO ]]/45-1,0))</f>
        <v>0</v>
      </c>
      <c r="AN562" s="100">
        <f>IF(Tabla1[[#This Row],[TIPO DE CONSUMIDOR]]="MEDIO",IF(Tabla1[[#This Row],[AGOSTO]]&gt;22.5,Tabla1[[#This Row],[AGOSTO]]/22.5-1,0),IF(Tabla1[[#This Row],[AGOSTO]]&gt;45,Tabla1[[#This Row],[AGOSTO]]/45-1,0))</f>
        <v>0</v>
      </c>
      <c r="AO56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2" s="101">
        <f t="shared" si="17"/>
        <v>0</v>
      </c>
      <c r="AT562">
        <f>IF(Tabla1[[#This Row],[MES ADEUDO DE AÑOS PASADOS ]]&gt;0,1,0)</f>
        <v>1</v>
      </c>
      <c r="AU562" s="9">
        <f t="shared" si="18"/>
        <v>1</v>
      </c>
      <c r="AV562" s="60">
        <f>IF(Tabla1[[#This Row],[MESES DE ADEUDO DEL AÑO EN CURSO ]]&gt;0,1,0)</f>
        <v>0</v>
      </c>
    </row>
    <row r="563" spans="1:48" ht="21.75" thickBot="1" x14ac:dyDescent="0.35">
      <c r="A563" s="106">
        <v>557</v>
      </c>
      <c r="B563" s="5" t="s">
        <v>583</v>
      </c>
      <c r="C563" s="2"/>
      <c r="D563" s="32"/>
      <c r="E563" s="35" t="s">
        <v>455</v>
      </c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9">
        <f>SUM(Tabla1[[#This Row],[ENERO ]:[DICIEMBRE]])</f>
        <v>0</v>
      </c>
      <c r="W563">
        <v>15</v>
      </c>
      <c r="X563" s="21">
        <f>COUNTIF(Tabla1[[#This Row],[ENERO ]:[DICIEMBRE]],0)-(AS563)-IF(Tabla1[[#This Row],[BAJAS]]="BAJA",IF(Tabla1[[#This Row],[ALTAS]]="ALTA",VLOOKUP(Tabla1[[#This Row],[MES DE ALTA ]],$AW$6:$AX$17,2,FALSE),12)-VLOOKUP(Tabla1[[#This Row],[MES DE BAJA ]],$AW$6:$AX$17,2,FALSE),0)</f>
        <v>0</v>
      </c>
      <c r="Y563" s="68">
        <f>SUM(Tabla1[[#This Row],[MES ADEUDO DE AÑOS PASADOS ]:[MESES DE ADEUDO DEL AÑO EN CURSO ]])-Tabla1[[#This Row],[PAGO DE DEUDA ANTERIOR EN MESES]]</f>
        <v>15</v>
      </c>
      <c r="Z563" s="15">
        <f>Tabla1[[#This Row],[MES ADEUDO DE AÑOS PASADOS ]]*$T$2</f>
        <v>675</v>
      </c>
      <c r="AA563" s="15">
        <f>Tabla1[[#This Row],[MESES DE ADEUDO DEL AÑO EN CURSO ]]*$T$2</f>
        <v>0</v>
      </c>
      <c r="AB563" s="69">
        <f>SUM(Tabla1[[#This Row],[DEUDA DE LOS MESES PASADOS EN $$]:[DEUDA DEL AÑO 2013 $$ ]])</f>
        <v>675</v>
      </c>
      <c r="AD563">
        <f>Tabla1[[#This Row],[PAGO DE DEUDA ANTERIOR EN MESES]]*$T$2</f>
        <v>0</v>
      </c>
      <c r="AG563" s="100">
        <f>IF(Tabla1[[#This Row],[TIPO DE CONSUMIDOR]]="MEDIO",IF(Tabla1[[#This Row],[ENERO ]]&gt;22.5,Tabla1[[#This Row],[ENERO ]]/22.5-1,0),IF(Tabla1[[#This Row],[ENERO ]]&gt;45,Tabla1[[#This Row],[ENERO ]]/45-1,0))</f>
        <v>0</v>
      </c>
      <c r="AH56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3" s="100">
        <f>IF(Tabla1[[#This Row],[TIPO DE CONSUMIDOR]]="MEDIO",IF(Tabla1[[#This Row],[MARZO]]&gt;22.5,Tabla1[[#This Row],[MARZO]]/22.5-1,0),IF(Tabla1[[#This Row],[MARZO]]&gt;45,Tabla1[[#This Row],[MARZO]]/45-1,0))</f>
        <v>0</v>
      </c>
      <c r="AJ563" s="100">
        <f>IF(Tabla1[[#This Row],[TIPO DE CONSUMIDOR]]="MEDIO",IF(Tabla1[[#This Row],[ABRIL]]&gt;22.5,Tabla1[[#This Row],[ABRIL]]/22.5-1,0),IF(Tabla1[[#This Row],[ABRIL]]&gt;45,Tabla1[[#This Row],[ABRIL]]/45-1,0))</f>
        <v>0</v>
      </c>
      <c r="AK563" s="100">
        <f>IF(Tabla1[[#This Row],[TIPO DE CONSUMIDOR]]="MEDIO",IF(Tabla1[[#This Row],[MAYO ]]&gt;22.5,Tabla1[[#This Row],[MAYO ]]/22.5-1,0),IF(Tabla1[[#This Row],[MAYO ]]&gt;45,Tabla1[[#This Row],[MAYO ]]/45-1,0))</f>
        <v>0</v>
      </c>
      <c r="AL563" s="100">
        <f>IF(Tabla1[[#This Row],[TIPO DE CONSUMIDOR]]="MEDIO",IF(Tabla1[[#This Row],[JUNIO ]]&gt;22.5,Tabla1[[#This Row],[JUNIO ]]/22.5-1,0),IF(Tabla1[[#This Row],[JUNIO ]]&gt;45,Tabla1[[#This Row],[JUNIO ]]/45-1,0))</f>
        <v>0</v>
      </c>
      <c r="AM563" s="100">
        <f>IF(Tabla1[[#This Row],[TIPO DE CONSUMIDOR]]="MEDIO",IF(Tabla1[[#This Row],[JULIO ]]&gt;22.5,Tabla1[[#This Row],[JULIO ]]/22.5-1,0),IF(Tabla1[[#This Row],[JULIO ]]&gt;45,Tabla1[[#This Row],[JULIO ]]/45-1,0))</f>
        <v>0</v>
      </c>
      <c r="AN563" s="100">
        <f>IF(Tabla1[[#This Row],[TIPO DE CONSUMIDOR]]="MEDIO",IF(Tabla1[[#This Row],[AGOSTO]]&gt;22.5,Tabla1[[#This Row],[AGOSTO]]/22.5-1,0),IF(Tabla1[[#This Row],[AGOSTO]]&gt;45,Tabla1[[#This Row],[AGOSTO]]/45-1,0))</f>
        <v>0</v>
      </c>
      <c r="AO56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3" s="101">
        <f t="shared" si="17"/>
        <v>0</v>
      </c>
      <c r="AT563">
        <f>IF(Tabla1[[#This Row],[MES ADEUDO DE AÑOS PASADOS ]]&gt;0,1,0)</f>
        <v>1</v>
      </c>
      <c r="AU563" s="9">
        <f t="shared" si="18"/>
        <v>1</v>
      </c>
      <c r="AV563" s="60">
        <f>IF(Tabla1[[#This Row],[MESES DE ADEUDO DEL AÑO EN CURSO ]]&gt;0,1,0)</f>
        <v>0</v>
      </c>
    </row>
    <row r="564" spans="1:48" ht="21.75" thickBot="1" x14ac:dyDescent="0.35">
      <c r="A564" s="106">
        <v>558</v>
      </c>
      <c r="B564" s="5" t="s">
        <v>360</v>
      </c>
      <c r="C564" s="2"/>
      <c r="D564" s="32"/>
      <c r="E564" s="35" t="s">
        <v>455</v>
      </c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9">
        <f>SUM(Tabla1[[#This Row],[ENERO ]:[DICIEMBRE]])</f>
        <v>0</v>
      </c>
      <c r="W564">
        <v>15</v>
      </c>
      <c r="X564" s="21">
        <f>COUNTIF(Tabla1[[#This Row],[ENERO ]:[DICIEMBRE]],0)-(AS564)-IF(Tabla1[[#This Row],[BAJAS]]="BAJA",IF(Tabla1[[#This Row],[ALTAS]]="ALTA",VLOOKUP(Tabla1[[#This Row],[MES DE ALTA ]],$AW$6:$AX$17,2,FALSE),12)-VLOOKUP(Tabla1[[#This Row],[MES DE BAJA ]],$AW$6:$AX$17,2,FALSE),0)</f>
        <v>0</v>
      </c>
      <c r="Y564" s="68">
        <f>SUM(Tabla1[[#This Row],[MES ADEUDO DE AÑOS PASADOS ]:[MESES DE ADEUDO DEL AÑO EN CURSO ]])-Tabla1[[#This Row],[PAGO DE DEUDA ANTERIOR EN MESES]]</f>
        <v>15</v>
      </c>
      <c r="Z564" s="15">
        <f>Tabla1[[#This Row],[MES ADEUDO DE AÑOS PASADOS ]]*$T$2</f>
        <v>675</v>
      </c>
      <c r="AA564" s="15">
        <f>Tabla1[[#This Row],[MESES DE ADEUDO DEL AÑO EN CURSO ]]*$T$2</f>
        <v>0</v>
      </c>
      <c r="AB564" s="69">
        <f>SUM(Tabla1[[#This Row],[DEUDA DE LOS MESES PASADOS EN $$]:[DEUDA DEL AÑO 2013 $$ ]])</f>
        <v>675</v>
      </c>
      <c r="AD564">
        <f>Tabla1[[#This Row],[PAGO DE DEUDA ANTERIOR EN MESES]]*$T$2</f>
        <v>0</v>
      </c>
      <c r="AG564" s="100">
        <f>IF(Tabla1[[#This Row],[TIPO DE CONSUMIDOR]]="MEDIO",IF(Tabla1[[#This Row],[ENERO ]]&gt;22.5,Tabla1[[#This Row],[ENERO ]]/22.5-1,0),IF(Tabla1[[#This Row],[ENERO ]]&gt;45,Tabla1[[#This Row],[ENERO ]]/45-1,0))</f>
        <v>0</v>
      </c>
      <c r="AH56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4" s="100">
        <f>IF(Tabla1[[#This Row],[TIPO DE CONSUMIDOR]]="MEDIO",IF(Tabla1[[#This Row],[MARZO]]&gt;22.5,Tabla1[[#This Row],[MARZO]]/22.5-1,0),IF(Tabla1[[#This Row],[MARZO]]&gt;45,Tabla1[[#This Row],[MARZO]]/45-1,0))</f>
        <v>0</v>
      </c>
      <c r="AJ564" s="100">
        <f>IF(Tabla1[[#This Row],[TIPO DE CONSUMIDOR]]="MEDIO",IF(Tabla1[[#This Row],[ABRIL]]&gt;22.5,Tabla1[[#This Row],[ABRIL]]/22.5-1,0),IF(Tabla1[[#This Row],[ABRIL]]&gt;45,Tabla1[[#This Row],[ABRIL]]/45-1,0))</f>
        <v>0</v>
      </c>
      <c r="AK564" s="100">
        <f>IF(Tabla1[[#This Row],[TIPO DE CONSUMIDOR]]="MEDIO",IF(Tabla1[[#This Row],[MAYO ]]&gt;22.5,Tabla1[[#This Row],[MAYO ]]/22.5-1,0),IF(Tabla1[[#This Row],[MAYO ]]&gt;45,Tabla1[[#This Row],[MAYO ]]/45-1,0))</f>
        <v>0</v>
      </c>
      <c r="AL564" s="100">
        <f>IF(Tabla1[[#This Row],[TIPO DE CONSUMIDOR]]="MEDIO",IF(Tabla1[[#This Row],[JUNIO ]]&gt;22.5,Tabla1[[#This Row],[JUNIO ]]/22.5-1,0),IF(Tabla1[[#This Row],[JUNIO ]]&gt;45,Tabla1[[#This Row],[JUNIO ]]/45-1,0))</f>
        <v>0</v>
      </c>
      <c r="AM564" s="100">
        <f>IF(Tabla1[[#This Row],[TIPO DE CONSUMIDOR]]="MEDIO",IF(Tabla1[[#This Row],[JULIO ]]&gt;22.5,Tabla1[[#This Row],[JULIO ]]/22.5-1,0),IF(Tabla1[[#This Row],[JULIO ]]&gt;45,Tabla1[[#This Row],[JULIO ]]/45-1,0))</f>
        <v>0</v>
      </c>
      <c r="AN564" s="100">
        <f>IF(Tabla1[[#This Row],[TIPO DE CONSUMIDOR]]="MEDIO",IF(Tabla1[[#This Row],[AGOSTO]]&gt;22.5,Tabla1[[#This Row],[AGOSTO]]/22.5-1,0),IF(Tabla1[[#This Row],[AGOSTO]]&gt;45,Tabla1[[#This Row],[AGOSTO]]/45-1,0))</f>
        <v>0</v>
      </c>
      <c r="AO56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4" s="101">
        <f t="shared" si="17"/>
        <v>0</v>
      </c>
      <c r="AT564">
        <f>IF(Tabla1[[#This Row],[MES ADEUDO DE AÑOS PASADOS ]]&gt;0,1,0)</f>
        <v>1</v>
      </c>
      <c r="AU564" s="9">
        <f t="shared" si="18"/>
        <v>1</v>
      </c>
      <c r="AV564" s="60">
        <f>IF(Tabla1[[#This Row],[MESES DE ADEUDO DEL AÑO EN CURSO ]]&gt;0,1,0)</f>
        <v>0</v>
      </c>
    </row>
    <row r="565" spans="1:48" ht="21.75" thickBot="1" x14ac:dyDescent="0.35">
      <c r="A565" s="106">
        <v>559</v>
      </c>
      <c r="B565" s="11" t="s">
        <v>361</v>
      </c>
      <c r="C565" s="4"/>
      <c r="D565" s="33"/>
      <c r="E565" s="35" t="s">
        <v>455</v>
      </c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9">
        <f>SUM(Tabla1[[#This Row],[ENERO ]:[DICIEMBRE]])</f>
        <v>0</v>
      </c>
      <c r="W565">
        <v>15</v>
      </c>
      <c r="X565" s="21">
        <f>COUNTIF(Tabla1[[#This Row],[ENERO ]:[DICIEMBRE]],0)-(AS565)-IF(Tabla1[[#This Row],[BAJAS]]="BAJA",IF(Tabla1[[#This Row],[ALTAS]]="ALTA",VLOOKUP(Tabla1[[#This Row],[MES DE ALTA ]],$AW$6:$AX$17,2,FALSE),12)-VLOOKUP(Tabla1[[#This Row],[MES DE BAJA ]],$AW$6:$AX$17,2,FALSE),0)</f>
        <v>0</v>
      </c>
      <c r="Y565" s="68">
        <f>SUM(Tabla1[[#This Row],[MES ADEUDO DE AÑOS PASADOS ]:[MESES DE ADEUDO DEL AÑO EN CURSO ]])-Tabla1[[#This Row],[PAGO DE DEUDA ANTERIOR EN MESES]]</f>
        <v>15</v>
      </c>
      <c r="Z565" s="15">
        <f>Tabla1[[#This Row],[MES ADEUDO DE AÑOS PASADOS ]]*$T$2</f>
        <v>675</v>
      </c>
      <c r="AA565" s="15">
        <f>Tabla1[[#This Row],[MESES DE ADEUDO DEL AÑO EN CURSO ]]*$T$2</f>
        <v>0</v>
      </c>
      <c r="AB565" s="69">
        <f>SUM(Tabla1[[#This Row],[DEUDA DE LOS MESES PASADOS EN $$]:[DEUDA DEL AÑO 2013 $$ ]])</f>
        <v>675</v>
      </c>
      <c r="AD565">
        <f>Tabla1[[#This Row],[PAGO DE DEUDA ANTERIOR EN MESES]]*$T$2</f>
        <v>0</v>
      </c>
      <c r="AG565" s="100">
        <f>IF(Tabla1[[#This Row],[TIPO DE CONSUMIDOR]]="MEDIO",IF(Tabla1[[#This Row],[ENERO ]]&gt;22.5,Tabla1[[#This Row],[ENERO ]]/22.5-1,0),IF(Tabla1[[#This Row],[ENERO ]]&gt;45,Tabla1[[#This Row],[ENERO ]]/45-1,0))</f>
        <v>0</v>
      </c>
      <c r="AH56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5" s="100">
        <f>IF(Tabla1[[#This Row],[TIPO DE CONSUMIDOR]]="MEDIO",IF(Tabla1[[#This Row],[MARZO]]&gt;22.5,Tabla1[[#This Row],[MARZO]]/22.5-1,0),IF(Tabla1[[#This Row],[MARZO]]&gt;45,Tabla1[[#This Row],[MARZO]]/45-1,0))</f>
        <v>0</v>
      </c>
      <c r="AJ565" s="100">
        <f>IF(Tabla1[[#This Row],[TIPO DE CONSUMIDOR]]="MEDIO",IF(Tabla1[[#This Row],[ABRIL]]&gt;22.5,Tabla1[[#This Row],[ABRIL]]/22.5-1,0),IF(Tabla1[[#This Row],[ABRIL]]&gt;45,Tabla1[[#This Row],[ABRIL]]/45-1,0))</f>
        <v>0</v>
      </c>
      <c r="AK565" s="100">
        <f>IF(Tabla1[[#This Row],[TIPO DE CONSUMIDOR]]="MEDIO",IF(Tabla1[[#This Row],[MAYO ]]&gt;22.5,Tabla1[[#This Row],[MAYO ]]/22.5-1,0),IF(Tabla1[[#This Row],[MAYO ]]&gt;45,Tabla1[[#This Row],[MAYO ]]/45-1,0))</f>
        <v>0</v>
      </c>
      <c r="AL565" s="100">
        <f>IF(Tabla1[[#This Row],[TIPO DE CONSUMIDOR]]="MEDIO",IF(Tabla1[[#This Row],[JUNIO ]]&gt;22.5,Tabla1[[#This Row],[JUNIO ]]/22.5-1,0),IF(Tabla1[[#This Row],[JUNIO ]]&gt;45,Tabla1[[#This Row],[JUNIO ]]/45-1,0))</f>
        <v>0</v>
      </c>
      <c r="AM565" s="100">
        <f>IF(Tabla1[[#This Row],[TIPO DE CONSUMIDOR]]="MEDIO",IF(Tabla1[[#This Row],[JULIO ]]&gt;22.5,Tabla1[[#This Row],[JULIO ]]/22.5-1,0),IF(Tabla1[[#This Row],[JULIO ]]&gt;45,Tabla1[[#This Row],[JULIO ]]/45-1,0))</f>
        <v>0</v>
      </c>
      <c r="AN565" s="100">
        <f>IF(Tabla1[[#This Row],[TIPO DE CONSUMIDOR]]="MEDIO",IF(Tabla1[[#This Row],[AGOSTO]]&gt;22.5,Tabla1[[#This Row],[AGOSTO]]/22.5-1,0),IF(Tabla1[[#This Row],[AGOSTO]]&gt;45,Tabla1[[#This Row],[AGOSTO]]/45-1,0))</f>
        <v>0</v>
      </c>
      <c r="AO56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5" s="101">
        <f t="shared" si="17"/>
        <v>0</v>
      </c>
      <c r="AT565">
        <f>IF(Tabla1[[#This Row],[MES ADEUDO DE AÑOS PASADOS ]]&gt;0,1,0)</f>
        <v>1</v>
      </c>
      <c r="AU565" s="9">
        <f t="shared" si="18"/>
        <v>1</v>
      </c>
      <c r="AV565" s="60">
        <f>IF(Tabla1[[#This Row],[MESES DE ADEUDO DEL AÑO EN CURSO ]]&gt;0,1,0)</f>
        <v>0</v>
      </c>
    </row>
    <row r="566" spans="1:48" ht="21.75" thickBot="1" x14ac:dyDescent="0.35">
      <c r="A566" s="106">
        <v>560</v>
      </c>
      <c r="B566" s="5" t="s">
        <v>591</v>
      </c>
      <c r="C566" s="2"/>
      <c r="D566" s="32"/>
      <c r="E566" s="35" t="s">
        <v>455</v>
      </c>
      <c r="F566" s="52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4"/>
      <c r="R566" s="59">
        <f>SUM(Tabla1[[#This Row],[ENERO ]:[DICIEMBRE]])</f>
        <v>0</v>
      </c>
      <c r="W566">
        <v>15</v>
      </c>
      <c r="X566" s="21">
        <f>COUNTIF(Tabla1[[#This Row],[ENERO ]:[DICIEMBRE]],0)-(AS566)-IF(Tabla1[[#This Row],[BAJAS]]="BAJA",IF(Tabla1[[#This Row],[ALTAS]]="ALTA",VLOOKUP(Tabla1[[#This Row],[MES DE ALTA ]],$AW$6:$AX$17,2,FALSE),12)-VLOOKUP(Tabla1[[#This Row],[MES DE BAJA ]],$AW$6:$AX$17,2,FALSE),0)</f>
        <v>0</v>
      </c>
      <c r="Y566" s="68">
        <f>SUM(Tabla1[[#This Row],[MES ADEUDO DE AÑOS PASADOS ]:[MESES DE ADEUDO DEL AÑO EN CURSO ]])-Tabla1[[#This Row],[PAGO DE DEUDA ANTERIOR EN MESES]]</f>
        <v>15</v>
      </c>
      <c r="Z566" s="15">
        <f>Tabla1[[#This Row],[MES ADEUDO DE AÑOS PASADOS ]]*$T$2</f>
        <v>675</v>
      </c>
      <c r="AA566" s="15">
        <f>Tabla1[[#This Row],[MESES DE ADEUDO DEL AÑO EN CURSO ]]*$T$2</f>
        <v>0</v>
      </c>
      <c r="AB566" s="69">
        <f>SUM(Tabla1[[#This Row],[DEUDA DE LOS MESES PASADOS EN $$]:[DEUDA DEL AÑO 2013 $$ ]])</f>
        <v>675</v>
      </c>
      <c r="AD566">
        <f>Tabla1[[#This Row],[PAGO DE DEUDA ANTERIOR EN MESES]]*$T$2</f>
        <v>0</v>
      </c>
      <c r="AG566" s="100">
        <f>IF(Tabla1[[#This Row],[TIPO DE CONSUMIDOR]]="MEDIO",IF(Tabla1[[#This Row],[ENERO ]]&gt;22.5,Tabla1[[#This Row],[ENERO ]]/22.5-1,0),IF(Tabla1[[#This Row],[ENERO ]]&gt;45,Tabla1[[#This Row],[ENERO ]]/45-1,0))</f>
        <v>0</v>
      </c>
      <c r="AH56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6" s="100">
        <f>IF(Tabla1[[#This Row],[TIPO DE CONSUMIDOR]]="MEDIO",IF(Tabla1[[#This Row],[MARZO]]&gt;22.5,Tabla1[[#This Row],[MARZO]]/22.5-1,0),IF(Tabla1[[#This Row],[MARZO]]&gt;45,Tabla1[[#This Row],[MARZO]]/45-1,0))</f>
        <v>0</v>
      </c>
      <c r="AJ566" s="100">
        <f>IF(Tabla1[[#This Row],[TIPO DE CONSUMIDOR]]="MEDIO",IF(Tabla1[[#This Row],[ABRIL]]&gt;22.5,Tabla1[[#This Row],[ABRIL]]/22.5-1,0),IF(Tabla1[[#This Row],[ABRIL]]&gt;45,Tabla1[[#This Row],[ABRIL]]/45-1,0))</f>
        <v>0</v>
      </c>
      <c r="AK566" s="100">
        <f>IF(Tabla1[[#This Row],[TIPO DE CONSUMIDOR]]="MEDIO",IF(Tabla1[[#This Row],[MAYO ]]&gt;22.5,Tabla1[[#This Row],[MAYO ]]/22.5-1,0),IF(Tabla1[[#This Row],[MAYO ]]&gt;45,Tabla1[[#This Row],[MAYO ]]/45-1,0))</f>
        <v>0</v>
      </c>
      <c r="AL566" s="100">
        <f>IF(Tabla1[[#This Row],[TIPO DE CONSUMIDOR]]="MEDIO",IF(Tabla1[[#This Row],[JUNIO ]]&gt;22.5,Tabla1[[#This Row],[JUNIO ]]/22.5-1,0),IF(Tabla1[[#This Row],[JUNIO ]]&gt;45,Tabla1[[#This Row],[JUNIO ]]/45-1,0))</f>
        <v>0</v>
      </c>
      <c r="AM566" s="100">
        <f>IF(Tabla1[[#This Row],[TIPO DE CONSUMIDOR]]="MEDIO",IF(Tabla1[[#This Row],[JULIO ]]&gt;22.5,Tabla1[[#This Row],[JULIO ]]/22.5-1,0),IF(Tabla1[[#This Row],[JULIO ]]&gt;45,Tabla1[[#This Row],[JULIO ]]/45-1,0))</f>
        <v>0</v>
      </c>
      <c r="AN566" s="100">
        <f>IF(Tabla1[[#This Row],[TIPO DE CONSUMIDOR]]="MEDIO",IF(Tabla1[[#This Row],[AGOSTO]]&gt;22.5,Tabla1[[#This Row],[AGOSTO]]/22.5-1,0),IF(Tabla1[[#This Row],[AGOSTO]]&gt;45,Tabla1[[#This Row],[AGOSTO]]/45-1,0))</f>
        <v>0</v>
      </c>
      <c r="AO56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6" s="101">
        <f t="shared" si="17"/>
        <v>0</v>
      </c>
      <c r="AT566">
        <f>IF(Tabla1[[#This Row],[MES ADEUDO DE AÑOS PASADOS ]]&gt;0,1,0)</f>
        <v>1</v>
      </c>
      <c r="AU566" s="9">
        <f t="shared" si="18"/>
        <v>1</v>
      </c>
      <c r="AV566" s="60">
        <f>IF(Tabla1[[#This Row],[MESES DE ADEUDO DEL AÑO EN CURSO ]]&gt;0,1,0)</f>
        <v>0</v>
      </c>
    </row>
    <row r="567" spans="1:48" ht="21.75" thickBot="1" x14ac:dyDescent="0.35">
      <c r="A567" s="106">
        <v>561</v>
      </c>
      <c r="B567" s="11" t="s">
        <v>32</v>
      </c>
      <c r="C567" s="4"/>
      <c r="D567" s="33"/>
      <c r="E567" s="35" t="s">
        <v>489</v>
      </c>
      <c r="F567" s="52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4"/>
      <c r="R567" s="59">
        <f>SUM(Tabla1[[#This Row],[ENERO ]:[DICIEMBRE]])</f>
        <v>0</v>
      </c>
      <c r="W567">
        <v>16</v>
      </c>
      <c r="X567" s="21">
        <f>COUNTIF(Tabla1[[#This Row],[ENERO ]:[DICIEMBRE]],0)-(AS567)-IF(Tabla1[[#This Row],[BAJAS]]="BAJA",IF(Tabla1[[#This Row],[ALTAS]]="ALTA",VLOOKUP(Tabla1[[#This Row],[MES DE ALTA ]],$AW$6:$AX$17,2,FALSE),12)-VLOOKUP(Tabla1[[#This Row],[MES DE BAJA ]],$AW$6:$AX$17,2,FALSE),0)</f>
        <v>0</v>
      </c>
      <c r="Y567" s="68">
        <f>SUM(Tabla1[[#This Row],[MES ADEUDO DE AÑOS PASADOS ]:[MESES DE ADEUDO DEL AÑO EN CURSO ]])-Tabla1[[#This Row],[PAGO DE DEUDA ANTERIOR EN MESES]]</f>
        <v>16</v>
      </c>
      <c r="Z567" s="15">
        <f>Tabla1[[#This Row],[MES ADEUDO DE AÑOS PASADOS ]]*$T$2</f>
        <v>720</v>
      </c>
      <c r="AA567" s="15">
        <f>Tabla1[[#This Row],[MESES DE ADEUDO DEL AÑO EN CURSO ]]*$T$2</f>
        <v>0</v>
      </c>
      <c r="AB567" s="69">
        <f>SUM(Tabla1[[#This Row],[DEUDA DE LOS MESES PASADOS EN $$]:[DEUDA DEL AÑO 2013 $$ ]])</f>
        <v>720</v>
      </c>
      <c r="AD567">
        <f>Tabla1[[#This Row],[PAGO DE DEUDA ANTERIOR EN MESES]]*$T$2</f>
        <v>0</v>
      </c>
      <c r="AG567" s="100">
        <f>IF(Tabla1[[#This Row],[TIPO DE CONSUMIDOR]]="MEDIO",IF(Tabla1[[#This Row],[ENERO ]]&gt;22.5,Tabla1[[#This Row],[ENERO ]]/22.5-1,0),IF(Tabla1[[#This Row],[ENERO ]]&gt;45,Tabla1[[#This Row],[ENERO ]]/45-1,0))</f>
        <v>0</v>
      </c>
      <c r="AH56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7" s="100">
        <f>IF(Tabla1[[#This Row],[TIPO DE CONSUMIDOR]]="MEDIO",IF(Tabla1[[#This Row],[MARZO]]&gt;22.5,Tabla1[[#This Row],[MARZO]]/22.5-1,0),IF(Tabla1[[#This Row],[MARZO]]&gt;45,Tabla1[[#This Row],[MARZO]]/45-1,0))</f>
        <v>0</v>
      </c>
      <c r="AJ567" s="100">
        <f>IF(Tabla1[[#This Row],[TIPO DE CONSUMIDOR]]="MEDIO",IF(Tabla1[[#This Row],[ABRIL]]&gt;22.5,Tabla1[[#This Row],[ABRIL]]/22.5-1,0),IF(Tabla1[[#This Row],[ABRIL]]&gt;45,Tabla1[[#This Row],[ABRIL]]/45-1,0))</f>
        <v>0</v>
      </c>
      <c r="AK567" s="100">
        <f>IF(Tabla1[[#This Row],[TIPO DE CONSUMIDOR]]="MEDIO",IF(Tabla1[[#This Row],[MAYO ]]&gt;22.5,Tabla1[[#This Row],[MAYO ]]/22.5-1,0),IF(Tabla1[[#This Row],[MAYO ]]&gt;45,Tabla1[[#This Row],[MAYO ]]/45-1,0))</f>
        <v>0</v>
      </c>
      <c r="AL567" s="100">
        <f>IF(Tabla1[[#This Row],[TIPO DE CONSUMIDOR]]="MEDIO",IF(Tabla1[[#This Row],[JUNIO ]]&gt;22.5,Tabla1[[#This Row],[JUNIO ]]/22.5-1,0),IF(Tabla1[[#This Row],[JUNIO ]]&gt;45,Tabla1[[#This Row],[JUNIO ]]/45-1,0))</f>
        <v>0</v>
      </c>
      <c r="AM567" s="100">
        <f>IF(Tabla1[[#This Row],[TIPO DE CONSUMIDOR]]="MEDIO",IF(Tabla1[[#This Row],[JULIO ]]&gt;22.5,Tabla1[[#This Row],[JULIO ]]/22.5-1,0),IF(Tabla1[[#This Row],[JULIO ]]&gt;45,Tabla1[[#This Row],[JULIO ]]/45-1,0))</f>
        <v>0</v>
      </c>
      <c r="AN567" s="100">
        <f>IF(Tabla1[[#This Row],[TIPO DE CONSUMIDOR]]="MEDIO",IF(Tabla1[[#This Row],[AGOSTO]]&gt;22.5,Tabla1[[#This Row],[AGOSTO]]/22.5-1,0),IF(Tabla1[[#This Row],[AGOSTO]]&gt;45,Tabla1[[#This Row],[AGOSTO]]/45-1,0))</f>
        <v>0</v>
      </c>
      <c r="AO56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7" s="101">
        <f t="shared" si="17"/>
        <v>0</v>
      </c>
      <c r="AT567">
        <f>IF(Tabla1[[#This Row],[MES ADEUDO DE AÑOS PASADOS ]]&gt;0,1,0)</f>
        <v>1</v>
      </c>
      <c r="AU567" s="9">
        <f t="shared" si="18"/>
        <v>1</v>
      </c>
      <c r="AV567" s="60">
        <f>IF(Tabla1[[#This Row],[MESES DE ADEUDO DEL AÑO EN CURSO ]]&gt;0,1,0)</f>
        <v>0</v>
      </c>
    </row>
    <row r="568" spans="1:48" ht="27.75" customHeight="1" thickBot="1" x14ac:dyDescent="0.35">
      <c r="A568" s="106">
        <v>562</v>
      </c>
      <c r="B568" s="5" t="s">
        <v>303</v>
      </c>
      <c r="C568" s="2"/>
      <c r="D568" s="32"/>
      <c r="E568" s="35" t="s">
        <v>455</v>
      </c>
      <c r="F568" s="52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4"/>
      <c r="R568" s="59">
        <f>SUM(Tabla1[[#This Row],[ENERO ]:[DICIEMBRE]])</f>
        <v>0</v>
      </c>
      <c r="W568">
        <v>17</v>
      </c>
      <c r="X568" s="90">
        <f>COUNTIF(Tabla1[[#This Row],[ENERO ]:[DICIEMBRE]],0)-(AS568)-IF(Tabla1[[#This Row],[BAJAS]]="BAJA",IF(Tabla1[[#This Row],[ALTAS]]="ALTA",VLOOKUP(Tabla1[[#This Row],[MES DE ALTA ]],$AW$6:$AX$17,2,FALSE),12)-VLOOKUP(Tabla1[[#This Row],[MES DE BAJA ]],$AW$6:$AX$17,2,FALSE),0)</f>
        <v>0</v>
      </c>
      <c r="Y568" s="68">
        <f>SUM(Tabla1[[#This Row],[MES ADEUDO DE AÑOS PASADOS ]:[MESES DE ADEUDO DEL AÑO EN CURSO ]])-Tabla1[[#This Row],[PAGO DE DEUDA ANTERIOR EN MESES]]</f>
        <v>17</v>
      </c>
      <c r="Z568" s="15">
        <f>Tabla1[[#This Row],[MES ADEUDO DE AÑOS PASADOS ]]*$T$2</f>
        <v>765</v>
      </c>
      <c r="AA568" s="15">
        <f>Tabla1[[#This Row],[MESES DE ADEUDO DEL AÑO EN CURSO ]]*$T$2</f>
        <v>0</v>
      </c>
      <c r="AB568" s="69">
        <f>SUM(Tabla1[[#This Row],[DEUDA DE LOS MESES PASADOS EN $$]:[DEUDA DEL AÑO 2013 $$ ]])</f>
        <v>765</v>
      </c>
      <c r="AD568">
        <f>Tabla1[[#This Row],[PAGO DE DEUDA ANTERIOR EN MESES]]*$T$2</f>
        <v>0</v>
      </c>
      <c r="AG568" s="100">
        <f>IF(Tabla1[[#This Row],[TIPO DE CONSUMIDOR]]="MEDIO",IF(Tabla1[[#This Row],[ENERO ]]&gt;22.5,Tabla1[[#This Row],[ENERO ]]/22.5-1,0),IF(Tabla1[[#This Row],[ENERO ]]&gt;45,Tabla1[[#This Row],[ENERO ]]/45-1,0))</f>
        <v>0</v>
      </c>
      <c r="AH56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8" s="100">
        <f>IF(Tabla1[[#This Row],[TIPO DE CONSUMIDOR]]="MEDIO",IF(Tabla1[[#This Row],[MARZO]]&gt;22.5,Tabla1[[#This Row],[MARZO]]/22.5-1,0),IF(Tabla1[[#This Row],[MARZO]]&gt;45,Tabla1[[#This Row],[MARZO]]/45-1,0))</f>
        <v>0</v>
      </c>
      <c r="AJ568" s="100">
        <f>IF(Tabla1[[#This Row],[TIPO DE CONSUMIDOR]]="MEDIO",IF(Tabla1[[#This Row],[ABRIL]]&gt;22.5,Tabla1[[#This Row],[ABRIL]]/22.5-1,0),IF(Tabla1[[#This Row],[ABRIL]]&gt;45,Tabla1[[#This Row],[ABRIL]]/45-1,0))</f>
        <v>0</v>
      </c>
      <c r="AK568" s="100">
        <f>IF(Tabla1[[#This Row],[TIPO DE CONSUMIDOR]]="MEDIO",IF(Tabla1[[#This Row],[MAYO ]]&gt;22.5,Tabla1[[#This Row],[MAYO ]]/22.5-1,0),IF(Tabla1[[#This Row],[MAYO ]]&gt;45,Tabla1[[#This Row],[MAYO ]]/45-1,0))</f>
        <v>0</v>
      </c>
      <c r="AL568" s="100">
        <f>IF(Tabla1[[#This Row],[TIPO DE CONSUMIDOR]]="MEDIO",IF(Tabla1[[#This Row],[JUNIO ]]&gt;22.5,Tabla1[[#This Row],[JUNIO ]]/22.5-1,0),IF(Tabla1[[#This Row],[JUNIO ]]&gt;45,Tabla1[[#This Row],[JUNIO ]]/45-1,0))</f>
        <v>0</v>
      </c>
      <c r="AM568" s="100">
        <f>IF(Tabla1[[#This Row],[TIPO DE CONSUMIDOR]]="MEDIO",IF(Tabla1[[#This Row],[JULIO ]]&gt;22.5,Tabla1[[#This Row],[JULIO ]]/22.5-1,0),IF(Tabla1[[#This Row],[JULIO ]]&gt;45,Tabla1[[#This Row],[JULIO ]]/45-1,0))</f>
        <v>0</v>
      </c>
      <c r="AN568" s="100">
        <f>IF(Tabla1[[#This Row],[TIPO DE CONSUMIDOR]]="MEDIO",IF(Tabla1[[#This Row],[AGOSTO]]&gt;22.5,Tabla1[[#This Row],[AGOSTO]]/22.5-1,0),IF(Tabla1[[#This Row],[AGOSTO]]&gt;45,Tabla1[[#This Row],[AGOSTO]]/45-1,0))</f>
        <v>0</v>
      </c>
      <c r="AO56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8" s="101">
        <f t="shared" si="17"/>
        <v>0</v>
      </c>
      <c r="AT568">
        <f>IF(Tabla1[[#This Row],[MES ADEUDO DE AÑOS PASADOS ]]&gt;0,1,0)</f>
        <v>1</v>
      </c>
      <c r="AU568" s="9">
        <f t="shared" si="18"/>
        <v>1</v>
      </c>
      <c r="AV568" s="60">
        <f>IF(Tabla1[[#This Row],[MESES DE ADEUDO DEL AÑO EN CURSO ]]&gt;0,1,0)</f>
        <v>0</v>
      </c>
    </row>
    <row r="569" spans="1:48" ht="21.75" thickBot="1" x14ac:dyDescent="0.35">
      <c r="A569" s="106">
        <v>563</v>
      </c>
      <c r="B569" s="5" t="s">
        <v>386</v>
      </c>
      <c r="C569" s="2"/>
      <c r="D569" s="32"/>
      <c r="E569" s="35" t="s">
        <v>455</v>
      </c>
      <c r="F569" s="52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4"/>
      <c r="R569" s="55">
        <f>SUM(Tabla1[[#This Row],[ENERO ]:[DICIEMBRE]])</f>
        <v>0</v>
      </c>
      <c r="W569">
        <v>17</v>
      </c>
      <c r="X569" s="90">
        <f>COUNTIF(Tabla1[[#This Row],[ENERO ]:[DICIEMBRE]],0)-(AS569)-IF(Tabla1[[#This Row],[BAJAS]]="BAJA",IF(Tabla1[[#This Row],[ALTAS]]="ALTA",VLOOKUP(Tabla1[[#This Row],[MES DE ALTA ]],$AW$6:$AX$17,2,FALSE),12)-VLOOKUP(Tabla1[[#This Row],[MES DE BAJA ]],$AW$6:$AX$17,2,FALSE),0)</f>
        <v>0</v>
      </c>
      <c r="Y569" s="68">
        <f>SUM(Tabla1[[#This Row],[MES ADEUDO DE AÑOS PASADOS ]:[MESES DE ADEUDO DEL AÑO EN CURSO ]])-Tabla1[[#This Row],[PAGO DE DEUDA ANTERIOR EN MESES]]</f>
        <v>17</v>
      </c>
      <c r="Z569" s="15">
        <f>Tabla1[[#This Row],[MES ADEUDO DE AÑOS PASADOS ]]*$T$2</f>
        <v>765</v>
      </c>
      <c r="AA569" s="15">
        <f>Tabla1[[#This Row],[MESES DE ADEUDO DEL AÑO EN CURSO ]]*$T$2</f>
        <v>0</v>
      </c>
      <c r="AB569" s="69">
        <f>SUM(Tabla1[[#This Row],[DEUDA DE LOS MESES PASADOS EN $$]:[DEUDA DEL AÑO 2013 $$ ]])</f>
        <v>765</v>
      </c>
      <c r="AD569">
        <f>Tabla1[[#This Row],[PAGO DE DEUDA ANTERIOR EN MESES]]*$T$2</f>
        <v>0</v>
      </c>
      <c r="AG569" s="100">
        <f>IF(Tabla1[[#This Row],[TIPO DE CONSUMIDOR]]="MEDIO",IF(Tabla1[[#This Row],[ENERO ]]&gt;22.5,Tabla1[[#This Row],[ENERO ]]/22.5-1,0),IF(Tabla1[[#This Row],[ENERO ]]&gt;45,Tabla1[[#This Row],[ENERO ]]/45-1,0))</f>
        <v>0</v>
      </c>
      <c r="AH56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69" s="100">
        <f>IF(Tabla1[[#This Row],[TIPO DE CONSUMIDOR]]="MEDIO",IF(Tabla1[[#This Row],[MARZO]]&gt;22.5,Tabla1[[#This Row],[MARZO]]/22.5-1,0),IF(Tabla1[[#This Row],[MARZO]]&gt;45,Tabla1[[#This Row],[MARZO]]/45-1,0))</f>
        <v>0</v>
      </c>
      <c r="AJ569" s="100">
        <f>IF(Tabla1[[#This Row],[TIPO DE CONSUMIDOR]]="MEDIO",IF(Tabla1[[#This Row],[ABRIL]]&gt;22.5,Tabla1[[#This Row],[ABRIL]]/22.5-1,0),IF(Tabla1[[#This Row],[ABRIL]]&gt;45,Tabla1[[#This Row],[ABRIL]]/45-1,0))</f>
        <v>0</v>
      </c>
      <c r="AK569" s="100">
        <f>IF(Tabla1[[#This Row],[TIPO DE CONSUMIDOR]]="MEDIO",IF(Tabla1[[#This Row],[MAYO ]]&gt;22.5,Tabla1[[#This Row],[MAYO ]]/22.5-1,0),IF(Tabla1[[#This Row],[MAYO ]]&gt;45,Tabla1[[#This Row],[MAYO ]]/45-1,0))</f>
        <v>0</v>
      </c>
      <c r="AL569" s="100">
        <f>IF(Tabla1[[#This Row],[TIPO DE CONSUMIDOR]]="MEDIO",IF(Tabla1[[#This Row],[JUNIO ]]&gt;22.5,Tabla1[[#This Row],[JUNIO ]]/22.5-1,0),IF(Tabla1[[#This Row],[JUNIO ]]&gt;45,Tabla1[[#This Row],[JUNIO ]]/45-1,0))</f>
        <v>0</v>
      </c>
      <c r="AM569" s="100">
        <f>IF(Tabla1[[#This Row],[TIPO DE CONSUMIDOR]]="MEDIO",IF(Tabla1[[#This Row],[JULIO ]]&gt;22.5,Tabla1[[#This Row],[JULIO ]]/22.5-1,0),IF(Tabla1[[#This Row],[JULIO ]]&gt;45,Tabla1[[#This Row],[JULIO ]]/45-1,0))</f>
        <v>0</v>
      </c>
      <c r="AN569" s="100">
        <f>IF(Tabla1[[#This Row],[TIPO DE CONSUMIDOR]]="MEDIO",IF(Tabla1[[#This Row],[AGOSTO]]&gt;22.5,Tabla1[[#This Row],[AGOSTO]]/22.5-1,0),IF(Tabla1[[#This Row],[AGOSTO]]&gt;45,Tabla1[[#This Row],[AGOSTO]]/45-1,0))</f>
        <v>0</v>
      </c>
      <c r="AO56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6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6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6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69" s="101">
        <f t="shared" si="17"/>
        <v>0</v>
      </c>
      <c r="AT569">
        <f>IF(Tabla1[[#This Row],[MES ADEUDO DE AÑOS PASADOS ]]&gt;0,1,0)</f>
        <v>1</v>
      </c>
      <c r="AU569" s="9">
        <f t="shared" si="18"/>
        <v>1</v>
      </c>
      <c r="AV569" s="60">
        <f>IF(Tabla1[[#This Row],[MESES DE ADEUDO DEL AÑO EN CURSO ]]&gt;0,1,0)</f>
        <v>0</v>
      </c>
    </row>
    <row r="570" spans="1:48" ht="21.75" thickBot="1" x14ac:dyDescent="0.35">
      <c r="A570" s="106">
        <v>564</v>
      </c>
      <c r="B570" s="5" t="s">
        <v>266</v>
      </c>
      <c r="C570" s="2"/>
      <c r="D570" s="32"/>
      <c r="E570" s="35" t="s">
        <v>455</v>
      </c>
      <c r="F570" s="52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4"/>
      <c r="R570" s="59">
        <f>SUM(Tabla1[[#This Row],[ENERO ]:[DICIEMBRE]])</f>
        <v>0</v>
      </c>
      <c r="W570">
        <v>18</v>
      </c>
      <c r="X570" s="90">
        <f>COUNTIF(Tabla1[[#This Row],[ENERO ]:[DICIEMBRE]],0)-(AS570)-IF(Tabla1[[#This Row],[BAJAS]]="BAJA",IF(Tabla1[[#This Row],[ALTAS]]="ALTA",VLOOKUP(Tabla1[[#This Row],[MES DE ALTA ]],$AW$6:$AX$17,2,FALSE),12)-VLOOKUP(Tabla1[[#This Row],[MES DE BAJA ]],$AW$6:$AX$17,2,FALSE),0)</f>
        <v>0</v>
      </c>
      <c r="Y570" s="68">
        <f>SUM(Tabla1[[#This Row],[MES ADEUDO DE AÑOS PASADOS ]:[MESES DE ADEUDO DEL AÑO EN CURSO ]])-Tabla1[[#This Row],[PAGO DE DEUDA ANTERIOR EN MESES]]</f>
        <v>18</v>
      </c>
      <c r="Z570" s="15">
        <f>Tabla1[[#This Row],[MES ADEUDO DE AÑOS PASADOS ]]*$T$2</f>
        <v>810</v>
      </c>
      <c r="AA570" s="15">
        <f>Tabla1[[#This Row],[MESES DE ADEUDO DEL AÑO EN CURSO ]]*$T$2</f>
        <v>0</v>
      </c>
      <c r="AB570" s="69">
        <f>SUM(Tabla1[[#This Row],[DEUDA DE LOS MESES PASADOS EN $$]:[DEUDA DEL AÑO 2013 $$ ]])</f>
        <v>810</v>
      </c>
      <c r="AD570">
        <f>Tabla1[[#This Row],[PAGO DE DEUDA ANTERIOR EN MESES]]*$T$2</f>
        <v>0</v>
      </c>
      <c r="AG570" s="100">
        <f>IF(Tabla1[[#This Row],[TIPO DE CONSUMIDOR]]="MEDIO",IF(Tabla1[[#This Row],[ENERO ]]&gt;22.5,Tabla1[[#This Row],[ENERO ]]/22.5-1,0),IF(Tabla1[[#This Row],[ENERO ]]&gt;45,Tabla1[[#This Row],[ENERO ]]/45-1,0))</f>
        <v>0</v>
      </c>
      <c r="AH57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0" s="100">
        <f>IF(Tabla1[[#This Row],[TIPO DE CONSUMIDOR]]="MEDIO",IF(Tabla1[[#This Row],[MARZO]]&gt;22.5,Tabla1[[#This Row],[MARZO]]/22.5-1,0),IF(Tabla1[[#This Row],[MARZO]]&gt;45,Tabla1[[#This Row],[MARZO]]/45-1,0))</f>
        <v>0</v>
      </c>
      <c r="AJ570" s="100">
        <f>IF(Tabla1[[#This Row],[TIPO DE CONSUMIDOR]]="MEDIO",IF(Tabla1[[#This Row],[ABRIL]]&gt;22.5,Tabla1[[#This Row],[ABRIL]]/22.5-1,0),IF(Tabla1[[#This Row],[ABRIL]]&gt;45,Tabla1[[#This Row],[ABRIL]]/45-1,0))</f>
        <v>0</v>
      </c>
      <c r="AK570" s="100">
        <f>IF(Tabla1[[#This Row],[TIPO DE CONSUMIDOR]]="MEDIO",IF(Tabla1[[#This Row],[MAYO ]]&gt;22.5,Tabla1[[#This Row],[MAYO ]]/22.5-1,0),IF(Tabla1[[#This Row],[MAYO ]]&gt;45,Tabla1[[#This Row],[MAYO ]]/45-1,0))</f>
        <v>0</v>
      </c>
      <c r="AL570" s="100">
        <f>IF(Tabla1[[#This Row],[TIPO DE CONSUMIDOR]]="MEDIO",IF(Tabla1[[#This Row],[JUNIO ]]&gt;22.5,Tabla1[[#This Row],[JUNIO ]]/22.5-1,0),IF(Tabla1[[#This Row],[JUNIO ]]&gt;45,Tabla1[[#This Row],[JUNIO ]]/45-1,0))</f>
        <v>0</v>
      </c>
      <c r="AM570" s="100">
        <f>IF(Tabla1[[#This Row],[TIPO DE CONSUMIDOR]]="MEDIO",IF(Tabla1[[#This Row],[JULIO ]]&gt;22.5,Tabla1[[#This Row],[JULIO ]]/22.5-1,0),IF(Tabla1[[#This Row],[JULIO ]]&gt;45,Tabla1[[#This Row],[JULIO ]]/45-1,0))</f>
        <v>0</v>
      </c>
      <c r="AN570" s="100">
        <f>IF(Tabla1[[#This Row],[TIPO DE CONSUMIDOR]]="MEDIO",IF(Tabla1[[#This Row],[AGOSTO]]&gt;22.5,Tabla1[[#This Row],[AGOSTO]]/22.5-1,0),IF(Tabla1[[#This Row],[AGOSTO]]&gt;45,Tabla1[[#This Row],[AGOSTO]]/45-1,0))</f>
        <v>0</v>
      </c>
      <c r="AO57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0" s="101">
        <f t="shared" si="17"/>
        <v>0</v>
      </c>
      <c r="AT570">
        <f>IF(Tabla1[[#This Row],[MES ADEUDO DE AÑOS PASADOS ]]&gt;0,1,0)</f>
        <v>1</v>
      </c>
      <c r="AU570" s="9">
        <f t="shared" si="18"/>
        <v>1</v>
      </c>
      <c r="AV570" s="60">
        <f>IF(Tabla1[[#This Row],[MESES DE ADEUDO DEL AÑO EN CURSO ]]&gt;0,1,0)</f>
        <v>0</v>
      </c>
    </row>
    <row r="571" spans="1:48" ht="21.75" thickBot="1" x14ac:dyDescent="0.35">
      <c r="A571" s="106">
        <v>565</v>
      </c>
      <c r="B571" s="5" t="s">
        <v>301</v>
      </c>
      <c r="C571" s="2"/>
      <c r="D571" s="32"/>
      <c r="E571" s="35" t="s">
        <v>455</v>
      </c>
      <c r="F571" s="52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4"/>
      <c r="R571" s="59">
        <f>SUM(Tabla1[[#This Row],[ENERO ]:[DICIEMBRE]])</f>
        <v>0</v>
      </c>
      <c r="W571">
        <v>19</v>
      </c>
      <c r="X571" s="90">
        <f>COUNTIF(Tabla1[[#This Row],[ENERO ]:[DICIEMBRE]],0)-(AS571)-IF(Tabla1[[#This Row],[BAJAS]]="BAJA",IF(Tabla1[[#This Row],[ALTAS]]="ALTA",VLOOKUP(Tabla1[[#This Row],[MES DE ALTA ]],$AW$6:$AX$17,2,FALSE),12)-VLOOKUP(Tabla1[[#This Row],[MES DE BAJA ]],$AW$6:$AX$17,2,FALSE),0)</f>
        <v>0</v>
      </c>
      <c r="Y571" s="68">
        <f>SUM(Tabla1[[#This Row],[MES ADEUDO DE AÑOS PASADOS ]:[MESES DE ADEUDO DEL AÑO EN CURSO ]])-Tabla1[[#This Row],[PAGO DE DEUDA ANTERIOR EN MESES]]</f>
        <v>19</v>
      </c>
      <c r="Z571" s="15">
        <f>Tabla1[[#This Row],[MES ADEUDO DE AÑOS PASADOS ]]*$T$2</f>
        <v>855</v>
      </c>
      <c r="AA571" s="15">
        <f>Tabla1[[#This Row],[MESES DE ADEUDO DEL AÑO EN CURSO ]]*$T$2</f>
        <v>0</v>
      </c>
      <c r="AB571" s="69">
        <f>SUM(Tabla1[[#This Row],[DEUDA DE LOS MESES PASADOS EN $$]:[DEUDA DEL AÑO 2013 $$ ]])</f>
        <v>855</v>
      </c>
      <c r="AD571">
        <f>Tabla1[[#This Row],[PAGO DE DEUDA ANTERIOR EN MESES]]*$T$2</f>
        <v>0</v>
      </c>
      <c r="AG571" s="100">
        <f>IF(Tabla1[[#This Row],[TIPO DE CONSUMIDOR]]="MEDIO",IF(Tabla1[[#This Row],[ENERO ]]&gt;22.5,Tabla1[[#This Row],[ENERO ]]/22.5-1,0),IF(Tabla1[[#This Row],[ENERO ]]&gt;45,Tabla1[[#This Row],[ENERO ]]/45-1,0))</f>
        <v>0</v>
      </c>
      <c r="AH57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1" s="100">
        <f>IF(Tabla1[[#This Row],[TIPO DE CONSUMIDOR]]="MEDIO",IF(Tabla1[[#This Row],[MARZO]]&gt;22.5,Tabla1[[#This Row],[MARZO]]/22.5-1,0),IF(Tabla1[[#This Row],[MARZO]]&gt;45,Tabla1[[#This Row],[MARZO]]/45-1,0))</f>
        <v>0</v>
      </c>
      <c r="AJ571" s="100">
        <f>IF(Tabla1[[#This Row],[TIPO DE CONSUMIDOR]]="MEDIO",IF(Tabla1[[#This Row],[ABRIL]]&gt;22.5,Tabla1[[#This Row],[ABRIL]]/22.5-1,0),IF(Tabla1[[#This Row],[ABRIL]]&gt;45,Tabla1[[#This Row],[ABRIL]]/45-1,0))</f>
        <v>0</v>
      </c>
      <c r="AK571" s="100">
        <f>IF(Tabla1[[#This Row],[TIPO DE CONSUMIDOR]]="MEDIO",IF(Tabla1[[#This Row],[MAYO ]]&gt;22.5,Tabla1[[#This Row],[MAYO ]]/22.5-1,0),IF(Tabla1[[#This Row],[MAYO ]]&gt;45,Tabla1[[#This Row],[MAYO ]]/45-1,0))</f>
        <v>0</v>
      </c>
      <c r="AL571" s="100">
        <f>IF(Tabla1[[#This Row],[TIPO DE CONSUMIDOR]]="MEDIO",IF(Tabla1[[#This Row],[JUNIO ]]&gt;22.5,Tabla1[[#This Row],[JUNIO ]]/22.5-1,0),IF(Tabla1[[#This Row],[JUNIO ]]&gt;45,Tabla1[[#This Row],[JUNIO ]]/45-1,0))</f>
        <v>0</v>
      </c>
      <c r="AM571" s="100">
        <f>IF(Tabla1[[#This Row],[TIPO DE CONSUMIDOR]]="MEDIO",IF(Tabla1[[#This Row],[JULIO ]]&gt;22.5,Tabla1[[#This Row],[JULIO ]]/22.5-1,0),IF(Tabla1[[#This Row],[JULIO ]]&gt;45,Tabla1[[#This Row],[JULIO ]]/45-1,0))</f>
        <v>0</v>
      </c>
      <c r="AN571" s="100">
        <f>IF(Tabla1[[#This Row],[TIPO DE CONSUMIDOR]]="MEDIO",IF(Tabla1[[#This Row],[AGOSTO]]&gt;22.5,Tabla1[[#This Row],[AGOSTO]]/22.5-1,0),IF(Tabla1[[#This Row],[AGOSTO]]&gt;45,Tabla1[[#This Row],[AGOSTO]]/45-1,0))</f>
        <v>0</v>
      </c>
      <c r="AO57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1" s="101">
        <f t="shared" si="17"/>
        <v>0</v>
      </c>
      <c r="AT571">
        <f>IF(Tabla1[[#This Row],[MES ADEUDO DE AÑOS PASADOS ]]&gt;0,1,0)</f>
        <v>1</v>
      </c>
      <c r="AU571" s="9">
        <f t="shared" si="18"/>
        <v>1</v>
      </c>
      <c r="AV571" s="60">
        <f>IF(Tabla1[[#This Row],[MESES DE ADEUDO DEL AÑO EN CURSO ]]&gt;0,1,0)</f>
        <v>0</v>
      </c>
    </row>
    <row r="572" spans="1:48" ht="21.75" thickBot="1" x14ac:dyDescent="0.35">
      <c r="A572" s="106">
        <v>566</v>
      </c>
      <c r="B572" s="5" t="s">
        <v>228</v>
      </c>
      <c r="C572" s="2"/>
      <c r="D572" s="32"/>
      <c r="E572" s="35" t="s">
        <v>455</v>
      </c>
      <c r="F572" s="52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4"/>
      <c r="R572" s="59">
        <f>SUM(Tabla1[[#This Row],[ENERO ]:[DICIEMBRE]])</f>
        <v>0</v>
      </c>
      <c r="W572">
        <v>20</v>
      </c>
      <c r="X572" s="90">
        <f>COUNTIF(Tabla1[[#This Row],[ENERO ]:[DICIEMBRE]],0)-(AS572)-IF(Tabla1[[#This Row],[BAJAS]]="BAJA",IF(Tabla1[[#This Row],[ALTAS]]="ALTA",VLOOKUP(Tabla1[[#This Row],[MES DE ALTA ]],$AW$6:$AX$17,2,FALSE),12)-VLOOKUP(Tabla1[[#This Row],[MES DE BAJA ]],$AW$6:$AX$17,2,FALSE),0)</f>
        <v>0</v>
      </c>
      <c r="Y572" s="68">
        <f>SUM(Tabla1[[#This Row],[MES ADEUDO DE AÑOS PASADOS ]:[MESES DE ADEUDO DEL AÑO EN CURSO ]])-Tabla1[[#This Row],[PAGO DE DEUDA ANTERIOR EN MESES]]</f>
        <v>20</v>
      </c>
      <c r="Z572" s="15">
        <f>Tabla1[[#This Row],[MES ADEUDO DE AÑOS PASADOS ]]*$T$2</f>
        <v>900</v>
      </c>
      <c r="AA572" s="15">
        <f>Tabla1[[#This Row],[MESES DE ADEUDO DEL AÑO EN CURSO ]]*$T$2</f>
        <v>0</v>
      </c>
      <c r="AB572" s="69">
        <f>SUM(Tabla1[[#This Row],[DEUDA DE LOS MESES PASADOS EN $$]:[DEUDA DEL AÑO 2013 $$ ]])</f>
        <v>900</v>
      </c>
      <c r="AD572">
        <f>Tabla1[[#This Row],[PAGO DE DEUDA ANTERIOR EN MESES]]*$T$2</f>
        <v>0</v>
      </c>
      <c r="AG572" s="100">
        <f>IF(Tabla1[[#This Row],[TIPO DE CONSUMIDOR]]="MEDIO",IF(Tabla1[[#This Row],[ENERO ]]&gt;22.5,Tabla1[[#This Row],[ENERO ]]/22.5-1,0),IF(Tabla1[[#This Row],[ENERO ]]&gt;45,Tabla1[[#This Row],[ENERO ]]/45-1,0))</f>
        <v>0</v>
      </c>
      <c r="AH57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2" s="100">
        <f>IF(Tabla1[[#This Row],[TIPO DE CONSUMIDOR]]="MEDIO",IF(Tabla1[[#This Row],[MARZO]]&gt;22.5,Tabla1[[#This Row],[MARZO]]/22.5-1,0),IF(Tabla1[[#This Row],[MARZO]]&gt;45,Tabla1[[#This Row],[MARZO]]/45-1,0))</f>
        <v>0</v>
      </c>
      <c r="AJ572" s="100">
        <f>IF(Tabla1[[#This Row],[TIPO DE CONSUMIDOR]]="MEDIO",IF(Tabla1[[#This Row],[ABRIL]]&gt;22.5,Tabla1[[#This Row],[ABRIL]]/22.5-1,0),IF(Tabla1[[#This Row],[ABRIL]]&gt;45,Tabla1[[#This Row],[ABRIL]]/45-1,0))</f>
        <v>0</v>
      </c>
      <c r="AK572" s="100">
        <f>IF(Tabla1[[#This Row],[TIPO DE CONSUMIDOR]]="MEDIO",IF(Tabla1[[#This Row],[MAYO ]]&gt;22.5,Tabla1[[#This Row],[MAYO ]]/22.5-1,0),IF(Tabla1[[#This Row],[MAYO ]]&gt;45,Tabla1[[#This Row],[MAYO ]]/45-1,0))</f>
        <v>0</v>
      </c>
      <c r="AL572" s="100">
        <f>IF(Tabla1[[#This Row],[TIPO DE CONSUMIDOR]]="MEDIO",IF(Tabla1[[#This Row],[JUNIO ]]&gt;22.5,Tabla1[[#This Row],[JUNIO ]]/22.5-1,0),IF(Tabla1[[#This Row],[JUNIO ]]&gt;45,Tabla1[[#This Row],[JUNIO ]]/45-1,0))</f>
        <v>0</v>
      </c>
      <c r="AM572" s="100">
        <f>IF(Tabla1[[#This Row],[TIPO DE CONSUMIDOR]]="MEDIO",IF(Tabla1[[#This Row],[JULIO ]]&gt;22.5,Tabla1[[#This Row],[JULIO ]]/22.5-1,0),IF(Tabla1[[#This Row],[JULIO ]]&gt;45,Tabla1[[#This Row],[JULIO ]]/45-1,0))</f>
        <v>0</v>
      </c>
      <c r="AN572" s="100">
        <f>IF(Tabla1[[#This Row],[TIPO DE CONSUMIDOR]]="MEDIO",IF(Tabla1[[#This Row],[AGOSTO]]&gt;22.5,Tabla1[[#This Row],[AGOSTO]]/22.5-1,0),IF(Tabla1[[#This Row],[AGOSTO]]&gt;45,Tabla1[[#This Row],[AGOSTO]]/45-1,0))</f>
        <v>0</v>
      </c>
      <c r="AO57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2" s="101">
        <f t="shared" si="17"/>
        <v>0</v>
      </c>
      <c r="AT572">
        <f>IF(Tabla1[[#This Row],[MES ADEUDO DE AÑOS PASADOS ]]&gt;0,1,0)</f>
        <v>1</v>
      </c>
      <c r="AU572" s="9">
        <f t="shared" si="18"/>
        <v>1</v>
      </c>
      <c r="AV572" s="60">
        <f>IF(Tabla1[[#This Row],[MESES DE ADEUDO DEL AÑO EN CURSO ]]&gt;0,1,0)</f>
        <v>0</v>
      </c>
    </row>
    <row r="573" spans="1:48" ht="21.75" thickBot="1" x14ac:dyDescent="0.35">
      <c r="A573" s="106">
        <v>567</v>
      </c>
      <c r="B573" s="5" t="s">
        <v>151</v>
      </c>
      <c r="C573" s="2"/>
      <c r="D573" s="32"/>
      <c r="E573" s="35" t="s">
        <v>455</v>
      </c>
      <c r="F573" s="52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4"/>
      <c r="R573" s="59">
        <f>SUM(Tabla1[[#This Row],[ENERO ]:[DICIEMBRE]])</f>
        <v>0</v>
      </c>
      <c r="W573">
        <v>22</v>
      </c>
      <c r="X573" s="90">
        <f>COUNTIF(Tabla1[[#This Row],[ENERO ]:[DICIEMBRE]],0)-(AS573)-IF(Tabla1[[#This Row],[BAJAS]]="BAJA",IF(Tabla1[[#This Row],[ALTAS]]="ALTA",VLOOKUP(Tabla1[[#This Row],[MES DE ALTA ]],$AW$6:$AX$17,2,FALSE),12)-VLOOKUP(Tabla1[[#This Row],[MES DE BAJA ]],$AW$6:$AX$17,2,FALSE),0)</f>
        <v>0</v>
      </c>
      <c r="Y573" s="68">
        <f>SUM(Tabla1[[#This Row],[MES ADEUDO DE AÑOS PASADOS ]:[MESES DE ADEUDO DEL AÑO EN CURSO ]])-Tabla1[[#This Row],[PAGO DE DEUDA ANTERIOR EN MESES]]</f>
        <v>22</v>
      </c>
      <c r="Z573" s="15">
        <f>Tabla1[[#This Row],[MES ADEUDO DE AÑOS PASADOS ]]*$T$2</f>
        <v>990</v>
      </c>
      <c r="AA573" s="15">
        <f>Tabla1[[#This Row],[MESES DE ADEUDO DEL AÑO EN CURSO ]]*$T$2</f>
        <v>0</v>
      </c>
      <c r="AB573" s="69">
        <f>SUM(Tabla1[[#This Row],[DEUDA DE LOS MESES PASADOS EN $$]:[DEUDA DEL AÑO 2013 $$ ]])</f>
        <v>990</v>
      </c>
      <c r="AD573">
        <f>Tabla1[[#This Row],[PAGO DE DEUDA ANTERIOR EN MESES]]*$T$2</f>
        <v>0</v>
      </c>
      <c r="AG573" s="100">
        <f>IF(Tabla1[[#This Row],[TIPO DE CONSUMIDOR]]="MEDIO",IF(Tabla1[[#This Row],[ENERO ]]&gt;22.5,Tabla1[[#This Row],[ENERO ]]/22.5-1,0),IF(Tabla1[[#This Row],[ENERO ]]&gt;45,Tabla1[[#This Row],[ENERO ]]/45-1,0))</f>
        <v>0</v>
      </c>
      <c r="AH57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3" s="100">
        <f>IF(Tabla1[[#This Row],[TIPO DE CONSUMIDOR]]="MEDIO",IF(Tabla1[[#This Row],[MARZO]]&gt;22.5,Tabla1[[#This Row],[MARZO]]/22.5-1,0),IF(Tabla1[[#This Row],[MARZO]]&gt;45,Tabla1[[#This Row],[MARZO]]/45-1,0))</f>
        <v>0</v>
      </c>
      <c r="AJ573" s="100">
        <f>IF(Tabla1[[#This Row],[TIPO DE CONSUMIDOR]]="MEDIO",IF(Tabla1[[#This Row],[ABRIL]]&gt;22.5,Tabla1[[#This Row],[ABRIL]]/22.5-1,0),IF(Tabla1[[#This Row],[ABRIL]]&gt;45,Tabla1[[#This Row],[ABRIL]]/45-1,0))</f>
        <v>0</v>
      </c>
      <c r="AK573" s="100">
        <f>IF(Tabla1[[#This Row],[TIPO DE CONSUMIDOR]]="MEDIO",IF(Tabla1[[#This Row],[MAYO ]]&gt;22.5,Tabla1[[#This Row],[MAYO ]]/22.5-1,0),IF(Tabla1[[#This Row],[MAYO ]]&gt;45,Tabla1[[#This Row],[MAYO ]]/45-1,0))</f>
        <v>0</v>
      </c>
      <c r="AL573" s="100">
        <f>IF(Tabla1[[#This Row],[TIPO DE CONSUMIDOR]]="MEDIO",IF(Tabla1[[#This Row],[JUNIO ]]&gt;22.5,Tabla1[[#This Row],[JUNIO ]]/22.5-1,0),IF(Tabla1[[#This Row],[JUNIO ]]&gt;45,Tabla1[[#This Row],[JUNIO ]]/45-1,0))</f>
        <v>0</v>
      </c>
      <c r="AM573" s="100">
        <f>IF(Tabla1[[#This Row],[TIPO DE CONSUMIDOR]]="MEDIO",IF(Tabla1[[#This Row],[JULIO ]]&gt;22.5,Tabla1[[#This Row],[JULIO ]]/22.5-1,0),IF(Tabla1[[#This Row],[JULIO ]]&gt;45,Tabla1[[#This Row],[JULIO ]]/45-1,0))</f>
        <v>0</v>
      </c>
      <c r="AN573" s="100">
        <f>IF(Tabla1[[#This Row],[TIPO DE CONSUMIDOR]]="MEDIO",IF(Tabla1[[#This Row],[AGOSTO]]&gt;22.5,Tabla1[[#This Row],[AGOSTO]]/22.5-1,0),IF(Tabla1[[#This Row],[AGOSTO]]&gt;45,Tabla1[[#This Row],[AGOSTO]]/45-1,0))</f>
        <v>0</v>
      </c>
      <c r="AO57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3" s="101">
        <f t="shared" si="17"/>
        <v>0</v>
      </c>
      <c r="AT573">
        <f>IF(Tabla1[[#This Row],[MES ADEUDO DE AÑOS PASADOS ]]&gt;0,1,0)</f>
        <v>1</v>
      </c>
      <c r="AU573" s="9">
        <f t="shared" si="18"/>
        <v>1</v>
      </c>
      <c r="AV573" s="60">
        <f>IF(Tabla1[[#This Row],[MESES DE ADEUDO DEL AÑO EN CURSO ]]&gt;0,1,0)</f>
        <v>0</v>
      </c>
    </row>
    <row r="574" spans="1:48" ht="21.75" thickBot="1" x14ac:dyDescent="0.35">
      <c r="A574" s="106">
        <v>568</v>
      </c>
      <c r="B574" s="5" t="s">
        <v>622</v>
      </c>
      <c r="C574" s="2"/>
      <c r="D574" s="32"/>
      <c r="E574" s="35" t="s">
        <v>455</v>
      </c>
      <c r="F574" s="52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4"/>
      <c r="R574" s="59">
        <f>SUM(Tabla1[[#This Row],[ENERO ]:[DICIEMBRE]])</f>
        <v>0</v>
      </c>
      <c r="W574">
        <v>22</v>
      </c>
      <c r="X574" s="90">
        <f>COUNTIF(Tabla1[[#This Row],[ENERO ]:[DICIEMBRE]],0)-(AS574)-IF(Tabla1[[#This Row],[BAJAS]]="BAJA",IF(Tabla1[[#This Row],[ALTAS]]="ALTA",VLOOKUP(Tabla1[[#This Row],[MES DE ALTA ]],$AW$6:$AX$17,2,FALSE),12)-VLOOKUP(Tabla1[[#This Row],[MES DE BAJA ]],$AW$6:$AX$17,2,FALSE),0)</f>
        <v>0</v>
      </c>
      <c r="Y574" s="68">
        <f>SUM(Tabla1[[#This Row],[MES ADEUDO DE AÑOS PASADOS ]:[MESES DE ADEUDO DEL AÑO EN CURSO ]])-Tabla1[[#This Row],[PAGO DE DEUDA ANTERIOR EN MESES]]</f>
        <v>22</v>
      </c>
      <c r="Z574" s="15">
        <f>Tabla1[[#This Row],[MES ADEUDO DE AÑOS PASADOS ]]*$T$2</f>
        <v>990</v>
      </c>
      <c r="AA574" s="15">
        <f>Tabla1[[#This Row],[MESES DE ADEUDO DEL AÑO EN CURSO ]]*$T$2</f>
        <v>0</v>
      </c>
      <c r="AB574" s="69">
        <f>SUM(Tabla1[[#This Row],[DEUDA DE LOS MESES PASADOS EN $$]:[DEUDA DEL AÑO 2013 $$ ]])</f>
        <v>990</v>
      </c>
      <c r="AD574">
        <f>Tabla1[[#This Row],[PAGO DE DEUDA ANTERIOR EN MESES]]*$T$2</f>
        <v>0</v>
      </c>
      <c r="AG574" s="100">
        <f>IF(Tabla1[[#This Row],[TIPO DE CONSUMIDOR]]="MEDIO",IF(Tabla1[[#This Row],[ENERO ]]&gt;22.5,Tabla1[[#This Row],[ENERO ]]/22.5-1,0),IF(Tabla1[[#This Row],[ENERO ]]&gt;45,Tabla1[[#This Row],[ENERO ]]/45-1,0))</f>
        <v>0</v>
      </c>
      <c r="AH57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4" s="100">
        <f>IF(Tabla1[[#This Row],[TIPO DE CONSUMIDOR]]="MEDIO",IF(Tabla1[[#This Row],[MARZO]]&gt;22.5,Tabla1[[#This Row],[MARZO]]/22.5-1,0),IF(Tabla1[[#This Row],[MARZO]]&gt;45,Tabla1[[#This Row],[MARZO]]/45-1,0))</f>
        <v>0</v>
      </c>
      <c r="AJ574" s="100">
        <f>IF(Tabla1[[#This Row],[TIPO DE CONSUMIDOR]]="MEDIO",IF(Tabla1[[#This Row],[ABRIL]]&gt;22.5,Tabla1[[#This Row],[ABRIL]]/22.5-1,0),IF(Tabla1[[#This Row],[ABRIL]]&gt;45,Tabla1[[#This Row],[ABRIL]]/45-1,0))</f>
        <v>0</v>
      </c>
      <c r="AK574" s="100">
        <f>IF(Tabla1[[#This Row],[TIPO DE CONSUMIDOR]]="MEDIO",IF(Tabla1[[#This Row],[MAYO ]]&gt;22.5,Tabla1[[#This Row],[MAYO ]]/22.5-1,0),IF(Tabla1[[#This Row],[MAYO ]]&gt;45,Tabla1[[#This Row],[MAYO ]]/45-1,0))</f>
        <v>0</v>
      </c>
      <c r="AL574" s="100">
        <f>IF(Tabla1[[#This Row],[TIPO DE CONSUMIDOR]]="MEDIO",IF(Tabla1[[#This Row],[JUNIO ]]&gt;22.5,Tabla1[[#This Row],[JUNIO ]]/22.5-1,0),IF(Tabla1[[#This Row],[JUNIO ]]&gt;45,Tabla1[[#This Row],[JUNIO ]]/45-1,0))</f>
        <v>0</v>
      </c>
      <c r="AM574" s="100">
        <f>IF(Tabla1[[#This Row],[TIPO DE CONSUMIDOR]]="MEDIO",IF(Tabla1[[#This Row],[JULIO ]]&gt;22.5,Tabla1[[#This Row],[JULIO ]]/22.5-1,0),IF(Tabla1[[#This Row],[JULIO ]]&gt;45,Tabla1[[#This Row],[JULIO ]]/45-1,0))</f>
        <v>0</v>
      </c>
      <c r="AN574" s="100">
        <f>IF(Tabla1[[#This Row],[TIPO DE CONSUMIDOR]]="MEDIO",IF(Tabla1[[#This Row],[AGOSTO]]&gt;22.5,Tabla1[[#This Row],[AGOSTO]]/22.5-1,0),IF(Tabla1[[#This Row],[AGOSTO]]&gt;45,Tabla1[[#This Row],[AGOSTO]]/45-1,0))</f>
        <v>0</v>
      </c>
      <c r="AO57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4" s="101">
        <f t="shared" si="17"/>
        <v>0</v>
      </c>
      <c r="AT574">
        <f>IF(Tabla1[[#This Row],[MES ADEUDO DE AÑOS PASADOS ]]&gt;0,1,0)</f>
        <v>1</v>
      </c>
      <c r="AU574" s="9">
        <f t="shared" si="18"/>
        <v>1</v>
      </c>
      <c r="AV574" s="60">
        <f>IF(Tabla1[[#This Row],[MESES DE ADEUDO DEL AÑO EN CURSO ]]&gt;0,1,0)</f>
        <v>0</v>
      </c>
    </row>
    <row r="575" spans="1:48" ht="21.75" thickBot="1" x14ac:dyDescent="0.35">
      <c r="A575" s="106">
        <v>569</v>
      </c>
      <c r="B575" s="5" t="s">
        <v>657</v>
      </c>
      <c r="C575" s="94"/>
      <c r="D575" s="32"/>
      <c r="E575" s="35" t="s">
        <v>455</v>
      </c>
      <c r="F575" s="52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4"/>
      <c r="R575" s="92">
        <f>SUM(Tabla1[[#This Row],[ENERO ]:[DICIEMBRE]])</f>
        <v>0</v>
      </c>
      <c r="W575">
        <v>22</v>
      </c>
      <c r="X575" s="90">
        <f>COUNTIF(Tabla1[[#This Row],[ENERO ]:[DICIEMBRE]],0)-(AS575)-IF(Tabla1[[#This Row],[BAJAS]]="BAJA",IF(Tabla1[[#This Row],[ALTAS]]="ALTA",VLOOKUP(Tabla1[[#This Row],[MES DE ALTA ]],$AW$6:$AX$17,2,FALSE),12)-VLOOKUP(Tabla1[[#This Row],[MES DE BAJA ]],$AW$6:$AX$17,2,FALSE),0)</f>
        <v>0</v>
      </c>
      <c r="Y575" s="91">
        <f>SUM(Tabla1[[#This Row],[MES ADEUDO DE AÑOS PASADOS ]:[MESES DE ADEUDO DEL AÑO EN CURSO ]])-Tabla1[[#This Row],[PAGO DE DEUDA ANTERIOR EN MESES]]</f>
        <v>22</v>
      </c>
      <c r="Z575" s="15">
        <f>Tabla1[[#This Row],[MES ADEUDO DE AÑOS PASADOS ]]*$T$2</f>
        <v>990</v>
      </c>
      <c r="AA575" s="15">
        <f>Tabla1[[#This Row],[MESES DE ADEUDO DEL AÑO EN CURSO ]]*$T$2</f>
        <v>0</v>
      </c>
      <c r="AB575" s="69">
        <f>SUM(Tabla1[[#This Row],[DEUDA DE LOS MESES PASADOS EN $$]:[DEUDA DEL AÑO 2013 $$ ]])</f>
        <v>990</v>
      </c>
      <c r="AD575">
        <f>Tabla1[[#This Row],[PAGO DE DEUDA ANTERIOR EN MESES]]*$T$2</f>
        <v>0</v>
      </c>
      <c r="AG575" s="100">
        <f>IF(Tabla1[[#This Row],[TIPO DE CONSUMIDOR]]="MEDIO",IF(Tabla1[[#This Row],[ENERO ]]&gt;22.5,Tabla1[[#This Row],[ENERO ]]/22.5-1,0),IF(Tabla1[[#This Row],[ENERO ]]&gt;45,Tabla1[[#This Row],[ENERO ]]/45-1,0))</f>
        <v>0</v>
      </c>
      <c r="AH575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5" s="100">
        <f>IF(Tabla1[[#This Row],[TIPO DE CONSUMIDOR]]="MEDIO",IF(Tabla1[[#This Row],[MARZO]]&gt;22.5,Tabla1[[#This Row],[MARZO]]/22.5-1,0),IF(Tabla1[[#This Row],[MARZO]]&gt;45,Tabla1[[#This Row],[MARZO]]/45-1,0))</f>
        <v>0</v>
      </c>
      <c r="AJ575" s="100">
        <f>IF(Tabla1[[#This Row],[TIPO DE CONSUMIDOR]]="MEDIO",IF(Tabla1[[#This Row],[ABRIL]]&gt;22.5,Tabla1[[#This Row],[ABRIL]]/22.5-1,0),IF(Tabla1[[#This Row],[ABRIL]]&gt;45,Tabla1[[#This Row],[ABRIL]]/45-1,0))</f>
        <v>0</v>
      </c>
      <c r="AK575" s="100">
        <f>IF(Tabla1[[#This Row],[TIPO DE CONSUMIDOR]]="MEDIO",IF(Tabla1[[#This Row],[MAYO ]]&gt;22.5,Tabla1[[#This Row],[MAYO ]]/22.5-1,0),IF(Tabla1[[#This Row],[MAYO ]]&gt;45,Tabla1[[#This Row],[MAYO ]]/45-1,0))</f>
        <v>0</v>
      </c>
      <c r="AL575" s="100">
        <f>IF(Tabla1[[#This Row],[TIPO DE CONSUMIDOR]]="MEDIO",IF(Tabla1[[#This Row],[JUNIO ]]&gt;22.5,Tabla1[[#This Row],[JUNIO ]]/22.5-1,0),IF(Tabla1[[#This Row],[JUNIO ]]&gt;45,Tabla1[[#This Row],[JUNIO ]]/45-1,0))</f>
        <v>0</v>
      </c>
      <c r="AM575" s="100">
        <f>IF(Tabla1[[#This Row],[TIPO DE CONSUMIDOR]]="MEDIO",IF(Tabla1[[#This Row],[JULIO ]]&gt;22.5,Tabla1[[#This Row],[JULIO ]]/22.5-1,0),IF(Tabla1[[#This Row],[JULIO ]]&gt;45,Tabla1[[#This Row],[JULIO ]]/45-1,0))</f>
        <v>0</v>
      </c>
      <c r="AN575" s="100">
        <f>IF(Tabla1[[#This Row],[TIPO DE CONSUMIDOR]]="MEDIO",IF(Tabla1[[#This Row],[AGOSTO]]&gt;22.5,Tabla1[[#This Row],[AGOSTO]]/22.5-1,0),IF(Tabla1[[#This Row],[AGOSTO]]&gt;45,Tabla1[[#This Row],[AGOSTO]]/45-1,0))</f>
        <v>0</v>
      </c>
      <c r="AO575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5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5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5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5" s="101">
        <f t="shared" si="17"/>
        <v>0</v>
      </c>
      <c r="AT575">
        <f>IF(Tabla1[[#This Row],[MES ADEUDO DE AÑOS PASADOS ]]&gt;0,1,0)</f>
        <v>1</v>
      </c>
      <c r="AU575" s="9">
        <f t="shared" si="18"/>
        <v>1</v>
      </c>
      <c r="AV575" s="60">
        <f>IF(Tabla1[[#This Row],[MESES DE ADEUDO DEL AÑO EN CURSO ]]&gt;0,1,0)</f>
        <v>0</v>
      </c>
    </row>
    <row r="576" spans="1:48" ht="21.75" thickBot="1" x14ac:dyDescent="0.35">
      <c r="A576" s="106">
        <v>570</v>
      </c>
      <c r="B576" s="5" t="s">
        <v>586</v>
      </c>
      <c r="C576" s="2"/>
      <c r="D576" s="32"/>
      <c r="E576" s="35" t="s">
        <v>455</v>
      </c>
      <c r="F576" s="52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4"/>
      <c r="R576" s="59">
        <f>SUM(Tabla1[[#This Row],[ENERO ]:[DICIEMBRE]])</f>
        <v>0</v>
      </c>
      <c r="W576">
        <v>28</v>
      </c>
      <c r="X576" s="90">
        <f>COUNTIF(Tabla1[[#This Row],[ENERO ]:[DICIEMBRE]],0)-(AS576)-IF(Tabla1[[#This Row],[BAJAS]]="BAJA",IF(Tabla1[[#This Row],[ALTAS]]="ALTA",VLOOKUP(Tabla1[[#This Row],[MES DE ALTA ]],$AW$6:$AX$17,2,FALSE),12)-VLOOKUP(Tabla1[[#This Row],[MES DE BAJA ]],$AW$6:$AX$17,2,FALSE),0)</f>
        <v>0</v>
      </c>
      <c r="Y576" s="68">
        <f>SUM(Tabla1[[#This Row],[MES ADEUDO DE AÑOS PASADOS ]:[MESES DE ADEUDO DEL AÑO EN CURSO ]])-Tabla1[[#This Row],[PAGO DE DEUDA ANTERIOR EN MESES]]</f>
        <v>28</v>
      </c>
      <c r="Z576" s="15">
        <f>Tabla1[[#This Row],[MES ADEUDO DE AÑOS PASADOS ]]*$T$2</f>
        <v>1260</v>
      </c>
      <c r="AA576" s="15">
        <f>Tabla1[[#This Row],[MESES DE ADEUDO DEL AÑO EN CURSO ]]*$T$2</f>
        <v>0</v>
      </c>
      <c r="AB576" s="69">
        <f>SUM(Tabla1[[#This Row],[DEUDA DE LOS MESES PASADOS EN $$]:[DEUDA DEL AÑO 2013 $$ ]])</f>
        <v>1260</v>
      </c>
      <c r="AD576">
        <f>Tabla1[[#This Row],[PAGO DE DEUDA ANTERIOR EN MESES]]*$T$2</f>
        <v>0</v>
      </c>
      <c r="AG576" s="100">
        <f>IF(Tabla1[[#This Row],[TIPO DE CONSUMIDOR]]="MEDIO",IF(Tabla1[[#This Row],[ENERO ]]&gt;22.5,Tabla1[[#This Row],[ENERO ]]/22.5-1,0),IF(Tabla1[[#This Row],[ENERO ]]&gt;45,Tabla1[[#This Row],[ENERO ]]/45-1,0))</f>
        <v>0</v>
      </c>
      <c r="AH576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6" s="100">
        <f>IF(Tabla1[[#This Row],[TIPO DE CONSUMIDOR]]="MEDIO",IF(Tabla1[[#This Row],[MARZO]]&gt;22.5,Tabla1[[#This Row],[MARZO]]/22.5-1,0),IF(Tabla1[[#This Row],[MARZO]]&gt;45,Tabla1[[#This Row],[MARZO]]/45-1,0))</f>
        <v>0</v>
      </c>
      <c r="AJ576" s="100">
        <f>IF(Tabla1[[#This Row],[TIPO DE CONSUMIDOR]]="MEDIO",IF(Tabla1[[#This Row],[ABRIL]]&gt;22.5,Tabla1[[#This Row],[ABRIL]]/22.5-1,0),IF(Tabla1[[#This Row],[ABRIL]]&gt;45,Tabla1[[#This Row],[ABRIL]]/45-1,0))</f>
        <v>0</v>
      </c>
      <c r="AK576" s="100">
        <f>IF(Tabla1[[#This Row],[TIPO DE CONSUMIDOR]]="MEDIO",IF(Tabla1[[#This Row],[MAYO ]]&gt;22.5,Tabla1[[#This Row],[MAYO ]]/22.5-1,0),IF(Tabla1[[#This Row],[MAYO ]]&gt;45,Tabla1[[#This Row],[MAYO ]]/45-1,0))</f>
        <v>0</v>
      </c>
      <c r="AL576" s="100">
        <f>IF(Tabla1[[#This Row],[TIPO DE CONSUMIDOR]]="MEDIO",IF(Tabla1[[#This Row],[JUNIO ]]&gt;22.5,Tabla1[[#This Row],[JUNIO ]]/22.5-1,0),IF(Tabla1[[#This Row],[JUNIO ]]&gt;45,Tabla1[[#This Row],[JUNIO ]]/45-1,0))</f>
        <v>0</v>
      </c>
      <c r="AM576" s="100">
        <f>IF(Tabla1[[#This Row],[TIPO DE CONSUMIDOR]]="MEDIO",IF(Tabla1[[#This Row],[JULIO ]]&gt;22.5,Tabla1[[#This Row],[JULIO ]]/22.5-1,0),IF(Tabla1[[#This Row],[JULIO ]]&gt;45,Tabla1[[#This Row],[JULIO ]]/45-1,0))</f>
        <v>0</v>
      </c>
      <c r="AN576" s="100">
        <f>IF(Tabla1[[#This Row],[TIPO DE CONSUMIDOR]]="MEDIO",IF(Tabla1[[#This Row],[AGOSTO]]&gt;22.5,Tabla1[[#This Row],[AGOSTO]]/22.5-1,0),IF(Tabla1[[#This Row],[AGOSTO]]&gt;45,Tabla1[[#This Row],[AGOSTO]]/45-1,0))</f>
        <v>0</v>
      </c>
      <c r="AO576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6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6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6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6" s="101">
        <f t="shared" si="17"/>
        <v>0</v>
      </c>
      <c r="AT576">
        <f>IF(Tabla1[[#This Row],[MES ADEUDO DE AÑOS PASADOS ]]&gt;0,1,0)</f>
        <v>1</v>
      </c>
      <c r="AU576" s="9">
        <f t="shared" si="18"/>
        <v>1</v>
      </c>
      <c r="AV576" s="60">
        <f>IF(Tabla1[[#This Row],[MESES DE ADEUDO DEL AÑO EN CURSO ]]&gt;0,1,0)</f>
        <v>0</v>
      </c>
    </row>
    <row r="577" spans="1:48" ht="21.75" thickBot="1" x14ac:dyDescent="0.35">
      <c r="A577" s="106">
        <v>571</v>
      </c>
      <c r="B577" s="5" t="s">
        <v>651</v>
      </c>
      <c r="C577" s="94"/>
      <c r="D577" s="32"/>
      <c r="E577" s="35" t="s">
        <v>455</v>
      </c>
      <c r="F577" s="52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4"/>
      <c r="R577" s="92">
        <f>SUM(Tabla1[[#This Row],[ENERO ]:[DICIEMBRE]])</f>
        <v>0</v>
      </c>
      <c r="W577">
        <v>30</v>
      </c>
      <c r="X577" s="90">
        <f>COUNTIF(Tabla1[[#This Row],[ENERO ]:[DICIEMBRE]],0)-(AS577)-IF(Tabla1[[#This Row],[BAJAS]]="BAJA",IF(Tabla1[[#This Row],[ALTAS]]="ALTA",VLOOKUP(Tabla1[[#This Row],[MES DE ALTA ]],$AW$6:$AX$17,2,FALSE),12)-VLOOKUP(Tabla1[[#This Row],[MES DE BAJA ]],$AW$6:$AX$17,2,FALSE),0)</f>
        <v>0</v>
      </c>
      <c r="Y577" s="91">
        <f>SUM(Tabla1[[#This Row],[MES ADEUDO DE AÑOS PASADOS ]:[MESES DE ADEUDO DEL AÑO EN CURSO ]])-Tabla1[[#This Row],[PAGO DE DEUDA ANTERIOR EN MESES]]</f>
        <v>30</v>
      </c>
      <c r="Z577" s="15">
        <f>Tabla1[[#This Row],[MES ADEUDO DE AÑOS PASADOS ]]*$T$2</f>
        <v>1350</v>
      </c>
      <c r="AA577" s="15">
        <f>Tabla1[[#This Row],[MESES DE ADEUDO DEL AÑO EN CURSO ]]*$T$2</f>
        <v>0</v>
      </c>
      <c r="AB577" s="69">
        <f>SUM(Tabla1[[#This Row],[DEUDA DE LOS MESES PASADOS EN $$]:[DEUDA DEL AÑO 2013 $$ ]])</f>
        <v>1350</v>
      </c>
      <c r="AD577">
        <f>Tabla1[[#This Row],[PAGO DE DEUDA ANTERIOR EN MESES]]*$T$2</f>
        <v>0</v>
      </c>
      <c r="AG577" s="100">
        <f>IF(Tabla1[[#This Row],[TIPO DE CONSUMIDOR]]="MEDIO",IF(Tabla1[[#This Row],[ENERO ]]&gt;22.5,Tabla1[[#This Row],[ENERO ]]/22.5-1,0),IF(Tabla1[[#This Row],[ENERO ]]&gt;45,Tabla1[[#This Row],[ENERO ]]/45-1,0))</f>
        <v>0</v>
      </c>
      <c r="AH577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7" s="100">
        <f>IF(Tabla1[[#This Row],[TIPO DE CONSUMIDOR]]="MEDIO",IF(Tabla1[[#This Row],[MARZO]]&gt;22.5,Tabla1[[#This Row],[MARZO]]/22.5-1,0),IF(Tabla1[[#This Row],[MARZO]]&gt;45,Tabla1[[#This Row],[MARZO]]/45-1,0))</f>
        <v>0</v>
      </c>
      <c r="AJ577" s="100">
        <f>IF(Tabla1[[#This Row],[TIPO DE CONSUMIDOR]]="MEDIO",IF(Tabla1[[#This Row],[ABRIL]]&gt;22.5,Tabla1[[#This Row],[ABRIL]]/22.5-1,0),IF(Tabla1[[#This Row],[ABRIL]]&gt;45,Tabla1[[#This Row],[ABRIL]]/45-1,0))</f>
        <v>0</v>
      </c>
      <c r="AK577" s="100">
        <f>IF(Tabla1[[#This Row],[TIPO DE CONSUMIDOR]]="MEDIO",IF(Tabla1[[#This Row],[MAYO ]]&gt;22.5,Tabla1[[#This Row],[MAYO ]]/22.5-1,0),IF(Tabla1[[#This Row],[MAYO ]]&gt;45,Tabla1[[#This Row],[MAYO ]]/45-1,0))</f>
        <v>0</v>
      </c>
      <c r="AL577" s="100">
        <f>IF(Tabla1[[#This Row],[TIPO DE CONSUMIDOR]]="MEDIO",IF(Tabla1[[#This Row],[JUNIO ]]&gt;22.5,Tabla1[[#This Row],[JUNIO ]]/22.5-1,0),IF(Tabla1[[#This Row],[JUNIO ]]&gt;45,Tabla1[[#This Row],[JUNIO ]]/45-1,0))</f>
        <v>0</v>
      </c>
      <c r="AM577" s="100">
        <f>IF(Tabla1[[#This Row],[TIPO DE CONSUMIDOR]]="MEDIO",IF(Tabla1[[#This Row],[JULIO ]]&gt;22.5,Tabla1[[#This Row],[JULIO ]]/22.5-1,0),IF(Tabla1[[#This Row],[JULIO ]]&gt;45,Tabla1[[#This Row],[JULIO ]]/45-1,0))</f>
        <v>0</v>
      </c>
      <c r="AN577" s="100">
        <f>IF(Tabla1[[#This Row],[TIPO DE CONSUMIDOR]]="MEDIO",IF(Tabla1[[#This Row],[AGOSTO]]&gt;22.5,Tabla1[[#This Row],[AGOSTO]]/22.5-1,0),IF(Tabla1[[#This Row],[AGOSTO]]&gt;45,Tabla1[[#This Row],[AGOSTO]]/45-1,0))</f>
        <v>0</v>
      </c>
      <c r="AO577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7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7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7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7" s="101">
        <f t="shared" si="17"/>
        <v>0</v>
      </c>
      <c r="AT577">
        <f>IF(Tabla1[[#This Row],[MES ADEUDO DE AÑOS PASADOS ]]&gt;0,1,0)</f>
        <v>1</v>
      </c>
      <c r="AU577" s="9">
        <f t="shared" si="18"/>
        <v>1</v>
      </c>
      <c r="AV577" s="60">
        <f>IF(Tabla1[[#This Row],[MESES DE ADEUDO DEL AÑO EN CURSO ]]&gt;0,1,0)</f>
        <v>0</v>
      </c>
    </row>
    <row r="578" spans="1:48" ht="21.75" thickBot="1" x14ac:dyDescent="0.35">
      <c r="A578" s="106">
        <v>572</v>
      </c>
      <c r="B578" s="5" t="s">
        <v>654</v>
      </c>
      <c r="C578" s="94"/>
      <c r="D578" s="32"/>
      <c r="E578" s="35" t="s">
        <v>455</v>
      </c>
      <c r="F578" s="52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4"/>
      <c r="R578" s="92">
        <f>SUM(Tabla1[[#This Row],[ENERO ]:[DICIEMBRE]])</f>
        <v>0</v>
      </c>
      <c r="W578">
        <v>31</v>
      </c>
      <c r="X578" s="90">
        <f>COUNTIF(Tabla1[[#This Row],[ENERO ]:[DICIEMBRE]],0)-(AS578)-IF(Tabla1[[#This Row],[BAJAS]]="BAJA",IF(Tabla1[[#This Row],[ALTAS]]="ALTA",VLOOKUP(Tabla1[[#This Row],[MES DE ALTA ]],$AW$6:$AX$17,2,FALSE),12)-VLOOKUP(Tabla1[[#This Row],[MES DE BAJA ]],$AW$6:$AX$17,2,FALSE),0)</f>
        <v>0</v>
      </c>
      <c r="Y578" s="91">
        <f>SUM(Tabla1[[#This Row],[MES ADEUDO DE AÑOS PASADOS ]:[MESES DE ADEUDO DEL AÑO EN CURSO ]])-Tabla1[[#This Row],[PAGO DE DEUDA ANTERIOR EN MESES]]</f>
        <v>31</v>
      </c>
      <c r="Z578" s="15">
        <f>Tabla1[[#This Row],[MES ADEUDO DE AÑOS PASADOS ]]*$T$2</f>
        <v>1395</v>
      </c>
      <c r="AA578" s="15">
        <f>Tabla1[[#This Row],[MESES DE ADEUDO DEL AÑO EN CURSO ]]*$T$2</f>
        <v>0</v>
      </c>
      <c r="AB578" s="69">
        <f>SUM(Tabla1[[#This Row],[DEUDA DE LOS MESES PASADOS EN $$]:[DEUDA DEL AÑO 2013 $$ ]])</f>
        <v>1395</v>
      </c>
      <c r="AD578">
        <f>Tabla1[[#This Row],[PAGO DE DEUDA ANTERIOR EN MESES]]*$T$2</f>
        <v>0</v>
      </c>
      <c r="AG578" s="100">
        <f>IF(Tabla1[[#This Row],[TIPO DE CONSUMIDOR]]="MEDIO",IF(Tabla1[[#This Row],[ENERO ]]&gt;22.5,Tabla1[[#This Row],[ENERO ]]/22.5-1,0),IF(Tabla1[[#This Row],[ENERO ]]&gt;45,Tabla1[[#This Row],[ENERO ]]/45-1,0))</f>
        <v>0</v>
      </c>
      <c r="AH578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8" s="100">
        <f>IF(Tabla1[[#This Row],[TIPO DE CONSUMIDOR]]="MEDIO",IF(Tabla1[[#This Row],[MARZO]]&gt;22.5,Tabla1[[#This Row],[MARZO]]/22.5-1,0),IF(Tabla1[[#This Row],[MARZO]]&gt;45,Tabla1[[#This Row],[MARZO]]/45-1,0))</f>
        <v>0</v>
      </c>
      <c r="AJ578" s="100">
        <f>IF(Tabla1[[#This Row],[TIPO DE CONSUMIDOR]]="MEDIO",IF(Tabla1[[#This Row],[ABRIL]]&gt;22.5,Tabla1[[#This Row],[ABRIL]]/22.5-1,0),IF(Tabla1[[#This Row],[ABRIL]]&gt;45,Tabla1[[#This Row],[ABRIL]]/45-1,0))</f>
        <v>0</v>
      </c>
      <c r="AK578" s="100">
        <f>IF(Tabla1[[#This Row],[TIPO DE CONSUMIDOR]]="MEDIO",IF(Tabla1[[#This Row],[MAYO ]]&gt;22.5,Tabla1[[#This Row],[MAYO ]]/22.5-1,0),IF(Tabla1[[#This Row],[MAYO ]]&gt;45,Tabla1[[#This Row],[MAYO ]]/45-1,0))</f>
        <v>0</v>
      </c>
      <c r="AL578" s="100">
        <f>IF(Tabla1[[#This Row],[TIPO DE CONSUMIDOR]]="MEDIO",IF(Tabla1[[#This Row],[JUNIO ]]&gt;22.5,Tabla1[[#This Row],[JUNIO ]]/22.5-1,0),IF(Tabla1[[#This Row],[JUNIO ]]&gt;45,Tabla1[[#This Row],[JUNIO ]]/45-1,0))</f>
        <v>0</v>
      </c>
      <c r="AM578" s="100">
        <f>IF(Tabla1[[#This Row],[TIPO DE CONSUMIDOR]]="MEDIO",IF(Tabla1[[#This Row],[JULIO ]]&gt;22.5,Tabla1[[#This Row],[JULIO ]]/22.5-1,0),IF(Tabla1[[#This Row],[JULIO ]]&gt;45,Tabla1[[#This Row],[JULIO ]]/45-1,0))</f>
        <v>0</v>
      </c>
      <c r="AN578" s="100">
        <f>IF(Tabla1[[#This Row],[TIPO DE CONSUMIDOR]]="MEDIO",IF(Tabla1[[#This Row],[AGOSTO]]&gt;22.5,Tabla1[[#This Row],[AGOSTO]]/22.5-1,0),IF(Tabla1[[#This Row],[AGOSTO]]&gt;45,Tabla1[[#This Row],[AGOSTO]]/45-1,0))</f>
        <v>0</v>
      </c>
      <c r="AO578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8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8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8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8" s="101">
        <f t="shared" si="17"/>
        <v>0</v>
      </c>
      <c r="AT578">
        <f>IF(Tabla1[[#This Row],[MES ADEUDO DE AÑOS PASADOS ]]&gt;0,1,0)</f>
        <v>1</v>
      </c>
      <c r="AU578" s="9">
        <f t="shared" si="18"/>
        <v>1</v>
      </c>
      <c r="AV578" s="60">
        <f>IF(Tabla1[[#This Row],[MESES DE ADEUDO DEL AÑO EN CURSO ]]&gt;0,1,0)</f>
        <v>0</v>
      </c>
    </row>
    <row r="579" spans="1:48" ht="21.75" thickBot="1" x14ac:dyDescent="0.35">
      <c r="A579" s="106">
        <v>573</v>
      </c>
      <c r="B579" s="5" t="s">
        <v>656</v>
      </c>
      <c r="C579" s="94"/>
      <c r="D579" s="32"/>
      <c r="E579" s="35" t="s">
        <v>455</v>
      </c>
      <c r="F579" s="52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4"/>
      <c r="R579" s="92">
        <f>SUM(Tabla1[[#This Row],[ENERO ]:[DICIEMBRE]])</f>
        <v>0</v>
      </c>
      <c r="W579">
        <v>32</v>
      </c>
      <c r="X579" s="90">
        <f>COUNTIF(Tabla1[[#This Row],[ENERO ]:[DICIEMBRE]],0)-(AS579)-IF(Tabla1[[#This Row],[BAJAS]]="BAJA",IF(Tabla1[[#This Row],[ALTAS]]="ALTA",VLOOKUP(Tabla1[[#This Row],[MES DE ALTA ]],$AW$6:$AX$17,2,FALSE),12)-VLOOKUP(Tabla1[[#This Row],[MES DE BAJA ]],$AW$6:$AX$17,2,FALSE),0)</f>
        <v>0</v>
      </c>
      <c r="Y579" s="91">
        <f>SUM(Tabla1[[#This Row],[MES ADEUDO DE AÑOS PASADOS ]:[MESES DE ADEUDO DEL AÑO EN CURSO ]])-Tabla1[[#This Row],[PAGO DE DEUDA ANTERIOR EN MESES]]</f>
        <v>32</v>
      </c>
      <c r="Z579" s="15">
        <f>Tabla1[[#This Row],[MES ADEUDO DE AÑOS PASADOS ]]*$T$2</f>
        <v>1440</v>
      </c>
      <c r="AA579" s="15">
        <f>Tabla1[[#This Row],[MESES DE ADEUDO DEL AÑO EN CURSO ]]*$T$2</f>
        <v>0</v>
      </c>
      <c r="AB579" s="69">
        <f>SUM(Tabla1[[#This Row],[DEUDA DE LOS MESES PASADOS EN $$]:[DEUDA DEL AÑO 2013 $$ ]])</f>
        <v>1440</v>
      </c>
      <c r="AD579">
        <f>Tabla1[[#This Row],[PAGO DE DEUDA ANTERIOR EN MESES]]*$T$2</f>
        <v>0</v>
      </c>
      <c r="AG579" s="100">
        <f>IF(Tabla1[[#This Row],[TIPO DE CONSUMIDOR]]="MEDIO",IF(Tabla1[[#This Row],[ENERO ]]&gt;22.5,Tabla1[[#This Row],[ENERO ]]/22.5-1,0),IF(Tabla1[[#This Row],[ENERO ]]&gt;45,Tabla1[[#This Row],[ENERO ]]/45-1,0))</f>
        <v>0</v>
      </c>
      <c r="AH579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79" s="100">
        <f>IF(Tabla1[[#This Row],[TIPO DE CONSUMIDOR]]="MEDIO",IF(Tabla1[[#This Row],[MARZO]]&gt;22.5,Tabla1[[#This Row],[MARZO]]/22.5-1,0),IF(Tabla1[[#This Row],[MARZO]]&gt;45,Tabla1[[#This Row],[MARZO]]/45-1,0))</f>
        <v>0</v>
      </c>
      <c r="AJ579" s="100">
        <f>IF(Tabla1[[#This Row],[TIPO DE CONSUMIDOR]]="MEDIO",IF(Tabla1[[#This Row],[ABRIL]]&gt;22.5,Tabla1[[#This Row],[ABRIL]]/22.5-1,0),IF(Tabla1[[#This Row],[ABRIL]]&gt;45,Tabla1[[#This Row],[ABRIL]]/45-1,0))</f>
        <v>0</v>
      </c>
      <c r="AK579" s="100">
        <f>IF(Tabla1[[#This Row],[TIPO DE CONSUMIDOR]]="MEDIO",IF(Tabla1[[#This Row],[MAYO ]]&gt;22.5,Tabla1[[#This Row],[MAYO ]]/22.5-1,0),IF(Tabla1[[#This Row],[MAYO ]]&gt;45,Tabla1[[#This Row],[MAYO ]]/45-1,0))</f>
        <v>0</v>
      </c>
      <c r="AL579" s="100">
        <f>IF(Tabla1[[#This Row],[TIPO DE CONSUMIDOR]]="MEDIO",IF(Tabla1[[#This Row],[JUNIO ]]&gt;22.5,Tabla1[[#This Row],[JUNIO ]]/22.5-1,0),IF(Tabla1[[#This Row],[JUNIO ]]&gt;45,Tabla1[[#This Row],[JUNIO ]]/45-1,0))</f>
        <v>0</v>
      </c>
      <c r="AM579" s="100">
        <f>IF(Tabla1[[#This Row],[TIPO DE CONSUMIDOR]]="MEDIO",IF(Tabla1[[#This Row],[JULIO ]]&gt;22.5,Tabla1[[#This Row],[JULIO ]]/22.5-1,0),IF(Tabla1[[#This Row],[JULIO ]]&gt;45,Tabla1[[#This Row],[JULIO ]]/45-1,0))</f>
        <v>0</v>
      </c>
      <c r="AN579" s="100">
        <f>IF(Tabla1[[#This Row],[TIPO DE CONSUMIDOR]]="MEDIO",IF(Tabla1[[#This Row],[AGOSTO]]&gt;22.5,Tabla1[[#This Row],[AGOSTO]]/22.5-1,0),IF(Tabla1[[#This Row],[AGOSTO]]&gt;45,Tabla1[[#This Row],[AGOSTO]]/45-1,0))</f>
        <v>0</v>
      </c>
      <c r="AO579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79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79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79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79" s="101">
        <f t="shared" si="17"/>
        <v>0</v>
      </c>
      <c r="AT579">
        <f>IF(Tabla1[[#This Row],[MES ADEUDO DE AÑOS PASADOS ]]&gt;0,1,0)</f>
        <v>1</v>
      </c>
      <c r="AU579" s="9">
        <f t="shared" si="18"/>
        <v>1</v>
      </c>
      <c r="AV579" s="60">
        <f>IF(Tabla1[[#This Row],[MESES DE ADEUDO DEL AÑO EN CURSO ]]&gt;0,1,0)</f>
        <v>0</v>
      </c>
    </row>
    <row r="580" spans="1:48" ht="21.75" thickBot="1" x14ac:dyDescent="0.35">
      <c r="A580" s="106">
        <v>574</v>
      </c>
      <c r="B580" s="5" t="s">
        <v>579</v>
      </c>
      <c r="C580" s="2"/>
      <c r="D580" s="32"/>
      <c r="E580" s="35" t="s">
        <v>455</v>
      </c>
      <c r="F580" s="52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4"/>
      <c r="R580" s="55">
        <f>SUM(Tabla1[[#This Row],[ENERO ]:[DICIEMBRE]])</f>
        <v>0</v>
      </c>
      <c r="W580">
        <v>34</v>
      </c>
      <c r="X580" s="90">
        <f>COUNTIF(Tabla1[[#This Row],[ENERO ]:[DICIEMBRE]],0)-(AS580)-IF(Tabla1[[#This Row],[BAJAS]]="BAJA",IF(Tabla1[[#This Row],[ALTAS]]="ALTA",VLOOKUP(Tabla1[[#This Row],[MES DE ALTA ]],$AW$6:$AX$17,2,FALSE),12)-VLOOKUP(Tabla1[[#This Row],[MES DE BAJA ]],$AW$6:$AX$17,2,FALSE),0)</f>
        <v>0</v>
      </c>
      <c r="Y580" s="68">
        <f>SUM(Tabla1[[#This Row],[MES ADEUDO DE AÑOS PASADOS ]:[MESES DE ADEUDO DEL AÑO EN CURSO ]])-Tabla1[[#This Row],[PAGO DE DEUDA ANTERIOR EN MESES]]</f>
        <v>34</v>
      </c>
      <c r="Z580" s="15">
        <f>Tabla1[[#This Row],[MES ADEUDO DE AÑOS PASADOS ]]*$T$2</f>
        <v>1530</v>
      </c>
      <c r="AA580" s="15">
        <f>Tabla1[[#This Row],[MESES DE ADEUDO DEL AÑO EN CURSO ]]*$T$2</f>
        <v>0</v>
      </c>
      <c r="AB580" s="69">
        <f>SUM(Tabla1[[#This Row],[DEUDA DE LOS MESES PASADOS EN $$]:[DEUDA DEL AÑO 2013 $$ ]])</f>
        <v>1530</v>
      </c>
      <c r="AD580">
        <f>Tabla1[[#This Row],[PAGO DE DEUDA ANTERIOR EN MESES]]*$T$2</f>
        <v>0</v>
      </c>
      <c r="AG580" s="100">
        <f>IF(Tabla1[[#This Row],[TIPO DE CONSUMIDOR]]="MEDIO",IF(Tabla1[[#This Row],[ENERO ]]&gt;22.5,Tabla1[[#This Row],[ENERO ]]/22.5-1,0),IF(Tabla1[[#This Row],[ENERO ]]&gt;45,Tabla1[[#This Row],[ENERO ]]/45-1,0))</f>
        <v>0</v>
      </c>
      <c r="AH580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80" s="100">
        <f>IF(Tabla1[[#This Row],[TIPO DE CONSUMIDOR]]="MEDIO",IF(Tabla1[[#This Row],[MARZO]]&gt;22.5,Tabla1[[#This Row],[MARZO]]/22.5-1,0),IF(Tabla1[[#This Row],[MARZO]]&gt;45,Tabla1[[#This Row],[MARZO]]/45-1,0))</f>
        <v>0</v>
      </c>
      <c r="AJ580" s="100">
        <f>IF(Tabla1[[#This Row],[TIPO DE CONSUMIDOR]]="MEDIO",IF(Tabla1[[#This Row],[ABRIL]]&gt;22.5,Tabla1[[#This Row],[ABRIL]]/22.5-1,0),IF(Tabla1[[#This Row],[ABRIL]]&gt;45,Tabla1[[#This Row],[ABRIL]]/45-1,0))</f>
        <v>0</v>
      </c>
      <c r="AK580" s="100">
        <f>IF(Tabla1[[#This Row],[TIPO DE CONSUMIDOR]]="MEDIO",IF(Tabla1[[#This Row],[MAYO ]]&gt;22.5,Tabla1[[#This Row],[MAYO ]]/22.5-1,0),IF(Tabla1[[#This Row],[MAYO ]]&gt;45,Tabla1[[#This Row],[MAYO ]]/45-1,0))</f>
        <v>0</v>
      </c>
      <c r="AL580" s="100">
        <f>IF(Tabla1[[#This Row],[TIPO DE CONSUMIDOR]]="MEDIO",IF(Tabla1[[#This Row],[JUNIO ]]&gt;22.5,Tabla1[[#This Row],[JUNIO ]]/22.5-1,0),IF(Tabla1[[#This Row],[JUNIO ]]&gt;45,Tabla1[[#This Row],[JUNIO ]]/45-1,0))</f>
        <v>0</v>
      </c>
      <c r="AM580" s="100">
        <f>IF(Tabla1[[#This Row],[TIPO DE CONSUMIDOR]]="MEDIO",IF(Tabla1[[#This Row],[JULIO ]]&gt;22.5,Tabla1[[#This Row],[JULIO ]]/22.5-1,0),IF(Tabla1[[#This Row],[JULIO ]]&gt;45,Tabla1[[#This Row],[JULIO ]]/45-1,0))</f>
        <v>0</v>
      </c>
      <c r="AN580" s="100">
        <f>IF(Tabla1[[#This Row],[TIPO DE CONSUMIDOR]]="MEDIO",IF(Tabla1[[#This Row],[AGOSTO]]&gt;22.5,Tabla1[[#This Row],[AGOSTO]]/22.5-1,0),IF(Tabla1[[#This Row],[AGOSTO]]&gt;45,Tabla1[[#This Row],[AGOSTO]]/45-1,0))</f>
        <v>0</v>
      </c>
      <c r="AO580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80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80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80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80" s="101">
        <f t="shared" si="17"/>
        <v>0</v>
      </c>
      <c r="AT580">
        <f>IF(Tabla1[[#This Row],[MES ADEUDO DE AÑOS PASADOS ]]&gt;0,1,0)</f>
        <v>1</v>
      </c>
      <c r="AU580" s="9">
        <f t="shared" si="18"/>
        <v>1</v>
      </c>
      <c r="AV580" s="60">
        <f>IF(Tabla1[[#This Row],[MESES DE ADEUDO DEL AÑO EN CURSO ]]&gt;0,1,0)</f>
        <v>0</v>
      </c>
    </row>
    <row r="581" spans="1:48" ht="21.75" thickBot="1" x14ac:dyDescent="0.35">
      <c r="A581" s="106">
        <v>575</v>
      </c>
      <c r="B581" s="5" t="s">
        <v>41</v>
      </c>
      <c r="C581" s="2"/>
      <c r="D581" s="32"/>
      <c r="E581" s="35" t="s">
        <v>455</v>
      </c>
      <c r="F581" s="52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4"/>
      <c r="R581" s="59">
        <f>SUM(Tabla1[[#This Row],[ENERO ]:[DICIEMBRE]])</f>
        <v>0</v>
      </c>
      <c r="W581">
        <v>39</v>
      </c>
      <c r="X581" s="90">
        <f>COUNTIF(Tabla1[[#This Row],[ENERO ]:[DICIEMBRE]],0)-(AS581)-IF(Tabla1[[#This Row],[BAJAS]]="BAJA",IF(Tabla1[[#This Row],[ALTAS]]="ALTA",VLOOKUP(Tabla1[[#This Row],[MES DE ALTA ]],$AW$6:$AX$17,2,FALSE),12)-VLOOKUP(Tabla1[[#This Row],[MES DE BAJA ]],$AW$6:$AX$17,2,FALSE),0)</f>
        <v>0</v>
      </c>
      <c r="Y581" s="68">
        <f>SUM(Tabla1[[#This Row],[MES ADEUDO DE AÑOS PASADOS ]:[MESES DE ADEUDO DEL AÑO EN CURSO ]])-Tabla1[[#This Row],[PAGO DE DEUDA ANTERIOR EN MESES]]</f>
        <v>39</v>
      </c>
      <c r="Z581" s="15">
        <f>Tabla1[[#This Row],[MES ADEUDO DE AÑOS PASADOS ]]*$T$2</f>
        <v>1755</v>
      </c>
      <c r="AA581" s="15">
        <f>Tabla1[[#This Row],[MESES DE ADEUDO DEL AÑO EN CURSO ]]*$T$2</f>
        <v>0</v>
      </c>
      <c r="AB581" s="69">
        <f>SUM(Tabla1[[#This Row],[DEUDA DE LOS MESES PASADOS EN $$]:[DEUDA DEL AÑO 2013 $$ ]])</f>
        <v>1755</v>
      </c>
      <c r="AD581">
        <f>Tabla1[[#This Row],[PAGO DE DEUDA ANTERIOR EN MESES]]*$T$2</f>
        <v>0</v>
      </c>
      <c r="AG581" s="100">
        <f>IF(Tabla1[[#This Row],[TIPO DE CONSUMIDOR]]="MEDIO",IF(Tabla1[[#This Row],[ENERO ]]&gt;22.5,Tabla1[[#This Row],[ENERO ]]/22.5-1,0),IF(Tabla1[[#This Row],[ENERO ]]&gt;45,Tabla1[[#This Row],[ENERO ]]/45-1,0))</f>
        <v>0</v>
      </c>
      <c r="AH581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81" s="100">
        <f>IF(Tabla1[[#This Row],[TIPO DE CONSUMIDOR]]="MEDIO",IF(Tabla1[[#This Row],[MARZO]]&gt;22.5,Tabla1[[#This Row],[MARZO]]/22.5-1,0),IF(Tabla1[[#This Row],[MARZO]]&gt;45,Tabla1[[#This Row],[MARZO]]/45-1,0))</f>
        <v>0</v>
      </c>
      <c r="AJ581" s="100">
        <f>IF(Tabla1[[#This Row],[TIPO DE CONSUMIDOR]]="MEDIO",IF(Tabla1[[#This Row],[ABRIL]]&gt;22.5,Tabla1[[#This Row],[ABRIL]]/22.5-1,0),IF(Tabla1[[#This Row],[ABRIL]]&gt;45,Tabla1[[#This Row],[ABRIL]]/45-1,0))</f>
        <v>0</v>
      </c>
      <c r="AK581" s="100">
        <f>IF(Tabla1[[#This Row],[TIPO DE CONSUMIDOR]]="MEDIO",IF(Tabla1[[#This Row],[MAYO ]]&gt;22.5,Tabla1[[#This Row],[MAYO ]]/22.5-1,0),IF(Tabla1[[#This Row],[MAYO ]]&gt;45,Tabla1[[#This Row],[MAYO ]]/45-1,0))</f>
        <v>0</v>
      </c>
      <c r="AL581" s="100">
        <f>IF(Tabla1[[#This Row],[TIPO DE CONSUMIDOR]]="MEDIO",IF(Tabla1[[#This Row],[JUNIO ]]&gt;22.5,Tabla1[[#This Row],[JUNIO ]]/22.5-1,0),IF(Tabla1[[#This Row],[JUNIO ]]&gt;45,Tabla1[[#This Row],[JUNIO ]]/45-1,0))</f>
        <v>0</v>
      </c>
      <c r="AM581" s="100">
        <f>IF(Tabla1[[#This Row],[TIPO DE CONSUMIDOR]]="MEDIO",IF(Tabla1[[#This Row],[JULIO ]]&gt;22.5,Tabla1[[#This Row],[JULIO ]]/22.5-1,0),IF(Tabla1[[#This Row],[JULIO ]]&gt;45,Tabla1[[#This Row],[JULIO ]]/45-1,0))</f>
        <v>0</v>
      </c>
      <c r="AN581" s="100">
        <f>IF(Tabla1[[#This Row],[TIPO DE CONSUMIDOR]]="MEDIO",IF(Tabla1[[#This Row],[AGOSTO]]&gt;22.5,Tabla1[[#This Row],[AGOSTO]]/22.5-1,0),IF(Tabla1[[#This Row],[AGOSTO]]&gt;45,Tabla1[[#This Row],[AGOSTO]]/45-1,0))</f>
        <v>0</v>
      </c>
      <c r="AO581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81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81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81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81" s="101">
        <f t="shared" si="17"/>
        <v>0</v>
      </c>
      <c r="AT581">
        <f>IF(Tabla1[[#This Row],[MES ADEUDO DE AÑOS PASADOS ]]&gt;0,1,0)</f>
        <v>1</v>
      </c>
      <c r="AU581" s="9">
        <f t="shared" si="18"/>
        <v>1</v>
      </c>
      <c r="AV581" s="60">
        <f>IF(Tabla1[[#This Row],[MESES DE ADEUDO DEL AÑO EN CURSO ]]&gt;0,1,0)</f>
        <v>0</v>
      </c>
    </row>
    <row r="582" spans="1:48" ht="21.75" thickBot="1" x14ac:dyDescent="0.35">
      <c r="A582" s="106">
        <v>576</v>
      </c>
      <c r="B582" s="5" t="s">
        <v>646</v>
      </c>
      <c r="C582" s="2"/>
      <c r="D582" s="32"/>
      <c r="E582" s="35" t="s">
        <v>455</v>
      </c>
      <c r="F582" s="52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4"/>
      <c r="R582" s="92">
        <f>SUM(Tabla1[[#This Row],[ENERO ]:[DICIEMBRE]])</f>
        <v>0</v>
      </c>
      <c r="W582">
        <v>41</v>
      </c>
      <c r="X582" s="90">
        <f>COUNTIF(Tabla1[[#This Row],[ENERO ]:[DICIEMBRE]],0)-(AS582)-IF(Tabla1[[#This Row],[BAJAS]]="BAJA",IF(Tabla1[[#This Row],[ALTAS]]="ALTA",VLOOKUP(Tabla1[[#This Row],[MES DE ALTA ]],$AW$6:$AX$17,2,FALSE),12)-VLOOKUP(Tabla1[[#This Row],[MES DE BAJA ]],$AW$6:$AX$17,2,FALSE),0)</f>
        <v>0</v>
      </c>
      <c r="Y582" s="91">
        <f>SUM(Tabla1[[#This Row],[MES ADEUDO DE AÑOS PASADOS ]:[MESES DE ADEUDO DEL AÑO EN CURSO ]])-Tabla1[[#This Row],[PAGO DE DEUDA ANTERIOR EN MESES]]</f>
        <v>41</v>
      </c>
      <c r="Z582" s="15">
        <f>Tabla1[[#This Row],[MES ADEUDO DE AÑOS PASADOS ]]*$T$2</f>
        <v>1845</v>
      </c>
      <c r="AA582" s="15">
        <f>Tabla1[[#This Row],[MESES DE ADEUDO DEL AÑO EN CURSO ]]*$T$2</f>
        <v>0</v>
      </c>
      <c r="AB582" s="69">
        <f>SUM(Tabla1[[#This Row],[DEUDA DE LOS MESES PASADOS EN $$]:[DEUDA DEL AÑO 2013 $$ ]])</f>
        <v>1845</v>
      </c>
      <c r="AD582">
        <f>Tabla1[[#This Row],[PAGO DE DEUDA ANTERIOR EN MESES]]*$T$2</f>
        <v>0</v>
      </c>
      <c r="AG582" s="100">
        <f>IF(Tabla1[[#This Row],[TIPO DE CONSUMIDOR]]="MEDIO",IF(Tabla1[[#This Row],[ENERO ]]&gt;22.5,Tabla1[[#This Row],[ENERO ]]/22.5-1,0),IF(Tabla1[[#This Row],[ENERO ]]&gt;45,Tabla1[[#This Row],[ENERO ]]/45-1,0))</f>
        <v>0</v>
      </c>
      <c r="AH582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82" s="100">
        <f>IF(Tabla1[[#This Row],[TIPO DE CONSUMIDOR]]="MEDIO",IF(Tabla1[[#This Row],[MARZO]]&gt;22.5,Tabla1[[#This Row],[MARZO]]/22.5-1,0),IF(Tabla1[[#This Row],[MARZO]]&gt;45,Tabla1[[#This Row],[MARZO]]/45-1,0))</f>
        <v>0</v>
      </c>
      <c r="AJ582" s="100">
        <f>IF(Tabla1[[#This Row],[TIPO DE CONSUMIDOR]]="MEDIO",IF(Tabla1[[#This Row],[ABRIL]]&gt;22.5,Tabla1[[#This Row],[ABRIL]]/22.5-1,0),IF(Tabla1[[#This Row],[ABRIL]]&gt;45,Tabla1[[#This Row],[ABRIL]]/45-1,0))</f>
        <v>0</v>
      </c>
      <c r="AK582" s="100">
        <f>IF(Tabla1[[#This Row],[TIPO DE CONSUMIDOR]]="MEDIO",IF(Tabla1[[#This Row],[MAYO ]]&gt;22.5,Tabla1[[#This Row],[MAYO ]]/22.5-1,0),IF(Tabla1[[#This Row],[MAYO ]]&gt;45,Tabla1[[#This Row],[MAYO ]]/45-1,0))</f>
        <v>0</v>
      </c>
      <c r="AL582" s="100">
        <f>IF(Tabla1[[#This Row],[TIPO DE CONSUMIDOR]]="MEDIO",IF(Tabla1[[#This Row],[JUNIO ]]&gt;22.5,Tabla1[[#This Row],[JUNIO ]]/22.5-1,0),IF(Tabla1[[#This Row],[JUNIO ]]&gt;45,Tabla1[[#This Row],[JUNIO ]]/45-1,0))</f>
        <v>0</v>
      </c>
      <c r="AM582" s="100">
        <f>IF(Tabla1[[#This Row],[TIPO DE CONSUMIDOR]]="MEDIO",IF(Tabla1[[#This Row],[JULIO ]]&gt;22.5,Tabla1[[#This Row],[JULIO ]]/22.5-1,0),IF(Tabla1[[#This Row],[JULIO ]]&gt;45,Tabla1[[#This Row],[JULIO ]]/45-1,0))</f>
        <v>0</v>
      </c>
      <c r="AN582" s="100">
        <f>IF(Tabla1[[#This Row],[TIPO DE CONSUMIDOR]]="MEDIO",IF(Tabla1[[#This Row],[AGOSTO]]&gt;22.5,Tabla1[[#This Row],[AGOSTO]]/22.5-1,0),IF(Tabla1[[#This Row],[AGOSTO]]&gt;45,Tabla1[[#This Row],[AGOSTO]]/45-1,0))</f>
        <v>0</v>
      </c>
      <c r="AO582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82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82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82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82" s="101">
        <f t="shared" si="17"/>
        <v>0</v>
      </c>
      <c r="AT582">
        <f>IF(Tabla1[[#This Row],[MES ADEUDO DE AÑOS PASADOS ]]&gt;0,1,0)</f>
        <v>1</v>
      </c>
      <c r="AU582" s="9">
        <f t="shared" si="18"/>
        <v>1</v>
      </c>
      <c r="AV582" s="60">
        <f>IF(Tabla1[[#This Row],[MESES DE ADEUDO DEL AÑO EN CURSO ]]&gt;0,1,0)</f>
        <v>0</v>
      </c>
    </row>
    <row r="583" spans="1:48" ht="21.75" thickBot="1" x14ac:dyDescent="0.35">
      <c r="A583" s="106">
        <v>577</v>
      </c>
      <c r="B583" s="5" t="s">
        <v>645</v>
      </c>
      <c r="C583" s="2"/>
      <c r="D583" s="32"/>
      <c r="E583" s="35" t="s">
        <v>455</v>
      </c>
      <c r="F583" s="52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4"/>
      <c r="R583" s="92">
        <f>SUM(Tabla1[[#This Row],[ENERO ]:[DICIEMBRE]])</f>
        <v>0</v>
      </c>
      <c r="V583" s="37"/>
      <c r="W583">
        <v>46</v>
      </c>
      <c r="X583" s="90">
        <f>COUNTIF(Tabla1[[#This Row],[ENERO ]:[DICIEMBRE]],0)-(AS583)-IF(Tabla1[[#This Row],[BAJAS]]="BAJA",IF(Tabla1[[#This Row],[ALTAS]]="ALTA",VLOOKUP(Tabla1[[#This Row],[MES DE ALTA ]],$AW$6:$AX$17,2,FALSE),12)-VLOOKUP(Tabla1[[#This Row],[MES DE BAJA ]],$AW$6:$AX$17,2,FALSE),0)</f>
        <v>0</v>
      </c>
      <c r="Y583" s="91">
        <f>SUM(Tabla1[[#This Row],[MES ADEUDO DE AÑOS PASADOS ]:[MESES DE ADEUDO DEL AÑO EN CURSO ]])-Tabla1[[#This Row],[PAGO DE DEUDA ANTERIOR EN MESES]]</f>
        <v>46</v>
      </c>
      <c r="Z583" s="15">
        <f>Tabla1[[#This Row],[MES ADEUDO DE AÑOS PASADOS ]]*$T$2</f>
        <v>2070</v>
      </c>
      <c r="AA583" s="15">
        <f>Tabla1[[#This Row],[MESES DE ADEUDO DEL AÑO EN CURSO ]]*$T$2</f>
        <v>0</v>
      </c>
      <c r="AB583" s="69">
        <f>SUM(Tabla1[[#This Row],[DEUDA DE LOS MESES PASADOS EN $$]:[DEUDA DEL AÑO 2013 $$ ]])</f>
        <v>2070</v>
      </c>
      <c r="AD583">
        <f>Tabla1[[#This Row],[PAGO DE DEUDA ANTERIOR EN MESES]]*$T$2</f>
        <v>0</v>
      </c>
      <c r="AG583" s="100">
        <f>IF(Tabla1[[#This Row],[TIPO DE CONSUMIDOR]]="MEDIO",IF(Tabla1[[#This Row],[ENERO ]]&gt;22.5,Tabla1[[#This Row],[ENERO ]]/22.5-1,0),IF(Tabla1[[#This Row],[ENERO ]]&gt;45,Tabla1[[#This Row],[ENERO ]]/45-1,0))</f>
        <v>0</v>
      </c>
      <c r="AH583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83" s="100">
        <f>IF(Tabla1[[#This Row],[TIPO DE CONSUMIDOR]]="MEDIO",IF(Tabla1[[#This Row],[MARZO]]&gt;22.5,Tabla1[[#This Row],[MARZO]]/22.5-1,0),IF(Tabla1[[#This Row],[MARZO]]&gt;45,Tabla1[[#This Row],[MARZO]]/45-1,0))</f>
        <v>0</v>
      </c>
      <c r="AJ583" s="100">
        <f>IF(Tabla1[[#This Row],[TIPO DE CONSUMIDOR]]="MEDIO",IF(Tabla1[[#This Row],[ABRIL]]&gt;22.5,Tabla1[[#This Row],[ABRIL]]/22.5-1,0),IF(Tabla1[[#This Row],[ABRIL]]&gt;45,Tabla1[[#This Row],[ABRIL]]/45-1,0))</f>
        <v>0</v>
      </c>
      <c r="AK583" s="100">
        <f>IF(Tabla1[[#This Row],[TIPO DE CONSUMIDOR]]="MEDIO",IF(Tabla1[[#This Row],[MAYO ]]&gt;22.5,Tabla1[[#This Row],[MAYO ]]/22.5-1,0),IF(Tabla1[[#This Row],[MAYO ]]&gt;45,Tabla1[[#This Row],[MAYO ]]/45-1,0))</f>
        <v>0</v>
      </c>
      <c r="AL583" s="100">
        <f>IF(Tabla1[[#This Row],[TIPO DE CONSUMIDOR]]="MEDIO",IF(Tabla1[[#This Row],[JUNIO ]]&gt;22.5,Tabla1[[#This Row],[JUNIO ]]/22.5-1,0),IF(Tabla1[[#This Row],[JUNIO ]]&gt;45,Tabla1[[#This Row],[JUNIO ]]/45-1,0))</f>
        <v>0</v>
      </c>
      <c r="AM583" s="100">
        <f>IF(Tabla1[[#This Row],[TIPO DE CONSUMIDOR]]="MEDIO",IF(Tabla1[[#This Row],[JULIO ]]&gt;22.5,Tabla1[[#This Row],[JULIO ]]/22.5-1,0),IF(Tabla1[[#This Row],[JULIO ]]&gt;45,Tabla1[[#This Row],[JULIO ]]/45-1,0))</f>
        <v>0</v>
      </c>
      <c r="AN583" s="100">
        <f>IF(Tabla1[[#This Row],[TIPO DE CONSUMIDOR]]="MEDIO",IF(Tabla1[[#This Row],[AGOSTO]]&gt;22.5,Tabla1[[#This Row],[AGOSTO]]/22.5-1,0),IF(Tabla1[[#This Row],[AGOSTO]]&gt;45,Tabla1[[#This Row],[AGOSTO]]/45-1,0))</f>
        <v>0</v>
      </c>
      <c r="AO583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83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83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83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83" s="101">
        <f t="shared" ref="AS583:AS584" si="19">SUM(AG583:AR583)</f>
        <v>0</v>
      </c>
      <c r="AT583">
        <f>IF(Tabla1[[#This Row],[MES ADEUDO DE AÑOS PASADOS ]]&gt;0,1,0)</f>
        <v>1</v>
      </c>
      <c r="AU583" s="9">
        <f t="shared" si="18"/>
        <v>1</v>
      </c>
      <c r="AV583" s="60">
        <f>IF(Tabla1[[#This Row],[MESES DE ADEUDO DEL AÑO EN CURSO ]]&gt;0,1,0)</f>
        <v>0</v>
      </c>
    </row>
    <row r="584" spans="1:48" ht="21.75" thickBot="1" x14ac:dyDescent="0.35">
      <c r="A584" s="106">
        <v>578</v>
      </c>
      <c r="B584" s="5" t="s">
        <v>649</v>
      </c>
      <c r="C584" s="94"/>
      <c r="D584" s="32"/>
      <c r="E584" s="35" t="s">
        <v>455</v>
      </c>
      <c r="F584" s="52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4"/>
      <c r="R584" s="92">
        <f>SUM(Tabla1[[#This Row],[ENERO ]:[DICIEMBRE]])</f>
        <v>0</v>
      </c>
      <c r="W584">
        <v>46</v>
      </c>
      <c r="X584" s="90">
        <f>COUNTIF(Tabla1[[#This Row],[ENERO ]:[DICIEMBRE]],0)-(AS584)-IF(Tabla1[[#This Row],[BAJAS]]="BAJA",IF(Tabla1[[#This Row],[ALTAS]]="ALTA",VLOOKUP(Tabla1[[#This Row],[MES DE ALTA ]],$AW$6:$AX$17,2,FALSE),12)-VLOOKUP(Tabla1[[#This Row],[MES DE BAJA ]],$AW$6:$AX$17,2,FALSE),0)</f>
        <v>0</v>
      </c>
      <c r="Y584" s="91">
        <f>SUM(Tabla1[[#This Row],[MES ADEUDO DE AÑOS PASADOS ]:[MESES DE ADEUDO DEL AÑO EN CURSO ]])-Tabla1[[#This Row],[PAGO DE DEUDA ANTERIOR EN MESES]]</f>
        <v>46</v>
      </c>
      <c r="Z584" s="15">
        <f>Tabla1[[#This Row],[MES ADEUDO DE AÑOS PASADOS ]]*$T$2</f>
        <v>2070</v>
      </c>
      <c r="AA584" s="15">
        <f>Tabla1[[#This Row],[MESES DE ADEUDO DEL AÑO EN CURSO ]]*$T$2</f>
        <v>0</v>
      </c>
      <c r="AB584" s="69">
        <f>SUM(Tabla1[[#This Row],[DEUDA DE LOS MESES PASADOS EN $$]:[DEUDA DEL AÑO 2013 $$ ]])</f>
        <v>2070</v>
      </c>
      <c r="AD584">
        <f>Tabla1[[#This Row],[PAGO DE DEUDA ANTERIOR EN MESES]]*$T$2</f>
        <v>0</v>
      </c>
      <c r="AG584" s="100">
        <f>IF(Tabla1[[#This Row],[TIPO DE CONSUMIDOR]]="MEDIO",IF(Tabla1[[#This Row],[ENERO ]]&gt;22.5,Tabla1[[#This Row],[ENERO ]]/22.5-1,0),IF(Tabla1[[#This Row],[ENERO ]]&gt;45,Tabla1[[#This Row],[ENERO ]]/45-1,0))</f>
        <v>0</v>
      </c>
      <c r="AH584" s="100">
        <f>IF(Tabla1[[#This Row],[TIPO DE CONSUMIDOR]]="MEDIO",IF(Tabla1[[#This Row],[FEBRERO]]&gt;22.5,Tabla1[[#This Row],[FEBRERO]]/22.5-1,0),IF(Tabla1[[#This Row],[FEBRERO]]&gt;45,Tabla1[[#This Row],[FEBRERO]]/45-1,0))</f>
        <v>0</v>
      </c>
      <c r="AI584" s="100">
        <f>IF(Tabla1[[#This Row],[TIPO DE CONSUMIDOR]]="MEDIO",IF(Tabla1[[#This Row],[MARZO]]&gt;22.5,Tabla1[[#This Row],[MARZO]]/22.5-1,0),IF(Tabla1[[#This Row],[MARZO]]&gt;45,Tabla1[[#This Row],[MARZO]]/45-1,0))</f>
        <v>0</v>
      </c>
      <c r="AJ584" s="100">
        <f>IF(Tabla1[[#This Row],[TIPO DE CONSUMIDOR]]="MEDIO",IF(Tabla1[[#This Row],[ABRIL]]&gt;22.5,Tabla1[[#This Row],[ABRIL]]/22.5-1,0),IF(Tabla1[[#This Row],[ABRIL]]&gt;45,Tabla1[[#This Row],[ABRIL]]/45-1,0))</f>
        <v>0</v>
      </c>
      <c r="AK584" s="100">
        <f>IF(Tabla1[[#This Row],[TIPO DE CONSUMIDOR]]="MEDIO",IF(Tabla1[[#This Row],[MAYO ]]&gt;22.5,Tabla1[[#This Row],[MAYO ]]/22.5-1,0),IF(Tabla1[[#This Row],[MAYO ]]&gt;45,Tabla1[[#This Row],[MAYO ]]/45-1,0))</f>
        <v>0</v>
      </c>
      <c r="AL584" s="100">
        <f>IF(Tabla1[[#This Row],[TIPO DE CONSUMIDOR]]="MEDIO",IF(Tabla1[[#This Row],[JUNIO ]]&gt;22.5,Tabla1[[#This Row],[JUNIO ]]/22.5-1,0),IF(Tabla1[[#This Row],[JUNIO ]]&gt;45,Tabla1[[#This Row],[JUNIO ]]/45-1,0))</f>
        <v>0</v>
      </c>
      <c r="AM584" s="100">
        <f>IF(Tabla1[[#This Row],[TIPO DE CONSUMIDOR]]="MEDIO",IF(Tabla1[[#This Row],[JULIO ]]&gt;22.5,Tabla1[[#This Row],[JULIO ]]/22.5-1,0),IF(Tabla1[[#This Row],[JULIO ]]&gt;45,Tabla1[[#This Row],[JULIO ]]/45-1,0))</f>
        <v>0</v>
      </c>
      <c r="AN584" s="100">
        <f>IF(Tabla1[[#This Row],[TIPO DE CONSUMIDOR]]="MEDIO",IF(Tabla1[[#This Row],[AGOSTO]]&gt;22.5,Tabla1[[#This Row],[AGOSTO]]/22.5-1,0),IF(Tabla1[[#This Row],[AGOSTO]]&gt;45,Tabla1[[#This Row],[AGOSTO]]/45-1,0))</f>
        <v>0</v>
      </c>
      <c r="AO584" s="100">
        <f>IF(Tabla1[[#This Row],[TIPO DE CONSUMIDOR]]="MEDIO",IF(Tabla1[[#This Row],[SEPTIEMBRE]]&gt;22.5,Tabla1[[#This Row],[SEPTIEMBRE]]/22.5-1,0),IF(Tabla1[[#This Row],[SEPTIEMBRE]]&gt;45,Tabla1[[#This Row],[SEPTIEMBRE]]/45-1,0))</f>
        <v>0</v>
      </c>
      <c r="AP584" s="100">
        <f>IF(Tabla1[[#This Row],[TIPO DE CONSUMIDOR]]="MEDIO",IF(Tabla1[[#This Row],[OCTUBRE]]&gt;22.5,Tabla1[[#This Row],[OCTUBRE]]/22.5-1,0),IF(Tabla1[[#This Row],[OCTUBRE]]&gt;45,Tabla1[[#This Row],[OCTUBRE]]/45-1,0))</f>
        <v>0</v>
      </c>
      <c r="AQ584" s="100">
        <f>IF(Tabla1[[#This Row],[TIPO DE CONSUMIDOR]]="MEDIO",IF(Tabla1[[#This Row],[NOVIEMBRE]]&gt;22.5,Tabla1[[#This Row],[NOVIEMBRE]]/22.5-1,0),IF(Tabla1[[#This Row],[NOVIEMBRE]]&gt;45,Tabla1[[#This Row],[NOVIEMBRE]]/45-1,0))</f>
        <v>0</v>
      </c>
      <c r="AR584" s="100">
        <f>IF(Tabla1[[#This Row],[TIPO DE CONSUMIDOR]]="MEDIO",IF(Tabla1[[#This Row],[DICIEMBRE]]&gt;22.5,Tabla1[[#This Row],[DICIEMBRE]]/22.5-1,0),IF(Tabla1[[#This Row],[DICIEMBRE]]&gt;45,Tabla1[[#This Row],[DICIEMBRE]]/45-1,0))</f>
        <v>0</v>
      </c>
      <c r="AS584" s="101">
        <f t="shared" si="19"/>
        <v>0</v>
      </c>
      <c r="AT584">
        <f>IF(Tabla1[[#This Row],[MES ADEUDO DE AÑOS PASADOS ]]&gt;0,1,0)</f>
        <v>1</v>
      </c>
      <c r="AU584" s="9">
        <f t="shared" si="18"/>
        <v>1</v>
      </c>
      <c r="AV584" s="60">
        <f>IF(Tabla1[[#This Row],[MESES DE ADEUDO DEL AÑO EN CURSO ]]&gt;0,1,0)</f>
        <v>0</v>
      </c>
    </row>
    <row r="585" spans="1:48" ht="42.75" customHeight="1" thickBot="1" x14ac:dyDescent="0.4">
      <c r="B585" s="102" t="s">
        <v>440</v>
      </c>
      <c r="C585" s="103"/>
      <c r="D585" s="104"/>
      <c r="E585" s="30"/>
      <c r="F585" s="109">
        <f>SUM(Tabla1[[ENERO ]])</f>
        <v>0</v>
      </c>
      <c r="G585" s="110">
        <f>SUM(Tabla1[FEBRERO])</f>
        <v>0</v>
      </c>
      <c r="H585" s="111">
        <f>SUM(Tabla1[MARZO])</f>
        <v>0</v>
      </c>
      <c r="I585" s="110">
        <f>SUM(Tabla1[ABRIL])</f>
        <v>0</v>
      </c>
      <c r="J585" s="112">
        <f>SUM(Tabla1[[MAYO ]])</f>
        <v>0</v>
      </c>
      <c r="K585" s="110">
        <f>SUM(Tabla1[[JUNIO ]])</f>
        <v>0</v>
      </c>
      <c r="L585" s="112">
        <f>SUM(Tabla1[[JULIO ]])</f>
        <v>0</v>
      </c>
      <c r="M585" s="110">
        <f>SUM(Tabla1[AGOSTO])</f>
        <v>0</v>
      </c>
      <c r="N585" s="112">
        <f>SUM(Tabla1[SEPTIEMBRE])</f>
        <v>0</v>
      </c>
      <c r="O585" s="110">
        <f>SUM(Tabla1[OCTUBRE])</f>
        <v>0</v>
      </c>
      <c r="P585" s="112">
        <f>SUM(Tabla1[NOVIEMBRE])</f>
        <v>0</v>
      </c>
      <c r="Q585" s="113">
        <f>SUM(Tabla1[DICIEMBRE])</f>
        <v>0</v>
      </c>
      <c r="R585" s="89" t="s">
        <v>439</v>
      </c>
      <c r="W585" s="65">
        <f>SUM(Tabla1[[MES ADEUDO DE AÑOS PASADOS ]])</f>
        <v>4484</v>
      </c>
      <c r="X585" s="65">
        <f>SUM(Tabla1[[MESES DE ADEUDO DEL AÑO EN CURSO ]])</f>
        <v>0</v>
      </c>
      <c r="Y585" s="123">
        <f>SUM(Tabla1[[MESES DE ADEUDO EN TOTAL HASTA EL AÑO EN CURSO ]])</f>
        <v>4484</v>
      </c>
      <c r="Z585" s="124">
        <f>SUM(Tabla1[DEUDA DE LOS MESES PASADOS EN $$])</f>
        <v>201780</v>
      </c>
      <c r="AA585" s="124">
        <f>SUM(Tabla1[DEUDA DEL AÑO 2013 $$ ])</f>
        <v>0</v>
      </c>
      <c r="AB585" s="124">
        <f>SUM(Tabla1[DEUDA TOTAL  EL $$])</f>
        <v>201780</v>
      </c>
      <c r="AD585" s="63">
        <f>SUBTOTAL(109,Tabla1[PADO DE DE DEUDA EN PESOS])</f>
        <v>0</v>
      </c>
      <c r="AT585">
        <f>SUM(AT7:AT584)</f>
        <v>324</v>
      </c>
      <c r="AU585" s="114">
        <f>SUM(AU7:AU584)</f>
        <v>324</v>
      </c>
      <c r="AV585" s="61">
        <f>SUM(AV7:AV584)</f>
        <v>0</v>
      </c>
    </row>
    <row r="586" spans="1:48" ht="16.5" thickBot="1" x14ac:dyDescent="0.3">
      <c r="O586" s="6"/>
      <c r="P586" s="6"/>
      <c r="Q586" s="6"/>
      <c r="R586" s="107">
        <f>SUM(Tabla1[PAGO POR USUARIO])</f>
        <v>0</v>
      </c>
    </row>
    <row r="587" spans="1:48" ht="16.5" thickBot="1" x14ac:dyDescent="0.3">
      <c r="R587" s="108">
        <f>SUM(Rmensual)</f>
        <v>0</v>
      </c>
    </row>
    <row r="590" spans="1:48" x14ac:dyDescent="0.25">
      <c r="B590" t="s">
        <v>658</v>
      </c>
    </row>
    <row r="591" spans="1:48" x14ac:dyDescent="0.25">
      <c r="B591" t="s">
        <v>30</v>
      </c>
      <c r="C591" t="s">
        <v>519</v>
      </c>
      <c r="E591" t="s">
        <v>455</v>
      </c>
      <c r="F591">
        <v>45</v>
      </c>
      <c r="G591">
        <v>45</v>
      </c>
      <c r="H591">
        <v>45</v>
      </c>
      <c r="I591">
        <v>45</v>
      </c>
      <c r="J591">
        <v>45</v>
      </c>
      <c r="K591">
        <v>45</v>
      </c>
      <c r="L591">
        <v>45</v>
      </c>
      <c r="M591">
        <v>45</v>
      </c>
      <c r="N591">
        <v>45</v>
      </c>
      <c r="O591">
        <v>45</v>
      </c>
      <c r="P591">
        <v>45</v>
      </c>
      <c r="Q591">
        <v>45</v>
      </c>
      <c r="R591">
        <f>SUM(F591:Q591)</f>
        <v>540</v>
      </c>
    </row>
  </sheetData>
  <dataConsolidate/>
  <mergeCells count="3">
    <mergeCell ref="B3:Q3"/>
    <mergeCell ref="A1:Q2"/>
    <mergeCell ref="B4:Q4"/>
  </mergeCells>
  <conditionalFormatting sqref="E566:E584">
    <cfRule type="containsText" dxfId="78" priority="11" operator="containsText" text="MEDIO">
      <formula>NOT(ISERROR(SEARCH("MEDIO",E566)))</formula>
    </cfRule>
    <cfRule type="cellIs" dxfId="77" priority="12" operator="equal">
      <formula>"MEDIO"</formula>
    </cfRule>
    <cfRule type="cellIs" dxfId="76" priority="13" operator="equal">
      <formula>"COMPLETO"</formula>
    </cfRule>
  </conditionalFormatting>
  <conditionalFormatting sqref="F566:Q584">
    <cfRule type="cellIs" dxfId="75" priority="8" operator="equal">
      <formula>0</formula>
    </cfRule>
    <cfRule type="cellIs" dxfId="74" priority="9" operator="equal">
      <formula>22.5</formula>
    </cfRule>
    <cfRule type="cellIs" dxfId="73" priority="10" operator="equal">
      <formula>45</formula>
    </cfRule>
  </conditionalFormatting>
  <conditionalFormatting sqref="F7:Q565">
    <cfRule type="cellIs" dxfId="72" priority="5" operator="equal">
      <formula>0</formula>
    </cfRule>
    <cfRule type="cellIs" dxfId="71" priority="6" operator="equal">
      <formula>22.5</formula>
    </cfRule>
    <cfRule type="cellIs" dxfId="70" priority="7" operator="equal">
      <formula>45</formula>
    </cfRule>
  </conditionalFormatting>
  <conditionalFormatting sqref="E7:E565">
    <cfRule type="containsText" dxfId="69" priority="2" operator="containsText" text="MEDIO">
      <formula>NOT(ISERROR(SEARCH("MEDIO",E7)))</formula>
    </cfRule>
    <cfRule type="cellIs" dxfId="68" priority="3" operator="equal">
      <formula>"MEDIO"</formula>
    </cfRule>
    <cfRule type="cellIs" dxfId="67" priority="4" operator="equal">
      <formula>"COMPLETO"</formula>
    </cfRule>
  </conditionalFormatting>
  <conditionalFormatting sqref="Y7:Y584">
    <cfRule type="cellIs" dxfId="66" priority="1" operator="greaterThan">
      <formula>0</formula>
    </cfRule>
  </conditionalFormatting>
  <pageMargins left="0.7" right="0.7" top="0.75" bottom="0.75" header="0.3" footer="0.3"/>
  <pageSetup scale="31" orientation="portrait" r:id="rId1"/>
  <cellWatches>
    <cellWatch r="S11"/>
    <cellWatch r="O13"/>
    <cellWatch r="Y15"/>
  </cellWatche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Q31"/>
  <sheetViews>
    <sheetView topLeftCell="B1" workbookViewId="0">
      <selection activeCell="J22" sqref="J22"/>
    </sheetView>
  </sheetViews>
  <sheetFormatPr baseColWidth="10" defaultRowHeight="15" x14ac:dyDescent="0.25"/>
  <cols>
    <col min="1" max="1" width="26.7109375" customWidth="1"/>
    <col min="2" max="2" width="15.5703125" customWidth="1"/>
    <col min="3" max="3" width="12.7109375" customWidth="1"/>
    <col min="4" max="5" width="14.28515625" customWidth="1"/>
    <col min="6" max="6" width="13.28515625" customWidth="1"/>
    <col min="7" max="7" width="13.5703125" customWidth="1"/>
    <col min="8" max="8" width="13.28515625" customWidth="1"/>
    <col min="9" max="9" width="12.7109375" customWidth="1"/>
    <col min="10" max="10" width="13.5703125" customWidth="1"/>
    <col min="11" max="11" width="14.28515625" customWidth="1"/>
    <col min="12" max="12" width="13.85546875" customWidth="1"/>
    <col min="13" max="13" width="12.85546875" customWidth="1"/>
  </cols>
  <sheetData>
    <row r="1" spans="1:17" ht="15" customHeight="1" x14ac:dyDescent="0.25">
      <c r="A1" s="131" t="s">
        <v>12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23"/>
      <c r="O1" s="23"/>
      <c r="P1" s="23"/>
      <c r="Q1" s="23"/>
    </row>
    <row r="2" spans="1:17" ht="15" customHeight="1" x14ac:dyDescent="0.25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23"/>
      <c r="O2" s="23"/>
      <c r="P2" s="23"/>
      <c r="Q2" s="23"/>
    </row>
    <row r="3" spans="1:17" ht="20.25" thickBot="1" x14ac:dyDescent="0.35">
      <c r="A3" s="7" t="s">
        <v>430</v>
      </c>
      <c r="B3" s="130" t="str">
        <f>'Regis Usu.'!B3:Q3</f>
        <v xml:space="preserve">MIGUEL MIGUEL ANGELICA MARIA </v>
      </c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22"/>
      <c r="O3" s="22"/>
      <c r="P3" s="22"/>
      <c r="Q3" s="22"/>
    </row>
    <row r="4" spans="1:17" ht="21" thickTop="1" thickBot="1" x14ac:dyDescent="0.35">
      <c r="A4" s="7" t="s">
        <v>431</v>
      </c>
      <c r="B4" s="132">
        <f>'Regis Usu.'!B4:Q4</f>
        <v>2022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25"/>
      <c r="O4" s="25"/>
      <c r="P4" s="25"/>
      <c r="Q4" s="25"/>
    </row>
    <row r="5" spans="1:17" ht="15.75" thickTop="1" x14ac:dyDescent="0.25"/>
    <row r="6" spans="1:17" ht="15.75" x14ac:dyDescent="0.25">
      <c r="A6" s="38" t="s">
        <v>441</v>
      </c>
      <c r="B6" t="s">
        <v>434</v>
      </c>
      <c r="C6" t="s">
        <v>442</v>
      </c>
      <c r="D6" t="s">
        <v>2</v>
      </c>
      <c r="E6" t="s">
        <v>3</v>
      </c>
      <c r="F6" t="s">
        <v>437</v>
      </c>
      <c r="G6" t="s">
        <v>443</v>
      </c>
      <c r="H6" t="s">
        <v>438</v>
      </c>
      <c r="I6" t="s">
        <v>7</v>
      </c>
      <c r="J6" t="s">
        <v>8</v>
      </c>
      <c r="K6" t="s">
        <v>9</v>
      </c>
      <c r="L6" t="s">
        <v>10</v>
      </c>
      <c r="M6" t="s">
        <v>11</v>
      </c>
    </row>
    <row r="7" spans="1:17" x14ac:dyDescent="0.25">
      <c r="A7" t="s">
        <v>637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</row>
    <row r="8" spans="1:17" x14ac:dyDescent="0.25">
      <c r="A8" t="s">
        <v>638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7" x14ac:dyDescent="0.25">
      <c r="A9" t="s">
        <v>639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</row>
    <row r="10" spans="1:17" x14ac:dyDescent="0.25">
      <c r="A10" t="s">
        <v>639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</row>
    <row r="11" spans="1:17" x14ac:dyDescent="0.25">
      <c r="A11" t="s">
        <v>639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</row>
    <row r="12" spans="1:17" x14ac:dyDescent="0.25">
      <c r="A12" t="s">
        <v>639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</row>
    <row r="13" spans="1:17" x14ac:dyDescent="0.25">
      <c r="A13" t="s">
        <v>640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</row>
    <row r="14" spans="1:17" x14ac:dyDescent="0.25">
      <c r="A14" t="s">
        <v>641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</row>
    <row r="15" spans="1:17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spans="1:17" x14ac:dyDescent="0.25"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</row>
    <row r="17" spans="1:13" x14ac:dyDescent="0.25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</row>
    <row r="18" spans="1:13" x14ac:dyDescent="0.25"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</row>
    <row r="19" spans="1:13" x14ac:dyDescent="0.2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</row>
    <row r="20" spans="1:13" x14ac:dyDescent="0.2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</row>
    <row r="21" spans="1:13" x14ac:dyDescent="0.2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</row>
    <row r="23" spans="1:13" x14ac:dyDescent="0.2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</row>
    <row r="24" spans="1:13" x14ac:dyDescent="0.2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</row>
    <row r="25" spans="1:13" x14ac:dyDescent="0.2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</row>
    <row r="26" spans="1:13" x14ac:dyDescent="0.2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</row>
    <row r="27" spans="1:13" x14ac:dyDescent="0.2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</row>
    <row r="28" spans="1:13" x14ac:dyDescent="0.2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</row>
    <row r="29" spans="1:13" x14ac:dyDescent="0.2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</row>
    <row r="30" spans="1:13" x14ac:dyDescent="0.2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</row>
    <row r="31" spans="1:13" ht="15.75" x14ac:dyDescent="0.25">
      <c r="A31" s="39" t="s">
        <v>444</v>
      </c>
      <c r="B31" s="127">
        <f>SUM(B7:B30)</f>
        <v>0</v>
      </c>
      <c r="C31" s="127">
        <f>SUM(C7:C30)</f>
        <v>0</v>
      </c>
      <c r="D31" s="127">
        <f t="shared" ref="D31:M31" si="0">SUM(D7:D30)</f>
        <v>0</v>
      </c>
      <c r="E31" s="127">
        <f t="shared" si="0"/>
        <v>0</v>
      </c>
      <c r="F31" s="127">
        <f t="shared" si="0"/>
        <v>0</v>
      </c>
      <c r="G31" s="127">
        <f t="shared" si="0"/>
        <v>0</v>
      </c>
      <c r="H31" s="127">
        <f t="shared" si="0"/>
        <v>0</v>
      </c>
      <c r="I31" s="127">
        <f t="shared" si="0"/>
        <v>0</v>
      </c>
      <c r="J31" s="127">
        <f t="shared" si="0"/>
        <v>0</v>
      </c>
      <c r="K31" s="127">
        <f t="shared" si="0"/>
        <v>0</v>
      </c>
      <c r="L31" s="127">
        <f t="shared" si="0"/>
        <v>0</v>
      </c>
      <c r="M31" s="127">
        <f t="shared" si="0"/>
        <v>0</v>
      </c>
    </row>
  </sheetData>
  <mergeCells count="3">
    <mergeCell ref="A1:M2"/>
    <mergeCell ref="B3:M3"/>
    <mergeCell ref="B4:M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Q13"/>
  <sheetViews>
    <sheetView workbookViewId="0">
      <selection activeCell="A31" sqref="A31"/>
    </sheetView>
  </sheetViews>
  <sheetFormatPr baseColWidth="10" defaultRowHeight="15" x14ac:dyDescent="0.25"/>
  <cols>
    <col min="1" max="1" width="22.28515625" customWidth="1"/>
    <col min="2" max="2" width="13.5703125" customWidth="1"/>
    <col min="3" max="3" width="17.7109375" customWidth="1"/>
    <col min="4" max="4" width="16.140625" customWidth="1"/>
    <col min="5" max="5" width="15.140625" customWidth="1"/>
    <col min="6" max="6" width="17.28515625" customWidth="1"/>
    <col min="7" max="7" width="19.85546875" customWidth="1"/>
    <col min="8" max="8" width="12" customWidth="1"/>
    <col min="9" max="9" width="14.85546875" customWidth="1"/>
    <col min="10" max="10" width="15.5703125" customWidth="1"/>
    <col min="11" max="11" width="11.5703125" bestFit="1" customWidth="1"/>
    <col min="12" max="12" width="16.28515625" customWidth="1"/>
    <col min="13" max="13" width="16.5703125" customWidth="1"/>
    <col min="14" max="14" width="13.7109375" customWidth="1"/>
  </cols>
  <sheetData>
    <row r="1" spans="1:17" ht="15" customHeight="1" x14ac:dyDescent="0.25">
      <c r="A1" s="131" t="s">
        <v>12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23"/>
      <c r="O1" s="23"/>
      <c r="P1" s="23"/>
      <c r="Q1" s="23"/>
    </row>
    <row r="2" spans="1:17" ht="15" customHeight="1" x14ac:dyDescent="0.25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23"/>
      <c r="O2" s="23"/>
      <c r="P2" s="23"/>
      <c r="Q2" s="23"/>
    </row>
    <row r="3" spans="1:17" ht="20.25" thickBot="1" x14ac:dyDescent="0.35">
      <c r="A3" s="29" t="s">
        <v>430</v>
      </c>
      <c r="B3" s="130" t="str">
        <f>'Regis Usu.'!B3:Q3</f>
        <v xml:space="preserve">MIGUEL MIGUEL ANGELICA MARIA </v>
      </c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22"/>
      <c r="O3" s="22"/>
      <c r="P3" s="22"/>
      <c r="Q3" s="22"/>
    </row>
    <row r="4" spans="1:17" ht="21" thickTop="1" thickBot="1" x14ac:dyDescent="0.35">
      <c r="A4" s="29" t="s">
        <v>431</v>
      </c>
      <c r="B4" s="132">
        <f>GASTOS!B4</f>
        <v>2022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25"/>
      <c r="O4" s="25"/>
      <c r="P4" s="25"/>
      <c r="Q4" s="25"/>
    </row>
    <row r="5" spans="1:17" ht="15.75" thickTop="1" x14ac:dyDescent="0.25"/>
    <row r="6" spans="1:17" ht="15.75" x14ac:dyDescent="0.25">
      <c r="A6" t="s">
        <v>436</v>
      </c>
      <c r="B6" s="8" t="s">
        <v>434</v>
      </c>
      <c r="C6" s="9" t="s">
        <v>1</v>
      </c>
      <c r="D6" s="8" t="s">
        <v>2</v>
      </c>
      <c r="E6" s="9" t="s">
        <v>3</v>
      </c>
      <c r="F6" s="8" t="s">
        <v>437</v>
      </c>
      <c r="G6" s="9" t="s">
        <v>443</v>
      </c>
      <c r="H6" s="8" t="s">
        <v>438</v>
      </c>
      <c r="I6" s="9" t="s">
        <v>7</v>
      </c>
      <c r="J6" s="8" t="s">
        <v>8</v>
      </c>
      <c r="K6" s="9" t="s">
        <v>9</v>
      </c>
      <c r="L6" s="8" t="s">
        <v>10</v>
      </c>
      <c r="M6" s="8" t="s">
        <v>11</v>
      </c>
    </row>
    <row r="7" spans="1:17" x14ac:dyDescent="0.25">
      <c r="A7" s="9" t="s">
        <v>445</v>
      </c>
      <c r="B7" s="14">
        <f>'Regis Usu.'!F585</f>
        <v>0</v>
      </c>
      <c r="C7" s="14">
        <f>'Regis Usu.'!G585</f>
        <v>0</v>
      </c>
      <c r="D7" s="14">
        <f>'Regis Usu.'!H585</f>
        <v>0</v>
      </c>
      <c r="E7" s="14">
        <f>'Regis Usu.'!I585</f>
        <v>0</v>
      </c>
      <c r="F7" s="14">
        <f>'Regis Usu.'!J585</f>
        <v>0</v>
      </c>
      <c r="G7" s="14">
        <f>'Regis Usu.'!K585</f>
        <v>0</v>
      </c>
      <c r="H7" s="14">
        <f>'Regis Usu.'!L585</f>
        <v>0</v>
      </c>
      <c r="I7" s="14">
        <f>'Regis Usu.'!M585</f>
        <v>0</v>
      </c>
      <c r="J7" s="14">
        <f>'Regis Usu.'!N585</f>
        <v>0</v>
      </c>
      <c r="K7" s="14">
        <f>'Regis Usu.'!O585</f>
        <v>0</v>
      </c>
      <c r="L7" s="14">
        <f>'Regis Usu.'!P585</f>
        <v>0</v>
      </c>
      <c r="M7" s="14">
        <f>'Regis Usu.'!Q585</f>
        <v>0</v>
      </c>
    </row>
    <row r="8" spans="1:17" x14ac:dyDescent="0.25">
      <c r="A8" t="s">
        <v>446</v>
      </c>
      <c r="B8" s="10">
        <f>GASTOS!B31</f>
        <v>0</v>
      </c>
      <c r="C8" s="10">
        <f>GASTOS!C31</f>
        <v>0</v>
      </c>
      <c r="D8" s="10">
        <f>GASTOS!D31</f>
        <v>0</v>
      </c>
      <c r="E8" s="10">
        <f>GASTOS!E31</f>
        <v>0</v>
      </c>
      <c r="F8" s="10">
        <f>GASTOS!F31</f>
        <v>0</v>
      </c>
      <c r="G8" s="10">
        <f>GASTOS!G31</f>
        <v>0</v>
      </c>
      <c r="H8" s="10">
        <f>GASTOS!H31</f>
        <v>0</v>
      </c>
      <c r="I8" s="10">
        <f>GASTOS!I31</f>
        <v>0</v>
      </c>
      <c r="J8" s="10">
        <f>GASTOS!J31</f>
        <v>0</v>
      </c>
      <c r="K8" s="10">
        <f>GASTOS!K31</f>
        <v>0</v>
      </c>
      <c r="L8" s="10">
        <f>GASTOS!L31</f>
        <v>0</v>
      </c>
      <c r="M8" s="10">
        <f>GASTOS!M31</f>
        <v>0</v>
      </c>
    </row>
    <row r="9" spans="1:17" x14ac:dyDescent="0.25">
      <c r="A9" t="s">
        <v>447</v>
      </c>
      <c r="B9" s="126">
        <f>B7-B8</f>
        <v>0</v>
      </c>
      <c r="C9" s="126">
        <f t="shared" ref="C9:L9" si="0">C7-C8</f>
        <v>0</v>
      </c>
      <c r="D9" s="126">
        <f t="shared" si="0"/>
        <v>0</v>
      </c>
      <c r="E9" s="126">
        <f t="shared" si="0"/>
        <v>0</v>
      </c>
      <c r="F9" s="126">
        <f t="shared" si="0"/>
        <v>0</v>
      </c>
      <c r="G9" s="126">
        <f t="shared" si="0"/>
        <v>0</v>
      </c>
      <c r="H9" s="126">
        <f t="shared" si="0"/>
        <v>0</v>
      </c>
      <c r="I9" s="126">
        <f t="shared" si="0"/>
        <v>0</v>
      </c>
      <c r="J9" s="126">
        <f t="shared" si="0"/>
        <v>0</v>
      </c>
      <c r="K9" s="126">
        <f t="shared" si="0"/>
        <v>0</v>
      </c>
      <c r="L9" s="126">
        <f t="shared" si="0"/>
        <v>0</v>
      </c>
      <c r="M9" s="126">
        <f>M7-M8</f>
        <v>0</v>
      </c>
    </row>
    <row r="11" spans="1:17" x14ac:dyDescent="0.25">
      <c r="B11" s="133" t="s">
        <v>448</v>
      </c>
      <c r="C11" s="134"/>
      <c r="D11" s="134"/>
      <c r="E11" s="134"/>
      <c r="F11" s="135"/>
      <c r="G11" s="125">
        <f>SUM(B9:M9)+'Regis Usu.'!AD585</f>
        <v>0</v>
      </c>
    </row>
    <row r="12" spans="1:17" x14ac:dyDescent="0.25">
      <c r="B12" s="136" t="s">
        <v>449</v>
      </c>
      <c r="C12" s="137"/>
      <c r="D12" s="137"/>
      <c r="E12" s="137"/>
      <c r="F12" s="138"/>
      <c r="G12" s="27">
        <f>(SUM(Tabla1[[MESES DE ADEUDO DEL AÑO EN CURSO ]])*45)</f>
        <v>0</v>
      </c>
    </row>
    <row r="13" spans="1:17" ht="18.75" x14ac:dyDescent="0.3">
      <c r="B13" s="136" t="s">
        <v>661</v>
      </c>
      <c r="C13" s="137"/>
      <c r="D13" s="137"/>
      <c r="E13" s="137"/>
      <c r="F13" s="138"/>
      <c r="G13" s="28"/>
      <c r="H13" s="26"/>
      <c r="I13" s="26"/>
      <c r="J13" s="26"/>
      <c r="K13" s="26"/>
      <c r="L13" s="26"/>
      <c r="M13" s="26"/>
    </row>
  </sheetData>
  <mergeCells count="6">
    <mergeCell ref="B3:M3"/>
    <mergeCell ref="A1:M2"/>
    <mergeCell ref="B11:F11"/>
    <mergeCell ref="B12:F12"/>
    <mergeCell ref="B13:F13"/>
    <mergeCell ref="B4:M4"/>
  </mergeCells>
  <conditionalFormatting sqref="B9:M9">
    <cfRule type="cellIs" dxfId="3" priority="1" operator="greaterThan">
      <formula>0</formula>
    </cfRule>
    <cfRule type="cellIs" dxfId="2" priority="2" operator="lessThan">
      <formula>0</formula>
    </cfRule>
  </conditionalFormatting>
  <pageMargins left="0.7" right="0.7" top="0.75" bottom="0.75" header="0.3" footer="0.3"/>
  <ignoredErrors>
    <ignoredError sqref="M8:M9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35"/>
  <sheetViews>
    <sheetView tabSelected="1" zoomScaleNormal="100" workbookViewId="0">
      <selection activeCell="Z2" sqref="Z2"/>
    </sheetView>
  </sheetViews>
  <sheetFormatPr baseColWidth="10" defaultRowHeight="15" x14ac:dyDescent="0.25"/>
  <cols>
    <col min="1" max="1" width="45.28515625" customWidth="1"/>
    <col min="2" max="2" width="13" customWidth="1"/>
    <col min="3" max="3" width="79.28515625" customWidth="1"/>
    <col min="4" max="4" width="17.85546875" customWidth="1"/>
    <col min="17" max="17" width="11.140625" customWidth="1"/>
    <col min="22" max="22" width="15.5703125" customWidth="1"/>
    <col min="23" max="23" width="17.140625" customWidth="1"/>
    <col min="24" max="24" width="21.28515625" customWidth="1"/>
    <col min="25" max="25" width="18.5703125" customWidth="1"/>
    <col min="26" max="27" width="12.7109375" customWidth="1"/>
  </cols>
  <sheetData>
    <row r="1" spans="1:68" ht="57" customHeight="1" thickBot="1" x14ac:dyDescent="0.4">
      <c r="A1" s="78" t="s">
        <v>429</v>
      </c>
      <c r="B1" s="79" t="s">
        <v>427</v>
      </c>
      <c r="C1" s="80" t="s">
        <v>428</v>
      </c>
      <c r="D1" s="80" t="s">
        <v>450</v>
      </c>
      <c r="E1" s="81" t="s">
        <v>0</v>
      </c>
      <c r="F1" s="81" t="s">
        <v>1</v>
      </c>
      <c r="G1" s="81" t="s">
        <v>2</v>
      </c>
      <c r="H1" s="81" t="s">
        <v>3</v>
      </c>
      <c r="I1" s="82" t="s">
        <v>4</v>
      </c>
      <c r="J1" s="81" t="s">
        <v>5</v>
      </c>
      <c r="K1" s="81" t="s">
        <v>6</v>
      </c>
      <c r="L1" s="81" t="s">
        <v>7</v>
      </c>
      <c r="M1" s="81" t="s">
        <v>8</v>
      </c>
      <c r="N1" s="81" t="s">
        <v>9</v>
      </c>
      <c r="O1" s="83" t="s">
        <v>10</v>
      </c>
      <c r="P1" s="83" t="s">
        <v>11</v>
      </c>
      <c r="Q1" s="82" t="s">
        <v>435</v>
      </c>
      <c r="R1" s="82" t="s">
        <v>453</v>
      </c>
      <c r="S1" s="82" t="s">
        <v>452</v>
      </c>
      <c r="T1" s="82" t="s">
        <v>454</v>
      </c>
      <c r="U1" s="82" t="s">
        <v>451</v>
      </c>
      <c r="V1" s="82" t="s">
        <v>626</v>
      </c>
      <c r="W1" s="82" t="s">
        <v>631</v>
      </c>
      <c r="X1" s="82" t="s">
        <v>630</v>
      </c>
      <c r="Y1" s="82" t="s">
        <v>628</v>
      </c>
      <c r="Z1" s="82" t="s">
        <v>665</v>
      </c>
      <c r="AA1" s="84" t="s">
        <v>635</v>
      </c>
      <c r="AB1" s="73"/>
      <c r="AC1" s="73"/>
      <c r="AD1" s="73"/>
      <c r="AE1" s="73"/>
      <c r="AF1" s="73"/>
      <c r="AG1" s="74"/>
      <c r="AH1" s="9"/>
      <c r="AI1" s="9"/>
      <c r="AJ1" s="9"/>
      <c r="AK1" s="9"/>
      <c r="AL1" s="75"/>
      <c r="AM1" s="76"/>
      <c r="AN1" s="76"/>
      <c r="AO1" s="77"/>
      <c r="AP1" s="72"/>
      <c r="AQ1" s="9"/>
      <c r="AR1" s="9"/>
      <c r="AS1" s="9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4"/>
      <c r="BG1" s="9"/>
      <c r="BH1" s="9"/>
      <c r="BI1" s="9"/>
      <c r="BJ1" s="9"/>
      <c r="BK1" s="75"/>
      <c r="BL1" s="76"/>
      <c r="BM1" s="76"/>
      <c r="BN1" s="77"/>
      <c r="BO1" s="77"/>
      <c r="BP1" s="77"/>
    </row>
    <row r="2" spans="1:68" ht="15" customHeight="1" x14ac:dyDescent="0.25">
      <c r="A2" t="s">
        <v>106</v>
      </c>
      <c r="B2" s="70" t="s">
        <v>456</v>
      </c>
      <c r="C2" s="70"/>
      <c r="D2" s="70" t="s">
        <v>455</v>
      </c>
      <c r="E2" s="70">
        <v>45</v>
      </c>
      <c r="F2" s="70">
        <v>45</v>
      </c>
      <c r="G2" s="70">
        <v>45</v>
      </c>
      <c r="H2" s="70">
        <v>45</v>
      </c>
      <c r="I2" s="70">
        <v>45</v>
      </c>
      <c r="J2" s="70">
        <v>45</v>
      </c>
      <c r="K2">
        <v>45</v>
      </c>
      <c r="L2">
        <v>45</v>
      </c>
      <c r="M2">
        <v>0</v>
      </c>
      <c r="N2">
        <v>0</v>
      </c>
      <c r="O2">
        <v>0</v>
      </c>
      <c r="P2">
        <v>0</v>
      </c>
      <c r="Q2">
        <v>360</v>
      </c>
      <c r="R2" t="s">
        <v>625</v>
      </c>
      <c r="S2" t="s">
        <v>8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68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</row>
    <row r="4" spans="1:68" ht="27" customHeight="1" x14ac:dyDescent="0.25">
      <c r="A4" s="140" t="s">
        <v>633</v>
      </c>
      <c r="B4" s="140"/>
      <c r="C4" s="140"/>
      <c r="D4" s="140"/>
      <c r="E4" s="140"/>
      <c r="F4" s="140"/>
      <c r="G4" s="140"/>
      <c r="H4" s="140"/>
      <c r="I4" s="86"/>
      <c r="J4" s="86"/>
      <c r="K4" s="86"/>
    </row>
    <row r="6" spans="1:68" x14ac:dyDescent="0.25">
      <c r="A6" t="s">
        <v>634</v>
      </c>
      <c r="B6" s="139" t="str">
        <f>A2</f>
        <v xml:space="preserve">DIONICIO ORTIZ ROMERO </v>
      </c>
      <c r="C6" s="139"/>
      <c r="D6" s="139"/>
      <c r="E6" s="139"/>
      <c r="F6" s="139"/>
      <c r="G6" s="139"/>
      <c r="H6" s="139"/>
      <c r="I6" s="139"/>
    </row>
    <row r="7" spans="1:68" ht="19.5" customHeight="1" x14ac:dyDescent="0.25">
      <c r="A7" s="71"/>
      <c r="B7" s="71"/>
      <c r="C7" s="71"/>
      <c r="D7" s="71"/>
      <c r="E7" s="71"/>
      <c r="F7" s="71"/>
      <c r="G7" s="71"/>
      <c r="H7" s="71"/>
      <c r="I7" s="71"/>
    </row>
    <row r="14" spans="1:68" x14ac:dyDescent="0.25">
      <c r="A14" t="str">
        <f>A1</f>
        <v xml:space="preserve">NOMBRE DE USUARIO </v>
      </c>
      <c r="B14" t="str">
        <f>A2</f>
        <v xml:space="preserve">DIONICIO ORTIZ ROMERO </v>
      </c>
      <c r="E14" t="s">
        <v>636</v>
      </c>
      <c r="H14" s="10">
        <v>45</v>
      </c>
    </row>
    <row r="15" spans="1:68" x14ac:dyDescent="0.25">
      <c r="A15" t="str">
        <f>D1</f>
        <v>TIPO DE CONSUMIDOR</v>
      </c>
      <c r="B15" t="str">
        <f>D2</f>
        <v>COMPLETO</v>
      </c>
    </row>
    <row r="16" spans="1:68" x14ac:dyDescent="0.25">
      <c r="A16" t="str">
        <f>B1</f>
        <v>CALLE</v>
      </c>
      <c r="B16" t="str">
        <f>B2</f>
        <v>AV. LINDEROS</v>
      </c>
    </row>
    <row r="17" spans="1:6" ht="26.25" customHeight="1" x14ac:dyDescent="0.25">
      <c r="A17" s="85" t="str">
        <f>V1</f>
        <v xml:space="preserve">MES ADEUDO DE AÑOS PASADOS </v>
      </c>
      <c r="B17">
        <f>V2</f>
        <v>0</v>
      </c>
      <c r="D17" s="87" t="str">
        <f>Y1</f>
        <v>DEUDA DE LOS MESES PASADOS EN $$</v>
      </c>
      <c r="F17" s="10">
        <f>Y2</f>
        <v>0</v>
      </c>
    </row>
    <row r="18" spans="1:6" ht="29.25" customHeight="1" x14ac:dyDescent="0.25">
      <c r="A18" s="85" t="str">
        <f>W1</f>
        <v xml:space="preserve">MESES DE ADEUDO DEL AÑO EN CURSO </v>
      </c>
      <c r="B18">
        <f>W2</f>
        <v>0</v>
      </c>
      <c r="D18" s="87" t="str">
        <f>Z1</f>
        <v xml:space="preserve">DEUDA DEL AÑO 2021 $$ </v>
      </c>
      <c r="F18" s="10">
        <f>Z2</f>
        <v>0</v>
      </c>
    </row>
    <row r="19" spans="1:6" ht="20.25" customHeight="1" x14ac:dyDescent="0.4">
      <c r="A19" s="85" t="str">
        <f>X1</f>
        <v xml:space="preserve">MESES DE ADEUDO EN TOTAL HASTA EL AÑO EN CURSO </v>
      </c>
      <c r="B19">
        <f>X2</f>
        <v>0</v>
      </c>
      <c r="D19" s="85" t="str">
        <f>AA1</f>
        <v>DEUDA TOTAL  EN $$</v>
      </c>
      <c r="F19" s="88">
        <f>AA2</f>
        <v>0</v>
      </c>
    </row>
    <row r="35" spans="4:30" x14ac:dyDescent="0.25">
      <c r="D35" t="s">
        <v>29</v>
      </c>
      <c r="E35" t="s">
        <v>456</v>
      </c>
      <c r="G35" t="s">
        <v>455</v>
      </c>
      <c r="H35">
        <v>45</v>
      </c>
      <c r="I35">
        <v>45</v>
      </c>
      <c r="J35">
        <v>45</v>
      </c>
      <c r="K35">
        <v>45</v>
      </c>
      <c r="L35">
        <v>45</v>
      </c>
      <c r="M35">
        <v>45</v>
      </c>
      <c r="N35">
        <v>45</v>
      </c>
      <c r="O35">
        <v>45</v>
      </c>
      <c r="P35">
        <v>45</v>
      </c>
      <c r="Q35">
        <v>45</v>
      </c>
      <c r="R35">
        <v>45</v>
      </c>
      <c r="S35">
        <v>45</v>
      </c>
      <c r="T35">
        <v>540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</sheetData>
  <mergeCells count="2">
    <mergeCell ref="B6:I6"/>
    <mergeCell ref="A4:H4"/>
  </mergeCells>
  <pageMargins left="0.7" right="0.7" top="0.75" bottom="0.75" header="0.3" footer="0.3"/>
  <pageSetup scale="44" orientation="portrait" r:id="rId1"/>
  <colBreaks count="1" manualBreakCount="1">
    <brk id="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Regis Usu.</vt:lpstr>
      <vt:lpstr>GASTOS</vt:lpstr>
      <vt:lpstr>calculos</vt:lpstr>
      <vt:lpstr>IFORME POR USUARIO</vt:lpstr>
      <vt:lpstr>'IFORME POR USUARIO'!Área_de_impresión</vt:lpstr>
      <vt:lpstr>'Regis Usu.'!Área_de_impresión</vt:lpstr>
      <vt:lpstr>ENERO</vt:lpstr>
      <vt:lpstr>Rmensual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JMHP</dc:creator>
  <cp:lastModifiedBy>Hernandez Perez Jose Miguel</cp:lastModifiedBy>
  <dcterms:created xsi:type="dcterms:W3CDTF">2014-04-04T00:04:37Z</dcterms:created>
  <dcterms:modified xsi:type="dcterms:W3CDTF">2022-12-06T05:21:01Z</dcterms:modified>
</cp:coreProperties>
</file>