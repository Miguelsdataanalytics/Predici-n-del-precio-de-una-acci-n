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05587\Downloads\"/>
    </mc:Choice>
  </mc:AlternateContent>
  <bookViews>
    <workbookView xWindow="0" yWindow="0" windowWidth="28800" windowHeight="11700" activeTab="4"/>
  </bookViews>
  <sheets>
    <sheet name="Regis Usu." sheetId="2" r:id="rId1"/>
    <sheet name="GASTOS" sheetId="5" r:id="rId2"/>
    <sheet name="calculos" sheetId="4" r:id="rId3"/>
    <sheet name="REGISTRO DE OTROS CONCEPTOS" sheetId="7" r:id="rId4"/>
    <sheet name="IFORME POR USUARIO" sheetId="6" r:id="rId5"/>
  </sheets>
  <definedNames>
    <definedName name="_xlnm._FilterDatabase" localSheetId="0" hidden="1">'Regis Usu.'!$A$1:$Q$4</definedName>
    <definedName name="_xlnm.Print_Area" localSheetId="4">'IFORME POR USUARIO'!$A$3:$AA$26</definedName>
    <definedName name="_xlnm.Print_Area" localSheetId="0">'Regis Usu.'!$A$1:$Q$572</definedName>
    <definedName name="ENERO">GASTOS!$B$7:$B$31</definedName>
    <definedName name="Rmensual">'Regis Usu.'!$F$585:$Q$585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71" i="2" l="1"/>
  <c r="C3" i="7"/>
  <c r="Z472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275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26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7" i="2"/>
  <c r="F585" i="2" l="1"/>
  <c r="A7" i="2"/>
  <c r="AP582" i="2"/>
  <c r="AP583" i="2"/>
  <c r="AP584" i="2"/>
  <c r="AO582" i="2"/>
  <c r="AO583" i="2"/>
  <c r="AO584" i="2"/>
  <c r="AN582" i="2"/>
  <c r="AN583" i="2"/>
  <c r="AN584" i="2"/>
  <c r="AM582" i="2"/>
  <c r="AM583" i="2"/>
  <c r="AM584" i="2"/>
  <c r="AL582" i="2"/>
  <c r="AL583" i="2"/>
  <c r="AL584" i="2"/>
  <c r="AK582" i="2"/>
  <c r="AK583" i="2"/>
  <c r="AK584" i="2"/>
  <c r="AJ582" i="2"/>
  <c r="AJ583" i="2"/>
  <c r="AJ584" i="2"/>
  <c r="AI582" i="2"/>
  <c r="AI583" i="2"/>
  <c r="AI584" i="2"/>
  <c r="AH582" i="2"/>
  <c r="AH583" i="2"/>
  <c r="AH584" i="2"/>
  <c r="AG582" i="2"/>
  <c r="AG583" i="2"/>
  <c r="AG584" i="2"/>
  <c r="AF582" i="2"/>
  <c r="AF583" i="2"/>
  <c r="AF584" i="2"/>
  <c r="AE582" i="2"/>
  <c r="AE583" i="2"/>
  <c r="AE584" i="2"/>
  <c r="R591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7" i="2"/>
  <c r="AP328" i="2"/>
  <c r="AP329" i="2"/>
  <c r="AP330" i="2"/>
  <c r="AP331" i="2"/>
  <c r="AP332" i="2"/>
  <c r="AP333" i="2"/>
  <c r="AP334" i="2"/>
  <c r="AP335" i="2"/>
  <c r="AP336" i="2"/>
  <c r="AP337" i="2"/>
  <c r="AP338" i="2"/>
  <c r="AP339" i="2"/>
  <c r="AP340" i="2"/>
  <c r="AP341" i="2"/>
  <c r="AP342" i="2"/>
  <c r="AP343" i="2"/>
  <c r="AP344" i="2"/>
  <c r="AP345" i="2"/>
  <c r="AP346" i="2"/>
  <c r="AP347" i="2"/>
  <c r="AP348" i="2"/>
  <c r="AP349" i="2"/>
  <c r="AP350" i="2"/>
  <c r="AP351" i="2"/>
  <c r="AP352" i="2"/>
  <c r="AP353" i="2"/>
  <c r="AP354" i="2"/>
  <c r="AP355" i="2"/>
  <c r="AP356" i="2"/>
  <c r="AP357" i="2"/>
  <c r="AP358" i="2"/>
  <c r="AP359" i="2"/>
  <c r="AP360" i="2"/>
  <c r="AP361" i="2"/>
  <c r="AP362" i="2"/>
  <c r="AP363" i="2"/>
  <c r="AP364" i="2"/>
  <c r="AP365" i="2"/>
  <c r="AP366" i="2"/>
  <c r="AP367" i="2"/>
  <c r="AP368" i="2"/>
  <c r="AP369" i="2"/>
  <c r="AP370" i="2"/>
  <c r="AP371" i="2"/>
  <c r="AP372" i="2"/>
  <c r="AP373" i="2"/>
  <c r="AP374" i="2"/>
  <c r="AP375" i="2"/>
  <c r="AP376" i="2"/>
  <c r="AP377" i="2"/>
  <c r="AP378" i="2"/>
  <c r="AP379" i="2"/>
  <c r="AP380" i="2"/>
  <c r="AP381" i="2"/>
  <c r="AP382" i="2"/>
  <c r="AP383" i="2"/>
  <c r="AP384" i="2"/>
  <c r="AP385" i="2"/>
  <c r="AP386" i="2"/>
  <c r="AP387" i="2"/>
  <c r="AP388" i="2"/>
  <c r="AP389" i="2"/>
  <c r="AP390" i="2"/>
  <c r="AP391" i="2"/>
  <c r="AP392" i="2"/>
  <c r="AP393" i="2"/>
  <c r="AP394" i="2"/>
  <c r="AP395" i="2"/>
  <c r="AP396" i="2"/>
  <c r="AP397" i="2"/>
  <c r="AP398" i="2"/>
  <c r="AP399" i="2"/>
  <c r="AP400" i="2"/>
  <c r="AP401" i="2"/>
  <c r="AP402" i="2"/>
  <c r="AP403" i="2"/>
  <c r="AP404" i="2"/>
  <c r="AP405" i="2"/>
  <c r="AP406" i="2"/>
  <c r="AP407" i="2"/>
  <c r="AP408" i="2"/>
  <c r="AP409" i="2"/>
  <c r="AP410" i="2"/>
  <c r="AP411" i="2"/>
  <c r="AP412" i="2"/>
  <c r="AP413" i="2"/>
  <c r="AP414" i="2"/>
  <c r="AP415" i="2"/>
  <c r="AP416" i="2"/>
  <c r="AP417" i="2"/>
  <c r="AP418" i="2"/>
  <c r="AP419" i="2"/>
  <c r="AP420" i="2"/>
  <c r="AP421" i="2"/>
  <c r="AP422" i="2"/>
  <c r="AP423" i="2"/>
  <c r="AP424" i="2"/>
  <c r="AP425" i="2"/>
  <c r="AP426" i="2"/>
  <c r="AP427" i="2"/>
  <c r="AP428" i="2"/>
  <c r="AP429" i="2"/>
  <c r="AP430" i="2"/>
  <c r="AP431" i="2"/>
  <c r="AP432" i="2"/>
  <c r="AP433" i="2"/>
  <c r="AP434" i="2"/>
  <c r="AP435" i="2"/>
  <c r="AP436" i="2"/>
  <c r="AP437" i="2"/>
  <c r="AP438" i="2"/>
  <c r="AP439" i="2"/>
  <c r="AP440" i="2"/>
  <c r="AP441" i="2"/>
  <c r="AP442" i="2"/>
  <c r="AP443" i="2"/>
  <c r="AP444" i="2"/>
  <c r="AP445" i="2"/>
  <c r="AP446" i="2"/>
  <c r="AP447" i="2"/>
  <c r="AP448" i="2"/>
  <c r="AP449" i="2"/>
  <c r="AP450" i="2"/>
  <c r="AP451" i="2"/>
  <c r="AP452" i="2"/>
  <c r="AP453" i="2"/>
  <c r="AP454" i="2"/>
  <c r="AP455" i="2"/>
  <c r="AP456" i="2"/>
  <c r="AP457" i="2"/>
  <c r="AP458" i="2"/>
  <c r="AP459" i="2"/>
  <c r="AP460" i="2"/>
  <c r="AP461" i="2"/>
  <c r="AP462" i="2"/>
  <c r="AP463" i="2"/>
  <c r="AP464" i="2"/>
  <c r="AP465" i="2"/>
  <c r="AP466" i="2"/>
  <c r="AP467" i="2"/>
  <c r="AP468" i="2"/>
  <c r="AP469" i="2"/>
  <c r="AP470" i="2"/>
  <c r="AP471" i="2"/>
  <c r="AP472" i="2"/>
  <c r="AP473" i="2"/>
  <c r="AP474" i="2"/>
  <c r="AP475" i="2"/>
  <c r="AP476" i="2"/>
  <c r="AP477" i="2"/>
  <c r="AP478" i="2"/>
  <c r="AP479" i="2"/>
  <c r="AP480" i="2"/>
  <c r="AP481" i="2"/>
  <c r="AP482" i="2"/>
  <c r="AP483" i="2"/>
  <c r="AP484" i="2"/>
  <c r="AP485" i="2"/>
  <c r="AP486" i="2"/>
  <c r="AP487" i="2"/>
  <c r="AP488" i="2"/>
  <c r="AP489" i="2"/>
  <c r="AP490" i="2"/>
  <c r="AP491" i="2"/>
  <c r="AP492" i="2"/>
  <c r="AP493" i="2"/>
  <c r="AP494" i="2"/>
  <c r="AP495" i="2"/>
  <c r="AP496" i="2"/>
  <c r="AP497" i="2"/>
  <c r="AP498" i="2"/>
  <c r="AP499" i="2"/>
  <c r="AP500" i="2"/>
  <c r="AP501" i="2"/>
  <c r="AP502" i="2"/>
  <c r="AP503" i="2"/>
  <c r="AP504" i="2"/>
  <c r="AP505" i="2"/>
  <c r="AP506" i="2"/>
  <c r="AP507" i="2"/>
  <c r="AP508" i="2"/>
  <c r="AP509" i="2"/>
  <c r="AP510" i="2"/>
  <c r="AP511" i="2"/>
  <c r="AP512" i="2"/>
  <c r="AP513" i="2"/>
  <c r="AP514" i="2"/>
  <c r="AP515" i="2"/>
  <c r="AP516" i="2"/>
  <c r="AP517" i="2"/>
  <c r="AP518" i="2"/>
  <c r="AP519" i="2"/>
  <c r="AP520" i="2"/>
  <c r="AP521" i="2"/>
  <c r="AP522" i="2"/>
  <c r="AP523" i="2"/>
  <c r="AP524" i="2"/>
  <c r="AP525" i="2"/>
  <c r="AP526" i="2"/>
  <c r="AP527" i="2"/>
  <c r="AP528" i="2"/>
  <c r="AP529" i="2"/>
  <c r="AP530" i="2"/>
  <c r="AP531" i="2"/>
  <c r="AP532" i="2"/>
  <c r="AP533" i="2"/>
  <c r="AP534" i="2"/>
  <c r="AP535" i="2"/>
  <c r="AP536" i="2"/>
  <c r="AP537" i="2"/>
  <c r="AP538" i="2"/>
  <c r="AP539" i="2"/>
  <c r="AP540" i="2"/>
  <c r="AP541" i="2"/>
  <c r="AP542" i="2"/>
  <c r="AP543" i="2"/>
  <c r="AP544" i="2"/>
  <c r="AP545" i="2"/>
  <c r="AP546" i="2"/>
  <c r="AP547" i="2"/>
  <c r="AP548" i="2"/>
  <c r="AP549" i="2"/>
  <c r="AP550" i="2"/>
  <c r="AP551" i="2"/>
  <c r="AP552" i="2"/>
  <c r="AP553" i="2"/>
  <c r="AP554" i="2"/>
  <c r="AP555" i="2"/>
  <c r="AP556" i="2"/>
  <c r="AP557" i="2"/>
  <c r="AP558" i="2"/>
  <c r="AP559" i="2"/>
  <c r="AP560" i="2"/>
  <c r="AP561" i="2"/>
  <c r="AP562" i="2"/>
  <c r="AP563" i="2"/>
  <c r="AP564" i="2"/>
  <c r="AP565" i="2"/>
  <c r="AP566" i="2"/>
  <c r="AP567" i="2"/>
  <c r="AP568" i="2"/>
  <c r="AP569" i="2"/>
  <c r="AP570" i="2"/>
  <c r="AP571" i="2"/>
  <c r="AP572" i="2"/>
  <c r="AP573" i="2"/>
  <c r="AP574" i="2"/>
  <c r="AP575" i="2"/>
  <c r="AP576" i="2"/>
  <c r="AP577" i="2"/>
  <c r="AP578" i="2"/>
  <c r="AP579" i="2"/>
  <c r="AP580" i="2"/>
  <c r="AP581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AO352" i="2"/>
  <c r="AO353" i="2"/>
  <c r="AO354" i="2"/>
  <c r="AO355" i="2"/>
  <c r="AO356" i="2"/>
  <c r="AO357" i="2"/>
  <c r="AO358" i="2"/>
  <c r="AO359" i="2"/>
  <c r="AO360" i="2"/>
  <c r="AO361" i="2"/>
  <c r="AO362" i="2"/>
  <c r="AO363" i="2"/>
  <c r="AO364" i="2"/>
  <c r="AO365" i="2"/>
  <c r="AO366" i="2"/>
  <c r="AO367" i="2"/>
  <c r="AO368" i="2"/>
  <c r="AO369" i="2"/>
  <c r="AO370" i="2"/>
  <c r="AO371" i="2"/>
  <c r="AO372" i="2"/>
  <c r="AO373" i="2"/>
  <c r="AO374" i="2"/>
  <c r="AO375" i="2"/>
  <c r="AO376" i="2"/>
  <c r="AO377" i="2"/>
  <c r="AO378" i="2"/>
  <c r="AO379" i="2"/>
  <c r="AO380" i="2"/>
  <c r="AO381" i="2"/>
  <c r="AO382" i="2"/>
  <c r="AO383" i="2"/>
  <c r="AO384" i="2"/>
  <c r="AO385" i="2"/>
  <c r="AO386" i="2"/>
  <c r="AO387" i="2"/>
  <c r="AO388" i="2"/>
  <c r="AO389" i="2"/>
  <c r="AO390" i="2"/>
  <c r="AO391" i="2"/>
  <c r="AO392" i="2"/>
  <c r="AO393" i="2"/>
  <c r="AO394" i="2"/>
  <c r="AO395" i="2"/>
  <c r="AO396" i="2"/>
  <c r="AO397" i="2"/>
  <c r="AO398" i="2"/>
  <c r="AO399" i="2"/>
  <c r="AO400" i="2"/>
  <c r="AO401" i="2"/>
  <c r="AO402" i="2"/>
  <c r="AO403" i="2"/>
  <c r="AO404" i="2"/>
  <c r="AO405" i="2"/>
  <c r="AO406" i="2"/>
  <c r="AO407" i="2"/>
  <c r="AO408" i="2"/>
  <c r="AO409" i="2"/>
  <c r="AO410" i="2"/>
  <c r="AO411" i="2"/>
  <c r="AO412" i="2"/>
  <c r="AO413" i="2"/>
  <c r="AO414" i="2"/>
  <c r="AO415" i="2"/>
  <c r="AO416" i="2"/>
  <c r="AO417" i="2"/>
  <c r="AO418" i="2"/>
  <c r="AO419" i="2"/>
  <c r="AO420" i="2"/>
  <c r="AO421" i="2"/>
  <c r="AO422" i="2"/>
  <c r="AO423" i="2"/>
  <c r="AO424" i="2"/>
  <c r="AO425" i="2"/>
  <c r="AO426" i="2"/>
  <c r="AO427" i="2"/>
  <c r="AO428" i="2"/>
  <c r="AO429" i="2"/>
  <c r="AO430" i="2"/>
  <c r="AO431" i="2"/>
  <c r="AO432" i="2"/>
  <c r="AO433" i="2"/>
  <c r="AO434" i="2"/>
  <c r="AO435" i="2"/>
  <c r="AO436" i="2"/>
  <c r="AO437" i="2"/>
  <c r="AO438" i="2"/>
  <c r="AO439" i="2"/>
  <c r="AO440" i="2"/>
  <c r="AO441" i="2"/>
  <c r="AO442" i="2"/>
  <c r="AO443" i="2"/>
  <c r="AO444" i="2"/>
  <c r="AO445" i="2"/>
  <c r="AO446" i="2"/>
  <c r="AO447" i="2"/>
  <c r="AO448" i="2"/>
  <c r="AO449" i="2"/>
  <c r="AO450" i="2"/>
  <c r="AO451" i="2"/>
  <c r="AO452" i="2"/>
  <c r="AO453" i="2"/>
  <c r="AO454" i="2"/>
  <c r="AO455" i="2"/>
  <c r="AO456" i="2"/>
  <c r="AO457" i="2"/>
  <c r="AO458" i="2"/>
  <c r="AO459" i="2"/>
  <c r="AO460" i="2"/>
  <c r="AO461" i="2"/>
  <c r="AO462" i="2"/>
  <c r="AO463" i="2"/>
  <c r="AO464" i="2"/>
  <c r="AO465" i="2"/>
  <c r="AO466" i="2"/>
  <c r="AO467" i="2"/>
  <c r="AO468" i="2"/>
  <c r="AO469" i="2"/>
  <c r="AO470" i="2"/>
  <c r="AO471" i="2"/>
  <c r="AO472" i="2"/>
  <c r="AO473" i="2"/>
  <c r="AO474" i="2"/>
  <c r="AO475" i="2"/>
  <c r="AO476" i="2"/>
  <c r="AO477" i="2"/>
  <c r="AO478" i="2"/>
  <c r="AO479" i="2"/>
  <c r="AO480" i="2"/>
  <c r="AO481" i="2"/>
  <c r="AO482" i="2"/>
  <c r="AO483" i="2"/>
  <c r="AO484" i="2"/>
  <c r="AO485" i="2"/>
  <c r="AO486" i="2"/>
  <c r="AO487" i="2"/>
  <c r="AO488" i="2"/>
  <c r="AO489" i="2"/>
  <c r="AO490" i="2"/>
  <c r="AO491" i="2"/>
  <c r="AO492" i="2"/>
  <c r="AO493" i="2"/>
  <c r="AO494" i="2"/>
  <c r="AO495" i="2"/>
  <c r="AO496" i="2"/>
  <c r="AO497" i="2"/>
  <c r="AO498" i="2"/>
  <c r="AO499" i="2"/>
  <c r="AO500" i="2"/>
  <c r="AO501" i="2"/>
  <c r="AO502" i="2"/>
  <c r="AO503" i="2"/>
  <c r="AO504" i="2"/>
  <c r="AO505" i="2"/>
  <c r="AO506" i="2"/>
  <c r="AO507" i="2"/>
  <c r="AO508" i="2"/>
  <c r="AO509" i="2"/>
  <c r="AO510" i="2"/>
  <c r="AO511" i="2"/>
  <c r="AO512" i="2"/>
  <c r="AO513" i="2"/>
  <c r="AO514" i="2"/>
  <c r="AO515" i="2"/>
  <c r="AO516" i="2"/>
  <c r="AO517" i="2"/>
  <c r="AO518" i="2"/>
  <c r="AO519" i="2"/>
  <c r="AO520" i="2"/>
  <c r="AO521" i="2"/>
  <c r="AO522" i="2"/>
  <c r="AO523" i="2"/>
  <c r="AO524" i="2"/>
  <c r="AO525" i="2"/>
  <c r="AO526" i="2"/>
  <c r="AO527" i="2"/>
  <c r="AO528" i="2"/>
  <c r="AO529" i="2"/>
  <c r="AO530" i="2"/>
  <c r="AO531" i="2"/>
  <c r="AO532" i="2"/>
  <c r="AO533" i="2"/>
  <c r="AO534" i="2"/>
  <c r="AO535" i="2"/>
  <c r="AO536" i="2"/>
  <c r="AO537" i="2"/>
  <c r="AO538" i="2"/>
  <c r="AO539" i="2"/>
  <c r="AO540" i="2"/>
  <c r="AO541" i="2"/>
  <c r="AO542" i="2"/>
  <c r="AO543" i="2"/>
  <c r="AO544" i="2"/>
  <c r="AO545" i="2"/>
  <c r="AO546" i="2"/>
  <c r="AO547" i="2"/>
  <c r="AO548" i="2"/>
  <c r="AO549" i="2"/>
  <c r="AO550" i="2"/>
  <c r="AO551" i="2"/>
  <c r="AO552" i="2"/>
  <c r="AO553" i="2"/>
  <c r="AO554" i="2"/>
  <c r="AO555" i="2"/>
  <c r="AO556" i="2"/>
  <c r="AO557" i="2"/>
  <c r="AO558" i="2"/>
  <c r="AO559" i="2"/>
  <c r="AO560" i="2"/>
  <c r="AO561" i="2"/>
  <c r="AO562" i="2"/>
  <c r="AO563" i="2"/>
  <c r="AO564" i="2"/>
  <c r="AO565" i="2"/>
  <c r="AO566" i="2"/>
  <c r="AO567" i="2"/>
  <c r="AO568" i="2"/>
  <c r="AO569" i="2"/>
  <c r="AO570" i="2"/>
  <c r="AO571" i="2"/>
  <c r="AO572" i="2"/>
  <c r="AO573" i="2"/>
  <c r="AO574" i="2"/>
  <c r="AO575" i="2"/>
  <c r="AO576" i="2"/>
  <c r="AO577" i="2"/>
  <c r="AO578" i="2"/>
  <c r="AO579" i="2"/>
  <c r="AO580" i="2"/>
  <c r="AO581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N334" i="2"/>
  <c r="AN335" i="2"/>
  <c r="AN336" i="2"/>
  <c r="AN337" i="2"/>
  <c r="AN338" i="2"/>
  <c r="AN339" i="2"/>
  <c r="AN340" i="2"/>
  <c r="AN341" i="2"/>
  <c r="AN342" i="2"/>
  <c r="AN343" i="2"/>
  <c r="AN344" i="2"/>
  <c r="AN345" i="2"/>
  <c r="AN346" i="2"/>
  <c r="AN347" i="2"/>
  <c r="AN348" i="2"/>
  <c r="AN349" i="2"/>
  <c r="AN350" i="2"/>
  <c r="AN351" i="2"/>
  <c r="AN352" i="2"/>
  <c r="AN353" i="2"/>
  <c r="AN354" i="2"/>
  <c r="AN355" i="2"/>
  <c r="AN356" i="2"/>
  <c r="AN357" i="2"/>
  <c r="AN358" i="2"/>
  <c r="AN359" i="2"/>
  <c r="AN360" i="2"/>
  <c r="AN361" i="2"/>
  <c r="AN362" i="2"/>
  <c r="AN363" i="2"/>
  <c r="AN364" i="2"/>
  <c r="AN365" i="2"/>
  <c r="AN366" i="2"/>
  <c r="AN367" i="2"/>
  <c r="AN368" i="2"/>
  <c r="AN369" i="2"/>
  <c r="AN370" i="2"/>
  <c r="AN371" i="2"/>
  <c r="AN372" i="2"/>
  <c r="AN373" i="2"/>
  <c r="AN374" i="2"/>
  <c r="AN375" i="2"/>
  <c r="AN376" i="2"/>
  <c r="AN377" i="2"/>
  <c r="AN378" i="2"/>
  <c r="AN379" i="2"/>
  <c r="AN380" i="2"/>
  <c r="AN381" i="2"/>
  <c r="AN382" i="2"/>
  <c r="AN383" i="2"/>
  <c r="AN384" i="2"/>
  <c r="AN385" i="2"/>
  <c r="AN386" i="2"/>
  <c r="AN387" i="2"/>
  <c r="AN388" i="2"/>
  <c r="AN389" i="2"/>
  <c r="AN390" i="2"/>
  <c r="AN391" i="2"/>
  <c r="AN392" i="2"/>
  <c r="AN393" i="2"/>
  <c r="AN394" i="2"/>
  <c r="AN395" i="2"/>
  <c r="AN396" i="2"/>
  <c r="AN397" i="2"/>
  <c r="AN398" i="2"/>
  <c r="AN399" i="2"/>
  <c r="AN400" i="2"/>
  <c r="AN401" i="2"/>
  <c r="AN402" i="2"/>
  <c r="AN403" i="2"/>
  <c r="AN404" i="2"/>
  <c r="AN405" i="2"/>
  <c r="AN406" i="2"/>
  <c r="AN407" i="2"/>
  <c r="AN408" i="2"/>
  <c r="AN409" i="2"/>
  <c r="AN410" i="2"/>
  <c r="AN411" i="2"/>
  <c r="AN412" i="2"/>
  <c r="AN413" i="2"/>
  <c r="AN414" i="2"/>
  <c r="AN415" i="2"/>
  <c r="AN416" i="2"/>
  <c r="AN417" i="2"/>
  <c r="AN418" i="2"/>
  <c r="AN419" i="2"/>
  <c r="AN420" i="2"/>
  <c r="AN421" i="2"/>
  <c r="AN422" i="2"/>
  <c r="AN423" i="2"/>
  <c r="AN424" i="2"/>
  <c r="AN425" i="2"/>
  <c r="AN426" i="2"/>
  <c r="AN427" i="2"/>
  <c r="AN428" i="2"/>
  <c r="AN429" i="2"/>
  <c r="AN430" i="2"/>
  <c r="AN431" i="2"/>
  <c r="AN432" i="2"/>
  <c r="AN433" i="2"/>
  <c r="AN434" i="2"/>
  <c r="AN435" i="2"/>
  <c r="AN436" i="2"/>
  <c r="AN437" i="2"/>
  <c r="AN438" i="2"/>
  <c r="AN439" i="2"/>
  <c r="AN440" i="2"/>
  <c r="AN441" i="2"/>
  <c r="AN442" i="2"/>
  <c r="AN443" i="2"/>
  <c r="AN444" i="2"/>
  <c r="AN445" i="2"/>
  <c r="AN446" i="2"/>
  <c r="AN447" i="2"/>
  <c r="AN448" i="2"/>
  <c r="AN449" i="2"/>
  <c r="AN450" i="2"/>
  <c r="AN451" i="2"/>
  <c r="AN452" i="2"/>
  <c r="AN453" i="2"/>
  <c r="AN454" i="2"/>
  <c r="AN455" i="2"/>
  <c r="AN456" i="2"/>
  <c r="AN457" i="2"/>
  <c r="AN458" i="2"/>
  <c r="AN459" i="2"/>
  <c r="AN460" i="2"/>
  <c r="AN461" i="2"/>
  <c r="AN462" i="2"/>
  <c r="AN463" i="2"/>
  <c r="AN464" i="2"/>
  <c r="AN465" i="2"/>
  <c r="AN466" i="2"/>
  <c r="AN467" i="2"/>
  <c r="AN468" i="2"/>
  <c r="AN469" i="2"/>
  <c r="AN470" i="2"/>
  <c r="AN471" i="2"/>
  <c r="AN472" i="2"/>
  <c r="AN473" i="2"/>
  <c r="AN474" i="2"/>
  <c r="AN475" i="2"/>
  <c r="AN476" i="2"/>
  <c r="AN477" i="2"/>
  <c r="AN478" i="2"/>
  <c r="AN479" i="2"/>
  <c r="AN480" i="2"/>
  <c r="AN481" i="2"/>
  <c r="AN482" i="2"/>
  <c r="AN483" i="2"/>
  <c r="AN484" i="2"/>
  <c r="AN485" i="2"/>
  <c r="AN486" i="2"/>
  <c r="AN487" i="2"/>
  <c r="AN488" i="2"/>
  <c r="AN489" i="2"/>
  <c r="AN490" i="2"/>
  <c r="AN491" i="2"/>
  <c r="AN492" i="2"/>
  <c r="AN493" i="2"/>
  <c r="AN494" i="2"/>
  <c r="AN495" i="2"/>
  <c r="AN496" i="2"/>
  <c r="AN497" i="2"/>
  <c r="AN498" i="2"/>
  <c r="AN499" i="2"/>
  <c r="AN500" i="2"/>
  <c r="AN501" i="2"/>
  <c r="AN502" i="2"/>
  <c r="AN503" i="2"/>
  <c r="AN504" i="2"/>
  <c r="AN505" i="2"/>
  <c r="AN506" i="2"/>
  <c r="AN507" i="2"/>
  <c r="AN508" i="2"/>
  <c r="AN509" i="2"/>
  <c r="AN510" i="2"/>
  <c r="AN511" i="2"/>
  <c r="AN512" i="2"/>
  <c r="AN513" i="2"/>
  <c r="AN514" i="2"/>
  <c r="AN515" i="2"/>
  <c r="AN516" i="2"/>
  <c r="AN517" i="2"/>
  <c r="AN518" i="2"/>
  <c r="AN519" i="2"/>
  <c r="AN520" i="2"/>
  <c r="AN521" i="2"/>
  <c r="AN522" i="2"/>
  <c r="AN523" i="2"/>
  <c r="AN524" i="2"/>
  <c r="AN525" i="2"/>
  <c r="AN526" i="2"/>
  <c r="AN527" i="2"/>
  <c r="AN528" i="2"/>
  <c r="AN529" i="2"/>
  <c r="AN530" i="2"/>
  <c r="AN531" i="2"/>
  <c r="AN532" i="2"/>
  <c r="AN533" i="2"/>
  <c r="AN534" i="2"/>
  <c r="AN535" i="2"/>
  <c r="AN536" i="2"/>
  <c r="AN537" i="2"/>
  <c r="AN538" i="2"/>
  <c r="AN539" i="2"/>
  <c r="AN540" i="2"/>
  <c r="AN541" i="2"/>
  <c r="AN542" i="2"/>
  <c r="AN543" i="2"/>
  <c r="AN544" i="2"/>
  <c r="AN545" i="2"/>
  <c r="AN546" i="2"/>
  <c r="AN547" i="2"/>
  <c r="AN548" i="2"/>
  <c r="AN549" i="2"/>
  <c r="AN550" i="2"/>
  <c r="AN551" i="2"/>
  <c r="AN552" i="2"/>
  <c r="AN553" i="2"/>
  <c r="AN554" i="2"/>
  <c r="AN555" i="2"/>
  <c r="AN556" i="2"/>
  <c r="AN557" i="2"/>
  <c r="AN558" i="2"/>
  <c r="AN559" i="2"/>
  <c r="AN560" i="2"/>
  <c r="AN561" i="2"/>
  <c r="AN562" i="2"/>
  <c r="AN563" i="2"/>
  <c r="AN564" i="2"/>
  <c r="AN565" i="2"/>
  <c r="AN566" i="2"/>
  <c r="AN567" i="2"/>
  <c r="AN568" i="2"/>
  <c r="AN569" i="2"/>
  <c r="AN570" i="2"/>
  <c r="AN571" i="2"/>
  <c r="AN572" i="2"/>
  <c r="AN573" i="2"/>
  <c r="AN574" i="2"/>
  <c r="AN575" i="2"/>
  <c r="AN576" i="2"/>
  <c r="AN577" i="2"/>
  <c r="AN578" i="2"/>
  <c r="AN579" i="2"/>
  <c r="AN580" i="2"/>
  <c r="AN581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114" i="2"/>
  <c r="AM115" i="2"/>
  <c r="AM116" i="2"/>
  <c r="AM117" i="2"/>
  <c r="AM118" i="2"/>
  <c r="AM119" i="2"/>
  <c r="AM120" i="2"/>
  <c r="AM121" i="2"/>
  <c r="AM122" i="2"/>
  <c r="AM123" i="2"/>
  <c r="AM124" i="2"/>
  <c r="AM125" i="2"/>
  <c r="AM126" i="2"/>
  <c r="AM127" i="2"/>
  <c r="AM128" i="2"/>
  <c r="AM129" i="2"/>
  <c r="AM130" i="2"/>
  <c r="AM131" i="2"/>
  <c r="AM132" i="2"/>
  <c r="AM133" i="2"/>
  <c r="AM134" i="2"/>
  <c r="AM135" i="2"/>
  <c r="AM136" i="2"/>
  <c r="AM137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4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69" i="2"/>
  <c r="AM170" i="2"/>
  <c r="AM171" i="2"/>
  <c r="AM172" i="2"/>
  <c r="AM173" i="2"/>
  <c r="AM174" i="2"/>
  <c r="AM175" i="2"/>
  <c r="AM176" i="2"/>
  <c r="AM177" i="2"/>
  <c r="AM178" i="2"/>
  <c r="AM179" i="2"/>
  <c r="AM180" i="2"/>
  <c r="AM181" i="2"/>
  <c r="AM182" i="2"/>
  <c r="AM183" i="2"/>
  <c r="AM184" i="2"/>
  <c r="AM185" i="2"/>
  <c r="AM186" i="2"/>
  <c r="AM187" i="2"/>
  <c r="AM188" i="2"/>
  <c r="AM189" i="2"/>
  <c r="AM190" i="2"/>
  <c r="AM191" i="2"/>
  <c r="AM192" i="2"/>
  <c r="AM193" i="2"/>
  <c r="AM194" i="2"/>
  <c r="AM195" i="2"/>
  <c r="AM196" i="2"/>
  <c r="AM197" i="2"/>
  <c r="AM198" i="2"/>
  <c r="AM199" i="2"/>
  <c r="AM200" i="2"/>
  <c r="AM201" i="2"/>
  <c r="AM202" i="2"/>
  <c r="AM203" i="2"/>
  <c r="AM204" i="2"/>
  <c r="AM205" i="2"/>
  <c r="AM206" i="2"/>
  <c r="AM207" i="2"/>
  <c r="AM208" i="2"/>
  <c r="AM209" i="2"/>
  <c r="AM210" i="2"/>
  <c r="AM211" i="2"/>
  <c r="AM212" i="2"/>
  <c r="AM213" i="2"/>
  <c r="AM214" i="2"/>
  <c r="AM215" i="2"/>
  <c r="AM216" i="2"/>
  <c r="AM217" i="2"/>
  <c r="AM218" i="2"/>
  <c r="AM219" i="2"/>
  <c r="AM220" i="2"/>
  <c r="AM221" i="2"/>
  <c r="AM222" i="2"/>
  <c r="AM223" i="2"/>
  <c r="AM224" i="2"/>
  <c r="AM225" i="2"/>
  <c r="AM226" i="2"/>
  <c r="AM227" i="2"/>
  <c r="AM228" i="2"/>
  <c r="AM229" i="2"/>
  <c r="AM230" i="2"/>
  <c r="AM231" i="2"/>
  <c r="AM232" i="2"/>
  <c r="AM233" i="2"/>
  <c r="AM234" i="2"/>
  <c r="AM235" i="2"/>
  <c r="AM236" i="2"/>
  <c r="AM237" i="2"/>
  <c r="AM238" i="2"/>
  <c r="AM239" i="2"/>
  <c r="AM240" i="2"/>
  <c r="AM241" i="2"/>
  <c r="AM242" i="2"/>
  <c r="AM243" i="2"/>
  <c r="AM244" i="2"/>
  <c r="AM245" i="2"/>
  <c r="AM246" i="2"/>
  <c r="AM247" i="2"/>
  <c r="AM248" i="2"/>
  <c r="AM249" i="2"/>
  <c r="AM250" i="2"/>
  <c r="AM251" i="2"/>
  <c r="AM252" i="2"/>
  <c r="AM253" i="2"/>
  <c r="AM254" i="2"/>
  <c r="AM255" i="2"/>
  <c r="AM256" i="2"/>
  <c r="AM257" i="2"/>
  <c r="AM258" i="2"/>
  <c r="AM259" i="2"/>
  <c r="AM260" i="2"/>
  <c r="AM261" i="2"/>
  <c r="AM262" i="2"/>
  <c r="AM263" i="2"/>
  <c r="AM264" i="2"/>
  <c r="AM265" i="2"/>
  <c r="AM266" i="2"/>
  <c r="AM267" i="2"/>
  <c r="AM268" i="2"/>
  <c r="AM269" i="2"/>
  <c r="AM270" i="2"/>
  <c r="AM271" i="2"/>
  <c r="AM272" i="2"/>
  <c r="AM273" i="2"/>
  <c r="AM274" i="2"/>
  <c r="AM275" i="2"/>
  <c r="AM276" i="2"/>
  <c r="AM277" i="2"/>
  <c r="AM278" i="2"/>
  <c r="AM279" i="2"/>
  <c r="AM280" i="2"/>
  <c r="AM281" i="2"/>
  <c r="AM282" i="2"/>
  <c r="AM283" i="2"/>
  <c r="AM284" i="2"/>
  <c r="AM285" i="2"/>
  <c r="AM286" i="2"/>
  <c r="AM287" i="2"/>
  <c r="AM288" i="2"/>
  <c r="AM289" i="2"/>
  <c r="AM290" i="2"/>
  <c r="AM291" i="2"/>
  <c r="AM292" i="2"/>
  <c r="AM293" i="2"/>
  <c r="AM294" i="2"/>
  <c r="AM295" i="2"/>
  <c r="AM296" i="2"/>
  <c r="AM297" i="2"/>
  <c r="AM298" i="2"/>
  <c r="AM299" i="2"/>
  <c r="AM300" i="2"/>
  <c r="AM301" i="2"/>
  <c r="AM302" i="2"/>
  <c r="AM303" i="2"/>
  <c r="AM304" i="2"/>
  <c r="AM305" i="2"/>
  <c r="AM306" i="2"/>
  <c r="AM307" i="2"/>
  <c r="AM308" i="2"/>
  <c r="AM309" i="2"/>
  <c r="AM310" i="2"/>
  <c r="AM311" i="2"/>
  <c r="AM312" i="2"/>
  <c r="AM313" i="2"/>
  <c r="AM314" i="2"/>
  <c r="AM315" i="2"/>
  <c r="AM316" i="2"/>
  <c r="AM317" i="2"/>
  <c r="AM318" i="2"/>
  <c r="AM319" i="2"/>
  <c r="AM320" i="2"/>
  <c r="AM321" i="2"/>
  <c r="AM322" i="2"/>
  <c r="AM323" i="2"/>
  <c r="AM324" i="2"/>
  <c r="AM325" i="2"/>
  <c r="AM326" i="2"/>
  <c r="AM327" i="2"/>
  <c r="AM328" i="2"/>
  <c r="AM329" i="2"/>
  <c r="AM330" i="2"/>
  <c r="AM331" i="2"/>
  <c r="AM332" i="2"/>
  <c r="AM333" i="2"/>
  <c r="AM334" i="2"/>
  <c r="AM335" i="2"/>
  <c r="AM336" i="2"/>
  <c r="AM337" i="2"/>
  <c r="AM338" i="2"/>
  <c r="AM339" i="2"/>
  <c r="AM340" i="2"/>
  <c r="AM341" i="2"/>
  <c r="AM342" i="2"/>
  <c r="AM343" i="2"/>
  <c r="AM344" i="2"/>
  <c r="AM345" i="2"/>
  <c r="AM346" i="2"/>
  <c r="AM347" i="2"/>
  <c r="AM348" i="2"/>
  <c r="AM349" i="2"/>
  <c r="AM350" i="2"/>
  <c r="AM351" i="2"/>
  <c r="AM352" i="2"/>
  <c r="AM353" i="2"/>
  <c r="AM354" i="2"/>
  <c r="AM355" i="2"/>
  <c r="AM356" i="2"/>
  <c r="AM357" i="2"/>
  <c r="AM358" i="2"/>
  <c r="AM359" i="2"/>
  <c r="AM360" i="2"/>
  <c r="AM361" i="2"/>
  <c r="AM362" i="2"/>
  <c r="AM363" i="2"/>
  <c r="AM364" i="2"/>
  <c r="AM365" i="2"/>
  <c r="AM366" i="2"/>
  <c r="AM367" i="2"/>
  <c r="AM368" i="2"/>
  <c r="AM369" i="2"/>
  <c r="AM370" i="2"/>
  <c r="AM371" i="2"/>
  <c r="AM372" i="2"/>
  <c r="AM373" i="2"/>
  <c r="AM374" i="2"/>
  <c r="AM375" i="2"/>
  <c r="AM376" i="2"/>
  <c r="AM377" i="2"/>
  <c r="AM378" i="2"/>
  <c r="AM379" i="2"/>
  <c r="AM380" i="2"/>
  <c r="AM381" i="2"/>
  <c r="AM382" i="2"/>
  <c r="AM383" i="2"/>
  <c r="AM384" i="2"/>
  <c r="AM385" i="2"/>
  <c r="AM386" i="2"/>
  <c r="AM387" i="2"/>
  <c r="AM388" i="2"/>
  <c r="AM389" i="2"/>
  <c r="AM390" i="2"/>
  <c r="AM391" i="2"/>
  <c r="AM392" i="2"/>
  <c r="AM393" i="2"/>
  <c r="AM394" i="2"/>
  <c r="AM395" i="2"/>
  <c r="AM396" i="2"/>
  <c r="AM397" i="2"/>
  <c r="AM398" i="2"/>
  <c r="AM399" i="2"/>
  <c r="AM400" i="2"/>
  <c r="AM401" i="2"/>
  <c r="AM402" i="2"/>
  <c r="AM403" i="2"/>
  <c r="AM404" i="2"/>
  <c r="AM405" i="2"/>
  <c r="AM406" i="2"/>
  <c r="AM407" i="2"/>
  <c r="AM408" i="2"/>
  <c r="AM409" i="2"/>
  <c r="AM410" i="2"/>
  <c r="AM411" i="2"/>
  <c r="AM412" i="2"/>
  <c r="AM413" i="2"/>
  <c r="AM414" i="2"/>
  <c r="AM415" i="2"/>
  <c r="AM416" i="2"/>
  <c r="AM417" i="2"/>
  <c r="AM418" i="2"/>
  <c r="AM419" i="2"/>
  <c r="AM420" i="2"/>
  <c r="AM421" i="2"/>
  <c r="AM422" i="2"/>
  <c r="AM423" i="2"/>
  <c r="AM424" i="2"/>
  <c r="AM425" i="2"/>
  <c r="AM426" i="2"/>
  <c r="AM427" i="2"/>
  <c r="AM428" i="2"/>
  <c r="AM429" i="2"/>
  <c r="AM430" i="2"/>
  <c r="AM431" i="2"/>
  <c r="AM432" i="2"/>
  <c r="AM433" i="2"/>
  <c r="AM434" i="2"/>
  <c r="AM435" i="2"/>
  <c r="AM436" i="2"/>
  <c r="AM437" i="2"/>
  <c r="AM438" i="2"/>
  <c r="AM439" i="2"/>
  <c r="AM440" i="2"/>
  <c r="AM441" i="2"/>
  <c r="AM442" i="2"/>
  <c r="AM443" i="2"/>
  <c r="AM444" i="2"/>
  <c r="AM445" i="2"/>
  <c r="AM446" i="2"/>
  <c r="AM447" i="2"/>
  <c r="AM448" i="2"/>
  <c r="AM449" i="2"/>
  <c r="AM450" i="2"/>
  <c r="AM451" i="2"/>
  <c r="AM452" i="2"/>
  <c r="AM453" i="2"/>
  <c r="AM454" i="2"/>
  <c r="AM455" i="2"/>
  <c r="AM456" i="2"/>
  <c r="AM457" i="2"/>
  <c r="AM458" i="2"/>
  <c r="AM459" i="2"/>
  <c r="AM460" i="2"/>
  <c r="AM461" i="2"/>
  <c r="AM462" i="2"/>
  <c r="AM463" i="2"/>
  <c r="AM464" i="2"/>
  <c r="AM465" i="2"/>
  <c r="AM466" i="2"/>
  <c r="AM467" i="2"/>
  <c r="AM468" i="2"/>
  <c r="AM469" i="2"/>
  <c r="AM470" i="2"/>
  <c r="AM471" i="2"/>
  <c r="AM472" i="2"/>
  <c r="AM473" i="2"/>
  <c r="AM474" i="2"/>
  <c r="AM475" i="2"/>
  <c r="AM476" i="2"/>
  <c r="AM477" i="2"/>
  <c r="AM478" i="2"/>
  <c r="AM479" i="2"/>
  <c r="AM480" i="2"/>
  <c r="AM481" i="2"/>
  <c r="AM482" i="2"/>
  <c r="AM483" i="2"/>
  <c r="AM484" i="2"/>
  <c r="AM485" i="2"/>
  <c r="AM486" i="2"/>
  <c r="AM487" i="2"/>
  <c r="AM488" i="2"/>
  <c r="AM489" i="2"/>
  <c r="AM490" i="2"/>
  <c r="AM491" i="2"/>
  <c r="AM492" i="2"/>
  <c r="AM493" i="2"/>
  <c r="AM494" i="2"/>
  <c r="AM495" i="2"/>
  <c r="AM496" i="2"/>
  <c r="AM497" i="2"/>
  <c r="AM498" i="2"/>
  <c r="AM499" i="2"/>
  <c r="AM500" i="2"/>
  <c r="AM501" i="2"/>
  <c r="AM502" i="2"/>
  <c r="AM503" i="2"/>
  <c r="AM504" i="2"/>
  <c r="AM505" i="2"/>
  <c r="AM506" i="2"/>
  <c r="AM507" i="2"/>
  <c r="AM508" i="2"/>
  <c r="AM509" i="2"/>
  <c r="AM510" i="2"/>
  <c r="AM511" i="2"/>
  <c r="AM512" i="2"/>
  <c r="AM513" i="2"/>
  <c r="AM514" i="2"/>
  <c r="AM515" i="2"/>
  <c r="AM516" i="2"/>
  <c r="AM517" i="2"/>
  <c r="AM518" i="2"/>
  <c r="AM519" i="2"/>
  <c r="AM520" i="2"/>
  <c r="AM521" i="2"/>
  <c r="AM522" i="2"/>
  <c r="AM523" i="2"/>
  <c r="AM524" i="2"/>
  <c r="AM525" i="2"/>
  <c r="AM526" i="2"/>
  <c r="AM527" i="2"/>
  <c r="AM528" i="2"/>
  <c r="AM529" i="2"/>
  <c r="AM530" i="2"/>
  <c r="AM531" i="2"/>
  <c r="AM532" i="2"/>
  <c r="AM533" i="2"/>
  <c r="AM534" i="2"/>
  <c r="AM535" i="2"/>
  <c r="AM536" i="2"/>
  <c r="AM537" i="2"/>
  <c r="AM538" i="2"/>
  <c r="AM539" i="2"/>
  <c r="AM540" i="2"/>
  <c r="AM541" i="2"/>
  <c r="AM542" i="2"/>
  <c r="AM543" i="2"/>
  <c r="AM544" i="2"/>
  <c r="AM545" i="2"/>
  <c r="AM546" i="2"/>
  <c r="AM547" i="2"/>
  <c r="AM548" i="2"/>
  <c r="AM549" i="2"/>
  <c r="AM550" i="2"/>
  <c r="AM551" i="2"/>
  <c r="AM552" i="2"/>
  <c r="AM553" i="2"/>
  <c r="AM554" i="2"/>
  <c r="AM555" i="2"/>
  <c r="AM556" i="2"/>
  <c r="AM557" i="2"/>
  <c r="AM558" i="2"/>
  <c r="AM559" i="2"/>
  <c r="AM560" i="2"/>
  <c r="AM561" i="2"/>
  <c r="AM562" i="2"/>
  <c r="AM563" i="2"/>
  <c r="AM564" i="2"/>
  <c r="AM565" i="2"/>
  <c r="AM566" i="2"/>
  <c r="AM567" i="2"/>
  <c r="AM568" i="2"/>
  <c r="AM569" i="2"/>
  <c r="AM570" i="2"/>
  <c r="AM571" i="2"/>
  <c r="AM572" i="2"/>
  <c r="AM573" i="2"/>
  <c r="AM574" i="2"/>
  <c r="AM575" i="2"/>
  <c r="AM576" i="2"/>
  <c r="AM577" i="2"/>
  <c r="AM578" i="2"/>
  <c r="AM579" i="2"/>
  <c r="AM580" i="2"/>
  <c r="AM581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AL211" i="2"/>
  <c r="AL212" i="2"/>
  <c r="AL213" i="2"/>
  <c r="AL214" i="2"/>
  <c r="AL215" i="2"/>
  <c r="AL216" i="2"/>
  <c r="AL217" i="2"/>
  <c r="AL218" i="2"/>
  <c r="AL219" i="2"/>
  <c r="AL220" i="2"/>
  <c r="AL221" i="2"/>
  <c r="AL222" i="2"/>
  <c r="AL223" i="2"/>
  <c r="AL224" i="2"/>
  <c r="AL225" i="2"/>
  <c r="AL226" i="2"/>
  <c r="AL227" i="2"/>
  <c r="AL228" i="2"/>
  <c r="AL229" i="2"/>
  <c r="AL230" i="2"/>
  <c r="AL231" i="2"/>
  <c r="AL232" i="2"/>
  <c r="AL233" i="2"/>
  <c r="AL234" i="2"/>
  <c r="AL235" i="2"/>
  <c r="AL236" i="2"/>
  <c r="AL237" i="2"/>
  <c r="AL238" i="2"/>
  <c r="AL239" i="2"/>
  <c r="AL240" i="2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L299" i="2"/>
  <c r="AL300" i="2"/>
  <c r="AL301" i="2"/>
  <c r="AL302" i="2"/>
  <c r="AL303" i="2"/>
  <c r="AL304" i="2"/>
  <c r="AL305" i="2"/>
  <c r="AL306" i="2"/>
  <c r="AL307" i="2"/>
  <c r="AL308" i="2"/>
  <c r="AL309" i="2"/>
  <c r="AL310" i="2"/>
  <c r="AL311" i="2"/>
  <c r="AL312" i="2"/>
  <c r="AL313" i="2"/>
  <c r="AL314" i="2"/>
  <c r="AL315" i="2"/>
  <c r="AL316" i="2"/>
  <c r="AL317" i="2"/>
  <c r="AL318" i="2"/>
  <c r="AL319" i="2"/>
  <c r="AL320" i="2"/>
  <c r="AL321" i="2"/>
  <c r="AL322" i="2"/>
  <c r="AL323" i="2"/>
  <c r="AL324" i="2"/>
  <c r="AL325" i="2"/>
  <c r="AL326" i="2"/>
  <c r="AL327" i="2"/>
  <c r="AL328" i="2"/>
  <c r="AL329" i="2"/>
  <c r="AL330" i="2"/>
  <c r="AL331" i="2"/>
  <c r="AL332" i="2"/>
  <c r="AL333" i="2"/>
  <c r="AL334" i="2"/>
  <c r="AL335" i="2"/>
  <c r="AL336" i="2"/>
  <c r="AL337" i="2"/>
  <c r="AL338" i="2"/>
  <c r="AL339" i="2"/>
  <c r="AL340" i="2"/>
  <c r="AL341" i="2"/>
  <c r="AL342" i="2"/>
  <c r="AL343" i="2"/>
  <c r="AL344" i="2"/>
  <c r="AL345" i="2"/>
  <c r="AL346" i="2"/>
  <c r="AL347" i="2"/>
  <c r="AL348" i="2"/>
  <c r="AL349" i="2"/>
  <c r="AL350" i="2"/>
  <c r="AL351" i="2"/>
  <c r="AL352" i="2"/>
  <c r="AL353" i="2"/>
  <c r="AL354" i="2"/>
  <c r="AL355" i="2"/>
  <c r="AL356" i="2"/>
  <c r="AL357" i="2"/>
  <c r="AL358" i="2"/>
  <c r="AL359" i="2"/>
  <c r="AL360" i="2"/>
  <c r="AL361" i="2"/>
  <c r="AL362" i="2"/>
  <c r="AL363" i="2"/>
  <c r="AL364" i="2"/>
  <c r="AL365" i="2"/>
  <c r="AL366" i="2"/>
  <c r="AL367" i="2"/>
  <c r="AL368" i="2"/>
  <c r="AL369" i="2"/>
  <c r="AL370" i="2"/>
  <c r="AL371" i="2"/>
  <c r="AL372" i="2"/>
  <c r="AL373" i="2"/>
  <c r="AL374" i="2"/>
  <c r="AL375" i="2"/>
  <c r="AL376" i="2"/>
  <c r="AL377" i="2"/>
  <c r="AL378" i="2"/>
  <c r="AL379" i="2"/>
  <c r="AL380" i="2"/>
  <c r="AL381" i="2"/>
  <c r="AL382" i="2"/>
  <c r="AL383" i="2"/>
  <c r="AL384" i="2"/>
  <c r="AL385" i="2"/>
  <c r="AL386" i="2"/>
  <c r="AL387" i="2"/>
  <c r="AL388" i="2"/>
  <c r="AL389" i="2"/>
  <c r="AL390" i="2"/>
  <c r="AL391" i="2"/>
  <c r="AL392" i="2"/>
  <c r="AL393" i="2"/>
  <c r="AL394" i="2"/>
  <c r="AL395" i="2"/>
  <c r="AL396" i="2"/>
  <c r="AL397" i="2"/>
  <c r="AL398" i="2"/>
  <c r="AL399" i="2"/>
  <c r="AL400" i="2"/>
  <c r="AL401" i="2"/>
  <c r="AL402" i="2"/>
  <c r="AL403" i="2"/>
  <c r="AL404" i="2"/>
  <c r="AL405" i="2"/>
  <c r="AL406" i="2"/>
  <c r="AL407" i="2"/>
  <c r="AL408" i="2"/>
  <c r="AL409" i="2"/>
  <c r="AL410" i="2"/>
  <c r="AL411" i="2"/>
  <c r="AL412" i="2"/>
  <c r="AL413" i="2"/>
  <c r="AL414" i="2"/>
  <c r="AL415" i="2"/>
  <c r="AL416" i="2"/>
  <c r="AL417" i="2"/>
  <c r="AL418" i="2"/>
  <c r="AL419" i="2"/>
  <c r="AL420" i="2"/>
  <c r="AL421" i="2"/>
  <c r="AL422" i="2"/>
  <c r="AL423" i="2"/>
  <c r="AL424" i="2"/>
  <c r="AL425" i="2"/>
  <c r="AL426" i="2"/>
  <c r="AL427" i="2"/>
  <c r="AL428" i="2"/>
  <c r="AL429" i="2"/>
  <c r="AL430" i="2"/>
  <c r="AL431" i="2"/>
  <c r="AL432" i="2"/>
  <c r="AL433" i="2"/>
  <c r="AL434" i="2"/>
  <c r="AL435" i="2"/>
  <c r="AL436" i="2"/>
  <c r="AL437" i="2"/>
  <c r="AL438" i="2"/>
  <c r="AL439" i="2"/>
  <c r="AL440" i="2"/>
  <c r="AL441" i="2"/>
  <c r="AL442" i="2"/>
  <c r="AL443" i="2"/>
  <c r="AL444" i="2"/>
  <c r="AL445" i="2"/>
  <c r="AL446" i="2"/>
  <c r="AL447" i="2"/>
  <c r="AL448" i="2"/>
  <c r="AL449" i="2"/>
  <c r="AL450" i="2"/>
  <c r="AL451" i="2"/>
  <c r="AL452" i="2"/>
  <c r="AL453" i="2"/>
  <c r="AL454" i="2"/>
  <c r="AL455" i="2"/>
  <c r="AL456" i="2"/>
  <c r="AL457" i="2"/>
  <c r="AL458" i="2"/>
  <c r="AL459" i="2"/>
  <c r="AL460" i="2"/>
  <c r="AL461" i="2"/>
  <c r="AL462" i="2"/>
  <c r="AL463" i="2"/>
  <c r="AL464" i="2"/>
  <c r="AL465" i="2"/>
  <c r="AL466" i="2"/>
  <c r="AL467" i="2"/>
  <c r="AL468" i="2"/>
  <c r="AL469" i="2"/>
  <c r="AL470" i="2"/>
  <c r="AL471" i="2"/>
  <c r="AL472" i="2"/>
  <c r="AL473" i="2"/>
  <c r="AL474" i="2"/>
  <c r="AL475" i="2"/>
  <c r="AL476" i="2"/>
  <c r="AL477" i="2"/>
  <c r="AL478" i="2"/>
  <c r="AL479" i="2"/>
  <c r="AL480" i="2"/>
  <c r="AL481" i="2"/>
  <c r="AL482" i="2"/>
  <c r="AL483" i="2"/>
  <c r="AL484" i="2"/>
  <c r="AL485" i="2"/>
  <c r="AL486" i="2"/>
  <c r="AL487" i="2"/>
  <c r="AL488" i="2"/>
  <c r="AL489" i="2"/>
  <c r="AL490" i="2"/>
  <c r="AL491" i="2"/>
  <c r="AL492" i="2"/>
  <c r="AL493" i="2"/>
  <c r="AL494" i="2"/>
  <c r="AL495" i="2"/>
  <c r="AL496" i="2"/>
  <c r="AL497" i="2"/>
  <c r="AL498" i="2"/>
  <c r="AL499" i="2"/>
  <c r="AL500" i="2"/>
  <c r="AL501" i="2"/>
  <c r="AL502" i="2"/>
  <c r="AL503" i="2"/>
  <c r="AL504" i="2"/>
  <c r="AL505" i="2"/>
  <c r="AL506" i="2"/>
  <c r="AL507" i="2"/>
  <c r="AL508" i="2"/>
  <c r="AL509" i="2"/>
  <c r="AL510" i="2"/>
  <c r="AL511" i="2"/>
  <c r="AL512" i="2"/>
  <c r="AL513" i="2"/>
  <c r="AL514" i="2"/>
  <c r="AL515" i="2"/>
  <c r="AL516" i="2"/>
  <c r="AL517" i="2"/>
  <c r="AL518" i="2"/>
  <c r="AL519" i="2"/>
  <c r="AL520" i="2"/>
  <c r="AL521" i="2"/>
  <c r="AL522" i="2"/>
  <c r="AL523" i="2"/>
  <c r="AL524" i="2"/>
  <c r="AL525" i="2"/>
  <c r="AL526" i="2"/>
  <c r="AL527" i="2"/>
  <c r="AL528" i="2"/>
  <c r="AL529" i="2"/>
  <c r="AL530" i="2"/>
  <c r="AL531" i="2"/>
  <c r="AL532" i="2"/>
  <c r="AL533" i="2"/>
  <c r="AL534" i="2"/>
  <c r="AL535" i="2"/>
  <c r="AL536" i="2"/>
  <c r="AL537" i="2"/>
  <c r="AL538" i="2"/>
  <c r="AL539" i="2"/>
  <c r="AL540" i="2"/>
  <c r="AL541" i="2"/>
  <c r="AL542" i="2"/>
  <c r="AL543" i="2"/>
  <c r="AL544" i="2"/>
  <c r="AL545" i="2"/>
  <c r="AL546" i="2"/>
  <c r="AL547" i="2"/>
  <c r="AL548" i="2"/>
  <c r="AL549" i="2"/>
  <c r="AL550" i="2"/>
  <c r="AL551" i="2"/>
  <c r="AL552" i="2"/>
  <c r="AL553" i="2"/>
  <c r="AL554" i="2"/>
  <c r="AL555" i="2"/>
  <c r="AL556" i="2"/>
  <c r="AL557" i="2"/>
  <c r="AL558" i="2"/>
  <c r="AL559" i="2"/>
  <c r="AL560" i="2"/>
  <c r="AL561" i="2"/>
  <c r="AL562" i="2"/>
  <c r="AL563" i="2"/>
  <c r="AL564" i="2"/>
  <c r="AL565" i="2"/>
  <c r="AL566" i="2"/>
  <c r="AL567" i="2"/>
  <c r="AL568" i="2"/>
  <c r="AL569" i="2"/>
  <c r="AL570" i="2"/>
  <c r="AL571" i="2"/>
  <c r="AL572" i="2"/>
  <c r="AL573" i="2"/>
  <c r="AL574" i="2"/>
  <c r="AL575" i="2"/>
  <c r="AL576" i="2"/>
  <c r="AL577" i="2"/>
  <c r="AL578" i="2"/>
  <c r="AL579" i="2"/>
  <c r="AL580" i="2"/>
  <c r="AL581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00" i="2"/>
  <c r="AI401" i="2"/>
  <c r="AI402" i="2"/>
  <c r="AI403" i="2"/>
  <c r="AI404" i="2"/>
  <c r="AI405" i="2"/>
  <c r="AI406" i="2"/>
  <c r="AI407" i="2"/>
  <c r="AI408" i="2"/>
  <c r="AI409" i="2"/>
  <c r="AI410" i="2"/>
  <c r="AI411" i="2"/>
  <c r="AI412" i="2"/>
  <c r="AI413" i="2"/>
  <c r="AI414" i="2"/>
  <c r="AI415" i="2"/>
  <c r="AI416" i="2"/>
  <c r="AI417" i="2"/>
  <c r="AI418" i="2"/>
  <c r="AI419" i="2"/>
  <c r="AI420" i="2"/>
  <c r="AI421" i="2"/>
  <c r="AI422" i="2"/>
  <c r="AI423" i="2"/>
  <c r="AI424" i="2"/>
  <c r="AI425" i="2"/>
  <c r="AI426" i="2"/>
  <c r="AI427" i="2"/>
  <c r="AI428" i="2"/>
  <c r="AI429" i="2"/>
  <c r="AI430" i="2"/>
  <c r="AI431" i="2"/>
  <c r="AI432" i="2"/>
  <c r="AI433" i="2"/>
  <c r="AI434" i="2"/>
  <c r="AI435" i="2"/>
  <c r="AI436" i="2"/>
  <c r="AI437" i="2"/>
  <c r="AI438" i="2"/>
  <c r="AI439" i="2"/>
  <c r="AI440" i="2"/>
  <c r="AI441" i="2"/>
  <c r="AI442" i="2"/>
  <c r="AI443" i="2"/>
  <c r="AI444" i="2"/>
  <c r="AI445" i="2"/>
  <c r="AI446" i="2"/>
  <c r="AI447" i="2"/>
  <c r="AI448" i="2"/>
  <c r="AI449" i="2"/>
  <c r="AI450" i="2"/>
  <c r="AI451" i="2"/>
  <c r="AI452" i="2"/>
  <c r="AI453" i="2"/>
  <c r="AI454" i="2"/>
  <c r="AI455" i="2"/>
  <c r="AI456" i="2"/>
  <c r="AI457" i="2"/>
  <c r="AI458" i="2"/>
  <c r="AI459" i="2"/>
  <c r="AI460" i="2"/>
  <c r="AI461" i="2"/>
  <c r="AI462" i="2"/>
  <c r="AI463" i="2"/>
  <c r="AI464" i="2"/>
  <c r="AI465" i="2"/>
  <c r="AI466" i="2"/>
  <c r="AI467" i="2"/>
  <c r="AI468" i="2"/>
  <c r="AI469" i="2"/>
  <c r="AI470" i="2"/>
  <c r="AI471" i="2"/>
  <c r="AI472" i="2"/>
  <c r="AI473" i="2"/>
  <c r="AI474" i="2"/>
  <c r="AI475" i="2"/>
  <c r="AI476" i="2"/>
  <c r="AI477" i="2"/>
  <c r="AI478" i="2"/>
  <c r="AI479" i="2"/>
  <c r="AI480" i="2"/>
  <c r="AI481" i="2"/>
  <c r="AI482" i="2"/>
  <c r="AI483" i="2"/>
  <c r="AI484" i="2"/>
  <c r="AI485" i="2"/>
  <c r="AI486" i="2"/>
  <c r="AI487" i="2"/>
  <c r="AI488" i="2"/>
  <c r="AI489" i="2"/>
  <c r="AI490" i="2"/>
  <c r="AI491" i="2"/>
  <c r="AI492" i="2"/>
  <c r="AI493" i="2"/>
  <c r="AI494" i="2"/>
  <c r="AI495" i="2"/>
  <c r="AI496" i="2"/>
  <c r="AI497" i="2"/>
  <c r="AI498" i="2"/>
  <c r="AI499" i="2"/>
  <c r="AI500" i="2"/>
  <c r="AI501" i="2"/>
  <c r="AI502" i="2"/>
  <c r="AI503" i="2"/>
  <c r="AI504" i="2"/>
  <c r="AI505" i="2"/>
  <c r="AI506" i="2"/>
  <c r="AI507" i="2"/>
  <c r="AI508" i="2"/>
  <c r="AI509" i="2"/>
  <c r="AI510" i="2"/>
  <c r="AI511" i="2"/>
  <c r="AI512" i="2"/>
  <c r="AI513" i="2"/>
  <c r="AI514" i="2"/>
  <c r="AI515" i="2"/>
  <c r="AI516" i="2"/>
  <c r="AI517" i="2"/>
  <c r="AI518" i="2"/>
  <c r="AI519" i="2"/>
  <c r="AI520" i="2"/>
  <c r="AI521" i="2"/>
  <c r="AI522" i="2"/>
  <c r="AI523" i="2"/>
  <c r="AI524" i="2"/>
  <c r="AI525" i="2"/>
  <c r="AI526" i="2"/>
  <c r="AI527" i="2"/>
  <c r="AI528" i="2"/>
  <c r="AI529" i="2"/>
  <c r="AI530" i="2"/>
  <c r="AI531" i="2"/>
  <c r="AI532" i="2"/>
  <c r="AI533" i="2"/>
  <c r="AI534" i="2"/>
  <c r="AI535" i="2"/>
  <c r="AI536" i="2"/>
  <c r="AI537" i="2"/>
  <c r="AI538" i="2"/>
  <c r="AI539" i="2"/>
  <c r="AI540" i="2"/>
  <c r="AI541" i="2"/>
  <c r="AI542" i="2"/>
  <c r="AI543" i="2"/>
  <c r="AI544" i="2"/>
  <c r="AI545" i="2"/>
  <c r="AI546" i="2"/>
  <c r="AI547" i="2"/>
  <c r="AI548" i="2"/>
  <c r="AI549" i="2"/>
  <c r="AI550" i="2"/>
  <c r="AI551" i="2"/>
  <c r="AI552" i="2"/>
  <c r="AI553" i="2"/>
  <c r="AI554" i="2"/>
  <c r="AI555" i="2"/>
  <c r="AI556" i="2"/>
  <c r="AI557" i="2"/>
  <c r="AI558" i="2"/>
  <c r="AI559" i="2"/>
  <c r="AI560" i="2"/>
  <c r="AI561" i="2"/>
  <c r="AI562" i="2"/>
  <c r="AI563" i="2"/>
  <c r="AI564" i="2"/>
  <c r="AI565" i="2"/>
  <c r="AI566" i="2"/>
  <c r="AI567" i="2"/>
  <c r="AI568" i="2"/>
  <c r="AI569" i="2"/>
  <c r="AI570" i="2"/>
  <c r="AI571" i="2"/>
  <c r="AI572" i="2"/>
  <c r="AI573" i="2"/>
  <c r="AI574" i="2"/>
  <c r="AI575" i="2"/>
  <c r="AI576" i="2"/>
  <c r="AI577" i="2"/>
  <c r="AI578" i="2"/>
  <c r="AI579" i="2"/>
  <c r="AI580" i="2"/>
  <c r="AI581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284" i="2"/>
  <c r="AH285" i="2"/>
  <c r="AH286" i="2"/>
  <c r="AH287" i="2"/>
  <c r="AH288" i="2"/>
  <c r="AH289" i="2"/>
  <c r="AH290" i="2"/>
  <c r="AH291" i="2"/>
  <c r="AH292" i="2"/>
  <c r="AH293" i="2"/>
  <c r="AH294" i="2"/>
  <c r="AH295" i="2"/>
  <c r="AH296" i="2"/>
  <c r="AH297" i="2"/>
  <c r="AH298" i="2"/>
  <c r="AH299" i="2"/>
  <c r="AH300" i="2"/>
  <c r="AH301" i="2"/>
  <c r="AH302" i="2"/>
  <c r="AH303" i="2"/>
  <c r="AH304" i="2"/>
  <c r="AH305" i="2"/>
  <c r="AH306" i="2"/>
  <c r="AH307" i="2"/>
  <c r="AH308" i="2"/>
  <c r="AH309" i="2"/>
  <c r="AH310" i="2"/>
  <c r="AH311" i="2"/>
  <c r="AH312" i="2"/>
  <c r="AH313" i="2"/>
  <c r="AH314" i="2"/>
  <c r="AH315" i="2"/>
  <c r="AH316" i="2"/>
  <c r="AH317" i="2"/>
  <c r="AH318" i="2"/>
  <c r="AH319" i="2"/>
  <c r="AH320" i="2"/>
  <c r="AH321" i="2"/>
  <c r="AH322" i="2"/>
  <c r="AH323" i="2"/>
  <c r="AH324" i="2"/>
  <c r="AH325" i="2"/>
  <c r="AH326" i="2"/>
  <c r="AH327" i="2"/>
  <c r="AH328" i="2"/>
  <c r="AH329" i="2"/>
  <c r="AH330" i="2"/>
  <c r="AH331" i="2"/>
  <c r="AH332" i="2"/>
  <c r="AH333" i="2"/>
  <c r="AH334" i="2"/>
  <c r="AH335" i="2"/>
  <c r="AH336" i="2"/>
  <c r="AH337" i="2"/>
  <c r="AH338" i="2"/>
  <c r="AH339" i="2"/>
  <c r="AH340" i="2"/>
  <c r="AH341" i="2"/>
  <c r="AH342" i="2"/>
  <c r="AH343" i="2"/>
  <c r="AH344" i="2"/>
  <c r="AH345" i="2"/>
  <c r="AH346" i="2"/>
  <c r="AH347" i="2"/>
  <c r="AH348" i="2"/>
  <c r="AH349" i="2"/>
  <c r="AH350" i="2"/>
  <c r="AH351" i="2"/>
  <c r="AH352" i="2"/>
  <c r="AH353" i="2"/>
  <c r="AH354" i="2"/>
  <c r="AH355" i="2"/>
  <c r="AH356" i="2"/>
  <c r="AH357" i="2"/>
  <c r="AH358" i="2"/>
  <c r="AH359" i="2"/>
  <c r="AH360" i="2"/>
  <c r="AH361" i="2"/>
  <c r="AH362" i="2"/>
  <c r="AH363" i="2"/>
  <c r="AH364" i="2"/>
  <c r="AH365" i="2"/>
  <c r="AH366" i="2"/>
  <c r="AH367" i="2"/>
  <c r="AH368" i="2"/>
  <c r="AH369" i="2"/>
  <c r="AH370" i="2"/>
  <c r="AH371" i="2"/>
  <c r="AH372" i="2"/>
  <c r="AH373" i="2"/>
  <c r="AH374" i="2"/>
  <c r="AH375" i="2"/>
  <c r="AH376" i="2"/>
  <c r="AH377" i="2"/>
  <c r="AH378" i="2"/>
  <c r="AH379" i="2"/>
  <c r="AH380" i="2"/>
  <c r="AH381" i="2"/>
  <c r="AH382" i="2"/>
  <c r="AH383" i="2"/>
  <c r="AH384" i="2"/>
  <c r="AH385" i="2"/>
  <c r="AH386" i="2"/>
  <c r="AH387" i="2"/>
  <c r="AH388" i="2"/>
  <c r="AH389" i="2"/>
  <c r="AH390" i="2"/>
  <c r="AH391" i="2"/>
  <c r="AH392" i="2"/>
  <c r="AH393" i="2"/>
  <c r="AH394" i="2"/>
  <c r="AH395" i="2"/>
  <c r="AH396" i="2"/>
  <c r="AH397" i="2"/>
  <c r="AH398" i="2"/>
  <c r="AH399" i="2"/>
  <c r="AH400" i="2"/>
  <c r="AH401" i="2"/>
  <c r="AH402" i="2"/>
  <c r="AH403" i="2"/>
  <c r="AH404" i="2"/>
  <c r="AH405" i="2"/>
  <c r="AH406" i="2"/>
  <c r="AH407" i="2"/>
  <c r="AH408" i="2"/>
  <c r="AH409" i="2"/>
  <c r="AH410" i="2"/>
  <c r="AH411" i="2"/>
  <c r="AH412" i="2"/>
  <c r="AH413" i="2"/>
  <c r="AH414" i="2"/>
  <c r="AH415" i="2"/>
  <c r="AH416" i="2"/>
  <c r="AH417" i="2"/>
  <c r="AH418" i="2"/>
  <c r="AH419" i="2"/>
  <c r="AH420" i="2"/>
  <c r="AH421" i="2"/>
  <c r="AH422" i="2"/>
  <c r="AH423" i="2"/>
  <c r="AH424" i="2"/>
  <c r="AH425" i="2"/>
  <c r="AH426" i="2"/>
  <c r="AH427" i="2"/>
  <c r="AH428" i="2"/>
  <c r="AH429" i="2"/>
  <c r="AH430" i="2"/>
  <c r="AH431" i="2"/>
  <c r="AH432" i="2"/>
  <c r="AH433" i="2"/>
  <c r="AH434" i="2"/>
  <c r="AH435" i="2"/>
  <c r="AH436" i="2"/>
  <c r="AH437" i="2"/>
  <c r="AH438" i="2"/>
  <c r="AH439" i="2"/>
  <c r="AH440" i="2"/>
  <c r="AH441" i="2"/>
  <c r="AH442" i="2"/>
  <c r="AH443" i="2"/>
  <c r="AH444" i="2"/>
  <c r="AH445" i="2"/>
  <c r="AH446" i="2"/>
  <c r="AH447" i="2"/>
  <c r="AH448" i="2"/>
  <c r="AH449" i="2"/>
  <c r="AH450" i="2"/>
  <c r="AH451" i="2"/>
  <c r="AH452" i="2"/>
  <c r="AH453" i="2"/>
  <c r="AH454" i="2"/>
  <c r="AH455" i="2"/>
  <c r="AH456" i="2"/>
  <c r="AH457" i="2"/>
  <c r="AH458" i="2"/>
  <c r="AH459" i="2"/>
  <c r="AH460" i="2"/>
  <c r="AH461" i="2"/>
  <c r="AH462" i="2"/>
  <c r="AH463" i="2"/>
  <c r="AH464" i="2"/>
  <c r="AH465" i="2"/>
  <c r="AH466" i="2"/>
  <c r="AH467" i="2"/>
  <c r="AH468" i="2"/>
  <c r="AH469" i="2"/>
  <c r="AH470" i="2"/>
  <c r="AH471" i="2"/>
  <c r="AH472" i="2"/>
  <c r="AH473" i="2"/>
  <c r="AH474" i="2"/>
  <c r="AH475" i="2"/>
  <c r="AH476" i="2"/>
  <c r="AH477" i="2"/>
  <c r="AH478" i="2"/>
  <c r="AH479" i="2"/>
  <c r="AH480" i="2"/>
  <c r="AH481" i="2"/>
  <c r="AH482" i="2"/>
  <c r="AH483" i="2"/>
  <c r="AH484" i="2"/>
  <c r="AH485" i="2"/>
  <c r="AH486" i="2"/>
  <c r="AH487" i="2"/>
  <c r="AH488" i="2"/>
  <c r="AH489" i="2"/>
  <c r="AH490" i="2"/>
  <c r="AH491" i="2"/>
  <c r="AH492" i="2"/>
  <c r="AH493" i="2"/>
  <c r="AH494" i="2"/>
  <c r="AH495" i="2"/>
  <c r="AH496" i="2"/>
  <c r="AH497" i="2"/>
  <c r="AH498" i="2"/>
  <c r="AH499" i="2"/>
  <c r="AH500" i="2"/>
  <c r="AH501" i="2"/>
  <c r="AH502" i="2"/>
  <c r="AH503" i="2"/>
  <c r="AH504" i="2"/>
  <c r="AH505" i="2"/>
  <c r="AH506" i="2"/>
  <c r="AH507" i="2"/>
  <c r="AH508" i="2"/>
  <c r="AH509" i="2"/>
  <c r="AH510" i="2"/>
  <c r="AH511" i="2"/>
  <c r="AH512" i="2"/>
  <c r="AH513" i="2"/>
  <c r="AH514" i="2"/>
  <c r="AH515" i="2"/>
  <c r="AH516" i="2"/>
  <c r="AH517" i="2"/>
  <c r="AH518" i="2"/>
  <c r="AH519" i="2"/>
  <c r="AH520" i="2"/>
  <c r="AH521" i="2"/>
  <c r="AH522" i="2"/>
  <c r="AH523" i="2"/>
  <c r="AH524" i="2"/>
  <c r="AH525" i="2"/>
  <c r="AH526" i="2"/>
  <c r="AH527" i="2"/>
  <c r="AH528" i="2"/>
  <c r="AH529" i="2"/>
  <c r="AH530" i="2"/>
  <c r="AH531" i="2"/>
  <c r="AH532" i="2"/>
  <c r="AH533" i="2"/>
  <c r="AH534" i="2"/>
  <c r="AH535" i="2"/>
  <c r="AH536" i="2"/>
  <c r="AH537" i="2"/>
  <c r="AH538" i="2"/>
  <c r="AH539" i="2"/>
  <c r="AH540" i="2"/>
  <c r="AH541" i="2"/>
  <c r="AH542" i="2"/>
  <c r="AH543" i="2"/>
  <c r="AH544" i="2"/>
  <c r="AH545" i="2"/>
  <c r="AH546" i="2"/>
  <c r="AH547" i="2"/>
  <c r="AH548" i="2"/>
  <c r="AH549" i="2"/>
  <c r="AH550" i="2"/>
  <c r="AH551" i="2"/>
  <c r="AH552" i="2"/>
  <c r="AH553" i="2"/>
  <c r="AH554" i="2"/>
  <c r="AH555" i="2"/>
  <c r="AH556" i="2"/>
  <c r="AH557" i="2"/>
  <c r="AH558" i="2"/>
  <c r="AH559" i="2"/>
  <c r="AH560" i="2"/>
  <c r="AH561" i="2"/>
  <c r="AH562" i="2"/>
  <c r="AH563" i="2"/>
  <c r="AH564" i="2"/>
  <c r="AH565" i="2"/>
  <c r="AH566" i="2"/>
  <c r="AH567" i="2"/>
  <c r="AH568" i="2"/>
  <c r="AH569" i="2"/>
  <c r="AH570" i="2"/>
  <c r="AH571" i="2"/>
  <c r="AH572" i="2"/>
  <c r="AH573" i="2"/>
  <c r="AH574" i="2"/>
  <c r="AH575" i="2"/>
  <c r="AH576" i="2"/>
  <c r="AH577" i="2"/>
  <c r="AH578" i="2"/>
  <c r="AH579" i="2"/>
  <c r="AH580" i="2"/>
  <c r="AH581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2" i="2"/>
  <c r="AG233" i="2"/>
  <c r="AG234" i="2"/>
  <c r="AG235" i="2"/>
  <c r="AG236" i="2"/>
  <c r="AG237" i="2"/>
  <c r="AG238" i="2"/>
  <c r="AG239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G284" i="2"/>
  <c r="AG285" i="2"/>
  <c r="AG286" i="2"/>
  <c r="AG287" i="2"/>
  <c r="AG288" i="2"/>
  <c r="AG289" i="2"/>
  <c r="AG290" i="2"/>
  <c r="AG291" i="2"/>
  <c r="AG292" i="2"/>
  <c r="AG293" i="2"/>
  <c r="AG294" i="2"/>
  <c r="AG295" i="2"/>
  <c r="AG296" i="2"/>
  <c r="AG297" i="2"/>
  <c r="AG298" i="2"/>
  <c r="AG299" i="2"/>
  <c r="AG300" i="2"/>
  <c r="AG301" i="2"/>
  <c r="AG302" i="2"/>
  <c r="AG303" i="2"/>
  <c r="AG304" i="2"/>
  <c r="AG305" i="2"/>
  <c r="AG306" i="2"/>
  <c r="AG307" i="2"/>
  <c r="AG308" i="2"/>
  <c r="AG309" i="2"/>
  <c r="AG310" i="2"/>
  <c r="AG311" i="2"/>
  <c r="AG312" i="2"/>
  <c r="AG313" i="2"/>
  <c r="AG314" i="2"/>
  <c r="AG315" i="2"/>
  <c r="AG316" i="2"/>
  <c r="AG317" i="2"/>
  <c r="AG318" i="2"/>
  <c r="AG319" i="2"/>
  <c r="AG320" i="2"/>
  <c r="AG321" i="2"/>
  <c r="AG322" i="2"/>
  <c r="AG323" i="2"/>
  <c r="AG324" i="2"/>
  <c r="AG325" i="2"/>
  <c r="AG326" i="2"/>
  <c r="AG327" i="2"/>
  <c r="AG328" i="2"/>
  <c r="AG329" i="2"/>
  <c r="AG330" i="2"/>
  <c r="AG331" i="2"/>
  <c r="AG332" i="2"/>
  <c r="AG333" i="2"/>
  <c r="AG334" i="2"/>
  <c r="AG335" i="2"/>
  <c r="AG336" i="2"/>
  <c r="AG337" i="2"/>
  <c r="AG338" i="2"/>
  <c r="AG339" i="2"/>
  <c r="AG340" i="2"/>
  <c r="AG341" i="2"/>
  <c r="AG342" i="2"/>
  <c r="AG343" i="2"/>
  <c r="AG344" i="2"/>
  <c r="AG345" i="2"/>
  <c r="AG346" i="2"/>
  <c r="AG347" i="2"/>
  <c r="AG348" i="2"/>
  <c r="AG349" i="2"/>
  <c r="AG350" i="2"/>
  <c r="AG351" i="2"/>
  <c r="AG352" i="2"/>
  <c r="AG353" i="2"/>
  <c r="AG354" i="2"/>
  <c r="AG355" i="2"/>
  <c r="AG356" i="2"/>
  <c r="AG357" i="2"/>
  <c r="AG358" i="2"/>
  <c r="AG359" i="2"/>
  <c r="AG360" i="2"/>
  <c r="AG361" i="2"/>
  <c r="AG362" i="2"/>
  <c r="AG363" i="2"/>
  <c r="AG364" i="2"/>
  <c r="AG365" i="2"/>
  <c r="AG366" i="2"/>
  <c r="AG367" i="2"/>
  <c r="AG368" i="2"/>
  <c r="AG369" i="2"/>
  <c r="AG370" i="2"/>
  <c r="AG371" i="2"/>
  <c r="AG372" i="2"/>
  <c r="AG373" i="2"/>
  <c r="AG374" i="2"/>
  <c r="AG375" i="2"/>
  <c r="AG376" i="2"/>
  <c r="AG377" i="2"/>
  <c r="AG378" i="2"/>
  <c r="AG379" i="2"/>
  <c r="AG380" i="2"/>
  <c r="AG381" i="2"/>
  <c r="AG382" i="2"/>
  <c r="AG383" i="2"/>
  <c r="AG384" i="2"/>
  <c r="AG385" i="2"/>
  <c r="AG386" i="2"/>
  <c r="AG387" i="2"/>
  <c r="AG388" i="2"/>
  <c r="AG389" i="2"/>
  <c r="AG390" i="2"/>
  <c r="AG391" i="2"/>
  <c r="AG392" i="2"/>
  <c r="AG393" i="2"/>
  <c r="AG394" i="2"/>
  <c r="AG395" i="2"/>
  <c r="AG396" i="2"/>
  <c r="AG397" i="2"/>
  <c r="AG398" i="2"/>
  <c r="AG399" i="2"/>
  <c r="AG400" i="2"/>
  <c r="AG401" i="2"/>
  <c r="AG402" i="2"/>
  <c r="AG403" i="2"/>
  <c r="AG404" i="2"/>
  <c r="AG405" i="2"/>
  <c r="AG406" i="2"/>
  <c r="AG407" i="2"/>
  <c r="AG408" i="2"/>
  <c r="AG409" i="2"/>
  <c r="AG410" i="2"/>
  <c r="AG411" i="2"/>
  <c r="AG412" i="2"/>
  <c r="AG413" i="2"/>
  <c r="AG414" i="2"/>
  <c r="AG415" i="2"/>
  <c r="AG416" i="2"/>
  <c r="AG417" i="2"/>
  <c r="AG418" i="2"/>
  <c r="AG419" i="2"/>
  <c r="AG420" i="2"/>
  <c r="AG421" i="2"/>
  <c r="AG422" i="2"/>
  <c r="AG423" i="2"/>
  <c r="AG424" i="2"/>
  <c r="AG425" i="2"/>
  <c r="AG426" i="2"/>
  <c r="AG427" i="2"/>
  <c r="AG428" i="2"/>
  <c r="AG429" i="2"/>
  <c r="AG430" i="2"/>
  <c r="AG431" i="2"/>
  <c r="AG432" i="2"/>
  <c r="AG433" i="2"/>
  <c r="AG434" i="2"/>
  <c r="AG435" i="2"/>
  <c r="AG436" i="2"/>
  <c r="AG437" i="2"/>
  <c r="AG438" i="2"/>
  <c r="AG439" i="2"/>
  <c r="AG440" i="2"/>
  <c r="AG441" i="2"/>
  <c r="AG442" i="2"/>
  <c r="AG443" i="2"/>
  <c r="AG444" i="2"/>
  <c r="AG445" i="2"/>
  <c r="AG446" i="2"/>
  <c r="AG447" i="2"/>
  <c r="AG448" i="2"/>
  <c r="AG449" i="2"/>
  <c r="AG450" i="2"/>
  <c r="AG451" i="2"/>
  <c r="AG452" i="2"/>
  <c r="AG453" i="2"/>
  <c r="AG454" i="2"/>
  <c r="AG455" i="2"/>
  <c r="AG456" i="2"/>
  <c r="AG457" i="2"/>
  <c r="AG458" i="2"/>
  <c r="AG459" i="2"/>
  <c r="AG460" i="2"/>
  <c r="AG461" i="2"/>
  <c r="AG462" i="2"/>
  <c r="AG463" i="2"/>
  <c r="AG464" i="2"/>
  <c r="AG465" i="2"/>
  <c r="AG466" i="2"/>
  <c r="AG467" i="2"/>
  <c r="AG468" i="2"/>
  <c r="AG469" i="2"/>
  <c r="AG470" i="2"/>
  <c r="AG471" i="2"/>
  <c r="AG472" i="2"/>
  <c r="AG473" i="2"/>
  <c r="AG474" i="2"/>
  <c r="AG475" i="2"/>
  <c r="AG476" i="2"/>
  <c r="AG477" i="2"/>
  <c r="AG478" i="2"/>
  <c r="AG479" i="2"/>
  <c r="AG480" i="2"/>
  <c r="AG481" i="2"/>
  <c r="AG482" i="2"/>
  <c r="AG483" i="2"/>
  <c r="AG484" i="2"/>
  <c r="AG485" i="2"/>
  <c r="AG486" i="2"/>
  <c r="AG487" i="2"/>
  <c r="AG488" i="2"/>
  <c r="AG489" i="2"/>
  <c r="AG490" i="2"/>
  <c r="AG491" i="2"/>
  <c r="AG492" i="2"/>
  <c r="AG493" i="2"/>
  <c r="AG494" i="2"/>
  <c r="AG495" i="2"/>
  <c r="AG496" i="2"/>
  <c r="AG497" i="2"/>
  <c r="AG498" i="2"/>
  <c r="AG499" i="2"/>
  <c r="AG500" i="2"/>
  <c r="AG501" i="2"/>
  <c r="AG502" i="2"/>
  <c r="AG503" i="2"/>
  <c r="AG504" i="2"/>
  <c r="AG505" i="2"/>
  <c r="AG506" i="2"/>
  <c r="AG507" i="2"/>
  <c r="AG508" i="2"/>
  <c r="AG509" i="2"/>
  <c r="AG510" i="2"/>
  <c r="AG511" i="2"/>
  <c r="AG512" i="2"/>
  <c r="AG513" i="2"/>
  <c r="AG514" i="2"/>
  <c r="AG515" i="2"/>
  <c r="AG516" i="2"/>
  <c r="AG517" i="2"/>
  <c r="AG518" i="2"/>
  <c r="AG519" i="2"/>
  <c r="AG520" i="2"/>
  <c r="AG521" i="2"/>
  <c r="AG522" i="2"/>
  <c r="AG523" i="2"/>
  <c r="AG524" i="2"/>
  <c r="AG525" i="2"/>
  <c r="AG526" i="2"/>
  <c r="AG527" i="2"/>
  <c r="AG528" i="2"/>
  <c r="AG529" i="2"/>
  <c r="AG530" i="2"/>
  <c r="AG531" i="2"/>
  <c r="AG532" i="2"/>
  <c r="AG533" i="2"/>
  <c r="AG534" i="2"/>
  <c r="AG535" i="2"/>
  <c r="AG536" i="2"/>
  <c r="AG537" i="2"/>
  <c r="AG538" i="2"/>
  <c r="AG539" i="2"/>
  <c r="AG540" i="2"/>
  <c r="AG541" i="2"/>
  <c r="AG542" i="2"/>
  <c r="AG543" i="2"/>
  <c r="AG544" i="2"/>
  <c r="AG545" i="2"/>
  <c r="AG546" i="2"/>
  <c r="AG547" i="2"/>
  <c r="AG548" i="2"/>
  <c r="AG549" i="2"/>
  <c r="AG550" i="2"/>
  <c r="AG551" i="2"/>
  <c r="AG552" i="2"/>
  <c r="AG553" i="2"/>
  <c r="AG554" i="2"/>
  <c r="AG555" i="2"/>
  <c r="AG556" i="2"/>
  <c r="AG557" i="2"/>
  <c r="AG558" i="2"/>
  <c r="AG559" i="2"/>
  <c r="AG560" i="2"/>
  <c r="AG561" i="2"/>
  <c r="AG562" i="2"/>
  <c r="AG563" i="2"/>
  <c r="AG564" i="2"/>
  <c r="AG565" i="2"/>
  <c r="AG566" i="2"/>
  <c r="AG567" i="2"/>
  <c r="AG568" i="2"/>
  <c r="AG569" i="2"/>
  <c r="AG570" i="2"/>
  <c r="AG571" i="2"/>
  <c r="AG572" i="2"/>
  <c r="AG573" i="2"/>
  <c r="AG574" i="2"/>
  <c r="AG575" i="2"/>
  <c r="AG576" i="2"/>
  <c r="AG577" i="2"/>
  <c r="AG578" i="2"/>
  <c r="AG579" i="2"/>
  <c r="AG580" i="2"/>
  <c r="AG581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260" i="2"/>
  <c r="AF261" i="2"/>
  <c r="AF262" i="2"/>
  <c r="AF263" i="2"/>
  <c r="AF264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F280" i="2"/>
  <c r="AF281" i="2"/>
  <c r="AF282" i="2"/>
  <c r="AF283" i="2"/>
  <c r="AF284" i="2"/>
  <c r="AF285" i="2"/>
  <c r="AF286" i="2"/>
  <c r="AF287" i="2"/>
  <c r="AF288" i="2"/>
  <c r="AF289" i="2"/>
  <c r="AF290" i="2"/>
  <c r="AF291" i="2"/>
  <c r="AF292" i="2"/>
  <c r="AF293" i="2"/>
  <c r="AF294" i="2"/>
  <c r="AF295" i="2"/>
  <c r="AF296" i="2"/>
  <c r="AF297" i="2"/>
  <c r="AF298" i="2"/>
  <c r="AF299" i="2"/>
  <c r="AF300" i="2"/>
  <c r="AF301" i="2"/>
  <c r="AF302" i="2"/>
  <c r="AF303" i="2"/>
  <c r="AF304" i="2"/>
  <c r="AF305" i="2"/>
  <c r="AF306" i="2"/>
  <c r="AF307" i="2"/>
  <c r="AF308" i="2"/>
  <c r="AF309" i="2"/>
  <c r="AF310" i="2"/>
  <c r="AF311" i="2"/>
  <c r="AF312" i="2"/>
  <c r="AF313" i="2"/>
  <c r="AF314" i="2"/>
  <c r="AF315" i="2"/>
  <c r="AF316" i="2"/>
  <c r="AF317" i="2"/>
  <c r="AF318" i="2"/>
  <c r="AF319" i="2"/>
  <c r="AF320" i="2"/>
  <c r="AF321" i="2"/>
  <c r="AF322" i="2"/>
  <c r="AF323" i="2"/>
  <c r="AF324" i="2"/>
  <c r="AF325" i="2"/>
  <c r="AF326" i="2"/>
  <c r="AF327" i="2"/>
  <c r="AF328" i="2"/>
  <c r="AF329" i="2"/>
  <c r="AF330" i="2"/>
  <c r="AF331" i="2"/>
  <c r="AF332" i="2"/>
  <c r="AF333" i="2"/>
  <c r="AF334" i="2"/>
  <c r="AF335" i="2"/>
  <c r="AF336" i="2"/>
  <c r="AF337" i="2"/>
  <c r="AF338" i="2"/>
  <c r="AF339" i="2"/>
  <c r="AF340" i="2"/>
  <c r="AF341" i="2"/>
  <c r="AF342" i="2"/>
  <c r="AF343" i="2"/>
  <c r="AF344" i="2"/>
  <c r="AF345" i="2"/>
  <c r="AF346" i="2"/>
  <c r="AF347" i="2"/>
  <c r="AF348" i="2"/>
  <c r="AF349" i="2"/>
  <c r="AF350" i="2"/>
  <c r="AF351" i="2"/>
  <c r="AF352" i="2"/>
  <c r="AF353" i="2"/>
  <c r="AF354" i="2"/>
  <c r="AF355" i="2"/>
  <c r="AF356" i="2"/>
  <c r="AF357" i="2"/>
  <c r="AF358" i="2"/>
  <c r="AF359" i="2"/>
  <c r="AF360" i="2"/>
  <c r="AF361" i="2"/>
  <c r="AF362" i="2"/>
  <c r="AF363" i="2"/>
  <c r="AF364" i="2"/>
  <c r="AF365" i="2"/>
  <c r="AF366" i="2"/>
  <c r="AF367" i="2"/>
  <c r="AF368" i="2"/>
  <c r="AF369" i="2"/>
  <c r="AF370" i="2"/>
  <c r="AF371" i="2"/>
  <c r="AF372" i="2"/>
  <c r="AF373" i="2"/>
  <c r="AF374" i="2"/>
  <c r="AF375" i="2"/>
  <c r="AF376" i="2"/>
  <c r="AF377" i="2"/>
  <c r="AF378" i="2"/>
  <c r="AF379" i="2"/>
  <c r="AF380" i="2"/>
  <c r="AF381" i="2"/>
  <c r="AF382" i="2"/>
  <c r="AF383" i="2"/>
  <c r="AF384" i="2"/>
  <c r="AF385" i="2"/>
  <c r="AF386" i="2"/>
  <c r="AF387" i="2"/>
  <c r="AF388" i="2"/>
  <c r="AF389" i="2"/>
  <c r="AF390" i="2"/>
  <c r="AF391" i="2"/>
  <c r="AF392" i="2"/>
  <c r="AF393" i="2"/>
  <c r="AF394" i="2"/>
  <c r="AF395" i="2"/>
  <c r="AF396" i="2"/>
  <c r="AF397" i="2"/>
  <c r="AF398" i="2"/>
  <c r="AF399" i="2"/>
  <c r="AF400" i="2"/>
  <c r="AF401" i="2"/>
  <c r="AF402" i="2"/>
  <c r="AF403" i="2"/>
  <c r="AF404" i="2"/>
  <c r="AF405" i="2"/>
  <c r="AF406" i="2"/>
  <c r="AF407" i="2"/>
  <c r="AF408" i="2"/>
  <c r="AF409" i="2"/>
  <c r="AF410" i="2"/>
  <c r="AF411" i="2"/>
  <c r="AF412" i="2"/>
  <c r="AF413" i="2"/>
  <c r="AF414" i="2"/>
  <c r="AF415" i="2"/>
  <c r="AF416" i="2"/>
  <c r="AF417" i="2"/>
  <c r="AF418" i="2"/>
  <c r="AF419" i="2"/>
  <c r="AF420" i="2"/>
  <c r="AF421" i="2"/>
  <c r="AF422" i="2"/>
  <c r="AF423" i="2"/>
  <c r="AF424" i="2"/>
  <c r="AF425" i="2"/>
  <c r="AF426" i="2"/>
  <c r="AF427" i="2"/>
  <c r="AF428" i="2"/>
  <c r="AF429" i="2"/>
  <c r="AF430" i="2"/>
  <c r="AF431" i="2"/>
  <c r="AF432" i="2"/>
  <c r="AF433" i="2"/>
  <c r="AF434" i="2"/>
  <c r="AF435" i="2"/>
  <c r="AF436" i="2"/>
  <c r="AF437" i="2"/>
  <c r="AF438" i="2"/>
  <c r="AF439" i="2"/>
  <c r="AF440" i="2"/>
  <c r="AF441" i="2"/>
  <c r="AF442" i="2"/>
  <c r="AF443" i="2"/>
  <c r="AF444" i="2"/>
  <c r="AF445" i="2"/>
  <c r="AF446" i="2"/>
  <c r="AF447" i="2"/>
  <c r="AF448" i="2"/>
  <c r="AF449" i="2"/>
  <c r="AF450" i="2"/>
  <c r="AF451" i="2"/>
  <c r="AF452" i="2"/>
  <c r="AF453" i="2"/>
  <c r="AF454" i="2"/>
  <c r="AF455" i="2"/>
  <c r="AF456" i="2"/>
  <c r="AF457" i="2"/>
  <c r="AF458" i="2"/>
  <c r="AF459" i="2"/>
  <c r="AF460" i="2"/>
  <c r="AF461" i="2"/>
  <c r="AF462" i="2"/>
  <c r="AF463" i="2"/>
  <c r="AF464" i="2"/>
  <c r="AF465" i="2"/>
  <c r="AF466" i="2"/>
  <c r="AF467" i="2"/>
  <c r="AF468" i="2"/>
  <c r="AF469" i="2"/>
  <c r="AF470" i="2"/>
  <c r="AF471" i="2"/>
  <c r="AF472" i="2"/>
  <c r="AF473" i="2"/>
  <c r="AF474" i="2"/>
  <c r="AF475" i="2"/>
  <c r="AF476" i="2"/>
  <c r="AF477" i="2"/>
  <c r="AF478" i="2"/>
  <c r="AF479" i="2"/>
  <c r="AF480" i="2"/>
  <c r="AF481" i="2"/>
  <c r="AF482" i="2"/>
  <c r="AF483" i="2"/>
  <c r="AF484" i="2"/>
  <c r="AF485" i="2"/>
  <c r="AF486" i="2"/>
  <c r="AF487" i="2"/>
  <c r="AF488" i="2"/>
  <c r="AF489" i="2"/>
  <c r="AF490" i="2"/>
  <c r="AF491" i="2"/>
  <c r="AF492" i="2"/>
  <c r="AF493" i="2"/>
  <c r="AF494" i="2"/>
  <c r="AF495" i="2"/>
  <c r="AF496" i="2"/>
  <c r="AF497" i="2"/>
  <c r="AF498" i="2"/>
  <c r="AF499" i="2"/>
  <c r="AF500" i="2"/>
  <c r="AF501" i="2"/>
  <c r="AF502" i="2"/>
  <c r="AF503" i="2"/>
  <c r="AF504" i="2"/>
  <c r="AF505" i="2"/>
  <c r="AF506" i="2"/>
  <c r="AF507" i="2"/>
  <c r="AF508" i="2"/>
  <c r="AF509" i="2"/>
  <c r="AF510" i="2"/>
  <c r="AF511" i="2"/>
  <c r="AF512" i="2"/>
  <c r="AF513" i="2"/>
  <c r="AF514" i="2"/>
  <c r="AF515" i="2"/>
  <c r="AF516" i="2"/>
  <c r="AF517" i="2"/>
  <c r="AF518" i="2"/>
  <c r="AF519" i="2"/>
  <c r="AF520" i="2"/>
  <c r="AF521" i="2"/>
  <c r="AF522" i="2"/>
  <c r="AF523" i="2"/>
  <c r="AF524" i="2"/>
  <c r="AF525" i="2"/>
  <c r="AF526" i="2"/>
  <c r="AF527" i="2"/>
  <c r="AF528" i="2"/>
  <c r="AF529" i="2"/>
  <c r="AF530" i="2"/>
  <c r="AF531" i="2"/>
  <c r="AF532" i="2"/>
  <c r="AF533" i="2"/>
  <c r="AF534" i="2"/>
  <c r="AF535" i="2"/>
  <c r="AF536" i="2"/>
  <c r="AF537" i="2"/>
  <c r="AF538" i="2"/>
  <c r="AF539" i="2"/>
  <c r="AF540" i="2"/>
  <c r="AF541" i="2"/>
  <c r="AF542" i="2"/>
  <c r="AF543" i="2"/>
  <c r="AF544" i="2"/>
  <c r="AF545" i="2"/>
  <c r="AF546" i="2"/>
  <c r="AF547" i="2"/>
  <c r="AF548" i="2"/>
  <c r="AF549" i="2"/>
  <c r="AF550" i="2"/>
  <c r="AF551" i="2"/>
  <c r="AF552" i="2"/>
  <c r="AF553" i="2"/>
  <c r="AF554" i="2"/>
  <c r="AF555" i="2"/>
  <c r="AF556" i="2"/>
  <c r="AF557" i="2"/>
  <c r="AF558" i="2"/>
  <c r="AF559" i="2"/>
  <c r="AF560" i="2"/>
  <c r="AF561" i="2"/>
  <c r="AF562" i="2"/>
  <c r="AF563" i="2"/>
  <c r="AF564" i="2"/>
  <c r="AF565" i="2"/>
  <c r="AF566" i="2"/>
  <c r="AF567" i="2"/>
  <c r="AF568" i="2"/>
  <c r="AF569" i="2"/>
  <c r="AF570" i="2"/>
  <c r="AF571" i="2"/>
  <c r="AF572" i="2"/>
  <c r="AF573" i="2"/>
  <c r="AF574" i="2"/>
  <c r="AF575" i="2"/>
  <c r="AF576" i="2"/>
  <c r="AF577" i="2"/>
  <c r="AF578" i="2"/>
  <c r="AF579" i="2"/>
  <c r="AF580" i="2"/>
  <c r="AF581" i="2"/>
  <c r="AE8" i="2"/>
  <c r="AE9" i="2"/>
  <c r="AE10" i="2"/>
  <c r="AE11" i="2"/>
  <c r="AE12" i="2"/>
  <c r="AE13" i="2"/>
  <c r="AQ13" i="2" s="1"/>
  <c r="AE14" i="2"/>
  <c r="AQ14" i="2" s="1"/>
  <c r="AE15" i="2"/>
  <c r="AE16" i="2"/>
  <c r="AE17" i="2"/>
  <c r="AE18" i="2"/>
  <c r="AE19" i="2"/>
  <c r="AE20" i="2"/>
  <c r="AE21" i="2"/>
  <c r="AQ21" i="2" s="1"/>
  <c r="AE22" i="2"/>
  <c r="AQ22" i="2" s="1"/>
  <c r="AE23" i="2"/>
  <c r="AE24" i="2"/>
  <c r="AE25" i="2"/>
  <c r="AE26" i="2"/>
  <c r="AE27" i="2"/>
  <c r="AE28" i="2"/>
  <c r="AE29" i="2"/>
  <c r="AQ29" i="2" s="1"/>
  <c r="AE30" i="2"/>
  <c r="AQ30" i="2" s="1"/>
  <c r="AE31" i="2"/>
  <c r="AE32" i="2"/>
  <c r="AE33" i="2"/>
  <c r="AE34" i="2"/>
  <c r="AE35" i="2"/>
  <c r="AE36" i="2"/>
  <c r="AE37" i="2"/>
  <c r="AQ37" i="2" s="1"/>
  <c r="AE38" i="2"/>
  <c r="AQ38" i="2" s="1"/>
  <c r="AE39" i="2"/>
  <c r="AE40" i="2"/>
  <c r="AE41" i="2"/>
  <c r="AE42" i="2"/>
  <c r="AE43" i="2"/>
  <c r="AE44" i="2"/>
  <c r="AE45" i="2"/>
  <c r="AQ45" i="2" s="1"/>
  <c r="AE46" i="2"/>
  <c r="AQ46" i="2" s="1"/>
  <c r="AE47" i="2"/>
  <c r="AE48" i="2"/>
  <c r="AE49" i="2"/>
  <c r="AE50" i="2"/>
  <c r="AE51" i="2"/>
  <c r="AE52" i="2"/>
  <c r="AE53" i="2"/>
  <c r="AQ53" i="2" s="1"/>
  <c r="AE54" i="2"/>
  <c r="AQ54" i="2" s="1"/>
  <c r="AE55" i="2"/>
  <c r="AE56" i="2"/>
  <c r="AE57" i="2"/>
  <c r="AE58" i="2"/>
  <c r="AE59" i="2"/>
  <c r="AE60" i="2"/>
  <c r="AE61" i="2"/>
  <c r="AQ61" i="2" s="1"/>
  <c r="AE62" i="2"/>
  <c r="AQ62" i="2" s="1"/>
  <c r="AE63" i="2"/>
  <c r="AE64" i="2"/>
  <c r="AE65" i="2"/>
  <c r="AE66" i="2"/>
  <c r="AE67" i="2"/>
  <c r="AE68" i="2"/>
  <c r="AE69" i="2"/>
  <c r="AQ69" i="2" s="1"/>
  <c r="AE70" i="2"/>
  <c r="AQ70" i="2" s="1"/>
  <c r="AE71" i="2"/>
  <c r="AE72" i="2"/>
  <c r="AE73" i="2"/>
  <c r="AE74" i="2"/>
  <c r="AE75" i="2"/>
  <c r="AE76" i="2"/>
  <c r="AE77" i="2"/>
  <c r="AQ77" i="2" s="1"/>
  <c r="AE78" i="2"/>
  <c r="AQ78" i="2" s="1"/>
  <c r="AE79" i="2"/>
  <c r="AE80" i="2"/>
  <c r="AE81" i="2"/>
  <c r="AE82" i="2"/>
  <c r="AE83" i="2"/>
  <c r="AE84" i="2"/>
  <c r="AE85" i="2"/>
  <c r="AQ85" i="2" s="1"/>
  <c r="AE86" i="2"/>
  <c r="AQ86" i="2" s="1"/>
  <c r="AE87" i="2"/>
  <c r="AE88" i="2"/>
  <c r="AE89" i="2"/>
  <c r="AE90" i="2"/>
  <c r="AE91" i="2"/>
  <c r="AE92" i="2"/>
  <c r="AE93" i="2"/>
  <c r="AQ93" i="2" s="1"/>
  <c r="AE94" i="2"/>
  <c r="AQ94" i="2" s="1"/>
  <c r="AE95" i="2"/>
  <c r="AE96" i="2"/>
  <c r="AE97" i="2"/>
  <c r="AE98" i="2"/>
  <c r="AE99" i="2"/>
  <c r="AE100" i="2"/>
  <c r="AE101" i="2"/>
  <c r="AQ101" i="2" s="1"/>
  <c r="AE102" i="2"/>
  <c r="AQ102" i="2" s="1"/>
  <c r="AE103" i="2"/>
  <c r="AE104" i="2"/>
  <c r="AE105" i="2"/>
  <c r="AE106" i="2"/>
  <c r="AE107" i="2"/>
  <c r="AE108" i="2"/>
  <c r="AE109" i="2"/>
  <c r="AQ109" i="2" s="1"/>
  <c r="AE110" i="2"/>
  <c r="AQ110" i="2" s="1"/>
  <c r="AE111" i="2"/>
  <c r="AE112" i="2"/>
  <c r="AE113" i="2"/>
  <c r="AE114" i="2"/>
  <c r="AE115" i="2"/>
  <c r="AE116" i="2"/>
  <c r="AE117" i="2"/>
  <c r="AQ117" i="2" s="1"/>
  <c r="AE118" i="2"/>
  <c r="AQ118" i="2" s="1"/>
  <c r="AE119" i="2"/>
  <c r="AE120" i="2"/>
  <c r="AE121" i="2"/>
  <c r="AE122" i="2"/>
  <c r="AE123" i="2"/>
  <c r="AE124" i="2"/>
  <c r="AE125" i="2"/>
  <c r="AQ125" i="2" s="1"/>
  <c r="AE126" i="2"/>
  <c r="AQ126" i="2" s="1"/>
  <c r="AE127" i="2"/>
  <c r="AE128" i="2"/>
  <c r="AE129" i="2"/>
  <c r="AE130" i="2"/>
  <c r="AE131" i="2"/>
  <c r="AE132" i="2"/>
  <c r="AE133" i="2"/>
  <c r="AQ133" i="2" s="1"/>
  <c r="AE134" i="2"/>
  <c r="AQ134" i="2" s="1"/>
  <c r="AE135" i="2"/>
  <c r="AE136" i="2"/>
  <c r="AE137" i="2"/>
  <c r="AE138" i="2"/>
  <c r="AE139" i="2"/>
  <c r="AE140" i="2"/>
  <c r="AE141" i="2"/>
  <c r="AQ141" i="2" s="1"/>
  <c r="AE142" i="2"/>
  <c r="AQ142" i="2" s="1"/>
  <c r="AE143" i="2"/>
  <c r="AE144" i="2"/>
  <c r="AE145" i="2"/>
  <c r="AE146" i="2"/>
  <c r="AE147" i="2"/>
  <c r="AE148" i="2"/>
  <c r="AE149" i="2"/>
  <c r="AQ149" i="2" s="1"/>
  <c r="AE150" i="2"/>
  <c r="AQ150" i="2" s="1"/>
  <c r="AE151" i="2"/>
  <c r="AE152" i="2"/>
  <c r="AE153" i="2"/>
  <c r="AE154" i="2"/>
  <c r="AE155" i="2"/>
  <c r="AE156" i="2"/>
  <c r="AE157" i="2"/>
  <c r="AQ157" i="2" s="1"/>
  <c r="AE158" i="2"/>
  <c r="AQ158" i="2" s="1"/>
  <c r="AE159" i="2"/>
  <c r="AE160" i="2"/>
  <c r="AE161" i="2"/>
  <c r="AE162" i="2"/>
  <c r="AE163" i="2"/>
  <c r="AE164" i="2"/>
  <c r="AE165" i="2"/>
  <c r="AQ165" i="2" s="1"/>
  <c r="AE166" i="2"/>
  <c r="AQ166" i="2" s="1"/>
  <c r="AE167" i="2"/>
  <c r="AE168" i="2"/>
  <c r="AE169" i="2"/>
  <c r="AE170" i="2"/>
  <c r="AE171" i="2"/>
  <c r="AE172" i="2"/>
  <c r="AE173" i="2"/>
  <c r="AQ173" i="2" s="1"/>
  <c r="AE174" i="2"/>
  <c r="AQ174" i="2" s="1"/>
  <c r="AE175" i="2"/>
  <c r="AE176" i="2"/>
  <c r="AE177" i="2"/>
  <c r="AE178" i="2"/>
  <c r="AE179" i="2"/>
  <c r="AE180" i="2"/>
  <c r="AE181" i="2"/>
  <c r="AQ181" i="2" s="1"/>
  <c r="AE182" i="2"/>
  <c r="AQ182" i="2" s="1"/>
  <c r="AE183" i="2"/>
  <c r="AE184" i="2"/>
  <c r="AE185" i="2"/>
  <c r="AE186" i="2"/>
  <c r="AE187" i="2"/>
  <c r="AE188" i="2"/>
  <c r="AE189" i="2"/>
  <c r="AQ189" i="2" s="1"/>
  <c r="AE190" i="2"/>
  <c r="AQ190" i="2" s="1"/>
  <c r="AE191" i="2"/>
  <c r="AE192" i="2"/>
  <c r="AE193" i="2"/>
  <c r="AE194" i="2"/>
  <c r="AE195" i="2"/>
  <c r="AE196" i="2"/>
  <c r="AE197" i="2"/>
  <c r="AQ197" i="2" s="1"/>
  <c r="AE198" i="2"/>
  <c r="AQ198" i="2" s="1"/>
  <c r="AE199" i="2"/>
  <c r="AE200" i="2"/>
  <c r="AE201" i="2"/>
  <c r="AE202" i="2"/>
  <c r="AE203" i="2"/>
  <c r="AE204" i="2"/>
  <c r="AE205" i="2"/>
  <c r="AQ205" i="2" s="1"/>
  <c r="AE206" i="2"/>
  <c r="AQ206" i="2" s="1"/>
  <c r="AE207" i="2"/>
  <c r="AE208" i="2"/>
  <c r="AE209" i="2"/>
  <c r="AE210" i="2"/>
  <c r="AE211" i="2"/>
  <c r="AE212" i="2"/>
  <c r="AE213" i="2"/>
  <c r="AQ213" i="2" s="1"/>
  <c r="AE214" i="2"/>
  <c r="AQ214" i="2" s="1"/>
  <c r="AE215" i="2"/>
  <c r="AE216" i="2"/>
  <c r="AE217" i="2"/>
  <c r="AE218" i="2"/>
  <c r="AE219" i="2"/>
  <c r="AE220" i="2"/>
  <c r="AE221" i="2"/>
  <c r="AQ221" i="2" s="1"/>
  <c r="AE222" i="2"/>
  <c r="AQ222" i="2" s="1"/>
  <c r="AE223" i="2"/>
  <c r="AE224" i="2"/>
  <c r="AE225" i="2"/>
  <c r="AE226" i="2"/>
  <c r="AE227" i="2"/>
  <c r="AE228" i="2"/>
  <c r="AE229" i="2"/>
  <c r="AQ229" i="2" s="1"/>
  <c r="AE230" i="2"/>
  <c r="AQ230" i="2" s="1"/>
  <c r="AE231" i="2"/>
  <c r="AE232" i="2"/>
  <c r="AE233" i="2"/>
  <c r="AE234" i="2"/>
  <c r="AE235" i="2"/>
  <c r="AE236" i="2"/>
  <c r="AE237" i="2"/>
  <c r="AQ237" i="2" s="1"/>
  <c r="AE238" i="2"/>
  <c r="AQ238" i="2" s="1"/>
  <c r="AE239" i="2"/>
  <c r="AE240" i="2"/>
  <c r="AE241" i="2"/>
  <c r="AE242" i="2"/>
  <c r="AE243" i="2"/>
  <c r="AE244" i="2"/>
  <c r="AE245" i="2"/>
  <c r="AQ245" i="2" s="1"/>
  <c r="AE246" i="2"/>
  <c r="AQ246" i="2" s="1"/>
  <c r="AE247" i="2"/>
  <c r="AE248" i="2"/>
  <c r="AE249" i="2"/>
  <c r="AE250" i="2"/>
  <c r="AE251" i="2"/>
  <c r="AE252" i="2"/>
  <c r="AE253" i="2"/>
  <c r="AQ253" i="2" s="1"/>
  <c r="AE254" i="2"/>
  <c r="AQ254" i="2" s="1"/>
  <c r="AE255" i="2"/>
  <c r="AE256" i="2"/>
  <c r="AE257" i="2"/>
  <c r="AE258" i="2"/>
  <c r="AE259" i="2"/>
  <c r="AE260" i="2"/>
  <c r="AE261" i="2"/>
  <c r="AQ261" i="2" s="1"/>
  <c r="AE262" i="2"/>
  <c r="AQ262" i="2" s="1"/>
  <c r="AE263" i="2"/>
  <c r="AE264" i="2"/>
  <c r="AE265" i="2"/>
  <c r="AE266" i="2"/>
  <c r="AE267" i="2"/>
  <c r="AE268" i="2"/>
  <c r="AE269" i="2"/>
  <c r="AQ269" i="2" s="1"/>
  <c r="AE270" i="2"/>
  <c r="AQ270" i="2" s="1"/>
  <c r="AE271" i="2"/>
  <c r="AE272" i="2"/>
  <c r="AE273" i="2"/>
  <c r="AE274" i="2"/>
  <c r="AE275" i="2"/>
  <c r="AE276" i="2"/>
  <c r="AE277" i="2"/>
  <c r="AQ277" i="2" s="1"/>
  <c r="AE278" i="2"/>
  <c r="AQ278" i="2" s="1"/>
  <c r="AE279" i="2"/>
  <c r="AE280" i="2"/>
  <c r="AE281" i="2"/>
  <c r="AE282" i="2"/>
  <c r="AE283" i="2"/>
  <c r="AE284" i="2"/>
  <c r="AE285" i="2"/>
  <c r="AQ285" i="2" s="1"/>
  <c r="AE286" i="2"/>
  <c r="AQ286" i="2" s="1"/>
  <c r="AE287" i="2"/>
  <c r="AE288" i="2"/>
  <c r="AE289" i="2"/>
  <c r="AE290" i="2"/>
  <c r="AE291" i="2"/>
  <c r="AE292" i="2"/>
  <c r="AE293" i="2"/>
  <c r="AQ293" i="2" s="1"/>
  <c r="AE294" i="2"/>
  <c r="AQ294" i="2" s="1"/>
  <c r="AE295" i="2"/>
  <c r="AE296" i="2"/>
  <c r="AE297" i="2"/>
  <c r="AE298" i="2"/>
  <c r="AE299" i="2"/>
  <c r="AE300" i="2"/>
  <c r="AE301" i="2"/>
  <c r="AQ301" i="2" s="1"/>
  <c r="AE302" i="2"/>
  <c r="AQ302" i="2" s="1"/>
  <c r="AE303" i="2"/>
  <c r="AE304" i="2"/>
  <c r="AE305" i="2"/>
  <c r="AE306" i="2"/>
  <c r="AE307" i="2"/>
  <c r="AE308" i="2"/>
  <c r="AE309" i="2"/>
  <c r="AQ309" i="2" s="1"/>
  <c r="AE310" i="2"/>
  <c r="AQ310" i="2" s="1"/>
  <c r="AE311" i="2"/>
  <c r="AE312" i="2"/>
  <c r="AE313" i="2"/>
  <c r="AE314" i="2"/>
  <c r="AE315" i="2"/>
  <c r="AE316" i="2"/>
  <c r="AE317" i="2"/>
  <c r="AQ317" i="2" s="1"/>
  <c r="AE318" i="2"/>
  <c r="AQ318" i="2" s="1"/>
  <c r="AE319" i="2"/>
  <c r="AE320" i="2"/>
  <c r="AE321" i="2"/>
  <c r="AE322" i="2"/>
  <c r="AE323" i="2"/>
  <c r="AE324" i="2"/>
  <c r="AE325" i="2"/>
  <c r="AQ325" i="2" s="1"/>
  <c r="AE326" i="2"/>
  <c r="AQ326" i="2" s="1"/>
  <c r="AE327" i="2"/>
  <c r="AE328" i="2"/>
  <c r="AE329" i="2"/>
  <c r="AE330" i="2"/>
  <c r="AE331" i="2"/>
  <c r="AE332" i="2"/>
  <c r="AE333" i="2"/>
  <c r="AQ333" i="2" s="1"/>
  <c r="AE334" i="2"/>
  <c r="AQ334" i="2" s="1"/>
  <c r="AE335" i="2"/>
  <c r="AE336" i="2"/>
  <c r="AE337" i="2"/>
  <c r="AE338" i="2"/>
  <c r="AE339" i="2"/>
  <c r="AE340" i="2"/>
  <c r="AE341" i="2"/>
  <c r="AQ341" i="2" s="1"/>
  <c r="AE342" i="2"/>
  <c r="AQ342" i="2" s="1"/>
  <c r="AE343" i="2"/>
  <c r="AE344" i="2"/>
  <c r="AE345" i="2"/>
  <c r="AE346" i="2"/>
  <c r="AE347" i="2"/>
  <c r="AE348" i="2"/>
  <c r="AE349" i="2"/>
  <c r="AQ349" i="2" s="1"/>
  <c r="AE350" i="2"/>
  <c r="AQ350" i="2" s="1"/>
  <c r="AE351" i="2"/>
  <c r="AE352" i="2"/>
  <c r="AE353" i="2"/>
  <c r="AE354" i="2"/>
  <c r="AE355" i="2"/>
  <c r="AE356" i="2"/>
  <c r="AE357" i="2"/>
  <c r="AQ357" i="2" s="1"/>
  <c r="AE358" i="2"/>
  <c r="AQ358" i="2" s="1"/>
  <c r="AE359" i="2"/>
  <c r="AE360" i="2"/>
  <c r="AE361" i="2"/>
  <c r="AE362" i="2"/>
  <c r="AE363" i="2"/>
  <c r="AE364" i="2"/>
  <c r="AE365" i="2"/>
  <c r="AQ365" i="2" s="1"/>
  <c r="AE366" i="2"/>
  <c r="AQ366" i="2" s="1"/>
  <c r="AE367" i="2"/>
  <c r="AE368" i="2"/>
  <c r="AE369" i="2"/>
  <c r="AE370" i="2"/>
  <c r="AE371" i="2"/>
  <c r="AE372" i="2"/>
  <c r="AE373" i="2"/>
  <c r="AQ373" i="2" s="1"/>
  <c r="AE374" i="2"/>
  <c r="AQ374" i="2" s="1"/>
  <c r="AE375" i="2"/>
  <c r="AE376" i="2"/>
  <c r="AE377" i="2"/>
  <c r="AE378" i="2"/>
  <c r="AE379" i="2"/>
  <c r="AE380" i="2"/>
  <c r="AE381" i="2"/>
  <c r="AQ381" i="2" s="1"/>
  <c r="AE382" i="2"/>
  <c r="AQ382" i="2" s="1"/>
  <c r="AE383" i="2"/>
  <c r="AE384" i="2"/>
  <c r="AE385" i="2"/>
  <c r="AE386" i="2"/>
  <c r="AE387" i="2"/>
  <c r="AE388" i="2"/>
  <c r="AE389" i="2"/>
  <c r="AQ389" i="2" s="1"/>
  <c r="AE390" i="2"/>
  <c r="AQ390" i="2" s="1"/>
  <c r="AE391" i="2"/>
  <c r="AE392" i="2"/>
  <c r="AE393" i="2"/>
  <c r="AE394" i="2"/>
  <c r="AE395" i="2"/>
  <c r="AE396" i="2"/>
  <c r="AE397" i="2"/>
  <c r="AQ397" i="2" s="1"/>
  <c r="AE398" i="2"/>
  <c r="AQ398" i="2" s="1"/>
  <c r="AE399" i="2"/>
  <c r="AE400" i="2"/>
  <c r="AE401" i="2"/>
  <c r="AE402" i="2"/>
  <c r="AE403" i="2"/>
  <c r="AE404" i="2"/>
  <c r="AE405" i="2"/>
  <c r="AQ405" i="2" s="1"/>
  <c r="AE406" i="2"/>
  <c r="AQ406" i="2" s="1"/>
  <c r="AE407" i="2"/>
  <c r="AE408" i="2"/>
  <c r="AE409" i="2"/>
  <c r="AE410" i="2"/>
  <c r="AE411" i="2"/>
  <c r="AE412" i="2"/>
  <c r="AE413" i="2"/>
  <c r="AQ413" i="2" s="1"/>
  <c r="AE414" i="2"/>
  <c r="AQ414" i="2" s="1"/>
  <c r="AE415" i="2"/>
  <c r="AE416" i="2"/>
  <c r="AE417" i="2"/>
  <c r="AE418" i="2"/>
  <c r="AE419" i="2"/>
  <c r="AE420" i="2"/>
  <c r="AE421" i="2"/>
  <c r="AQ421" i="2" s="1"/>
  <c r="AE422" i="2"/>
  <c r="AQ422" i="2" s="1"/>
  <c r="AE423" i="2"/>
  <c r="AE424" i="2"/>
  <c r="AE425" i="2"/>
  <c r="AE426" i="2"/>
  <c r="AE427" i="2"/>
  <c r="AE428" i="2"/>
  <c r="AE429" i="2"/>
  <c r="AQ429" i="2" s="1"/>
  <c r="AE430" i="2"/>
  <c r="AQ430" i="2" s="1"/>
  <c r="AE431" i="2"/>
  <c r="AE432" i="2"/>
  <c r="AE433" i="2"/>
  <c r="AE434" i="2"/>
  <c r="AE435" i="2"/>
  <c r="AE436" i="2"/>
  <c r="AE437" i="2"/>
  <c r="AQ437" i="2" s="1"/>
  <c r="AE438" i="2"/>
  <c r="AQ438" i="2" s="1"/>
  <c r="AE439" i="2"/>
  <c r="AE440" i="2"/>
  <c r="AE441" i="2"/>
  <c r="AE442" i="2"/>
  <c r="AE443" i="2"/>
  <c r="AE444" i="2"/>
  <c r="AE445" i="2"/>
  <c r="AQ445" i="2" s="1"/>
  <c r="AE446" i="2"/>
  <c r="AQ446" i="2" s="1"/>
  <c r="AE447" i="2"/>
  <c r="AE448" i="2"/>
  <c r="AE449" i="2"/>
  <c r="AE450" i="2"/>
  <c r="AE451" i="2"/>
  <c r="AE452" i="2"/>
  <c r="AE453" i="2"/>
  <c r="AQ453" i="2" s="1"/>
  <c r="AE454" i="2"/>
  <c r="AQ454" i="2" s="1"/>
  <c r="AE455" i="2"/>
  <c r="AE456" i="2"/>
  <c r="AE457" i="2"/>
  <c r="AE458" i="2"/>
  <c r="AE459" i="2"/>
  <c r="AE460" i="2"/>
  <c r="AE461" i="2"/>
  <c r="AQ461" i="2" s="1"/>
  <c r="AE462" i="2"/>
  <c r="AQ462" i="2" s="1"/>
  <c r="AE463" i="2"/>
  <c r="AE464" i="2"/>
  <c r="AE465" i="2"/>
  <c r="AE466" i="2"/>
  <c r="AE467" i="2"/>
  <c r="AE468" i="2"/>
  <c r="AE469" i="2"/>
  <c r="AQ469" i="2" s="1"/>
  <c r="AE470" i="2"/>
  <c r="AQ470" i="2" s="1"/>
  <c r="AE471" i="2"/>
  <c r="AE472" i="2"/>
  <c r="AE473" i="2"/>
  <c r="AE474" i="2"/>
  <c r="AE475" i="2"/>
  <c r="AE476" i="2"/>
  <c r="AE477" i="2"/>
  <c r="AQ477" i="2" s="1"/>
  <c r="AE478" i="2"/>
  <c r="AQ478" i="2" s="1"/>
  <c r="AE479" i="2"/>
  <c r="AE480" i="2"/>
  <c r="AE481" i="2"/>
  <c r="AE482" i="2"/>
  <c r="AE483" i="2"/>
  <c r="AE484" i="2"/>
  <c r="AE485" i="2"/>
  <c r="AQ485" i="2" s="1"/>
  <c r="AE486" i="2"/>
  <c r="AQ486" i="2" s="1"/>
  <c r="AE487" i="2"/>
  <c r="AE488" i="2"/>
  <c r="AE489" i="2"/>
  <c r="AE490" i="2"/>
  <c r="AE491" i="2"/>
  <c r="AE492" i="2"/>
  <c r="AE493" i="2"/>
  <c r="AQ493" i="2" s="1"/>
  <c r="AE494" i="2"/>
  <c r="AQ494" i="2" s="1"/>
  <c r="AE495" i="2"/>
  <c r="AE496" i="2"/>
  <c r="AE497" i="2"/>
  <c r="AE498" i="2"/>
  <c r="AE499" i="2"/>
  <c r="AE500" i="2"/>
  <c r="AE501" i="2"/>
  <c r="AQ501" i="2" s="1"/>
  <c r="AE502" i="2"/>
  <c r="AQ502" i="2" s="1"/>
  <c r="AE503" i="2"/>
  <c r="AE504" i="2"/>
  <c r="AE505" i="2"/>
  <c r="AE506" i="2"/>
  <c r="AE507" i="2"/>
  <c r="AE508" i="2"/>
  <c r="AE509" i="2"/>
  <c r="AQ509" i="2" s="1"/>
  <c r="AE510" i="2"/>
  <c r="AQ510" i="2" s="1"/>
  <c r="AE511" i="2"/>
  <c r="AE512" i="2"/>
  <c r="AE513" i="2"/>
  <c r="AE514" i="2"/>
  <c r="AE515" i="2"/>
  <c r="AE516" i="2"/>
  <c r="AE517" i="2"/>
  <c r="AQ517" i="2" s="1"/>
  <c r="AE518" i="2"/>
  <c r="AQ518" i="2" s="1"/>
  <c r="AE519" i="2"/>
  <c r="AE520" i="2"/>
  <c r="AE521" i="2"/>
  <c r="AE522" i="2"/>
  <c r="AE523" i="2"/>
  <c r="AE524" i="2"/>
  <c r="AE525" i="2"/>
  <c r="AQ525" i="2" s="1"/>
  <c r="AE526" i="2"/>
  <c r="AQ526" i="2" s="1"/>
  <c r="AE527" i="2"/>
  <c r="AE528" i="2"/>
  <c r="AE529" i="2"/>
  <c r="AE530" i="2"/>
  <c r="AE531" i="2"/>
  <c r="AE532" i="2"/>
  <c r="AE533" i="2"/>
  <c r="AQ533" i="2" s="1"/>
  <c r="AE534" i="2"/>
  <c r="AQ534" i="2" s="1"/>
  <c r="AE535" i="2"/>
  <c r="AE536" i="2"/>
  <c r="AE537" i="2"/>
  <c r="AE538" i="2"/>
  <c r="AE539" i="2"/>
  <c r="AE540" i="2"/>
  <c r="AE541" i="2"/>
  <c r="AQ541" i="2" s="1"/>
  <c r="AE542" i="2"/>
  <c r="AQ542" i="2" s="1"/>
  <c r="AE543" i="2"/>
  <c r="AE544" i="2"/>
  <c r="AE545" i="2"/>
  <c r="AE546" i="2"/>
  <c r="AE547" i="2"/>
  <c r="AE548" i="2"/>
  <c r="AE549" i="2"/>
  <c r="AQ549" i="2" s="1"/>
  <c r="AE550" i="2"/>
  <c r="AQ550" i="2" s="1"/>
  <c r="AE551" i="2"/>
  <c r="AE552" i="2"/>
  <c r="AE553" i="2"/>
  <c r="AE554" i="2"/>
  <c r="AE555" i="2"/>
  <c r="AE556" i="2"/>
  <c r="AE557" i="2"/>
  <c r="AQ557" i="2" s="1"/>
  <c r="AE558" i="2"/>
  <c r="AQ558" i="2" s="1"/>
  <c r="AE559" i="2"/>
  <c r="AE560" i="2"/>
  <c r="AE561" i="2"/>
  <c r="AE562" i="2"/>
  <c r="AE563" i="2"/>
  <c r="AE564" i="2"/>
  <c r="AE565" i="2"/>
  <c r="AQ565" i="2" s="1"/>
  <c r="AE566" i="2"/>
  <c r="AQ566" i="2" s="1"/>
  <c r="AE567" i="2"/>
  <c r="AE568" i="2"/>
  <c r="AE569" i="2"/>
  <c r="AE570" i="2"/>
  <c r="AE571" i="2"/>
  <c r="AE572" i="2"/>
  <c r="AE573" i="2"/>
  <c r="AQ573" i="2" s="1"/>
  <c r="AE574" i="2"/>
  <c r="AQ574" i="2" s="1"/>
  <c r="AE575" i="2"/>
  <c r="AE576" i="2"/>
  <c r="AE577" i="2"/>
  <c r="AE578" i="2"/>
  <c r="AE579" i="2"/>
  <c r="AE580" i="2"/>
  <c r="AE581" i="2"/>
  <c r="AQ581" i="2" s="1"/>
  <c r="AE7" i="2"/>
  <c r="AQ572" i="2" l="1"/>
  <c r="AQ540" i="2"/>
  <c r="AQ508" i="2"/>
  <c r="AQ468" i="2"/>
  <c r="AQ428" i="2"/>
  <c r="AQ396" i="2"/>
  <c r="AQ356" i="2"/>
  <c r="AQ324" i="2"/>
  <c r="AQ300" i="2"/>
  <c r="AQ268" i="2"/>
  <c r="AQ236" i="2"/>
  <c r="AQ204" i="2"/>
  <c r="AQ172" i="2"/>
  <c r="AQ148" i="2"/>
  <c r="AQ124" i="2"/>
  <c r="AQ92" i="2"/>
  <c r="AQ60" i="2"/>
  <c r="AQ28" i="2"/>
  <c r="AQ580" i="2"/>
  <c r="AQ532" i="2"/>
  <c r="AQ476" i="2"/>
  <c r="AQ436" i="2"/>
  <c r="AQ388" i="2"/>
  <c r="AQ348" i="2"/>
  <c r="AQ308" i="2"/>
  <c r="AQ276" i="2"/>
  <c r="AQ228" i="2"/>
  <c r="AQ188" i="2"/>
  <c r="AQ156" i="2"/>
  <c r="AQ100" i="2"/>
  <c r="AQ68" i="2"/>
  <c r="AQ12" i="2"/>
  <c r="AQ402" i="2"/>
  <c r="AQ548" i="2"/>
  <c r="AQ500" i="2"/>
  <c r="AQ452" i="2"/>
  <c r="AQ404" i="2"/>
  <c r="AQ372" i="2"/>
  <c r="AQ332" i="2"/>
  <c r="AQ284" i="2"/>
  <c r="AQ244" i="2"/>
  <c r="AQ212" i="2"/>
  <c r="AQ180" i="2"/>
  <c r="AQ140" i="2"/>
  <c r="AQ108" i="2"/>
  <c r="AQ76" i="2"/>
  <c r="AQ44" i="2"/>
  <c r="AQ20" i="2"/>
  <c r="AQ570" i="2"/>
  <c r="AQ554" i="2"/>
  <c r="AQ538" i="2"/>
  <c r="AQ514" i="2"/>
  <c r="AQ498" i="2"/>
  <c r="AQ482" i="2"/>
  <c r="AQ466" i="2"/>
  <c r="AQ442" i="2"/>
  <c r="AQ410" i="2"/>
  <c r="AQ564" i="2"/>
  <c r="AQ516" i="2"/>
  <c r="AQ484" i="2"/>
  <c r="AQ444" i="2"/>
  <c r="AQ412" i="2"/>
  <c r="AQ364" i="2"/>
  <c r="AQ252" i="2"/>
  <c r="AQ426" i="2"/>
  <c r="AQ556" i="2"/>
  <c r="AQ524" i="2"/>
  <c r="AQ492" i="2"/>
  <c r="AQ460" i="2"/>
  <c r="AQ420" i="2"/>
  <c r="AQ380" i="2"/>
  <c r="AQ340" i="2"/>
  <c r="AQ316" i="2"/>
  <c r="AQ292" i="2"/>
  <c r="AQ260" i="2"/>
  <c r="AQ220" i="2"/>
  <c r="AQ196" i="2"/>
  <c r="AQ164" i="2"/>
  <c r="AQ132" i="2"/>
  <c r="AQ116" i="2"/>
  <c r="AQ84" i="2"/>
  <c r="AQ52" i="2"/>
  <c r="AQ36" i="2"/>
  <c r="AQ578" i="2"/>
  <c r="AQ562" i="2"/>
  <c r="AQ546" i="2"/>
  <c r="AQ530" i="2"/>
  <c r="AQ522" i="2"/>
  <c r="AQ506" i="2"/>
  <c r="AQ490" i="2"/>
  <c r="AQ474" i="2"/>
  <c r="AQ458" i="2"/>
  <c r="AQ450" i="2"/>
  <c r="AQ434" i="2"/>
  <c r="AQ418" i="2"/>
  <c r="AQ579" i="2"/>
  <c r="AQ571" i="2"/>
  <c r="AQ563" i="2"/>
  <c r="AQ555" i="2"/>
  <c r="AQ547" i="2"/>
  <c r="AQ539" i="2"/>
  <c r="AQ531" i="2"/>
  <c r="AQ523" i="2"/>
  <c r="AQ515" i="2"/>
  <c r="AQ507" i="2"/>
  <c r="AQ499" i="2"/>
  <c r="AQ491" i="2"/>
  <c r="AQ483" i="2"/>
  <c r="AQ475" i="2"/>
  <c r="AQ467" i="2"/>
  <c r="AQ459" i="2"/>
  <c r="AQ451" i="2"/>
  <c r="AQ443" i="2"/>
  <c r="AQ435" i="2"/>
  <c r="AQ427" i="2"/>
  <c r="AQ419" i="2"/>
  <c r="AQ411" i="2"/>
  <c r="AQ403" i="2"/>
  <c r="AQ395" i="2"/>
  <c r="AQ387" i="2"/>
  <c r="AQ379" i="2"/>
  <c r="AQ371" i="2"/>
  <c r="AQ363" i="2"/>
  <c r="AQ355" i="2"/>
  <c r="AQ347" i="2"/>
  <c r="AQ339" i="2"/>
  <c r="AQ331" i="2"/>
  <c r="AQ323" i="2"/>
  <c r="AQ315" i="2"/>
  <c r="AQ307" i="2"/>
  <c r="AQ299" i="2"/>
  <c r="AQ291" i="2"/>
  <c r="AQ283" i="2"/>
  <c r="AQ275" i="2"/>
  <c r="AQ267" i="2"/>
  <c r="AQ259" i="2"/>
  <c r="AQ251" i="2"/>
  <c r="AQ243" i="2"/>
  <c r="AQ235" i="2"/>
  <c r="AQ227" i="2"/>
  <c r="AQ219" i="2"/>
  <c r="AQ211" i="2"/>
  <c r="AQ203" i="2"/>
  <c r="AQ195" i="2"/>
  <c r="AQ187" i="2"/>
  <c r="AQ179" i="2"/>
  <c r="AQ171" i="2"/>
  <c r="AQ163" i="2"/>
  <c r="AQ155" i="2"/>
  <c r="AQ147" i="2"/>
  <c r="AQ139" i="2"/>
  <c r="AQ131" i="2"/>
  <c r="AQ123" i="2"/>
  <c r="AQ115" i="2"/>
  <c r="AQ107" i="2"/>
  <c r="AQ99" i="2"/>
  <c r="AQ91" i="2"/>
  <c r="AQ83" i="2"/>
  <c r="AQ75" i="2"/>
  <c r="AQ67" i="2"/>
  <c r="AQ59" i="2"/>
  <c r="AQ51" i="2"/>
  <c r="AQ43" i="2"/>
  <c r="AQ35" i="2"/>
  <c r="AQ27" i="2"/>
  <c r="AQ19" i="2"/>
  <c r="AQ11" i="2"/>
  <c r="AQ370" i="2"/>
  <c r="AQ338" i="2"/>
  <c r="AQ306" i="2"/>
  <c r="AQ282" i="2"/>
  <c r="AQ258" i="2"/>
  <c r="AQ226" i="2"/>
  <c r="AQ186" i="2"/>
  <c r="AQ146" i="2"/>
  <c r="AQ114" i="2"/>
  <c r="AQ66" i="2"/>
  <c r="AQ18" i="2"/>
  <c r="AQ378" i="2"/>
  <c r="AQ346" i="2"/>
  <c r="AQ314" i="2"/>
  <c r="AQ274" i="2"/>
  <c r="AQ242" i="2"/>
  <c r="AQ210" i="2"/>
  <c r="AQ178" i="2"/>
  <c r="AQ154" i="2"/>
  <c r="AQ122" i="2"/>
  <c r="AQ90" i="2"/>
  <c r="AQ58" i="2"/>
  <c r="AQ26" i="2"/>
  <c r="AQ577" i="2"/>
  <c r="AQ569" i="2"/>
  <c r="AQ561" i="2"/>
  <c r="AQ553" i="2"/>
  <c r="AQ545" i="2"/>
  <c r="AQ537" i="2"/>
  <c r="AQ529" i="2"/>
  <c r="AQ521" i="2"/>
  <c r="AQ513" i="2"/>
  <c r="AQ505" i="2"/>
  <c r="AQ497" i="2"/>
  <c r="AQ489" i="2"/>
  <c r="AQ481" i="2"/>
  <c r="AQ473" i="2"/>
  <c r="AQ465" i="2"/>
  <c r="AQ457" i="2"/>
  <c r="AQ449" i="2"/>
  <c r="AQ441" i="2"/>
  <c r="AQ433" i="2"/>
  <c r="AQ425" i="2"/>
  <c r="AQ417" i="2"/>
  <c r="AQ409" i="2"/>
  <c r="AQ401" i="2"/>
  <c r="AQ393" i="2"/>
  <c r="AQ385" i="2"/>
  <c r="AQ377" i="2"/>
  <c r="AQ369" i="2"/>
  <c r="AQ361" i="2"/>
  <c r="AQ353" i="2"/>
  <c r="AQ345" i="2"/>
  <c r="AQ337" i="2"/>
  <c r="AQ329" i="2"/>
  <c r="AQ321" i="2"/>
  <c r="AQ313" i="2"/>
  <c r="AQ305" i="2"/>
  <c r="AQ297" i="2"/>
  <c r="AQ289" i="2"/>
  <c r="AQ281" i="2"/>
  <c r="AQ273" i="2"/>
  <c r="AQ265" i="2"/>
  <c r="AQ257" i="2"/>
  <c r="AQ249" i="2"/>
  <c r="AQ241" i="2"/>
  <c r="AQ233" i="2"/>
  <c r="AQ225" i="2"/>
  <c r="AQ217" i="2"/>
  <c r="AQ209" i="2"/>
  <c r="AQ201" i="2"/>
  <c r="AQ193" i="2"/>
  <c r="AQ185" i="2"/>
  <c r="AQ177" i="2"/>
  <c r="AQ169" i="2"/>
  <c r="AQ161" i="2"/>
  <c r="AQ153" i="2"/>
  <c r="AQ145" i="2"/>
  <c r="AQ137" i="2"/>
  <c r="AQ129" i="2"/>
  <c r="AQ121" i="2"/>
  <c r="AQ113" i="2"/>
  <c r="AQ105" i="2"/>
  <c r="AQ97" i="2"/>
  <c r="AQ89" i="2"/>
  <c r="AQ81" i="2"/>
  <c r="AQ73" i="2"/>
  <c r="AQ65" i="2"/>
  <c r="AQ57" i="2"/>
  <c r="AQ49" i="2"/>
  <c r="AQ41" i="2"/>
  <c r="AQ33" i="2"/>
  <c r="AQ25" i="2"/>
  <c r="AQ17" i="2"/>
  <c r="AQ9" i="2"/>
  <c r="AQ394" i="2"/>
  <c r="AQ362" i="2"/>
  <c r="AQ330" i="2"/>
  <c r="AQ298" i="2"/>
  <c r="AQ266" i="2"/>
  <c r="AQ234" i="2"/>
  <c r="AQ202" i="2"/>
  <c r="AQ170" i="2"/>
  <c r="AQ130" i="2"/>
  <c r="AQ106" i="2"/>
  <c r="AQ82" i="2"/>
  <c r="AQ50" i="2"/>
  <c r="AQ34" i="2"/>
  <c r="AQ576" i="2"/>
  <c r="AQ568" i="2"/>
  <c r="AQ560" i="2"/>
  <c r="AQ552" i="2"/>
  <c r="AQ544" i="2"/>
  <c r="AQ536" i="2"/>
  <c r="AQ528" i="2"/>
  <c r="AQ520" i="2"/>
  <c r="AQ512" i="2"/>
  <c r="AQ504" i="2"/>
  <c r="AQ496" i="2"/>
  <c r="AQ488" i="2"/>
  <c r="AQ480" i="2"/>
  <c r="AQ472" i="2"/>
  <c r="AQ464" i="2"/>
  <c r="AQ456" i="2"/>
  <c r="AQ448" i="2"/>
  <c r="AQ440" i="2"/>
  <c r="AQ432" i="2"/>
  <c r="AQ424" i="2"/>
  <c r="AQ416" i="2"/>
  <c r="AQ408" i="2"/>
  <c r="AQ400" i="2"/>
  <c r="AQ392" i="2"/>
  <c r="AQ384" i="2"/>
  <c r="AQ376" i="2"/>
  <c r="AQ368" i="2"/>
  <c r="AQ360" i="2"/>
  <c r="AQ352" i="2"/>
  <c r="AQ344" i="2"/>
  <c r="AQ336" i="2"/>
  <c r="AQ328" i="2"/>
  <c r="AQ320" i="2"/>
  <c r="AQ312" i="2"/>
  <c r="AQ304" i="2"/>
  <c r="AQ296" i="2"/>
  <c r="AQ288" i="2"/>
  <c r="AQ280" i="2"/>
  <c r="AQ272" i="2"/>
  <c r="AQ264" i="2"/>
  <c r="AQ256" i="2"/>
  <c r="AQ248" i="2"/>
  <c r="AQ240" i="2"/>
  <c r="AQ232" i="2"/>
  <c r="AQ224" i="2"/>
  <c r="AQ216" i="2"/>
  <c r="AQ208" i="2"/>
  <c r="AQ200" i="2"/>
  <c r="AQ192" i="2"/>
  <c r="AQ184" i="2"/>
  <c r="AQ176" i="2"/>
  <c r="AQ168" i="2"/>
  <c r="AQ160" i="2"/>
  <c r="AQ152" i="2"/>
  <c r="AQ144" i="2"/>
  <c r="AQ136" i="2"/>
  <c r="AQ128" i="2"/>
  <c r="AQ120" i="2"/>
  <c r="AQ112" i="2"/>
  <c r="AQ104" i="2"/>
  <c r="AQ96" i="2"/>
  <c r="AQ88" i="2"/>
  <c r="AQ80" i="2"/>
  <c r="AQ72" i="2"/>
  <c r="AQ64" i="2"/>
  <c r="AQ56" i="2"/>
  <c r="AQ48" i="2"/>
  <c r="AQ40" i="2"/>
  <c r="AQ32" i="2"/>
  <c r="AQ24" i="2"/>
  <c r="AQ16" i="2"/>
  <c r="AQ8" i="2"/>
  <c r="AQ386" i="2"/>
  <c r="AQ354" i="2"/>
  <c r="AQ322" i="2"/>
  <c r="AQ290" i="2"/>
  <c r="AQ250" i="2"/>
  <c r="AQ218" i="2"/>
  <c r="AQ194" i="2"/>
  <c r="AQ162" i="2"/>
  <c r="AQ138" i="2"/>
  <c r="AQ98" i="2"/>
  <c r="AQ74" i="2"/>
  <c r="AQ42" i="2"/>
  <c r="AQ10" i="2"/>
  <c r="AQ575" i="2"/>
  <c r="AQ567" i="2"/>
  <c r="AQ559" i="2"/>
  <c r="AQ551" i="2"/>
  <c r="AQ543" i="2"/>
  <c r="AQ535" i="2"/>
  <c r="AQ527" i="2"/>
  <c r="AQ519" i="2"/>
  <c r="AQ511" i="2"/>
  <c r="AQ503" i="2"/>
  <c r="AQ495" i="2"/>
  <c r="AQ487" i="2"/>
  <c r="AQ479" i="2"/>
  <c r="AQ471" i="2"/>
  <c r="AQ463" i="2"/>
  <c r="AQ455" i="2"/>
  <c r="AQ447" i="2"/>
  <c r="AQ439" i="2"/>
  <c r="AQ431" i="2"/>
  <c r="AQ423" i="2"/>
  <c r="AQ415" i="2"/>
  <c r="AQ407" i="2"/>
  <c r="AQ399" i="2"/>
  <c r="AQ391" i="2"/>
  <c r="AQ383" i="2"/>
  <c r="AQ375" i="2"/>
  <c r="AQ367" i="2"/>
  <c r="AQ359" i="2"/>
  <c r="AQ351" i="2"/>
  <c r="AQ343" i="2"/>
  <c r="AQ335" i="2"/>
  <c r="AQ327" i="2"/>
  <c r="AQ319" i="2"/>
  <c r="AQ311" i="2"/>
  <c r="AQ303" i="2"/>
  <c r="AQ295" i="2"/>
  <c r="AQ287" i="2"/>
  <c r="AQ279" i="2"/>
  <c r="AQ271" i="2"/>
  <c r="AQ263" i="2"/>
  <c r="AQ255" i="2"/>
  <c r="AQ247" i="2"/>
  <c r="AQ239" i="2"/>
  <c r="AQ231" i="2"/>
  <c r="AQ223" i="2"/>
  <c r="AQ215" i="2"/>
  <c r="AQ207" i="2"/>
  <c r="AQ199" i="2"/>
  <c r="AQ191" i="2"/>
  <c r="AQ183" i="2"/>
  <c r="AQ175" i="2"/>
  <c r="AQ167" i="2"/>
  <c r="AQ159" i="2"/>
  <c r="AQ151" i="2"/>
  <c r="AQ143" i="2"/>
  <c r="AQ135" i="2"/>
  <c r="AQ127" i="2"/>
  <c r="AQ119" i="2"/>
  <c r="AQ111" i="2"/>
  <c r="AQ103" i="2"/>
  <c r="AQ95" i="2"/>
  <c r="AQ87" i="2"/>
  <c r="AQ79" i="2"/>
  <c r="AQ71" i="2"/>
  <c r="AQ63" i="2"/>
  <c r="AQ55" i="2"/>
  <c r="AQ47" i="2"/>
  <c r="AQ39" i="2"/>
  <c r="AQ31" i="2"/>
  <c r="AQ23" i="2"/>
  <c r="AQ15" i="2"/>
  <c r="AQ584" i="2"/>
  <c r="AQ582" i="2"/>
  <c r="AQ583" i="2"/>
  <c r="X581" i="2"/>
  <c r="AA581" i="2" s="1"/>
  <c r="AB581" i="2" s="1"/>
  <c r="X560" i="2"/>
  <c r="AA560" i="2" s="1"/>
  <c r="AB560" i="2" s="1"/>
  <c r="X549" i="2"/>
  <c r="AA549" i="2" s="1"/>
  <c r="AB549" i="2" s="1"/>
  <c r="X559" i="2"/>
  <c r="AA559" i="2" s="1"/>
  <c r="AB559" i="2" s="1"/>
  <c r="X553" i="2"/>
  <c r="AA553" i="2" s="1"/>
  <c r="AB553" i="2" s="1"/>
  <c r="R536" i="2"/>
  <c r="R257" i="2"/>
  <c r="R258" i="2"/>
  <c r="R259" i="2"/>
  <c r="R260" i="2"/>
  <c r="X536" i="2"/>
  <c r="AA536" i="2" s="1"/>
  <c r="AB536" i="2" s="1"/>
  <c r="X257" i="2"/>
  <c r="AA257" i="2" s="1"/>
  <c r="AB257" i="2" s="1"/>
  <c r="X258" i="2"/>
  <c r="AA258" i="2" s="1"/>
  <c r="AB258" i="2" s="1"/>
  <c r="X259" i="2"/>
  <c r="AA259" i="2" s="1"/>
  <c r="AB259" i="2" s="1"/>
  <c r="X260" i="2"/>
  <c r="AA260" i="2" s="1"/>
  <c r="AB260" i="2" s="1"/>
  <c r="X556" i="2"/>
  <c r="AA556" i="2" s="1"/>
  <c r="AB556" i="2" s="1"/>
  <c r="R581" i="2"/>
  <c r="R555" i="2"/>
  <c r="R549" i="2"/>
  <c r="R553" i="2"/>
  <c r="R556" i="2"/>
  <c r="R559" i="2"/>
  <c r="R560" i="2"/>
  <c r="X555" i="2"/>
  <c r="AA555" i="2" s="1"/>
  <c r="AB555" i="2" s="1"/>
  <c r="R574" i="2"/>
  <c r="R580" i="2"/>
  <c r="R572" i="2"/>
  <c r="R552" i="2"/>
  <c r="R548" i="2"/>
  <c r="Y556" i="2" l="1"/>
  <c r="AS581" i="2"/>
  <c r="AS556" i="2"/>
  <c r="Y259" i="2"/>
  <c r="AS259" i="2"/>
  <c r="AS257" i="2"/>
  <c r="Y553" i="2"/>
  <c r="AS553" i="2"/>
  <c r="Y549" i="2"/>
  <c r="AS549" i="2"/>
  <c r="AS555" i="2"/>
  <c r="Y260" i="2"/>
  <c r="AS260" i="2"/>
  <c r="Y258" i="2"/>
  <c r="AS258" i="2"/>
  <c r="Y536" i="2"/>
  <c r="AS536" i="2"/>
  <c r="Y559" i="2"/>
  <c r="AS559" i="2"/>
  <c r="Y560" i="2"/>
  <c r="AS560" i="2"/>
  <c r="Y257" i="2"/>
  <c r="Y555" i="2"/>
  <c r="Y581" i="2"/>
  <c r="X548" i="2"/>
  <c r="AA548" i="2" s="1"/>
  <c r="AB548" i="2" s="1"/>
  <c r="X572" i="2"/>
  <c r="AA572" i="2" s="1"/>
  <c r="AB572" i="2" s="1"/>
  <c r="X574" i="2"/>
  <c r="AA574" i="2" s="1"/>
  <c r="AB574" i="2" s="1"/>
  <c r="X552" i="2"/>
  <c r="AA552" i="2" s="1"/>
  <c r="AB552" i="2" s="1"/>
  <c r="X580" i="2"/>
  <c r="AA580" i="2" s="1"/>
  <c r="AB580" i="2" s="1"/>
  <c r="F19" i="6"/>
  <c r="F18" i="6"/>
  <c r="F17" i="6"/>
  <c r="B19" i="6"/>
  <c r="B18" i="6"/>
  <c r="B17" i="6"/>
  <c r="B16" i="6"/>
  <c r="B15" i="6"/>
  <c r="B14" i="6"/>
  <c r="D17" i="6"/>
  <c r="D18" i="6"/>
  <c r="D19" i="6"/>
  <c r="A14" i="6"/>
  <c r="A19" i="6"/>
  <c r="A18" i="6"/>
  <c r="A17" i="6"/>
  <c r="A16" i="6"/>
  <c r="A15" i="6"/>
  <c r="B6" i="6"/>
  <c r="AR581" i="2" l="1"/>
  <c r="Y580" i="2"/>
  <c r="AR580" i="2" s="1"/>
  <c r="AS580" i="2"/>
  <c r="Y574" i="2"/>
  <c r="AR574" i="2" s="1"/>
  <c r="AS574" i="2"/>
  <c r="Y548" i="2"/>
  <c r="AS548" i="2"/>
  <c r="Y552" i="2"/>
  <c r="AS552" i="2"/>
  <c r="Y572" i="2"/>
  <c r="AS572" i="2"/>
  <c r="AR572" i="2"/>
  <c r="W585" i="2"/>
  <c r="Z585" i="2" l="1"/>
  <c r="X108" i="2"/>
  <c r="AA108" i="2" s="1"/>
  <c r="AB108" i="2" s="1"/>
  <c r="X112" i="2"/>
  <c r="AA112" i="2" s="1"/>
  <c r="AB112" i="2" s="1"/>
  <c r="X234" i="2"/>
  <c r="AA234" i="2" s="1"/>
  <c r="AB234" i="2" s="1"/>
  <c r="X236" i="2"/>
  <c r="AA236" i="2" s="1"/>
  <c r="AB236" i="2" s="1"/>
  <c r="X442" i="2"/>
  <c r="AA442" i="2" s="1"/>
  <c r="AB442" i="2" s="1"/>
  <c r="X412" i="2"/>
  <c r="AA412" i="2" s="1"/>
  <c r="AB412" i="2" s="1"/>
  <c r="X478" i="2"/>
  <c r="AA478" i="2" s="1"/>
  <c r="AB478" i="2" s="1"/>
  <c r="X579" i="2"/>
  <c r="AA579" i="2" s="1"/>
  <c r="AB579" i="2" s="1"/>
  <c r="X106" i="2"/>
  <c r="AA106" i="2" s="1"/>
  <c r="AB106" i="2" s="1"/>
  <c r="X110" i="2"/>
  <c r="AA110" i="2" s="1"/>
  <c r="AB110" i="2" s="1"/>
  <c r="X136" i="2"/>
  <c r="AA136" i="2" s="1"/>
  <c r="AB136" i="2" s="1"/>
  <c r="X137" i="2"/>
  <c r="AA137" i="2" s="1"/>
  <c r="AB137" i="2" s="1"/>
  <c r="X138" i="2"/>
  <c r="AA138" i="2" s="1"/>
  <c r="AB138" i="2" s="1"/>
  <c r="X139" i="2"/>
  <c r="AA139" i="2" s="1"/>
  <c r="AB139" i="2" s="1"/>
  <c r="X140" i="2"/>
  <c r="AA140" i="2" s="1"/>
  <c r="AB140" i="2" s="1"/>
  <c r="X141" i="2"/>
  <c r="AA141" i="2" s="1"/>
  <c r="AB141" i="2" s="1"/>
  <c r="X142" i="2"/>
  <c r="AA142" i="2" s="1"/>
  <c r="AB142" i="2" s="1"/>
  <c r="X146" i="2"/>
  <c r="AA146" i="2" s="1"/>
  <c r="AB146" i="2" s="1"/>
  <c r="X168" i="2"/>
  <c r="AA168" i="2" s="1"/>
  <c r="AB168" i="2" s="1"/>
  <c r="X173" i="2"/>
  <c r="AA173" i="2" s="1"/>
  <c r="AB173" i="2" s="1"/>
  <c r="X177" i="2"/>
  <c r="AA177" i="2" s="1"/>
  <c r="AB177" i="2" s="1"/>
  <c r="X188" i="2"/>
  <c r="AA188" i="2" s="1"/>
  <c r="AB188" i="2" s="1"/>
  <c r="X189" i="2"/>
  <c r="AA189" i="2" s="1"/>
  <c r="AB189" i="2" s="1"/>
  <c r="X190" i="2"/>
  <c r="AA190" i="2" s="1"/>
  <c r="AB190" i="2" s="1"/>
  <c r="X270" i="2"/>
  <c r="AA270" i="2" s="1"/>
  <c r="AB270" i="2" s="1"/>
  <c r="X195" i="2"/>
  <c r="AA195" i="2" s="1"/>
  <c r="AB195" i="2" s="1"/>
  <c r="X196" i="2"/>
  <c r="AA196" i="2" s="1"/>
  <c r="AB196" i="2" s="1"/>
  <c r="X197" i="2"/>
  <c r="AA197" i="2" s="1"/>
  <c r="AB197" i="2" s="1"/>
  <c r="X201" i="2"/>
  <c r="AA201" i="2" s="1"/>
  <c r="AB201" i="2" s="1"/>
  <c r="X209" i="2"/>
  <c r="AA209" i="2" s="1"/>
  <c r="AB209" i="2" s="1"/>
  <c r="X235" i="2"/>
  <c r="AA235" i="2" s="1"/>
  <c r="AB235" i="2" s="1"/>
  <c r="X395" i="2"/>
  <c r="AA395" i="2" s="1"/>
  <c r="AB395" i="2" s="1"/>
  <c r="AS235" i="2" l="1"/>
  <c r="AS201" i="2"/>
  <c r="AS196" i="2"/>
  <c r="AS189" i="2"/>
  <c r="AS177" i="2"/>
  <c r="AS168" i="2"/>
  <c r="AS142" i="2"/>
  <c r="AS140" i="2"/>
  <c r="AS138" i="2"/>
  <c r="AS136" i="2"/>
  <c r="AS106" i="2"/>
  <c r="AS478" i="2"/>
  <c r="AS442" i="2"/>
  <c r="AS234" i="2"/>
  <c r="AS108" i="2"/>
  <c r="AS395" i="2"/>
  <c r="AS209" i="2"/>
  <c r="AS197" i="2"/>
  <c r="AS195" i="2"/>
  <c r="AS190" i="2"/>
  <c r="AS188" i="2"/>
  <c r="AS173" i="2"/>
  <c r="AS146" i="2"/>
  <c r="AS141" i="2"/>
  <c r="AS139" i="2"/>
  <c r="AS137" i="2"/>
  <c r="AS110" i="2"/>
  <c r="AS579" i="2"/>
  <c r="AS412" i="2"/>
  <c r="AS236" i="2"/>
  <c r="AS112" i="2"/>
  <c r="X413" i="2"/>
  <c r="AA413" i="2" s="1"/>
  <c r="AB413" i="2" s="1"/>
  <c r="X355" i="2"/>
  <c r="AA355" i="2" s="1"/>
  <c r="AB355" i="2" s="1"/>
  <c r="X233" i="2"/>
  <c r="AA233" i="2" s="1"/>
  <c r="AB233" i="2" s="1"/>
  <c r="X338" i="2"/>
  <c r="AA338" i="2" s="1"/>
  <c r="AB338" i="2" s="1"/>
  <c r="X301" i="2"/>
  <c r="AA301" i="2" s="1"/>
  <c r="AB301" i="2" s="1"/>
  <c r="X283" i="2"/>
  <c r="AA283" i="2" s="1"/>
  <c r="AB283" i="2" s="1"/>
  <c r="X213" i="2"/>
  <c r="AA213" i="2" s="1"/>
  <c r="AB213" i="2" s="1"/>
  <c r="X164" i="2"/>
  <c r="AA164" i="2" s="1"/>
  <c r="AB164" i="2" s="1"/>
  <c r="X162" i="2"/>
  <c r="AA162" i="2" s="1"/>
  <c r="AB162" i="2" s="1"/>
  <c r="X154" i="2"/>
  <c r="AA154" i="2" s="1"/>
  <c r="AB154" i="2" s="1"/>
  <c r="X245" i="2"/>
  <c r="AA245" i="2" s="1"/>
  <c r="AB245" i="2" s="1"/>
  <c r="X321" i="2"/>
  <c r="AA321" i="2" s="1"/>
  <c r="AB321" i="2" s="1"/>
  <c r="X231" i="2"/>
  <c r="AA231" i="2" s="1"/>
  <c r="AB231" i="2" s="1"/>
  <c r="X254" i="2"/>
  <c r="AA254" i="2" s="1"/>
  <c r="AB254" i="2" s="1"/>
  <c r="X99" i="2"/>
  <c r="AA99" i="2" s="1"/>
  <c r="AB99" i="2" s="1"/>
  <c r="X91" i="2"/>
  <c r="AA91" i="2" s="1"/>
  <c r="AB91" i="2" s="1"/>
  <c r="X543" i="2"/>
  <c r="AA543" i="2" s="1"/>
  <c r="AB543" i="2" s="1"/>
  <c r="X463" i="2"/>
  <c r="AA463" i="2" s="1"/>
  <c r="AB463" i="2" s="1"/>
  <c r="X401" i="2"/>
  <c r="AA401" i="2" s="1"/>
  <c r="AB401" i="2" s="1"/>
  <c r="X295" i="2"/>
  <c r="AA295" i="2" s="1"/>
  <c r="AB295" i="2" s="1"/>
  <c r="X90" i="2"/>
  <c r="AA90" i="2" s="1"/>
  <c r="AB90" i="2" s="1"/>
  <c r="X84" i="2"/>
  <c r="AA84" i="2" s="1"/>
  <c r="AB84" i="2" s="1"/>
  <c r="X81" i="2"/>
  <c r="AA81" i="2" s="1"/>
  <c r="AB81" i="2" s="1"/>
  <c r="X77" i="2"/>
  <c r="AA77" i="2" s="1"/>
  <c r="AB77" i="2" s="1"/>
  <c r="X71" i="2"/>
  <c r="AA71" i="2" s="1"/>
  <c r="AB71" i="2" s="1"/>
  <c r="X293" i="2"/>
  <c r="AA293" i="2" s="1"/>
  <c r="AB293" i="2" s="1"/>
  <c r="X66" i="2"/>
  <c r="AA66" i="2" s="1"/>
  <c r="AB66" i="2" s="1"/>
  <c r="X344" i="2"/>
  <c r="AA344" i="2" s="1"/>
  <c r="AB344" i="2" s="1"/>
  <c r="X65" i="2"/>
  <c r="AA65" i="2" s="1"/>
  <c r="AB65" i="2" s="1"/>
  <c r="X61" i="2"/>
  <c r="AA61" i="2" s="1"/>
  <c r="AB61" i="2" s="1"/>
  <c r="X57" i="2"/>
  <c r="AA57" i="2" s="1"/>
  <c r="AB57" i="2" s="1"/>
  <c r="X470" i="2"/>
  <c r="AA470" i="2" s="1"/>
  <c r="AB470" i="2" s="1"/>
  <c r="X275" i="2"/>
  <c r="AA275" i="2" s="1"/>
  <c r="AB275" i="2" s="1"/>
  <c r="X51" i="2"/>
  <c r="AA51" i="2" s="1"/>
  <c r="AB51" i="2" s="1"/>
  <c r="X47" i="2"/>
  <c r="AA47" i="2" s="1"/>
  <c r="AB47" i="2" s="1"/>
  <c r="X43" i="2"/>
  <c r="AA43" i="2" s="1"/>
  <c r="AB43" i="2" s="1"/>
  <c r="X39" i="2"/>
  <c r="AA39" i="2" s="1"/>
  <c r="AB39" i="2" s="1"/>
  <c r="X523" i="2"/>
  <c r="AA523" i="2" s="1"/>
  <c r="AB523" i="2" s="1"/>
  <c r="X34" i="2"/>
  <c r="AA34" i="2" s="1"/>
  <c r="AB34" i="2" s="1"/>
  <c r="X359" i="2"/>
  <c r="AA359" i="2" s="1"/>
  <c r="AB359" i="2" s="1"/>
  <c r="X30" i="2"/>
  <c r="AA30" i="2" s="1"/>
  <c r="AB30" i="2" s="1"/>
  <c r="X547" i="2"/>
  <c r="AA547" i="2" s="1"/>
  <c r="AB547" i="2" s="1"/>
  <c r="X576" i="2"/>
  <c r="AA576" i="2" s="1"/>
  <c r="AB576" i="2" s="1"/>
  <c r="X380" i="2"/>
  <c r="AA380" i="2" s="1"/>
  <c r="AB380" i="2" s="1"/>
  <c r="X352" i="2"/>
  <c r="AA352" i="2" s="1"/>
  <c r="AB352" i="2" s="1"/>
  <c r="X335" i="2"/>
  <c r="AA335" i="2" s="1"/>
  <c r="AB335" i="2" s="1"/>
  <c r="X319" i="2"/>
  <c r="AA319" i="2" s="1"/>
  <c r="AB319" i="2" s="1"/>
  <c r="X289" i="2"/>
  <c r="AA289" i="2" s="1"/>
  <c r="AB289" i="2" s="1"/>
  <c r="X274" i="2"/>
  <c r="AA274" i="2" s="1"/>
  <c r="AB274" i="2" s="1"/>
  <c r="X230" i="2"/>
  <c r="AA230" i="2" s="1"/>
  <c r="AB230" i="2" s="1"/>
  <c r="X228" i="2"/>
  <c r="AA228" i="2" s="1"/>
  <c r="AB228" i="2" s="1"/>
  <c r="X226" i="2"/>
  <c r="AA226" i="2" s="1"/>
  <c r="AB226" i="2" s="1"/>
  <c r="X224" i="2"/>
  <c r="AA224" i="2" s="1"/>
  <c r="AB224" i="2" s="1"/>
  <c r="X174" i="2"/>
  <c r="AA174" i="2" s="1"/>
  <c r="AB174" i="2" s="1"/>
  <c r="X584" i="2"/>
  <c r="AA584" i="2" s="1"/>
  <c r="AB584" i="2" s="1"/>
  <c r="X558" i="2"/>
  <c r="AA558" i="2" s="1"/>
  <c r="AB558" i="2" s="1"/>
  <c r="X533" i="2"/>
  <c r="AA533" i="2" s="1"/>
  <c r="AB533" i="2" s="1"/>
  <c r="X169" i="2"/>
  <c r="AA169" i="2" s="1"/>
  <c r="AB169" i="2" s="1"/>
  <c r="X167" i="2"/>
  <c r="AA167" i="2" s="1"/>
  <c r="AB167" i="2" s="1"/>
  <c r="X514" i="2"/>
  <c r="AA514" i="2" s="1"/>
  <c r="AB514" i="2" s="1"/>
  <c r="X497" i="2"/>
  <c r="AA497" i="2" s="1"/>
  <c r="AB497" i="2" s="1"/>
  <c r="X163" i="2"/>
  <c r="AA163" i="2" s="1"/>
  <c r="AB163" i="2" s="1"/>
  <c r="X472" i="2"/>
  <c r="AA472" i="2" s="1"/>
  <c r="AB472" i="2" s="1"/>
  <c r="X431" i="2"/>
  <c r="AA431" i="2" s="1"/>
  <c r="AB431" i="2" s="1"/>
  <c r="X429" i="2"/>
  <c r="AA429" i="2" s="1"/>
  <c r="AB429" i="2" s="1"/>
  <c r="X404" i="2"/>
  <c r="AA404" i="2" s="1"/>
  <c r="AB404" i="2" s="1"/>
  <c r="X389" i="2"/>
  <c r="AA389" i="2" s="1"/>
  <c r="AB389" i="2" s="1"/>
  <c r="X376" i="2"/>
  <c r="AA376" i="2" s="1"/>
  <c r="AB376" i="2" s="1"/>
  <c r="X157" i="2"/>
  <c r="AA157" i="2" s="1"/>
  <c r="AB157" i="2" s="1"/>
  <c r="X365" i="2"/>
  <c r="AA365" i="2" s="1"/>
  <c r="AB365" i="2" s="1"/>
  <c r="X363" i="2"/>
  <c r="AA363" i="2" s="1"/>
  <c r="AB363" i="2" s="1"/>
  <c r="X350" i="2"/>
  <c r="AA350" i="2" s="1"/>
  <c r="AB350" i="2" s="1"/>
  <c r="X348" i="2"/>
  <c r="AA348" i="2" s="1"/>
  <c r="AB348" i="2" s="1"/>
  <c r="X332" i="2"/>
  <c r="AA332" i="2" s="1"/>
  <c r="AB332" i="2" s="1"/>
  <c r="X316" i="2"/>
  <c r="AA316" i="2" s="1"/>
  <c r="AB316" i="2" s="1"/>
  <c r="X314" i="2"/>
  <c r="AA314" i="2" s="1"/>
  <c r="AB314" i="2" s="1"/>
  <c r="X312" i="2"/>
  <c r="AA312" i="2" s="1"/>
  <c r="AB312" i="2" s="1"/>
  <c r="X147" i="2"/>
  <c r="AA147" i="2" s="1"/>
  <c r="AB147" i="2" s="1"/>
  <c r="X297" i="2"/>
  <c r="AA297" i="2" s="1"/>
  <c r="AB297" i="2" s="1"/>
  <c r="X282" i="2"/>
  <c r="AA282" i="2" s="1"/>
  <c r="AB282" i="2" s="1"/>
  <c r="X268" i="2"/>
  <c r="AA268" i="2" s="1"/>
  <c r="AB268" i="2" s="1"/>
  <c r="X266" i="2"/>
  <c r="AA266" i="2" s="1"/>
  <c r="AB266" i="2" s="1"/>
  <c r="X145" i="2"/>
  <c r="AA145" i="2" s="1"/>
  <c r="AB145" i="2" s="1"/>
  <c r="X111" i="2"/>
  <c r="AA111" i="2" s="1"/>
  <c r="AB111" i="2" s="1"/>
  <c r="X107" i="2"/>
  <c r="AA107" i="2" s="1"/>
  <c r="AB107" i="2" s="1"/>
  <c r="X265" i="2"/>
  <c r="AA265" i="2" s="1"/>
  <c r="AB265" i="2" s="1"/>
  <c r="X495" i="2"/>
  <c r="AA495" i="2" s="1"/>
  <c r="AB495" i="2" s="1"/>
  <c r="X496" i="2"/>
  <c r="AA496" i="2" s="1"/>
  <c r="AB496" i="2" s="1"/>
  <c r="X427" i="2"/>
  <c r="AA427" i="2" s="1"/>
  <c r="AB427" i="2" s="1"/>
  <c r="X387" i="2"/>
  <c r="AA387" i="2" s="1"/>
  <c r="AB387" i="2" s="1"/>
  <c r="X121" i="2"/>
  <c r="AA121" i="2" s="1"/>
  <c r="AB121" i="2" s="1"/>
  <c r="X119" i="2"/>
  <c r="AA119" i="2" s="1"/>
  <c r="AB119" i="2" s="1"/>
  <c r="X361" i="2"/>
  <c r="AA361" i="2" s="1"/>
  <c r="AB361" i="2" s="1"/>
  <c r="X329" i="2"/>
  <c r="AA329" i="2" s="1"/>
  <c r="AB329" i="2" s="1"/>
  <c r="X104" i="2"/>
  <c r="AA104" i="2" s="1"/>
  <c r="AB104" i="2" s="1"/>
  <c r="X102" i="2"/>
  <c r="AA102" i="2" s="1"/>
  <c r="AB102" i="2" s="1"/>
  <c r="X98" i="2"/>
  <c r="AA98" i="2" s="1"/>
  <c r="AB98" i="2" s="1"/>
  <c r="X94" i="2"/>
  <c r="AA94" i="2" s="1"/>
  <c r="AB94" i="2" s="1"/>
  <c r="X92" i="2"/>
  <c r="AA92" i="2" s="1"/>
  <c r="AB92" i="2" s="1"/>
  <c r="X583" i="2"/>
  <c r="AA583" i="2" s="1"/>
  <c r="AB583" i="2" s="1"/>
  <c r="X567" i="2"/>
  <c r="AA567" i="2" s="1"/>
  <c r="AB567" i="2" s="1"/>
  <c r="X471" i="2"/>
  <c r="AA471" i="2" s="1"/>
  <c r="AB471" i="2" s="1"/>
  <c r="X454" i="2"/>
  <c r="AA454" i="2" s="1"/>
  <c r="AB454" i="2" s="1"/>
  <c r="X402" i="2"/>
  <c r="AA402" i="2" s="1"/>
  <c r="AB402" i="2" s="1"/>
  <c r="X400" i="2"/>
  <c r="AA400" i="2" s="1"/>
  <c r="AB400" i="2" s="1"/>
  <c r="X264" i="2"/>
  <c r="AA264" i="2" s="1"/>
  <c r="AB264" i="2" s="1"/>
  <c r="X83" i="2"/>
  <c r="AA83" i="2" s="1"/>
  <c r="AB83" i="2" s="1"/>
  <c r="X399" i="2"/>
  <c r="AA399" i="2" s="1"/>
  <c r="AB399" i="2" s="1"/>
  <c r="X345" i="2"/>
  <c r="AA345" i="2" s="1"/>
  <c r="AB345" i="2" s="1"/>
  <c r="X294" i="2"/>
  <c r="AA294" i="2" s="1"/>
  <c r="AB294" i="2" s="1"/>
  <c r="X82" i="2"/>
  <c r="AA82" i="2" s="1"/>
  <c r="AB82" i="2" s="1"/>
  <c r="X80" i="2"/>
  <c r="AA80" i="2" s="1"/>
  <c r="AB80" i="2" s="1"/>
  <c r="X78" i="2"/>
  <c r="AA78" i="2" s="1"/>
  <c r="AB78" i="2" s="1"/>
  <c r="X582" i="2"/>
  <c r="AA582" i="2" s="1"/>
  <c r="AB582" i="2" s="1"/>
  <c r="X539" i="2"/>
  <c r="AA539" i="2" s="1"/>
  <c r="AB539" i="2" s="1"/>
  <c r="X74" i="2"/>
  <c r="AA74" i="2" s="1"/>
  <c r="AB74" i="2" s="1"/>
  <c r="X70" i="2"/>
  <c r="AA70" i="2" s="1"/>
  <c r="AB70" i="2" s="1"/>
  <c r="X68" i="2"/>
  <c r="AA68" i="2" s="1"/>
  <c r="AB68" i="2" s="1"/>
  <c r="X67" i="2"/>
  <c r="AA67" i="2" s="1"/>
  <c r="AB67" i="2" s="1"/>
  <c r="X482" i="2"/>
  <c r="AA482" i="2" s="1"/>
  <c r="AB482" i="2" s="1"/>
  <c r="X372" i="2"/>
  <c r="AA372" i="2" s="1"/>
  <c r="AB372" i="2" s="1"/>
  <c r="X343" i="2"/>
  <c r="AA343" i="2" s="1"/>
  <c r="AB343" i="2" s="1"/>
  <c r="X262" i="2"/>
  <c r="X64" i="2"/>
  <c r="AA64" i="2" s="1"/>
  <c r="AB64" i="2" s="1"/>
  <c r="X62" i="2"/>
  <c r="AA62" i="2" s="1"/>
  <c r="AB62" i="2" s="1"/>
  <c r="X60" i="2"/>
  <c r="AA60" i="2" s="1"/>
  <c r="AB60" i="2" s="1"/>
  <c r="X58" i="2"/>
  <c r="AA58" i="2" s="1"/>
  <c r="AB58" i="2" s="1"/>
  <c r="X56" i="2"/>
  <c r="AA56" i="2" s="1"/>
  <c r="AB56" i="2" s="1"/>
  <c r="X54" i="2"/>
  <c r="AA54" i="2" s="1"/>
  <c r="AB54" i="2" s="1"/>
  <c r="X524" i="2"/>
  <c r="AA524" i="2" s="1"/>
  <c r="AB524" i="2" s="1"/>
  <c r="X422" i="2"/>
  <c r="AA422" i="2" s="1"/>
  <c r="AB422" i="2" s="1"/>
  <c r="X360" i="2"/>
  <c r="AA360" i="2" s="1"/>
  <c r="AB360" i="2" s="1"/>
  <c r="X328" i="2"/>
  <c r="AA328" i="2" s="1"/>
  <c r="AB328" i="2" s="1"/>
  <c r="X52" i="2"/>
  <c r="AA52" i="2" s="1"/>
  <c r="AB52" i="2" s="1"/>
  <c r="X50" i="2"/>
  <c r="AA50" i="2" s="1"/>
  <c r="AB50" i="2" s="1"/>
  <c r="X46" i="2"/>
  <c r="AA46" i="2" s="1"/>
  <c r="AB46" i="2" s="1"/>
  <c r="X44" i="2"/>
  <c r="AA44" i="2" s="1"/>
  <c r="AB44" i="2" s="1"/>
  <c r="X42" i="2"/>
  <c r="AA42" i="2" s="1"/>
  <c r="AB42" i="2" s="1"/>
  <c r="X38" i="2"/>
  <c r="AA38" i="2" s="1"/>
  <c r="AB38" i="2" s="1"/>
  <c r="X36" i="2"/>
  <c r="AA36" i="2" s="1"/>
  <c r="AB36" i="2" s="1"/>
  <c r="X469" i="2"/>
  <c r="AA469" i="2" s="1"/>
  <c r="AB469" i="2" s="1"/>
  <c r="X33" i="2"/>
  <c r="AA33" i="2" s="1"/>
  <c r="AB33" i="2" s="1"/>
  <c r="X27" i="2"/>
  <c r="AA27" i="2" s="1"/>
  <c r="AB27" i="2" s="1"/>
  <c r="X573" i="2"/>
  <c r="AA573" i="2" s="1"/>
  <c r="AB573" i="2" s="1"/>
  <c r="X541" i="2"/>
  <c r="AA541" i="2" s="1"/>
  <c r="AB541" i="2" s="1"/>
  <c r="X537" i="2"/>
  <c r="AA537" i="2" s="1"/>
  <c r="AB537" i="2" s="1"/>
  <c r="X530" i="2"/>
  <c r="AA530" i="2" s="1"/>
  <c r="AB530" i="2" s="1"/>
  <c r="X320" i="2"/>
  <c r="AA320" i="2" s="1"/>
  <c r="AB320" i="2" s="1"/>
  <c r="X126" i="2"/>
  <c r="AA126" i="2" s="1"/>
  <c r="AB126" i="2" s="1"/>
  <c r="X118" i="2"/>
  <c r="AA118" i="2" s="1"/>
  <c r="AB118" i="2" s="1"/>
  <c r="X191" i="2"/>
  <c r="AA191" i="2" s="1"/>
  <c r="AB191" i="2" s="1"/>
  <c r="X302" i="2"/>
  <c r="AA302" i="2" s="1"/>
  <c r="AB302" i="2" s="1"/>
  <c r="X272" i="2"/>
  <c r="AA272" i="2" s="1"/>
  <c r="AB272" i="2" s="1"/>
  <c r="X116" i="2"/>
  <c r="AA116" i="2" s="1"/>
  <c r="AB116" i="2" s="1"/>
  <c r="X185" i="2"/>
  <c r="AA185" i="2" s="1"/>
  <c r="AB185" i="2" s="1"/>
  <c r="X144" i="2"/>
  <c r="AA144" i="2" s="1"/>
  <c r="AB144" i="2" s="1"/>
  <c r="X134" i="2"/>
  <c r="AA134" i="2" s="1"/>
  <c r="AB134" i="2" s="1"/>
  <c r="X386" i="2"/>
  <c r="AA386" i="2" s="1"/>
  <c r="AB386" i="2" s="1"/>
  <c r="X211" i="2"/>
  <c r="AA211" i="2" s="1"/>
  <c r="AB211" i="2" s="1"/>
  <c r="X175" i="2"/>
  <c r="AA175" i="2" s="1"/>
  <c r="AB175" i="2" s="1"/>
  <c r="X183" i="2"/>
  <c r="AA183" i="2" s="1"/>
  <c r="AB183" i="2" s="1"/>
  <c r="X522" i="2"/>
  <c r="AA522" i="2" s="1"/>
  <c r="AB522" i="2" s="1"/>
  <c r="X75" i="2"/>
  <c r="AA75" i="2" s="1"/>
  <c r="AB75" i="2" s="1"/>
  <c r="X493" i="2"/>
  <c r="AA493" i="2" s="1"/>
  <c r="AB493" i="2" s="1"/>
  <c r="X393" i="2"/>
  <c r="AA393" i="2" s="1"/>
  <c r="AB393" i="2" s="1"/>
  <c r="X479" i="2"/>
  <c r="AA479" i="2" s="1"/>
  <c r="AB479" i="2" s="1"/>
  <c r="X465" i="2"/>
  <c r="AA465" i="2" s="1"/>
  <c r="AB465" i="2" s="1"/>
  <c r="X253" i="2"/>
  <c r="AA253" i="2" s="1"/>
  <c r="AB253" i="2" s="1"/>
  <c r="X450" i="2"/>
  <c r="AA450" i="2" s="1"/>
  <c r="AB450" i="2" s="1"/>
  <c r="X251" i="2"/>
  <c r="AA251" i="2" s="1"/>
  <c r="AB251" i="2" s="1"/>
  <c r="X500" i="2"/>
  <c r="AA500" i="2" s="1"/>
  <c r="AB500" i="2" s="1"/>
  <c r="X397" i="2"/>
  <c r="AA397" i="2" s="1"/>
  <c r="AB397" i="2" s="1"/>
  <c r="X448" i="2"/>
  <c r="AA448" i="2" s="1"/>
  <c r="AB448" i="2" s="1"/>
  <c r="X507" i="2"/>
  <c r="AA507" i="2" s="1"/>
  <c r="AB507" i="2" s="1"/>
  <c r="X520" i="2"/>
  <c r="AA520" i="2" s="1"/>
  <c r="AB520" i="2" s="1"/>
  <c r="X290" i="2"/>
  <c r="AA290" i="2" s="1"/>
  <c r="AB290" i="2" s="1"/>
  <c r="X247" i="2"/>
  <c r="AA247" i="2" s="1"/>
  <c r="AB247" i="2" s="1"/>
  <c r="X443" i="2"/>
  <c r="AA443" i="2" s="1"/>
  <c r="AB443" i="2" s="1"/>
  <c r="X322" i="2"/>
  <c r="AA322" i="2" s="1"/>
  <c r="AB322" i="2" s="1"/>
  <c r="X441" i="2"/>
  <c r="AA441" i="2" s="1"/>
  <c r="AB441" i="2" s="1"/>
  <c r="X439" i="2"/>
  <c r="AA439" i="2" s="1"/>
  <c r="AB439" i="2" s="1"/>
  <c r="X499" i="2"/>
  <c r="AA499" i="2" s="1"/>
  <c r="AB499" i="2" s="1"/>
  <c r="X337" i="2"/>
  <c r="AA337" i="2" s="1"/>
  <c r="AB337" i="2" s="1"/>
  <c r="X411" i="2"/>
  <c r="AA411" i="2" s="1"/>
  <c r="AB411" i="2" s="1"/>
  <c r="X237" i="2"/>
  <c r="AA237" i="2" s="1"/>
  <c r="AB237" i="2" s="1"/>
  <c r="X409" i="2"/>
  <c r="AA409" i="2" s="1"/>
  <c r="AB409" i="2" s="1"/>
  <c r="X570" i="2"/>
  <c r="AA570" i="2" s="1"/>
  <c r="AB570" i="2" s="1"/>
  <c r="X354" i="2"/>
  <c r="AA354" i="2" s="1"/>
  <c r="AB354" i="2" s="1"/>
  <c r="X438" i="2"/>
  <c r="AA438" i="2" s="1"/>
  <c r="AB438" i="2" s="1"/>
  <c r="X222" i="2"/>
  <c r="AA222" i="2" s="1"/>
  <c r="AB222" i="2" s="1"/>
  <c r="X220" i="2"/>
  <c r="AA220" i="2" s="1"/>
  <c r="AB220" i="2" s="1"/>
  <c r="X218" i="2"/>
  <c r="AA218" i="2" s="1"/>
  <c r="AB218" i="2" s="1"/>
  <c r="X212" i="2"/>
  <c r="AA212" i="2" s="1"/>
  <c r="AB212" i="2" s="1"/>
  <c r="X208" i="2"/>
  <c r="AA208" i="2" s="1"/>
  <c r="AB208" i="2" s="1"/>
  <c r="X206" i="2"/>
  <c r="AA206" i="2" s="1"/>
  <c r="AB206" i="2" s="1"/>
  <c r="X204" i="2"/>
  <c r="AA204" i="2" s="1"/>
  <c r="AB204" i="2" s="1"/>
  <c r="X542" i="2"/>
  <c r="AA542" i="2" s="1"/>
  <c r="AB542" i="2" s="1"/>
  <c r="X199" i="2"/>
  <c r="AA199" i="2" s="1"/>
  <c r="AB199" i="2" s="1"/>
  <c r="X193" i="2"/>
  <c r="AA193" i="2" s="1"/>
  <c r="AB193" i="2" s="1"/>
  <c r="X286" i="2"/>
  <c r="AA286" i="2" s="1"/>
  <c r="AB286" i="2" s="1"/>
  <c r="X433" i="2"/>
  <c r="AA433" i="2" s="1"/>
  <c r="AB433" i="2" s="1"/>
  <c r="X180" i="2"/>
  <c r="AA180" i="2" s="1"/>
  <c r="AB180" i="2" s="1"/>
  <c r="X318" i="2"/>
  <c r="AA318" i="2" s="1"/>
  <c r="AB318" i="2" s="1"/>
  <c r="X178" i="2"/>
  <c r="AA178" i="2" s="1"/>
  <c r="AB178" i="2" s="1"/>
  <c r="X176" i="2"/>
  <c r="AA176" i="2" s="1"/>
  <c r="AB176" i="2" s="1"/>
  <c r="X165" i="2"/>
  <c r="AA165" i="2" s="1"/>
  <c r="AB165" i="2" s="1"/>
  <c r="X161" i="2"/>
  <c r="AA161" i="2" s="1"/>
  <c r="AB161" i="2" s="1"/>
  <c r="X159" i="2"/>
  <c r="AA159" i="2" s="1"/>
  <c r="AB159" i="2" s="1"/>
  <c r="X155" i="2"/>
  <c r="AA155" i="2" s="1"/>
  <c r="AB155" i="2" s="1"/>
  <c r="X153" i="2"/>
  <c r="AA153" i="2" s="1"/>
  <c r="AB153" i="2" s="1"/>
  <c r="X151" i="2"/>
  <c r="AA151" i="2" s="1"/>
  <c r="AB151" i="2" s="1"/>
  <c r="X149" i="2"/>
  <c r="AA149" i="2" s="1"/>
  <c r="AB149" i="2" s="1"/>
  <c r="X135" i="2"/>
  <c r="AA135" i="2" s="1"/>
  <c r="AB135" i="2" s="1"/>
  <c r="X133" i="2"/>
  <c r="AA133" i="2" s="1"/>
  <c r="AB133" i="2" s="1"/>
  <c r="X131" i="2"/>
  <c r="AA131" i="2" s="1"/>
  <c r="AB131" i="2" s="1"/>
  <c r="X129" i="2"/>
  <c r="AA129" i="2" s="1"/>
  <c r="AB129" i="2" s="1"/>
  <c r="X72" i="2"/>
  <c r="AA72" i="2" s="1"/>
  <c r="AB72" i="2" s="1"/>
  <c r="X48" i="2"/>
  <c r="AA48" i="2" s="1"/>
  <c r="AB48" i="2" s="1"/>
  <c r="X23" i="2"/>
  <c r="AA23" i="2" s="1"/>
  <c r="AB23" i="2" s="1"/>
  <c r="X21" i="2"/>
  <c r="AA21" i="2" s="1"/>
  <c r="AB21" i="2" s="1"/>
  <c r="X19" i="2"/>
  <c r="AA19" i="2" s="1"/>
  <c r="AB19" i="2" s="1"/>
  <c r="X334" i="2"/>
  <c r="AA334" i="2" s="1"/>
  <c r="AB334" i="2" s="1"/>
  <c r="X232" i="2"/>
  <c r="AA232" i="2" s="1"/>
  <c r="AB232" i="2" s="1"/>
  <c r="X449" i="2"/>
  <c r="AA449" i="2" s="1"/>
  <c r="AB449" i="2" s="1"/>
  <c r="X447" i="2"/>
  <c r="AA447" i="2" s="1"/>
  <c r="AB447" i="2" s="1"/>
  <c r="X445" i="2"/>
  <c r="AA445" i="2" s="1"/>
  <c r="AB445" i="2" s="1"/>
  <c r="X568" i="2"/>
  <c r="AA568" i="2" s="1"/>
  <c r="AB568" i="2" s="1"/>
  <c r="X490" i="2"/>
  <c r="AA490" i="2" s="1"/>
  <c r="AB490" i="2" s="1"/>
  <c r="X489" i="2"/>
  <c r="AA489" i="2" s="1"/>
  <c r="AB489" i="2" s="1"/>
  <c r="X440" i="2"/>
  <c r="AA440" i="2" s="1"/>
  <c r="AB440" i="2" s="1"/>
  <c r="X336" i="2"/>
  <c r="AA336" i="2" s="1"/>
  <c r="AB336" i="2" s="1"/>
  <c r="X287" i="2"/>
  <c r="AA287" i="2" s="1"/>
  <c r="AB287" i="2" s="1"/>
  <c r="X366" i="2"/>
  <c r="AA366" i="2" s="1"/>
  <c r="AB366" i="2" s="1"/>
  <c r="X540" i="2"/>
  <c r="AA540" i="2" s="1"/>
  <c r="AB540" i="2" s="1"/>
  <c r="X285" i="2"/>
  <c r="AA285" i="2" s="1"/>
  <c r="AB285" i="2" s="1"/>
  <c r="X455" i="2"/>
  <c r="AA455" i="2" s="1"/>
  <c r="AB455" i="2" s="1"/>
  <c r="X509" i="2"/>
  <c r="AA509" i="2" s="1"/>
  <c r="AB509" i="2" s="1"/>
  <c r="X473" i="2"/>
  <c r="AA473" i="2" s="1"/>
  <c r="AB473" i="2" s="1"/>
  <c r="X364" i="2"/>
  <c r="AA364" i="2" s="1"/>
  <c r="AB364" i="2" s="1"/>
  <c r="X313" i="2"/>
  <c r="AA313" i="2" s="1"/>
  <c r="AB313" i="2" s="1"/>
  <c r="X525" i="2"/>
  <c r="AA525" i="2" s="1"/>
  <c r="AB525" i="2" s="1"/>
  <c r="X291" i="2"/>
  <c r="AA291" i="2" s="1"/>
  <c r="AB291" i="2" s="1"/>
  <c r="X451" i="2"/>
  <c r="AA451" i="2" s="1"/>
  <c r="AB451" i="2" s="1"/>
  <c r="X501" i="2"/>
  <c r="AA501" i="2" s="1"/>
  <c r="AB501" i="2" s="1"/>
  <c r="X477" i="2"/>
  <c r="AA477" i="2" s="1"/>
  <c r="AB477" i="2" s="1"/>
  <c r="X511" i="2"/>
  <c r="AA511" i="2" s="1"/>
  <c r="AB511" i="2" s="1"/>
  <c r="X535" i="2"/>
  <c r="AA535" i="2" s="1"/>
  <c r="AB535" i="2" s="1"/>
  <c r="X368" i="2"/>
  <c r="AA368" i="2" s="1"/>
  <c r="AB368" i="2" s="1"/>
  <c r="X459" i="2"/>
  <c r="AA459" i="2" s="1"/>
  <c r="AB459" i="2" s="1"/>
  <c r="X381" i="2"/>
  <c r="AA381" i="2" s="1"/>
  <c r="AB381" i="2" s="1"/>
  <c r="X475" i="2"/>
  <c r="AA475" i="2" s="1"/>
  <c r="AB475" i="2" s="1"/>
  <c r="X419" i="2"/>
  <c r="AA419" i="2" s="1"/>
  <c r="AB419" i="2" s="1"/>
  <c r="X229" i="2"/>
  <c r="AA229" i="2" s="1"/>
  <c r="AB229" i="2" s="1"/>
  <c r="X227" i="2"/>
  <c r="AA227" i="2" s="1"/>
  <c r="AB227" i="2" s="1"/>
  <c r="X225" i="2"/>
  <c r="AA225" i="2" s="1"/>
  <c r="AB225" i="2" s="1"/>
  <c r="X223" i="2"/>
  <c r="AA223" i="2" s="1"/>
  <c r="AB223" i="2" s="1"/>
  <c r="X221" i="2"/>
  <c r="AA221" i="2" s="1"/>
  <c r="AB221" i="2" s="1"/>
  <c r="X219" i="2"/>
  <c r="AA219" i="2" s="1"/>
  <c r="AB219" i="2" s="1"/>
  <c r="X217" i="2"/>
  <c r="AA217" i="2" s="1"/>
  <c r="AB217" i="2" s="1"/>
  <c r="X215" i="2"/>
  <c r="AA215" i="2" s="1"/>
  <c r="AB215" i="2" s="1"/>
  <c r="X207" i="2"/>
  <c r="AA207" i="2" s="1"/>
  <c r="AB207" i="2" s="1"/>
  <c r="X205" i="2"/>
  <c r="AA205" i="2" s="1"/>
  <c r="AB205" i="2" s="1"/>
  <c r="X379" i="2"/>
  <c r="AA379" i="2" s="1"/>
  <c r="AB379" i="2" s="1"/>
  <c r="X203" i="2"/>
  <c r="AA203" i="2" s="1"/>
  <c r="AB203" i="2" s="1"/>
  <c r="X187" i="2"/>
  <c r="AA187" i="2" s="1"/>
  <c r="AB187" i="2" s="1"/>
  <c r="X181" i="2"/>
  <c r="AA181" i="2" s="1"/>
  <c r="AB181" i="2" s="1"/>
  <c r="X103" i="2"/>
  <c r="AA103" i="2" s="1"/>
  <c r="AB103" i="2" s="1"/>
  <c r="X59" i="2"/>
  <c r="AA59" i="2" s="1"/>
  <c r="AB59" i="2" s="1"/>
  <c r="X49" i="2"/>
  <c r="AA49" i="2" s="1"/>
  <c r="AB49" i="2" s="1"/>
  <c r="X24" i="2"/>
  <c r="AA24" i="2" s="1"/>
  <c r="AB24" i="2" s="1"/>
  <c r="X22" i="2"/>
  <c r="AA22" i="2" s="1"/>
  <c r="AB22" i="2" s="1"/>
  <c r="X20" i="2"/>
  <c r="AA20" i="2" s="1"/>
  <c r="AB20" i="2" s="1"/>
  <c r="X16" i="2"/>
  <c r="AA16" i="2" s="1"/>
  <c r="AB16" i="2" s="1"/>
  <c r="X13" i="2"/>
  <c r="AA13" i="2" s="1"/>
  <c r="AB13" i="2" s="1"/>
  <c r="X11" i="2"/>
  <c r="AA11" i="2" s="1"/>
  <c r="AB11" i="2" s="1"/>
  <c r="X9" i="2"/>
  <c r="AA9" i="2" s="1"/>
  <c r="AB9" i="2" s="1"/>
  <c r="X437" i="2"/>
  <c r="AA437" i="2" s="1"/>
  <c r="AB437" i="2" s="1"/>
  <c r="X300" i="2"/>
  <c r="AA300" i="2" s="1"/>
  <c r="AB300" i="2" s="1"/>
  <c r="X417" i="2"/>
  <c r="AA417" i="2" s="1"/>
  <c r="AB417" i="2" s="1"/>
  <c r="X457" i="2"/>
  <c r="AA457" i="2" s="1"/>
  <c r="AB457" i="2" s="1"/>
  <c r="X288" i="2"/>
  <c r="AA288" i="2" s="1"/>
  <c r="AB288" i="2" s="1"/>
  <c r="X248" i="2"/>
  <c r="AA248" i="2" s="1"/>
  <c r="AB248" i="2" s="1"/>
  <c r="X246" i="2"/>
  <c r="AA246" i="2" s="1"/>
  <c r="AB246" i="2" s="1"/>
  <c r="X244" i="2"/>
  <c r="AA244" i="2" s="1"/>
  <c r="AB244" i="2" s="1"/>
  <c r="X242" i="2"/>
  <c r="AA242" i="2" s="1"/>
  <c r="AB242" i="2" s="1"/>
  <c r="X238" i="2"/>
  <c r="AA238" i="2" s="1"/>
  <c r="AB238" i="2" s="1"/>
  <c r="X216" i="2"/>
  <c r="AA216" i="2" s="1"/>
  <c r="AB216" i="2" s="1"/>
  <c r="X214" i="2"/>
  <c r="AA214" i="2" s="1"/>
  <c r="AB214" i="2" s="1"/>
  <c r="X210" i="2"/>
  <c r="AA210" i="2" s="1"/>
  <c r="AB210" i="2" s="1"/>
  <c r="X202" i="2"/>
  <c r="AA202" i="2" s="1"/>
  <c r="AB202" i="2" s="1"/>
  <c r="X200" i="2"/>
  <c r="AA200" i="2" s="1"/>
  <c r="AB200" i="2" s="1"/>
  <c r="X198" i="2"/>
  <c r="AA198" i="2" s="1"/>
  <c r="AB198" i="2" s="1"/>
  <c r="X194" i="2"/>
  <c r="AA194" i="2" s="1"/>
  <c r="AB194" i="2" s="1"/>
  <c r="X192" i="2"/>
  <c r="AA192" i="2" s="1"/>
  <c r="AB192" i="2" s="1"/>
  <c r="X186" i="2"/>
  <c r="AA186" i="2" s="1"/>
  <c r="AB186" i="2" s="1"/>
  <c r="X184" i="2"/>
  <c r="AA184" i="2" s="1"/>
  <c r="AB184" i="2" s="1"/>
  <c r="X182" i="2"/>
  <c r="AA182" i="2" s="1"/>
  <c r="AB182" i="2" s="1"/>
  <c r="X172" i="2"/>
  <c r="AA172" i="2" s="1"/>
  <c r="AB172" i="2" s="1"/>
  <c r="X160" i="2"/>
  <c r="AA160" i="2" s="1"/>
  <c r="AB160" i="2" s="1"/>
  <c r="X158" i="2"/>
  <c r="AA158" i="2" s="1"/>
  <c r="AB158" i="2" s="1"/>
  <c r="X156" i="2"/>
  <c r="AA156" i="2" s="1"/>
  <c r="AB156" i="2" s="1"/>
  <c r="X152" i="2"/>
  <c r="AA152" i="2" s="1"/>
  <c r="AB152" i="2" s="1"/>
  <c r="X150" i="2"/>
  <c r="AA150" i="2" s="1"/>
  <c r="AB150" i="2" s="1"/>
  <c r="X148" i="2"/>
  <c r="AA148" i="2" s="1"/>
  <c r="AB148" i="2" s="1"/>
  <c r="X132" i="2"/>
  <c r="AA132" i="2" s="1"/>
  <c r="AB132" i="2" s="1"/>
  <c r="X128" i="2"/>
  <c r="AA128" i="2" s="1"/>
  <c r="AB128" i="2" s="1"/>
  <c r="X124" i="2"/>
  <c r="AA124" i="2" s="1"/>
  <c r="AB124" i="2" s="1"/>
  <c r="X122" i="2"/>
  <c r="AA122" i="2" s="1"/>
  <c r="AB122" i="2" s="1"/>
  <c r="X120" i="2"/>
  <c r="AA120" i="2" s="1"/>
  <c r="AB120" i="2" s="1"/>
  <c r="X100" i="2"/>
  <c r="AA100" i="2" s="1"/>
  <c r="AB100" i="2" s="1"/>
  <c r="X88" i="2"/>
  <c r="AA88" i="2" s="1"/>
  <c r="AB88" i="2" s="1"/>
  <c r="X76" i="2"/>
  <c r="AA76" i="2" s="1"/>
  <c r="AB76" i="2" s="1"/>
  <c r="X40" i="2"/>
  <c r="AA40" i="2" s="1"/>
  <c r="AB40" i="2" s="1"/>
  <c r="X25" i="2"/>
  <c r="AA25" i="2" s="1"/>
  <c r="AB25" i="2" s="1"/>
  <c r="X17" i="2"/>
  <c r="AA17" i="2" s="1"/>
  <c r="AB17" i="2" s="1"/>
  <c r="X15" i="2"/>
  <c r="AA15" i="2" s="1"/>
  <c r="AB15" i="2" s="1"/>
  <c r="X10" i="2"/>
  <c r="AA10" i="2" s="1"/>
  <c r="AB10" i="2" s="1"/>
  <c r="X250" i="2"/>
  <c r="AA250" i="2" s="1"/>
  <c r="AB250" i="2" s="1"/>
  <c r="X551" i="2"/>
  <c r="AA551" i="2" s="1"/>
  <c r="AB551" i="2" s="1"/>
  <c r="X534" i="2"/>
  <c r="AA534" i="2" s="1"/>
  <c r="AB534" i="2" s="1"/>
  <c r="X571" i="2"/>
  <c r="AA571" i="2" s="1"/>
  <c r="AB571" i="2" s="1"/>
  <c r="X464" i="2"/>
  <c r="AA464" i="2" s="1"/>
  <c r="AB464" i="2" s="1"/>
  <c r="X486" i="2"/>
  <c r="AA486" i="2" s="1"/>
  <c r="AB486" i="2" s="1"/>
  <c r="X518" i="2"/>
  <c r="AA518" i="2" s="1"/>
  <c r="AB518" i="2" s="1"/>
  <c r="X506" i="2"/>
  <c r="AA506" i="2" s="1"/>
  <c r="AB506" i="2" s="1"/>
  <c r="X406" i="2"/>
  <c r="AA406" i="2" s="1"/>
  <c r="AB406" i="2" s="1"/>
  <c r="X392" i="2"/>
  <c r="AA392" i="2" s="1"/>
  <c r="AB392" i="2" s="1"/>
  <c r="X378" i="2"/>
  <c r="AA378" i="2" s="1"/>
  <c r="AB378" i="2" s="1"/>
  <c r="X432" i="2"/>
  <c r="AA432" i="2" s="1"/>
  <c r="AB432" i="2" s="1"/>
  <c r="X498" i="2"/>
  <c r="AA498" i="2" s="1"/>
  <c r="AB498" i="2" s="1"/>
  <c r="X333" i="2"/>
  <c r="AA333" i="2" s="1"/>
  <c r="AB333" i="2" s="1"/>
  <c r="X390" i="2"/>
  <c r="AA390" i="2" s="1"/>
  <c r="AB390" i="2" s="1"/>
  <c r="X428" i="2"/>
  <c r="AA428" i="2" s="1"/>
  <c r="AB428" i="2" s="1"/>
  <c r="X452" i="2"/>
  <c r="AA452" i="2" s="1"/>
  <c r="AB452" i="2" s="1"/>
  <c r="X252" i="2"/>
  <c r="AA252" i="2" s="1"/>
  <c r="AB252" i="2" s="1"/>
  <c r="X357" i="2"/>
  <c r="AA357" i="2" s="1"/>
  <c r="AB357" i="2" s="1"/>
  <c r="X382" i="2"/>
  <c r="AA382" i="2" s="1"/>
  <c r="AB382" i="2" s="1"/>
  <c r="X339" i="2"/>
  <c r="AA339" i="2" s="1"/>
  <c r="AB339" i="2" s="1"/>
  <c r="X369" i="2"/>
  <c r="AA369" i="2" s="1"/>
  <c r="AB369" i="2" s="1"/>
  <c r="X396" i="2"/>
  <c r="AA396" i="2" s="1"/>
  <c r="AB396" i="2" s="1"/>
  <c r="X420" i="2"/>
  <c r="AA420" i="2" s="1"/>
  <c r="AB420" i="2" s="1"/>
  <c r="X446" i="2"/>
  <c r="AA446" i="2" s="1"/>
  <c r="AB446" i="2" s="1"/>
  <c r="X444" i="2"/>
  <c r="AA444" i="2" s="1"/>
  <c r="AB444" i="2" s="1"/>
  <c r="X476" i="2"/>
  <c r="AA476" i="2" s="1"/>
  <c r="AB476" i="2" s="1"/>
  <c r="X563" i="2"/>
  <c r="AA563" i="2" s="1"/>
  <c r="AB563" i="2" s="1"/>
  <c r="X458" i="2"/>
  <c r="AA458" i="2" s="1"/>
  <c r="AB458" i="2" s="1"/>
  <c r="X545" i="2"/>
  <c r="AA545" i="2" s="1"/>
  <c r="AB545" i="2" s="1"/>
  <c r="X367" i="2"/>
  <c r="AA367" i="2" s="1"/>
  <c r="AB367" i="2" s="1"/>
  <c r="X488" i="2"/>
  <c r="AA488" i="2" s="1"/>
  <c r="AB488" i="2" s="1"/>
  <c r="X418" i="2"/>
  <c r="AA418" i="2" s="1"/>
  <c r="AB418" i="2" s="1"/>
  <c r="X394" i="2"/>
  <c r="AA394" i="2" s="1"/>
  <c r="AB394" i="2" s="1"/>
  <c r="X410" i="2"/>
  <c r="AA410" i="2" s="1"/>
  <c r="AB410" i="2" s="1"/>
  <c r="X474" i="2"/>
  <c r="AA474" i="2" s="1"/>
  <c r="AB474" i="2" s="1"/>
  <c r="X487" i="2"/>
  <c r="AA487" i="2" s="1"/>
  <c r="AB487" i="2" s="1"/>
  <c r="X561" i="2"/>
  <c r="AA561" i="2" s="1"/>
  <c r="AB561" i="2" s="1"/>
  <c r="X550" i="2"/>
  <c r="AA550" i="2" s="1"/>
  <c r="AB550" i="2" s="1"/>
  <c r="X273" i="2"/>
  <c r="AA273" i="2" s="1"/>
  <c r="AB273" i="2" s="1"/>
  <c r="X436" i="2"/>
  <c r="AA436" i="2" s="1"/>
  <c r="AB436" i="2" s="1"/>
  <c r="X408" i="2"/>
  <c r="AA408" i="2" s="1"/>
  <c r="AB408" i="2" s="1"/>
  <c r="X575" i="2"/>
  <c r="AA575" i="2" s="1"/>
  <c r="AB575" i="2" s="1"/>
  <c r="X519" i="2"/>
  <c r="AA519" i="2" s="1"/>
  <c r="AB519" i="2" s="1"/>
  <c r="X353" i="2"/>
  <c r="AA353" i="2" s="1"/>
  <c r="AB353" i="2" s="1"/>
  <c r="X407" i="2"/>
  <c r="AA407" i="2" s="1"/>
  <c r="AB407" i="2" s="1"/>
  <c r="X416" i="2"/>
  <c r="AA416" i="2" s="1"/>
  <c r="AB416" i="2" s="1"/>
  <c r="X271" i="2"/>
  <c r="AA271" i="2" s="1"/>
  <c r="AB271" i="2" s="1"/>
  <c r="X435" i="2"/>
  <c r="AA435" i="2" s="1"/>
  <c r="AB435" i="2" s="1"/>
  <c r="X351" i="2"/>
  <c r="AA351" i="2" s="1"/>
  <c r="AB351" i="2" s="1"/>
  <c r="X434" i="2"/>
  <c r="AA434" i="2" s="1"/>
  <c r="AB434" i="2" s="1"/>
  <c r="X405" i="2"/>
  <c r="AA405" i="2" s="1"/>
  <c r="AB405" i="2" s="1"/>
  <c r="X564" i="2"/>
  <c r="AA564" i="2" s="1"/>
  <c r="AB564" i="2" s="1"/>
  <c r="X456" i="2"/>
  <c r="AA456" i="2" s="1"/>
  <c r="AB456" i="2" s="1"/>
  <c r="X415" i="2"/>
  <c r="AA415" i="2" s="1"/>
  <c r="AB415" i="2" s="1"/>
  <c r="X510" i="2"/>
  <c r="AA510" i="2" s="1"/>
  <c r="AB510" i="2" s="1"/>
  <c r="X391" i="2"/>
  <c r="AA391" i="2" s="1"/>
  <c r="AB391" i="2" s="1"/>
  <c r="X284" i="2"/>
  <c r="AA284" i="2" s="1"/>
  <c r="AB284" i="2" s="1"/>
  <c r="X517" i="2"/>
  <c r="AA517" i="2" s="1"/>
  <c r="AB517" i="2" s="1"/>
  <c r="X544" i="2"/>
  <c r="AA544" i="2" s="1"/>
  <c r="AB544" i="2" s="1"/>
  <c r="X562" i="2"/>
  <c r="AA562" i="2" s="1"/>
  <c r="AB562" i="2" s="1"/>
  <c r="X375" i="2"/>
  <c r="AA375" i="2" s="1"/>
  <c r="AB375" i="2" s="1"/>
  <c r="X527" i="2"/>
  <c r="AA527" i="2" s="1"/>
  <c r="AB527" i="2" s="1"/>
  <c r="X298" i="2"/>
  <c r="AA298" i="2" s="1"/>
  <c r="AB298" i="2" s="1"/>
  <c r="X430" i="2"/>
  <c r="AA430" i="2" s="1"/>
  <c r="AB430" i="2" s="1"/>
  <c r="X554" i="2"/>
  <c r="AA554" i="2" s="1"/>
  <c r="AB554" i="2" s="1"/>
  <c r="X317" i="2"/>
  <c r="AA317" i="2" s="1"/>
  <c r="AB317" i="2" s="1"/>
  <c r="X349" i="2"/>
  <c r="AA349" i="2" s="1"/>
  <c r="AB349" i="2" s="1"/>
  <c r="X315" i="2"/>
  <c r="AA315" i="2" s="1"/>
  <c r="AB315" i="2" s="1"/>
  <c r="X485" i="2"/>
  <c r="AA485" i="2" s="1"/>
  <c r="AB485" i="2" s="1"/>
  <c r="X267" i="2"/>
  <c r="AA267" i="2" s="1"/>
  <c r="AB267" i="2" s="1"/>
  <c r="X515" i="2"/>
  <c r="AA515" i="2" s="1"/>
  <c r="AB515" i="2" s="1"/>
  <c r="X373" i="2"/>
  <c r="AA373" i="2" s="1"/>
  <c r="AB373" i="2" s="1"/>
  <c r="X311" i="2"/>
  <c r="AA311" i="2" s="1"/>
  <c r="AB311" i="2" s="1"/>
  <c r="X403" i="2"/>
  <c r="AA403" i="2" s="1"/>
  <c r="AB403" i="2" s="1"/>
  <c r="X347" i="2"/>
  <c r="AA347" i="2" s="1"/>
  <c r="AB347" i="2" s="1"/>
  <c r="X346" i="2"/>
  <c r="AA346" i="2" s="1"/>
  <c r="AB346" i="2" s="1"/>
  <c r="X426" i="2"/>
  <c r="AA426" i="2" s="1"/>
  <c r="AB426" i="2" s="1"/>
  <c r="X308" i="2"/>
  <c r="AA308" i="2" s="1"/>
  <c r="AB308" i="2" s="1"/>
  <c r="X578" i="2"/>
  <c r="AA578" i="2" s="1"/>
  <c r="AB578" i="2" s="1"/>
  <c r="X505" i="2"/>
  <c r="AA505" i="2" s="1"/>
  <c r="AB505" i="2" s="1"/>
  <c r="X277" i="2"/>
  <c r="AA277" i="2" s="1"/>
  <c r="AB277" i="2" s="1"/>
  <c r="X565" i="2"/>
  <c r="AA565" i="2" s="1"/>
  <c r="AB565" i="2" s="1"/>
  <c r="X398" i="2"/>
  <c r="AA398" i="2" s="1"/>
  <c r="AB398" i="2" s="1"/>
  <c r="X306" i="2"/>
  <c r="AA306" i="2" s="1"/>
  <c r="AB306" i="2" s="1"/>
  <c r="X424" i="2"/>
  <c r="AA424" i="2" s="1"/>
  <c r="AB424" i="2" s="1"/>
  <c r="X292" i="2"/>
  <c r="AA292" i="2" s="1"/>
  <c r="AB292" i="2" s="1"/>
  <c r="X481" i="2"/>
  <c r="AA481" i="2" s="1"/>
  <c r="AB481" i="2" s="1"/>
  <c r="X414" i="2"/>
  <c r="AA414" i="2" s="1"/>
  <c r="AB414" i="2" s="1"/>
  <c r="X327" i="2"/>
  <c r="AA327" i="2" s="1"/>
  <c r="AB327" i="2" s="1"/>
  <c r="X341" i="2"/>
  <c r="AA341" i="2" s="1"/>
  <c r="AB341" i="2" s="1"/>
  <c r="X383" i="2"/>
  <c r="AA383" i="2" s="1"/>
  <c r="AB383" i="2" s="1"/>
  <c r="X521" i="2"/>
  <c r="AA521" i="2" s="1"/>
  <c r="AB521" i="2" s="1"/>
  <c r="X503" i="2"/>
  <c r="AA503" i="2" s="1"/>
  <c r="AB503" i="2" s="1"/>
  <c r="X529" i="2"/>
  <c r="AA529" i="2" s="1"/>
  <c r="AB529" i="2" s="1"/>
  <c r="X461" i="2"/>
  <c r="AA461" i="2" s="1"/>
  <c r="AB461" i="2" s="1"/>
  <c r="X467" i="2"/>
  <c r="AA467" i="2" s="1"/>
  <c r="AB467" i="2" s="1"/>
  <c r="X261" i="2"/>
  <c r="AA261" i="2" s="1"/>
  <c r="AB261" i="2" s="1"/>
  <c r="X276" i="2"/>
  <c r="AA276" i="2" s="1"/>
  <c r="AB276" i="2" s="1"/>
  <c r="X502" i="2"/>
  <c r="AA502" i="2" s="1"/>
  <c r="AB502" i="2" s="1"/>
  <c r="X358" i="2"/>
  <c r="AA358" i="2" s="1"/>
  <c r="AB358" i="2" s="1"/>
  <c r="X508" i="2"/>
  <c r="AA508" i="2" s="1"/>
  <c r="AB508" i="2" s="1"/>
  <c r="X577" i="2"/>
  <c r="AA577" i="2" s="1"/>
  <c r="AB577" i="2" s="1"/>
  <c r="X480" i="2"/>
  <c r="AA480" i="2" s="1"/>
  <c r="AB480" i="2" s="1"/>
  <c r="X388" i="2"/>
  <c r="AA388" i="2" s="1"/>
  <c r="AB388" i="2" s="1"/>
  <c r="X362" i="2"/>
  <c r="AA362" i="2" s="1"/>
  <c r="AB362" i="2" s="1"/>
  <c r="X483" i="2"/>
  <c r="AA483" i="2" s="1"/>
  <c r="AB483" i="2" s="1"/>
  <c r="X331" i="2"/>
  <c r="AA331" i="2" s="1"/>
  <c r="AB331" i="2" s="1"/>
  <c r="X105" i="2"/>
  <c r="AA105" i="2" s="1"/>
  <c r="AB105" i="2" s="1"/>
  <c r="X330" i="2"/>
  <c r="AA330" i="2" s="1"/>
  <c r="AB330" i="2" s="1"/>
  <c r="X101" i="2"/>
  <c r="AA101" i="2" s="1"/>
  <c r="AB101" i="2" s="1"/>
  <c r="X93" i="2"/>
  <c r="AA93" i="2" s="1"/>
  <c r="AB93" i="2" s="1"/>
  <c r="X309" i="2"/>
  <c r="AA309" i="2" s="1"/>
  <c r="AB309" i="2" s="1"/>
  <c r="X87" i="2"/>
  <c r="AA87" i="2" s="1"/>
  <c r="AB87" i="2" s="1"/>
  <c r="X279" i="2"/>
  <c r="AA279" i="2" s="1"/>
  <c r="AB279" i="2" s="1"/>
  <c r="X494" i="2"/>
  <c r="AA494" i="2" s="1"/>
  <c r="AB494" i="2" s="1"/>
  <c r="X278" i="2"/>
  <c r="AA278" i="2" s="1"/>
  <c r="AB278" i="2" s="1"/>
  <c r="X385" i="2"/>
  <c r="AA385" i="2" s="1"/>
  <c r="AB385" i="2" s="1"/>
  <c r="X79" i="2"/>
  <c r="AA79" i="2" s="1"/>
  <c r="AB79" i="2" s="1"/>
  <c r="X425" i="2"/>
  <c r="AA425" i="2" s="1"/>
  <c r="AB425" i="2" s="1"/>
  <c r="X73" i="2"/>
  <c r="AA73" i="2" s="1"/>
  <c r="AB73" i="2" s="1"/>
  <c r="X69" i="2"/>
  <c r="AA69" i="2" s="1"/>
  <c r="AB69" i="2" s="1"/>
  <c r="X462" i="2"/>
  <c r="AA462" i="2" s="1"/>
  <c r="AB462" i="2" s="1"/>
  <c r="X384" i="2"/>
  <c r="AA384" i="2" s="1"/>
  <c r="AB384" i="2" s="1"/>
  <c r="X63" i="2"/>
  <c r="AA63" i="2" s="1"/>
  <c r="AB63" i="2" s="1"/>
  <c r="X423" i="2"/>
  <c r="AA423" i="2" s="1"/>
  <c r="AB423" i="2" s="1"/>
  <c r="X45" i="2"/>
  <c r="AA45" i="2" s="1"/>
  <c r="AB45" i="2" s="1"/>
  <c r="X504" i="2"/>
  <c r="AA504" i="2" s="1"/>
  <c r="AB504" i="2" s="1"/>
  <c r="X41" i="2"/>
  <c r="AA41" i="2" s="1"/>
  <c r="AB41" i="2" s="1"/>
  <c r="X37" i="2"/>
  <c r="AA37" i="2" s="1"/>
  <c r="AB37" i="2" s="1"/>
  <c r="X35" i="2"/>
  <c r="AA35" i="2" s="1"/>
  <c r="AB35" i="2" s="1"/>
  <c r="X326" i="2"/>
  <c r="AA326" i="2" s="1"/>
  <c r="AB326" i="2" s="1"/>
  <c r="X546" i="2"/>
  <c r="AA546" i="2" s="1"/>
  <c r="AB546" i="2" s="1"/>
  <c r="X26" i="2"/>
  <c r="AA26" i="2" s="1"/>
  <c r="AB26" i="2" s="1"/>
  <c r="X566" i="2"/>
  <c r="AA566" i="2" s="1"/>
  <c r="AB566" i="2" s="1"/>
  <c r="X468" i="2"/>
  <c r="AA468" i="2" s="1"/>
  <c r="AB468" i="2" s="1"/>
  <c r="X531" i="2"/>
  <c r="AA531" i="2" s="1"/>
  <c r="AB531" i="2" s="1"/>
  <c r="X538" i="2"/>
  <c r="AA538" i="2" s="1"/>
  <c r="AB538" i="2" s="1"/>
  <c r="X304" i="2"/>
  <c r="AA304" i="2" s="1"/>
  <c r="AB304" i="2" s="1"/>
  <c r="X492" i="2"/>
  <c r="AA492" i="2" s="1"/>
  <c r="AB492" i="2" s="1"/>
  <c r="X491" i="2"/>
  <c r="AA491" i="2" s="1"/>
  <c r="AB491" i="2" s="1"/>
  <c r="X18" i="2"/>
  <c r="AA18" i="2" s="1"/>
  <c r="AB18" i="2" s="1"/>
  <c r="X324" i="2"/>
  <c r="AA324" i="2" s="1"/>
  <c r="AB324" i="2" s="1"/>
  <c r="X513" i="2"/>
  <c r="AA513" i="2" s="1"/>
  <c r="AB513" i="2" s="1"/>
  <c r="X371" i="2"/>
  <c r="AA371" i="2" s="1"/>
  <c r="AB371" i="2" s="1"/>
  <c r="X453" i="2"/>
  <c r="AA453" i="2" s="1"/>
  <c r="AB453" i="2" s="1"/>
  <c r="X421" i="2"/>
  <c r="AA421" i="2" s="1"/>
  <c r="AB421" i="2" s="1"/>
  <c r="X569" i="2"/>
  <c r="AA569" i="2" s="1"/>
  <c r="AB569" i="2" s="1"/>
  <c r="X370" i="2"/>
  <c r="AA370" i="2" s="1"/>
  <c r="AB370" i="2" s="1"/>
  <c r="X512" i="2"/>
  <c r="AA512" i="2" s="1"/>
  <c r="AB512" i="2" s="1"/>
  <c r="X466" i="2"/>
  <c r="AA466" i="2" s="1"/>
  <c r="AB466" i="2" s="1"/>
  <c r="X557" i="2"/>
  <c r="AA557" i="2" s="1"/>
  <c r="AB557" i="2" s="1"/>
  <c r="Y395" i="2"/>
  <c r="Y235" i="2"/>
  <c r="Y233" i="2"/>
  <c r="Y197" i="2"/>
  <c r="Y195" i="2"/>
  <c r="Y189" i="2"/>
  <c r="Y141" i="2"/>
  <c r="AR260" i="2" s="1"/>
  <c r="Y139" i="2"/>
  <c r="AR258" i="2" s="1"/>
  <c r="Y137" i="2"/>
  <c r="Y579" i="2"/>
  <c r="Y478" i="2"/>
  <c r="AR555" i="2" s="1"/>
  <c r="Y412" i="2"/>
  <c r="Y442" i="2"/>
  <c r="Y236" i="2"/>
  <c r="Y234" i="2"/>
  <c r="Y209" i="2"/>
  <c r="Y201" i="2"/>
  <c r="Y196" i="2"/>
  <c r="Y270" i="2"/>
  <c r="AR395" i="2" s="1"/>
  <c r="Y190" i="2"/>
  <c r="Y188" i="2"/>
  <c r="Y177" i="2"/>
  <c r="Y173" i="2"/>
  <c r="Y168" i="2"/>
  <c r="Y146" i="2"/>
  <c r="Y142" i="2"/>
  <c r="Y140" i="2"/>
  <c r="AR259" i="2" s="1"/>
  <c r="Y138" i="2"/>
  <c r="AR257" i="2" s="1"/>
  <c r="Y136" i="2"/>
  <c r="Y112" i="2"/>
  <c r="Y110" i="2"/>
  <c r="Y108" i="2"/>
  <c r="Y106" i="2"/>
  <c r="Y66" i="2"/>
  <c r="AO7" i="2"/>
  <c r="R333" i="2"/>
  <c r="R430" i="2"/>
  <c r="R161" i="2"/>
  <c r="R533" i="2"/>
  <c r="R163" i="2"/>
  <c r="R169" i="2"/>
  <c r="R172" i="2"/>
  <c r="R510" i="2"/>
  <c r="R366" i="2"/>
  <c r="R564" i="2"/>
  <c r="R405" i="2"/>
  <c r="R181" i="2"/>
  <c r="R433" i="2"/>
  <c r="R434" i="2"/>
  <c r="R191" i="2"/>
  <c r="R435" i="2"/>
  <c r="R287" i="2"/>
  <c r="R196" i="2"/>
  <c r="R334" i="2"/>
  <c r="R299" i="2"/>
  <c r="R353" i="2"/>
  <c r="R203" i="2"/>
  <c r="R210" i="2"/>
  <c r="R211" i="2"/>
  <c r="R221" i="2"/>
  <c r="R409" i="2"/>
  <c r="R321" i="2"/>
  <c r="R355" i="2"/>
  <c r="R234" i="2"/>
  <c r="R411" i="2"/>
  <c r="R419" i="2"/>
  <c r="R243" i="2"/>
  <c r="R489" i="2"/>
  <c r="R563" i="2"/>
  <c r="R420" i="2"/>
  <c r="R447" i="2"/>
  <c r="R369" i="2"/>
  <c r="R339" i="2"/>
  <c r="R501" i="2"/>
  <c r="R255" i="2"/>
  <c r="Y162" i="2" l="1"/>
  <c r="Y413" i="2"/>
  <c r="AA262" i="2"/>
  <c r="AB262" i="2" s="1"/>
  <c r="Y262" i="2"/>
  <c r="AS466" i="2"/>
  <c r="AS369" i="2"/>
  <c r="AS421" i="2"/>
  <c r="AS370" i="2"/>
  <c r="AS322" i="2"/>
  <c r="AS491" i="2"/>
  <c r="AS302" i="2"/>
  <c r="AS531" i="2"/>
  <c r="AS566" i="2"/>
  <c r="AS546" i="2"/>
  <c r="AS35" i="2"/>
  <c r="AS41" i="2"/>
  <c r="AS45" i="2"/>
  <c r="AS63" i="2"/>
  <c r="AS462" i="2"/>
  <c r="AS73" i="2"/>
  <c r="AS79" i="2"/>
  <c r="AS276" i="2"/>
  <c r="AS277" i="2"/>
  <c r="AS101" i="2"/>
  <c r="AS105" i="2"/>
  <c r="AS483" i="2"/>
  <c r="AS388" i="2"/>
  <c r="AS577" i="2"/>
  <c r="AS357" i="2"/>
  <c r="AS274" i="2"/>
  <c r="AS467" i="2"/>
  <c r="AS529" i="2"/>
  <c r="AS521" i="2"/>
  <c r="AS414" i="2"/>
  <c r="AS290" i="2"/>
  <c r="AS304" i="2"/>
  <c r="AS565" i="2"/>
  <c r="AS505" i="2"/>
  <c r="AS306" i="2"/>
  <c r="AS345" i="2"/>
  <c r="AS403" i="2"/>
  <c r="AS373" i="2"/>
  <c r="AS266" i="2"/>
  <c r="AS313" i="2"/>
  <c r="AS315" i="2"/>
  <c r="AS430" i="2"/>
  <c r="AS527" i="2"/>
  <c r="AS562" i="2"/>
  <c r="AS517" i="2"/>
  <c r="AS391" i="2"/>
  <c r="AS415" i="2"/>
  <c r="AS564" i="2"/>
  <c r="AS434" i="2"/>
  <c r="AS435" i="2"/>
  <c r="AS416" i="2"/>
  <c r="AS352" i="2"/>
  <c r="AS575" i="2"/>
  <c r="AS436" i="2"/>
  <c r="AS550" i="2"/>
  <c r="AS487" i="2"/>
  <c r="AS410" i="2"/>
  <c r="AS418" i="2"/>
  <c r="AS366" i="2"/>
  <c r="AS458" i="2"/>
  <c r="AS476" i="2"/>
  <c r="AS446" i="2"/>
  <c r="AS396" i="2"/>
  <c r="AS338" i="2"/>
  <c r="AS452" i="2"/>
  <c r="AS390" i="2"/>
  <c r="AS498" i="2"/>
  <c r="AS378" i="2"/>
  <c r="AS406" i="2"/>
  <c r="AS518" i="2"/>
  <c r="AS464" i="2"/>
  <c r="AS534" i="2"/>
  <c r="AS250" i="2"/>
  <c r="AS15" i="2"/>
  <c r="AS25" i="2"/>
  <c r="AS76" i="2"/>
  <c r="AS122" i="2"/>
  <c r="AS128" i="2"/>
  <c r="AS148" i="2"/>
  <c r="AS152" i="2"/>
  <c r="AS158" i="2"/>
  <c r="AS172" i="2"/>
  <c r="AS184" i="2"/>
  <c r="AS192" i="2"/>
  <c r="AS198" i="2"/>
  <c r="AS202" i="2"/>
  <c r="AS214" i="2"/>
  <c r="AS238" i="2"/>
  <c r="AS244" i="2"/>
  <c r="AS457" i="2"/>
  <c r="AS298" i="2"/>
  <c r="AS9" i="2"/>
  <c r="AS13" i="2"/>
  <c r="AS20" i="2"/>
  <c r="AS24" i="2"/>
  <c r="AS59" i="2"/>
  <c r="AS181" i="2"/>
  <c r="AS203" i="2"/>
  <c r="AS205" i="2"/>
  <c r="AS215" i="2"/>
  <c r="AS219" i="2"/>
  <c r="AS223" i="2"/>
  <c r="AS227" i="2"/>
  <c r="AS419" i="2"/>
  <c r="AS381" i="2"/>
  <c r="AS367" i="2"/>
  <c r="AS511" i="2"/>
  <c r="AS501" i="2"/>
  <c r="AS289" i="2"/>
  <c r="AS311" i="2"/>
  <c r="AS473" i="2"/>
  <c r="AS455" i="2"/>
  <c r="AS285" i="2"/>
  <c r="AS440" i="2"/>
  <c r="AS490" i="2"/>
  <c r="AS445" i="2"/>
  <c r="AS449" i="2"/>
  <c r="AS21" i="2"/>
  <c r="AS48" i="2"/>
  <c r="AS129" i="2"/>
  <c r="AS133" i="2"/>
  <c r="AS149" i="2"/>
  <c r="AS159" i="2"/>
  <c r="AS165" i="2"/>
  <c r="AS178" i="2"/>
  <c r="AS180" i="2"/>
  <c r="AS284" i="2"/>
  <c r="AS199" i="2"/>
  <c r="AS208" i="2"/>
  <c r="AS222" i="2"/>
  <c r="AS353" i="2"/>
  <c r="AS409" i="2"/>
  <c r="AS411" i="2"/>
  <c r="AS499" i="2"/>
  <c r="AS441" i="2"/>
  <c r="AS443" i="2"/>
  <c r="AS288" i="2"/>
  <c r="AS507" i="2"/>
  <c r="AS397" i="2"/>
  <c r="AS253" i="2"/>
  <c r="AS479" i="2"/>
  <c r="AS493" i="2"/>
  <c r="AS522" i="2"/>
  <c r="AS175" i="2"/>
  <c r="AS386" i="2"/>
  <c r="AS116" i="2"/>
  <c r="AS318" i="2"/>
  <c r="AS537" i="2"/>
  <c r="AS573" i="2"/>
  <c r="AS33" i="2"/>
  <c r="AS36" i="2"/>
  <c r="AS42" i="2"/>
  <c r="AS46" i="2"/>
  <c r="AS52" i="2"/>
  <c r="AS359" i="2"/>
  <c r="AS524" i="2"/>
  <c r="AS56" i="2"/>
  <c r="AS60" i="2"/>
  <c r="AS64" i="2"/>
  <c r="AS482" i="2"/>
  <c r="AS68" i="2"/>
  <c r="AS74" i="2"/>
  <c r="AS582" i="2"/>
  <c r="AS80" i="2"/>
  <c r="AS292" i="2"/>
  <c r="AS399" i="2"/>
  <c r="AS402" i="2"/>
  <c r="AS471" i="2"/>
  <c r="AS583" i="2"/>
  <c r="AS94" i="2"/>
  <c r="AS102" i="2"/>
  <c r="AS328" i="2"/>
  <c r="AS119" i="2"/>
  <c r="AS387" i="2"/>
  <c r="AS496" i="2"/>
  <c r="AS264" i="2"/>
  <c r="AS265" i="2"/>
  <c r="AS312" i="2"/>
  <c r="AS331" i="2"/>
  <c r="AS349" i="2"/>
  <c r="AS364" i="2"/>
  <c r="AS376" i="2"/>
  <c r="AS404" i="2"/>
  <c r="AS431" i="2"/>
  <c r="AS514" i="2"/>
  <c r="AS558" i="2"/>
  <c r="AS174" i="2"/>
  <c r="AS226" i="2"/>
  <c r="AS230" i="2"/>
  <c r="AS287" i="2"/>
  <c r="AS334" i="2"/>
  <c r="AS547" i="2"/>
  <c r="AS358" i="2"/>
  <c r="AS523" i="2"/>
  <c r="AS43" i="2"/>
  <c r="AS51" i="2"/>
  <c r="AS470" i="2"/>
  <c r="AS343" i="2"/>
  <c r="AS291" i="2"/>
  <c r="AS77" i="2"/>
  <c r="AS293" i="2"/>
  <c r="AS463" i="2"/>
  <c r="AS91" i="2"/>
  <c r="AS557" i="2"/>
  <c r="AS512" i="2"/>
  <c r="AS569" i="2"/>
  <c r="AS513" i="2"/>
  <c r="AS18" i="2"/>
  <c r="AS492" i="2"/>
  <c r="AS538" i="2"/>
  <c r="AS468" i="2"/>
  <c r="AS26" i="2"/>
  <c r="AS324" i="2"/>
  <c r="AS37" i="2"/>
  <c r="AS504" i="2"/>
  <c r="AS423" i="2"/>
  <c r="AS384" i="2"/>
  <c r="AS69" i="2"/>
  <c r="AS425" i="2"/>
  <c r="AS385" i="2"/>
  <c r="AS494" i="2"/>
  <c r="AS87" i="2"/>
  <c r="AS93" i="2"/>
  <c r="AS329" i="2"/>
  <c r="AS330" i="2"/>
  <c r="AS361" i="2"/>
  <c r="AS480" i="2"/>
  <c r="AS508" i="2"/>
  <c r="AS502" i="2"/>
  <c r="AS371" i="2"/>
  <c r="AS461" i="2"/>
  <c r="AS503" i="2"/>
  <c r="AS383" i="2"/>
  <c r="AS481" i="2"/>
  <c r="AS424" i="2"/>
  <c r="AS398" i="2"/>
  <c r="AS275" i="2"/>
  <c r="AS578" i="2"/>
  <c r="AS426" i="2"/>
  <c r="AS346" i="2"/>
  <c r="AS309" i="2"/>
  <c r="AS515" i="2"/>
  <c r="AS485" i="2"/>
  <c r="AS348" i="2"/>
  <c r="AS554" i="2"/>
  <c r="AS375" i="2"/>
  <c r="AS544" i="2"/>
  <c r="AS282" i="2"/>
  <c r="AS510" i="2"/>
  <c r="AS456" i="2"/>
  <c r="AS405" i="2"/>
  <c r="AS350" i="2"/>
  <c r="AS270" i="2"/>
  <c r="AS407" i="2"/>
  <c r="AS519" i="2"/>
  <c r="AS408" i="2"/>
  <c r="AS272" i="2"/>
  <c r="AS561" i="2"/>
  <c r="AS474" i="2"/>
  <c r="AS394" i="2"/>
  <c r="AS488" i="2"/>
  <c r="AS545" i="2"/>
  <c r="AS563" i="2"/>
  <c r="AS444" i="2"/>
  <c r="AS420" i="2"/>
  <c r="AS368" i="2"/>
  <c r="AS382" i="2"/>
  <c r="AS252" i="2"/>
  <c r="AS428" i="2"/>
  <c r="AS332" i="2"/>
  <c r="AS432" i="2"/>
  <c r="AS392" i="2"/>
  <c r="AS506" i="2"/>
  <c r="AS486" i="2"/>
  <c r="AS571" i="2"/>
  <c r="AS551" i="2"/>
  <c r="AS10" i="2"/>
  <c r="AS17" i="2"/>
  <c r="AS40" i="2"/>
  <c r="AS88" i="2"/>
  <c r="AS120" i="2"/>
  <c r="AS124" i="2"/>
  <c r="AS132" i="2"/>
  <c r="AS150" i="2"/>
  <c r="AS156" i="2"/>
  <c r="AS160" i="2"/>
  <c r="AS186" i="2"/>
  <c r="AS194" i="2"/>
  <c r="AS200" i="2"/>
  <c r="AS210" i="2"/>
  <c r="AS216" i="2"/>
  <c r="AS242" i="2"/>
  <c r="AS246" i="2"/>
  <c r="AS286" i="2"/>
  <c r="AS417" i="2"/>
  <c r="AS437" i="2"/>
  <c r="AS11" i="2"/>
  <c r="AS16" i="2"/>
  <c r="AS22" i="2"/>
  <c r="AS49" i="2"/>
  <c r="AS103" i="2"/>
  <c r="AS187" i="2"/>
  <c r="AS379" i="2"/>
  <c r="AS207" i="2"/>
  <c r="AS221" i="2"/>
  <c r="AS225" i="2"/>
  <c r="AS229" i="2"/>
  <c r="AS459" i="2"/>
  <c r="AS535" i="2"/>
  <c r="AS477" i="2"/>
  <c r="AS451" i="2"/>
  <c r="AS525" i="2"/>
  <c r="AS363" i="2"/>
  <c r="AS509" i="2"/>
  <c r="AS283" i="2"/>
  <c r="AS335" i="2"/>
  <c r="AS447" i="2"/>
  <c r="AS19" i="2"/>
  <c r="AS135" i="2"/>
  <c r="AS433" i="2"/>
  <c r="AS206" i="2"/>
  <c r="AS212" i="2"/>
  <c r="AS220" i="2"/>
  <c r="AS570" i="2"/>
  <c r="AS237" i="2"/>
  <c r="AS439" i="2"/>
  <c r="AS320" i="2"/>
  <c r="AS247" i="2"/>
  <c r="AS500" i="2"/>
  <c r="AS450" i="2"/>
  <c r="AS393" i="2"/>
  <c r="AS75" i="2"/>
  <c r="AS183" i="2"/>
  <c r="AS211" i="2"/>
  <c r="AS134" i="2"/>
  <c r="AS185" i="2"/>
  <c r="AS530" i="2"/>
  <c r="AS541" i="2"/>
  <c r="AS27" i="2"/>
  <c r="AS469" i="2"/>
  <c r="AS38" i="2"/>
  <c r="AS44" i="2"/>
  <c r="AS50" i="2"/>
  <c r="AS326" i="2"/>
  <c r="AS422" i="2"/>
  <c r="AS54" i="2"/>
  <c r="AS62" i="2"/>
  <c r="AS261" i="2"/>
  <c r="AS372" i="2"/>
  <c r="AS70" i="2"/>
  <c r="AS539" i="2"/>
  <c r="AS78" i="2"/>
  <c r="AS82" i="2"/>
  <c r="AS344" i="2"/>
  <c r="AS83" i="2"/>
  <c r="AS400" i="2"/>
  <c r="AS454" i="2"/>
  <c r="AS567" i="2"/>
  <c r="AS92" i="2"/>
  <c r="AS98" i="2"/>
  <c r="AS104" i="2"/>
  <c r="AS360" i="2"/>
  <c r="AS121" i="2"/>
  <c r="AS427" i="2"/>
  <c r="AS495" i="2"/>
  <c r="AS314" i="2"/>
  <c r="AS362" i="2"/>
  <c r="AS389" i="2"/>
  <c r="AS429" i="2"/>
  <c r="AS472" i="2"/>
  <c r="AS497" i="2"/>
  <c r="AS533" i="2"/>
  <c r="AS584" i="2"/>
  <c r="AS224" i="2"/>
  <c r="AS273" i="2"/>
  <c r="AS317" i="2"/>
  <c r="AS351" i="2"/>
  <c r="AS30" i="2"/>
  <c r="AS34" i="2"/>
  <c r="AS39" i="2"/>
  <c r="AS47" i="2"/>
  <c r="AS327" i="2"/>
  <c r="AS57" i="2"/>
  <c r="AS65" i="2"/>
  <c r="AS71" i="2"/>
  <c r="AS81" i="2"/>
  <c r="AS90" i="2"/>
  <c r="AS401" i="2"/>
  <c r="AS543" i="2"/>
  <c r="AS99" i="2"/>
  <c r="Y100" i="2"/>
  <c r="AS100" i="2"/>
  <c r="AS248" i="2"/>
  <c r="AS540" i="2"/>
  <c r="Y334" i="2"/>
  <c r="AS333" i="2"/>
  <c r="Y153" i="2"/>
  <c r="AS153" i="2"/>
  <c r="AS204" i="2"/>
  <c r="AS218" i="2"/>
  <c r="Y251" i="2"/>
  <c r="AS251" i="2"/>
  <c r="Y144" i="2"/>
  <c r="AS144" i="2"/>
  <c r="AS300" i="2"/>
  <c r="AS118" i="2"/>
  <c r="Y111" i="2"/>
  <c r="AS111" i="2"/>
  <c r="Y147" i="2"/>
  <c r="AS147" i="2"/>
  <c r="Y163" i="2"/>
  <c r="AS163" i="2"/>
  <c r="Y169" i="2"/>
  <c r="AR169" i="2" s="1"/>
  <c r="AS169" i="2"/>
  <c r="AS380" i="2"/>
  <c r="AS61" i="2"/>
  <c r="Y84" i="2"/>
  <c r="AS84" i="2"/>
  <c r="Y254" i="2"/>
  <c r="AS254" i="2"/>
  <c r="Y321" i="2"/>
  <c r="AS319" i="2"/>
  <c r="Y154" i="2"/>
  <c r="AS154" i="2"/>
  <c r="Y164" i="2"/>
  <c r="AS164" i="2"/>
  <c r="Y283" i="2"/>
  <c r="Y338" i="2"/>
  <c r="AS337" i="2"/>
  <c r="Y355" i="2"/>
  <c r="AS354" i="2"/>
  <c r="Y453" i="2"/>
  <c r="AS453" i="2"/>
  <c r="AS182" i="2"/>
  <c r="Y217" i="2"/>
  <c r="AR217" i="2" s="1"/>
  <c r="AS217" i="2"/>
  <c r="AS475" i="2"/>
  <c r="AS365" i="2"/>
  <c r="Y489" i="2"/>
  <c r="AS489" i="2"/>
  <c r="Y568" i="2"/>
  <c r="AR568" i="2" s="1"/>
  <c r="AS568" i="2"/>
  <c r="Y232" i="2"/>
  <c r="AS232" i="2"/>
  <c r="AS23" i="2"/>
  <c r="Y72" i="2"/>
  <c r="AS72" i="2"/>
  <c r="AS131" i="2"/>
  <c r="AS151" i="2"/>
  <c r="Y155" i="2"/>
  <c r="AS155" i="2"/>
  <c r="Y161" i="2"/>
  <c r="AS161" i="2"/>
  <c r="Y176" i="2"/>
  <c r="AS176" i="2"/>
  <c r="Y318" i="2"/>
  <c r="AS316" i="2"/>
  <c r="AS193" i="2"/>
  <c r="Y542" i="2"/>
  <c r="AS542" i="2"/>
  <c r="AS438" i="2"/>
  <c r="Y337" i="2"/>
  <c r="AS336" i="2"/>
  <c r="Y520" i="2"/>
  <c r="AS520" i="2"/>
  <c r="Y448" i="2"/>
  <c r="AS448" i="2"/>
  <c r="AS465" i="2"/>
  <c r="Y272" i="2"/>
  <c r="AS271" i="2"/>
  <c r="Y191" i="2"/>
  <c r="AS191" i="2"/>
  <c r="AS126" i="2"/>
  <c r="Y58" i="2"/>
  <c r="AS58" i="2"/>
  <c r="Y67" i="2"/>
  <c r="AS67" i="2"/>
  <c r="Y107" i="2"/>
  <c r="AS107" i="2"/>
  <c r="Y145" i="2"/>
  <c r="AS145" i="2"/>
  <c r="Y268" i="2"/>
  <c r="AS267" i="2"/>
  <c r="Y297" i="2"/>
  <c r="AS295" i="2"/>
  <c r="AS347" i="2"/>
  <c r="Y157" i="2"/>
  <c r="AS157" i="2"/>
  <c r="Y167" i="2"/>
  <c r="AS167" i="2"/>
  <c r="Y228" i="2"/>
  <c r="AS228" i="2"/>
  <c r="AS576" i="2"/>
  <c r="AS66" i="2"/>
  <c r="AS231" i="2"/>
  <c r="AS245" i="2"/>
  <c r="AS162" i="2"/>
  <c r="Y213" i="2"/>
  <c r="AS213" i="2"/>
  <c r="Y301" i="2"/>
  <c r="AS233" i="2"/>
  <c r="AS413" i="2"/>
  <c r="AR520" i="2"/>
  <c r="AR579" i="2"/>
  <c r="AR140" i="2"/>
  <c r="Y126" i="2"/>
  <c r="Y231" i="2"/>
  <c r="Y245" i="2"/>
  <c r="X484" i="2"/>
  <c r="AA484" i="2" s="1"/>
  <c r="AB484" i="2" s="1"/>
  <c r="X115" i="2"/>
  <c r="AA115" i="2" s="1"/>
  <c r="AB115" i="2" s="1"/>
  <c r="X528" i="2"/>
  <c r="AA528" i="2" s="1"/>
  <c r="AB528" i="2" s="1"/>
  <c r="X526" i="2"/>
  <c r="AA526" i="2" s="1"/>
  <c r="AB526" i="2" s="1"/>
  <c r="X31" i="2"/>
  <c r="AA31" i="2" s="1"/>
  <c r="AB31" i="2" s="1"/>
  <c r="X123" i="2"/>
  <c r="AA123" i="2" s="1"/>
  <c r="AB123" i="2" s="1"/>
  <c r="Y302" i="2"/>
  <c r="X374" i="2"/>
  <c r="AA374" i="2" s="1"/>
  <c r="AB374" i="2" s="1"/>
  <c r="X516" i="2"/>
  <c r="AA516" i="2" s="1"/>
  <c r="AB516" i="2" s="1"/>
  <c r="Y30" i="2"/>
  <c r="X86" i="2"/>
  <c r="AA86" i="2" s="1"/>
  <c r="AB86" i="2" s="1"/>
  <c r="Y320" i="2"/>
  <c r="Y289" i="2"/>
  <c r="AR442" i="2" s="1"/>
  <c r="Y576" i="2"/>
  <c r="X171" i="2"/>
  <c r="AA171" i="2" s="1"/>
  <c r="AB171" i="2" s="1"/>
  <c r="X85" i="2"/>
  <c r="AA85" i="2" s="1"/>
  <c r="AB85" i="2" s="1"/>
  <c r="X89" i="2"/>
  <c r="AA89" i="2" s="1"/>
  <c r="AB89" i="2" s="1"/>
  <c r="Y118" i="2"/>
  <c r="X532" i="2"/>
  <c r="AA532" i="2" s="1"/>
  <c r="AB532" i="2" s="1"/>
  <c r="X280" i="2"/>
  <c r="AA280" i="2" s="1"/>
  <c r="AB280" i="2" s="1"/>
  <c r="X29" i="2"/>
  <c r="AA29" i="2" s="1"/>
  <c r="AB29" i="2" s="1"/>
  <c r="X117" i="2"/>
  <c r="AA117" i="2" s="1"/>
  <c r="AB117" i="2" s="1"/>
  <c r="Y116" i="2"/>
  <c r="Y185" i="2"/>
  <c r="Y134" i="2"/>
  <c r="Y211" i="2"/>
  <c r="X170" i="2"/>
  <c r="AA170" i="2" s="1"/>
  <c r="AB170" i="2" s="1"/>
  <c r="Y175" i="2"/>
  <c r="Y557" i="2"/>
  <c r="Y512" i="2"/>
  <c r="Y569" i="2"/>
  <c r="Y324" i="2"/>
  <c r="Y491" i="2"/>
  <c r="Y468" i="2"/>
  <c r="Y566" i="2"/>
  <c r="Y546" i="2"/>
  <c r="Y33" i="2"/>
  <c r="Y37" i="2"/>
  <c r="Y41" i="2"/>
  <c r="Y43" i="2"/>
  <c r="Y45" i="2"/>
  <c r="Y47" i="2"/>
  <c r="Y423" i="2"/>
  <c r="Y482" i="2"/>
  <c r="Y462" i="2"/>
  <c r="Y73" i="2"/>
  <c r="AR141" i="2" s="1"/>
  <c r="Y79" i="2"/>
  <c r="Y294" i="2"/>
  <c r="AR162" i="2" s="1"/>
  <c r="Y278" i="2"/>
  <c r="Y400" i="2"/>
  <c r="Y295" i="2"/>
  <c r="Y402" i="2"/>
  <c r="Y91" i="2"/>
  <c r="AR195" i="2" s="1"/>
  <c r="Y361" i="2"/>
  <c r="Y99" i="2"/>
  <c r="Y329" i="2"/>
  <c r="Y105" i="2"/>
  <c r="Y496" i="2"/>
  <c r="Y427" i="2"/>
  <c r="Y467" i="2"/>
  <c r="Y529" i="2"/>
  <c r="Y521" i="2"/>
  <c r="Y275" i="2"/>
  <c r="Y481" i="2"/>
  <c r="AR108" i="2" s="1"/>
  <c r="Y424" i="2"/>
  <c r="Y505" i="2"/>
  <c r="Y308" i="2"/>
  <c r="Y463" i="2"/>
  <c r="Y265" i="2"/>
  <c r="Y347" i="2"/>
  <c r="AR235" i="2" s="1"/>
  <c r="Y267" i="2"/>
  <c r="Y485" i="2"/>
  <c r="Y544" i="2"/>
  <c r="Y284" i="2"/>
  <c r="Y510" i="2"/>
  <c r="Y271" i="2"/>
  <c r="Y519" i="2"/>
  <c r="Y273" i="2"/>
  <c r="Y474" i="2"/>
  <c r="Y488" i="2"/>
  <c r="AR488" i="2" s="1"/>
  <c r="Y444" i="2"/>
  <c r="Y369" i="2"/>
  <c r="Y252" i="2"/>
  <c r="Y376" i="2"/>
  <c r="Y432" i="2"/>
  <c r="Y571" i="2"/>
  <c r="Y17" i="2"/>
  <c r="Y90" i="2"/>
  <c r="Y94" i="2"/>
  <c r="Y120" i="2"/>
  <c r="Y156" i="2"/>
  <c r="Y184" i="2"/>
  <c r="Y202" i="2"/>
  <c r="Y224" i="2"/>
  <c r="Y246" i="2"/>
  <c r="Y300" i="2"/>
  <c r="Y13" i="2"/>
  <c r="AR13" i="2" s="1"/>
  <c r="Y20" i="2"/>
  <c r="Y59" i="2"/>
  <c r="Y65" i="2"/>
  <c r="Y205" i="2"/>
  <c r="AR413" i="2" s="1"/>
  <c r="Y221" i="2"/>
  <c r="Y225" i="2"/>
  <c r="Y229" i="2"/>
  <c r="Y475" i="2"/>
  <c r="Y459" i="2"/>
  <c r="Y535" i="2"/>
  <c r="Y364" i="2"/>
  <c r="Y366" i="2"/>
  <c r="Y336" i="2"/>
  <c r="Y19" i="2"/>
  <c r="Y23" i="2"/>
  <c r="Y131" i="2"/>
  <c r="Y135" i="2"/>
  <c r="Y348" i="2"/>
  <c r="Y151" i="2"/>
  <c r="AR270" i="2" s="1"/>
  <c r="Y433" i="2"/>
  <c r="Y193" i="2"/>
  <c r="Y204" i="2"/>
  <c r="AR412" i="2" s="1"/>
  <c r="Y208" i="2"/>
  <c r="Y380" i="2"/>
  <c r="Y218" i="2"/>
  <c r="Y222" i="2"/>
  <c r="AR222" i="2" s="1"/>
  <c r="Y450" i="2"/>
  <c r="AR548" i="2" s="1"/>
  <c r="Y465" i="2"/>
  <c r="AR552" i="2" s="1"/>
  <c r="Y393" i="2"/>
  <c r="Y121" i="2"/>
  <c r="Y50" i="2"/>
  <c r="Y62" i="2"/>
  <c r="Y525" i="2"/>
  <c r="Y428" i="2"/>
  <c r="Y509" i="2"/>
  <c r="Y165" i="2"/>
  <c r="Y285" i="2"/>
  <c r="Y457" i="2"/>
  <c r="Y226" i="2"/>
  <c r="Y570" i="2"/>
  <c r="Y237" i="2"/>
  <c r="Y439" i="2"/>
  <c r="Y322" i="2"/>
  <c r="Y247" i="2"/>
  <c r="Y447" i="2"/>
  <c r="Y500" i="2"/>
  <c r="Y477" i="2"/>
  <c r="Y466" i="2"/>
  <c r="Y370" i="2"/>
  <c r="Y421" i="2"/>
  <c r="Y573" i="2"/>
  <c r="Y513" i="2"/>
  <c r="Y18" i="2"/>
  <c r="Y492" i="2"/>
  <c r="Y304" i="2"/>
  <c r="Y531" i="2"/>
  <c r="Y547" i="2"/>
  <c r="Y26" i="2"/>
  <c r="Y35" i="2"/>
  <c r="Y470" i="2"/>
  <c r="Y524" i="2"/>
  <c r="AR110" i="2" s="1"/>
  <c r="Y57" i="2"/>
  <c r="Y384" i="2"/>
  <c r="Y582" i="2"/>
  <c r="Y77" i="2"/>
  <c r="Y385" i="2"/>
  <c r="Y83" i="2"/>
  <c r="AR168" i="2" s="1"/>
  <c r="Y279" i="2"/>
  <c r="AR177" i="2" s="1"/>
  <c r="Y471" i="2"/>
  <c r="Y93" i="2"/>
  <c r="AR197" i="2" s="1"/>
  <c r="Y101" i="2"/>
  <c r="Y387" i="2"/>
  <c r="AR236" i="2" s="1"/>
  <c r="Y119" i="2"/>
  <c r="Y388" i="2"/>
  <c r="Y577" i="2"/>
  <c r="Y502" i="2"/>
  <c r="Y261" i="2"/>
  <c r="Y503" i="2"/>
  <c r="Y383" i="2"/>
  <c r="Y469" i="2"/>
  <c r="Y422" i="2"/>
  <c r="AR106" i="2" s="1"/>
  <c r="Y343" i="2"/>
  <c r="AR126" i="2" s="1"/>
  <c r="Y293" i="2"/>
  <c r="AR135" i="2" s="1"/>
  <c r="Y539" i="2"/>
  <c r="Y345" i="2"/>
  <c r="Y583" i="2"/>
  <c r="Y543" i="2"/>
  <c r="Y386" i="2"/>
  <c r="Y403" i="2"/>
  <c r="AR237" i="2" s="1"/>
  <c r="Y389" i="2"/>
  <c r="Y497" i="2"/>
  <c r="Y332" i="2"/>
  <c r="Y349" i="2"/>
  <c r="Y554" i="2"/>
  <c r="Y298" i="2"/>
  <c r="Y431" i="2"/>
  <c r="Y391" i="2"/>
  <c r="Y564" i="2"/>
  <c r="Y435" i="2"/>
  <c r="Y353" i="2"/>
  <c r="Y436" i="2"/>
  <c r="Y487" i="2"/>
  <c r="Y418" i="2"/>
  <c r="Y458" i="2"/>
  <c r="Y446" i="2"/>
  <c r="Y339" i="2"/>
  <c r="Y452" i="2"/>
  <c r="Y390" i="2"/>
  <c r="Y378" i="2"/>
  <c r="Y518" i="2"/>
  <c r="Y534" i="2"/>
  <c r="Y15" i="2"/>
  <c r="Y25" i="2"/>
  <c r="Y34" i="2"/>
  <c r="Y38" i="2"/>
  <c r="Y42" i="2"/>
  <c r="Y56" i="2"/>
  <c r="Y68" i="2"/>
  <c r="AR136" i="2" s="1"/>
  <c r="Y88" i="2"/>
  <c r="AR173" i="2" s="1"/>
  <c r="Y122" i="2"/>
  <c r="Y128" i="2"/>
  <c r="Y148" i="2"/>
  <c r="Y152" i="2"/>
  <c r="Y172" i="2"/>
  <c r="Y182" i="2"/>
  <c r="Y194" i="2"/>
  <c r="Y216" i="2"/>
  <c r="Y238" i="2"/>
  <c r="Y244" i="2"/>
  <c r="Y248" i="2"/>
  <c r="Y288" i="2"/>
  <c r="Y437" i="2"/>
  <c r="AR457" i="2" s="1"/>
  <c r="Y49" i="2"/>
  <c r="Y61" i="2"/>
  <c r="Y352" i="2"/>
  <c r="Y379" i="2"/>
  <c r="Y207" i="2"/>
  <c r="Y219" i="2"/>
  <c r="Y223" i="2"/>
  <c r="Y227" i="2"/>
  <c r="Y419" i="2"/>
  <c r="Y381" i="2"/>
  <c r="Y368" i="2"/>
  <c r="Y511" i="2"/>
  <c r="Y501" i="2"/>
  <c r="AR559" i="2" s="1"/>
  <c r="Y455" i="2"/>
  <c r="Y540" i="2"/>
  <c r="Y440" i="2"/>
  <c r="Y490" i="2"/>
  <c r="Y445" i="2"/>
  <c r="Y21" i="2"/>
  <c r="Y48" i="2"/>
  <c r="Y52" i="2"/>
  <c r="Y60" i="2"/>
  <c r="Y70" i="2"/>
  <c r="AR138" i="2" s="1"/>
  <c r="Y178" i="2"/>
  <c r="Y199" i="2"/>
  <c r="Y212" i="2"/>
  <c r="Y274" i="2"/>
  <c r="Y220" i="2"/>
  <c r="AR428" i="2" s="1"/>
  <c r="Y438" i="2"/>
  <c r="Y499" i="2"/>
  <c r="Y441" i="2"/>
  <c r="Y443" i="2"/>
  <c r="Y290" i="2"/>
  <c r="Y507" i="2"/>
  <c r="Y493" i="2"/>
  <c r="AR151" i="2" s="1"/>
  <c r="Y75" i="2"/>
  <c r="Y183" i="2"/>
  <c r="Y341" i="2"/>
  <c r="Y150" i="2"/>
  <c r="Y203" i="2"/>
  <c r="Y319" i="2"/>
  <c r="Y451" i="2"/>
  <c r="AR549" i="2" s="1"/>
  <c r="Y429" i="2"/>
  <c r="Y533" i="2"/>
  <c r="Y313" i="2"/>
  <c r="Y149" i="2"/>
  <c r="Y286" i="2"/>
  <c r="Y411" i="2"/>
  <c r="Y16" i="2"/>
  <c r="Y71" i="2"/>
  <c r="AR139" i="2" s="1"/>
  <c r="Y350" i="2"/>
  <c r="Y417" i="2"/>
  <c r="Y11" i="2"/>
  <c r="AR11" i="2" s="1"/>
  <c r="Y22" i="2"/>
  <c r="Y158" i="2"/>
  <c r="Y181" i="2"/>
  <c r="Y215" i="2"/>
  <c r="Y10" i="2"/>
  <c r="AR10" i="2" s="1"/>
  <c r="Y82" i="2"/>
  <c r="Y98" i="2"/>
  <c r="AR202" i="2" s="1"/>
  <c r="Y186" i="2"/>
  <c r="Y200" i="2"/>
  <c r="Y210" i="2"/>
  <c r="AR418" i="2" s="1"/>
  <c r="Y538" i="2"/>
  <c r="AR61" i="2" s="1"/>
  <c r="Y104" i="2"/>
  <c r="AR208" i="2" s="1"/>
  <c r="Y129" i="2"/>
  <c r="Y133" i="2"/>
  <c r="Y472" i="2"/>
  <c r="Y473" i="2"/>
  <c r="Y333" i="2"/>
  <c r="Y159" i="2"/>
  <c r="Y180" i="2"/>
  <c r="Y287" i="2"/>
  <c r="Y506" i="2"/>
  <c r="Y335" i="2"/>
  <c r="Y206" i="2"/>
  <c r="Y230" i="2"/>
  <c r="Y397" i="2"/>
  <c r="Y479" i="2"/>
  <c r="Y40" i="2"/>
  <c r="Y78" i="2"/>
  <c r="Y132" i="2"/>
  <c r="Y160" i="2"/>
  <c r="Y192" i="2"/>
  <c r="Y198" i="2"/>
  <c r="Y242" i="2"/>
  <c r="Y567" i="2"/>
  <c r="Y311" i="2"/>
  <c r="Y266" i="2"/>
  <c r="Y46" i="2"/>
  <c r="Y80" i="2"/>
  <c r="Y522" i="2"/>
  <c r="Y328" i="2"/>
  <c r="Y344" i="2"/>
  <c r="Y398" i="2"/>
  <c r="Y401" i="2"/>
  <c r="Y514" i="2"/>
  <c r="Y363" i="2"/>
  <c r="Y315" i="2"/>
  <c r="Y456" i="2"/>
  <c r="Y405" i="2"/>
  <c r="Y407" i="2"/>
  <c r="Y394" i="2"/>
  <c r="Y545" i="2"/>
  <c r="Y563" i="2"/>
  <c r="Y420" i="2"/>
  <c r="Y382" i="2"/>
  <c r="AR536" i="2" s="1"/>
  <c r="Y486" i="2"/>
  <c r="Y551" i="2"/>
  <c r="Y27" i="2"/>
  <c r="Y36" i="2"/>
  <c r="Y44" i="2"/>
  <c r="Y54" i="2"/>
  <c r="AR112" i="2" s="1"/>
  <c r="Y74" i="2"/>
  <c r="AR142" i="2" s="1"/>
  <c r="Y371" i="2"/>
  <c r="Y537" i="2"/>
  <c r="Y392" i="2"/>
  <c r="Y354" i="2"/>
  <c r="Y409" i="2"/>
  <c r="Y449" i="2"/>
  <c r="Y253" i="2"/>
  <c r="Y9" i="2"/>
  <c r="AR9" i="2" s="1"/>
  <c r="Y24" i="2"/>
  <c r="Y523" i="2"/>
  <c r="Y64" i="2"/>
  <c r="Y565" i="2"/>
  <c r="Y103" i="2"/>
  <c r="Y124" i="2"/>
  <c r="Y584" i="2"/>
  <c r="Y527" i="2"/>
  <c r="Y174" i="2"/>
  <c r="Y187" i="2"/>
  <c r="Y214" i="2"/>
  <c r="Y291" i="2"/>
  <c r="Y326" i="2"/>
  <c r="Y39" i="2"/>
  <c r="Y504" i="2"/>
  <c r="Y51" i="2"/>
  <c r="Y63" i="2"/>
  <c r="Y69" i="2"/>
  <c r="AR137" i="2" s="1"/>
  <c r="Y425" i="2"/>
  <c r="Y81" i="2"/>
  <c r="Y494" i="2"/>
  <c r="AR189" i="2" s="1"/>
  <c r="Y87" i="2"/>
  <c r="Y309" i="2"/>
  <c r="Y495" i="2"/>
  <c r="Y330" i="2"/>
  <c r="Y331" i="2"/>
  <c r="AR233" i="2" s="1"/>
  <c r="Y541" i="2"/>
  <c r="Y483" i="2"/>
  <c r="Y480" i="2"/>
  <c r="Y358" i="2"/>
  <c r="Y360" i="2"/>
  <c r="Y372" i="2"/>
  <c r="Y399" i="2"/>
  <c r="Y426" i="2"/>
  <c r="Y312" i="2"/>
  <c r="Y316" i="2"/>
  <c r="Y430" i="2"/>
  <c r="Y562" i="2"/>
  <c r="Y351" i="2"/>
  <c r="Y408" i="2"/>
  <c r="Y561" i="2"/>
  <c r="Y362" i="2"/>
  <c r="Y508" i="2"/>
  <c r="Y276" i="2"/>
  <c r="Y76" i="2"/>
  <c r="Y92" i="2"/>
  <c r="AR196" i="2" s="1"/>
  <c r="Y102" i="2"/>
  <c r="X256" i="2"/>
  <c r="AA256" i="2" s="1"/>
  <c r="AB256" i="2" s="1"/>
  <c r="Y461" i="2"/>
  <c r="Y530" i="2"/>
  <c r="Y359" i="2"/>
  <c r="Y327" i="2"/>
  <c r="Y414" i="2"/>
  <c r="Y292" i="2"/>
  <c r="Y306" i="2"/>
  <c r="AR146" i="2" s="1"/>
  <c r="Y277" i="2"/>
  <c r="Y578" i="2"/>
  <c r="Y264" i="2"/>
  <c r="Y454" i="2"/>
  <c r="Y346" i="2"/>
  <c r="AR234" i="2" s="1"/>
  <c r="Y373" i="2"/>
  <c r="Y515" i="2"/>
  <c r="Y558" i="2"/>
  <c r="Y282" i="2"/>
  <c r="Y317" i="2"/>
  <c r="Y365" i="2"/>
  <c r="Y375" i="2"/>
  <c r="Y517" i="2"/>
  <c r="Y415" i="2"/>
  <c r="Y434" i="2"/>
  <c r="Y416" i="2"/>
  <c r="AR405" i="2" s="1"/>
  <c r="Y575" i="2"/>
  <c r="Y550" i="2"/>
  <c r="Y410" i="2"/>
  <c r="Y367" i="2"/>
  <c r="Y476" i="2"/>
  <c r="AR553" i="2" s="1"/>
  <c r="Y396" i="2"/>
  <c r="Y357" i="2"/>
  <c r="Y314" i="2"/>
  <c r="AR304" i="2" s="1"/>
  <c r="Y404" i="2"/>
  <c r="Y498" i="2"/>
  <c r="Y406" i="2"/>
  <c r="Y464" i="2"/>
  <c r="Y250" i="2"/>
  <c r="AP7" i="2"/>
  <c r="AN7" i="2"/>
  <c r="AM7" i="2"/>
  <c r="AL7" i="2"/>
  <c r="AK7" i="2"/>
  <c r="AJ7" i="2"/>
  <c r="AH7" i="2"/>
  <c r="AG7" i="2"/>
  <c r="AI7" i="2"/>
  <c r="AF7" i="2"/>
  <c r="B31" i="5"/>
  <c r="AR389" i="2" l="1"/>
  <c r="AR21" i="2"/>
  <c r="AR23" i="2"/>
  <c r="AR59" i="2"/>
  <c r="AR510" i="2"/>
  <c r="AR424" i="2"/>
  <c r="AR157" i="2"/>
  <c r="AR335" i="2"/>
  <c r="AR333" i="2"/>
  <c r="AR261" i="2"/>
  <c r="AR352" i="2"/>
  <c r="AS280" i="2"/>
  <c r="AR316" i="2"/>
  <c r="AR337" i="2"/>
  <c r="AR145" i="2"/>
  <c r="AR58" i="2"/>
  <c r="AR153" i="2"/>
  <c r="AR505" i="2"/>
  <c r="AR267" i="2"/>
  <c r="AR328" i="2"/>
  <c r="AR379" i="2"/>
  <c r="AR500" i="2"/>
  <c r="AR465" i="2"/>
  <c r="AR319" i="2"/>
  <c r="AR75" i="2"/>
  <c r="AR45" i="2"/>
  <c r="AR144" i="2"/>
  <c r="AR466" i="2"/>
  <c r="AR62" i="2"/>
  <c r="AR181" i="2"/>
  <c r="AR121" i="2"/>
  <c r="AR122" i="2"/>
  <c r="AR84" i="2"/>
  <c r="AR566" i="2"/>
  <c r="AR485" i="2"/>
  <c r="AR336" i="2"/>
  <c r="AR147" i="2"/>
  <c r="AR156" i="2"/>
  <c r="AR252" i="2"/>
  <c r="AR423" i="2"/>
  <c r="AR100" i="2"/>
  <c r="AR557" i="2"/>
  <c r="AR30" i="2"/>
  <c r="AR164" i="2"/>
  <c r="AR155" i="2"/>
  <c r="AR33" i="2"/>
  <c r="AR453" i="2"/>
  <c r="AR254" i="2"/>
  <c r="Y374" i="2"/>
  <c r="AR318" i="2" s="1"/>
  <c r="AR161" i="2"/>
  <c r="Y123" i="2"/>
  <c r="AS117" i="2"/>
  <c r="Y280" i="2"/>
  <c r="AS85" i="2"/>
  <c r="AS86" i="2"/>
  <c r="Y484" i="2"/>
  <c r="AS256" i="2"/>
  <c r="AS170" i="2"/>
  <c r="AS29" i="2"/>
  <c r="AS89" i="2"/>
  <c r="AS123" i="2"/>
  <c r="AS115" i="2"/>
  <c r="AR403" i="2"/>
  <c r="AR101" i="2"/>
  <c r="AR306" i="2"/>
  <c r="AR128" i="2"/>
  <c r="AR38" i="2"/>
  <c r="AR99" i="2"/>
  <c r="AR529" i="2"/>
  <c r="AR547" i="2"/>
  <c r="AR450" i="2"/>
  <c r="AR378" i="2"/>
  <c r="AR493" i="2"/>
  <c r="AR88" i="2"/>
  <c r="AR374" i="2"/>
  <c r="AR105" i="2"/>
  <c r="AR327" i="2"/>
  <c r="AR211" i="2"/>
  <c r="AR37" i="2"/>
  <c r="AR118" i="2"/>
  <c r="AR90" i="2"/>
  <c r="AR79" i="2"/>
  <c r="AR20" i="2"/>
  <c r="AR462" i="2"/>
  <c r="AR322" i="2"/>
  <c r="AR120" i="2"/>
  <c r="AR232" i="2"/>
  <c r="AR376" i="2"/>
  <c r="AR542" i="2"/>
  <c r="AR167" i="2"/>
  <c r="AR278" i="2"/>
  <c r="AR519" i="2"/>
  <c r="AR324" i="2"/>
  <c r="AR533" i="2"/>
  <c r="AR475" i="2"/>
  <c r="AR313" i="2"/>
  <c r="AR185" i="2"/>
  <c r="AR172" i="2"/>
  <c r="AR159" i="2"/>
  <c r="AR365" i="2"/>
  <c r="AR60" i="2"/>
  <c r="AR68" i="2"/>
  <c r="AR513" i="2"/>
  <c r="AR94" i="2"/>
  <c r="AR387" i="2"/>
  <c r="AR248" i="2"/>
  <c r="AR277" i="2"/>
  <c r="AR444" i="2"/>
  <c r="AR458" i="2"/>
  <c r="AR26" i="2"/>
  <c r="AR503" i="2"/>
  <c r="AR360" i="2"/>
  <c r="AR271" i="2"/>
  <c r="AR247" i="2"/>
  <c r="AR544" i="2"/>
  <c r="AR191" i="2"/>
  <c r="AR205" i="2"/>
  <c r="AR482" i="2"/>
  <c r="AR123" i="2"/>
  <c r="AR231" i="2"/>
  <c r="AR175" i="2"/>
  <c r="AR371" i="2"/>
  <c r="AR537" i="2"/>
  <c r="AR344" i="2"/>
  <c r="AR317" i="2"/>
  <c r="AR186" i="2"/>
  <c r="AR206" i="2"/>
  <c r="AR52" i="2"/>
  <c r="AR302" i="2"/>
  <c r="AR104" i="2"/>
  <c r="AR422" i="2"/>
  <c r="AR348" i="2"/>
  <c r="AR207" i="2"/>
  <c r="AR522" i="2"/>
  <c r="AR158" i="2"/>
  <c r="AR393" i="2"/>
  <c r="AR438" i="2"/>
  <c r="AR446" i="2"/>
  <c r="AR543" i="2"/>
  <c r="AR435" i="2"/>
  <c r="AR291" i="2"/>
  <c r="AR509" i="2"/>
  <c r="AR477" i="2"/>
  <c r="AR459" i="2"/>
  <c r="AR214" i="2"/>
  <c r="AR411" i="2"/>
  <c r="AR501" i="2"/>
  <c r="AR487" i="2"/>
  <c r="AR521" i="2"/>
  <c r="AR463" i="2"/>
  <c r="AR293" i="2"/>
  <c r="AR245" i="2"/>
  <c r="AR534" i="2"/>
  <c r="AR119" i="2"/>
  <c r="AR531" i="2"/>
  <c r="AR19" i="2"/>
  <c r="AR432" i="2"/>
  <c r="Y532" i="2"/>
  <c r="AR190" i="2" s="1"/>
  <c r="AS532" i="2"/>
  <c r="Y171" i="2"/>
  <c r="AS171" i="2"/>
  <c r="Y516" i="2"/>
  <c r="AR516" i="2" s="1"/>
  <c r="AS516" i="2"/>
  <c r="Y31" i="2"/>
  <c r="AR72" i="2" s="1"/>
  <c r="AS31" i="2"/>
  <c r="Y528" i="2"/>
  <c r="AR528" i="2" s="1"/>
  <c r="AS528" i="2"/>
  <c r="AS484" i="2"/>
  <c r="AS278" i="2"/>
  <c r="AS374" i="2"/>
  <c r="Y526" i="2"/>
  <c r="AR526" i="2" s="1"/>
  <c r="AS526" i="2"/>
  <c r="AR464" i="2"/>
  <c r="AR274" i="2"/>
  <c r="AR402" i="2"/>
  <c r="AR350" i="2"/>
  <c r="AR15" i="2"/>
  <c r="AR480" i="2"/>
  <c r="AR149" i="2"/>
  <c r="AR425" i="2"/>
  <c r="AR87" i="2"/>
  <c r="AR81" i="2"/>
  <c r="AR527" i="2"/>
  <c r="AR83" i="2"/>
  <c r="AR523" i="2"/>
  <c r="AR39" i="2"/>
  <c r="AR92" i="2"/>
  <c r="AR373" i="2"/>
  <c r="AR183" i="2"/>
  <c r="AR401" i="2"/>
  <c r="AR192" i="2"/>
  <c r="AR567" i="2"/>
  <c r="AR556" i="2"/>
  <c r="AR479" i="2"/>
  <c r="AR414" i="2"/>
  <c r="AR407" i="2"/>
  <c r="AR358" i="2"/>
  <c r="AR309" i="2"/>
  <c r="AR330" i="2"/>
  <c r="AR472" i="2"/>
  <c r="AR364" i="2"/>
  <c r="AR359" i="2"/>
  <c r="AR27" i="2"/>
  <c r="AR486" i="2"/>
  <c r="AR361" i="2"/>
  <c r="AR288" i="2"/>
  <c r="AR506" i="2"/>
  <c r="AR440" i="2"/>
  <c r="AR273" i="2"/>
  <c r="AR394" i="2"/>
  <c r="AR329" i="2"/>
  <c r="AR431" i="2"/>
  <c r="AR223" i="2"/>
  <c r="AR451" i="2"/>
  <c r="AR517" i="2"/>
  <c r="AR483" i="2"/>
  <c r="AR390" i="2"/>
  <c r="AR449" i="2"/>
  <c r="AR382" i="2"/>
  <c r="AR343" i="2"/>
  <c r="AR213" i="2"/>
  <c r="AR386" i="2"/>
  <c r="AR194" i="2"/>
  <c r="AR583" i="2"/>
  <c r="AR152" i="2"/>
  <c r="AR539" i="2"/>
  <c r="AR82" i="2"/>
  <c r="AR469" i="2"/>
  <c r="AR51" i="2"/>
  <c r="AR50" i="2"/>
  <c r="AR502" i="2"/>
  <c r="AR67" i="2"/>
  <c r="AR577" i="2"/>
  <c r="AR63" i="2"/>
  <c r="AR66" i="2"/>
  <c r="AR573" i="2"/>
  <c r="AR467" i="2"/>
  <c r="AR575" i="2"/>
  <c r="AR280" i="2"/>
  <c r="AR176" i="2"/>
  <c r="AR193" i="2"/>
  <c r="AR578" i="2"/>
  <c r="AR454" i="2"/>
  <c r="AR345" i="2"/>
  <c r="AR562" i="2"/>
  <c r="AR346" i="2"/>
  <c r="AR584" i="2"/>
  <c r="AR474" i="2"/>
  <c r="AR409" i="2"/>
  <c r="AR372" i="2"/>
  <c r="AR392" i="2"/>
  <c r="AR565" i="2"/>
  <c r="AR461" i="2"/>
  <c r="AR541" i="2"/>
  <c r="AR404" i="2"/>
  <c r="AR314" i="2"/>
  <c r="AR102" i="2"/>
  <c r="AR292" i="2"/>
  <c r="AR265" i="2"/>
  <c r="AR251" i="2"/>
  <c r="AR132" i="2"/>
  <c r="AR538" i="2"/>
  <c r="AR397" i="2"/>
  <c r="AR399" i="2"/>
  <c r="AR331" i="2"/>
  <c r="AR473" i="2"/>
  <c r="AR332" i="2"/>
  <c r="AR484" i="2"/>
  <c r="AR408" i="2"/>
  <c r="AR160" i="2"/>
  <c r="AR455" i="2"/>
  <c r="AR417" i="2"/>
  <c r="AR312" i="2"/>
  <c r="AR398" i="2"/>
  <c r="AR326" i="2"/>
  <c r="AR560" i="2"/>
  <c r="AR507" i="2"/>
  <c r="AR508" i="2"/>
  <c r="AR512" i="2"/>
  <c r="AR499" i="2"/>
  <c r="AR420" i="2"/>
  <c r="AR381" i="2"/>
  <c r="AR540" i="2"/>
  <c r="AR561" i="2"/>
  <c r="AR511" i="2"/>
  <c r="AR427" i="2"/>
  <c r="AR219" i="2"/>
  <c r="AR415" i="2"/>
  <c r="AR448" i="2"/>
  <c r="AR351" i="2"/>
  <c r="AR441" i="2"/>
  <c r="AR286" i="2"/>
  <c r="AR495" i="2"/>
  <c r="AR563" i="2"/>
  <c r="AR550" i="2"/>
  <c r="AR456" i="2"/>
  <c r="AR436" i="2"/>
  <c r="AR406" i="2"/>
  <c r="AR354" i="2"/>
  <c r="AR391" i="2"/>
  <c r="AR311" i="2"/>
  <c r="AR334" i="2"/>
  <c r="AR41" i="2"/>
  <c r="AR383" i="2"/>
  <c r="AR40" i="2"/>
  <c r="AR230" i="2"/>
  <c r="AR188" i="2"/>
  <c r="AR471" i="2"/>
  <c r="AR165" i="2"/>
  <c r="AR385" i="2"/>
  <c r="AR154" i="2"/>
  <c r="AR582" i="2"/>
  <c r="AR133" i="2"/>
  <c r="AR384" i="2"/>
  <c r="AR107" i="2"/>
  <c r="AR470" i="2"/>
  <c r="AR80" i="2"/>
  <c r="AR49" i="2"/>
  <c r="AR42" i="2"/>
  <c r="AR421" i="2"/>
  <c r="AR545" i="2"/>
  <c r="AR498" i="2"/>
  <c r="AR434" i="2"/>
  <c r="AR367" i="2"/>
  <c r="AR98" i="2"/>
  <c r="AR426" i="2"/>
  <c r="AR416" i="2"/>
  <c r="AR24" i="2"/>
  <c r="AR369" i="2"/>
  <c r="AR551" i="2"/>
  <c r="AR437" i="2"/>
  <c r="AR429" i="2"/>
  <c r="AR25" i="2"/>
  <c r="AR362" i="2"/>
  <c r="AR375" i="2"/>
  <c r="AR476" i="2"/>
  <c r="AR439" i="2"/>
  <c r="AR353" i="2"/>
  <c r="AR216" i="2"/>
  <c r="AR180" i="2"/>
  <c r="AR148" i="2"/>
  <c r="AR57" i="2"/>
  <c r="AR238" i="2"/>
  <c r="AR215" i="2"/>
  <c r="AR203" i="2"/>
  <c r="AR178" i="2"/>
  <c r="AR182" i="2"/>
  <c r="AR150" i="2"/>
  <c r="AR91" i="2"/>
  <c r="AR76" i="2"/>
  <c r="AR47" i="2"/>
  <c r="AR35" i="2"/>
  <c r="AR16" i="2"/>
  <c r="AR349" i="2"/>
  <c r="AR419" i="2"/>
  <c r="AR363" i="2"/>
  <c r="AR227" i="2"/>
  <c r="AR229" i="2"/>
  <c r="AR576" i="2"/>
  <c r="AR242" i="2"/>
  <c r="AR445" i="2"/>
  <c r="AR468" i="2"/>
  <c r="AR276" i="2"/>
  <c r="AR218" i="2"/>
  <c r="AR116" i="2"/>
  <c r="AR283" i="2"/>
  <c r="AR282" i="2"/>
  <c r="AR287" i="2"/>
  <c r="AR554" i="2"/>
  <c r="AR558" i="2"/>
  <c r="AR504" i="2"/>
  <c r="AR478" i="2"/>
  <c r="AR570" i="2"/>
  <c r="AR284" i="2"/>
  <c r="AR430" i="2"/>
  <c r="AR452" i="2"/>
  <c r="AR388" i="2"/>
  <c r="AR250" i="2"/>
  <c r="AR447" i="2"/>
  <c r="AR315" i="2"/>
  <c r="AR564" i="2"/>
  <c r="AR433" i="2"/>
  <c r="AR443" i="2"/>
  <c r="AR515" i="2"/>
  <c r="AR410" i="2"/>
  <c r="AR275" i="2"/>
  <c r="AR198" i="2"/>
  <c r="AR22" i="2"/>
  <c r="AR514" i="2"/>
  <c r="AR571" i="2"/>
  <c r="AR320" i="2"/>
  <c r="AR535" i="2"/>
  <c r="AR396" i="2"/>
  <c r="AR380" i="2"/>
  <c r="AR187" i="2"/>
  <c r="AR103" i="2"/>
  <c r="AR54" i="2"/>
  <c r="AR46" i="2"/>
  <c r="AR210" i="2"/>
  <c r="AR212" i="2"/>
  <c r="AR184" i="2"/>
  <c r="AR124" i="2"/>
  <c r="AR129" i="2"/>
  <c r="AR93" i="2"/>
  <c r="AR78" i="2"/>
  <c r="AR64" i="2"/>
  <c r="AR48" i="2"/>
  <c r="AR65" i="2"/>
  <c r="AR569" i="2"/>
  <c r="AR17" i="2"/>
  <c r="AR253" i="2"/>
  <c r="AR290" i="2"/>
  <c r="AR71" i="2"/>
  <c r="AR338" i="2"/>
  <c r="AR497" i="2"/>
  <c r="AR56" i="2"/>
  <c r="AR496" i="2"/>
  <c r="AR298" i="2"/>
  <c r="AR264" i="2"/>
  <c r="AR546" i="2"/>
  <c r="AR368" i="2"/>
  <c r="AR43" i="2"/>
  <c r="AR481" i="2"/>
  <c r="AR221" i="2"/>
  <c r="AR266" i="2"/>
  <c r="AR272" i="2"/>
  <c r="AR204" i="2"/>
  <c r="AR347" i="2"/>
  <c r="AR131" i="2"/>
  <c r="AQ7" i="2"/>
  <c r="Y115" i="2"/>
  <c r="AR226" i="2" s="1"/>
  <c r="Y86" i="2"/>
  <c r="Y117" i="2"/>
  <c r="AR228" i="2" s="1"/>
  <c r="Y85" i="2"/>
  <c r="Y29" i="2"/>
  <c r="AR70" i="2" s="1"/>
  <c r="Y89" i="2"/>
  <c r="AR174" i="2" s="1"/>
  <c r="Y170" i="2"/>
  <c r="AR289" i="2" s="1"/>
  <c r="Y256" i="2"/>
  <c r="AU7" i="2"/>
  <c r="AU8" i="2"/>
  <c r="AU9" i="2"/>
  <c r="AU10" i="2"/>
  <c r="AU11" i="2"/>
  <c r="AU12" i="2"/>
  <c r="AU13" i="2"/>
  <c r="AU14" i="2"/>
  <c r="AU15" i="2"/>
  <c r="AU16" i="2"/>
  <c r="AU17" i="2"/>
  <c r="AU6" i="2"/>
  <c r="AR171" i="2" l="1"/>
  <c r="AR31" i="2"/>
  <c r="AR170" i="2"/>
  <c r="AR525" i="2"/>
  <c r="AR256" i="2"/>
  <c r="AR86" i="2"/>
  <c r="AR29" i="2"/>
  <c r="AR89" i="2"/>
  <c r="AR85" i="2"/>
  <c r="AR117" i="2"/>
  <c r="AR115" i="2"/>
  <c r="X307" i="2"/>
  <c r="X303" i="2"/>
  <c r="AA303" i="2" s="1"/>
  <c r="AB303" i="2" s="1"/>
  <c r="X249" i="2"/>
  <c r="AA249" i="2" s="1"/>
  <c r="AB249" i="2" s="1"/>
  <c r="X95" i="2"/>
  <c r="AA95" i="2" s="1"/>
  <c r="AB95" i="2" s="1"/>
  <c r="X96" i="2"/>
  <c r="AA96" i="2" s="1"/>
  <c r="AB96" i="2" s="1"/>
  <c r="X340" i="2"/>
  <c r="X97" i="2"/>
  <c r="AA97" i="2" s="1"/>
  <c r="AB97" i="2" s="1"/>
  <c r="X263" i="2"/>
  <c r="X240" i="2"/>
  <c r="AA240" i="2" s="1"/>
  <c r="AB240" i="2" s="1"/>
  <c r="X243" i="2"/>
  <c r="AA243" i="2" s="1"/>
  <c r="AB243" i="2" s="1"/>
  <c r="X239" i="2"/>
  <c r="AA239" i="2" s="1"/>
  <c r="AB239" i="2" s="1"/>
  <c r="X179" i="2"/>
  <c r="AA179" i="2" s="1"/>
  <c r="AB179" i="2" s="1"/>
  <c r="X114" i="2"/>
  <c r="AA114" i="2" s="1"/>
  <c r="AB114" i="2" s="1"/>
  <c r="X109" i="2"/>
  <c r="AA109" i="2" s="1"/>
  <c r="AB109" i="2" s="1"/>
  <c r="X130" i="2"/>
  <c r="AA130" i="2" s="1"/>
  <c r="AB130" i="2" s="1"/>
  <c r="X310" i="2"/>
  <c r="X32" i="2"/>
  <c r="AA32" i="2" s="1"/>
  <c r="AB32" i="2" s="1"/>
  <c r="X325" i="2"/>
  <c r="X113" i="2"/>
  <c r="AA113" i="2" s="1"/>
  <c r="AB113" i="2" s="1"/>
  <c r="X12" i="2"/>
  <c r="AA12" i="2" s="1"/>
  <c r="AB12" i="2" s="1"/>
  <c r="X166" i="2"/>
  <c r="AA166" i="2" s="1"/>
  <c r="AB166" i="2" s="1"/>
  <c r="X255" i="2"/>
  <c r="AA255" i="2" s="1"/>
  <c r="AB255" i="2" s="1"/>
  <c r="X269" i="2"/>
  <c r="X125" i="2"/>
  <c r="AA125" i="2" s="1"/>
  <c r="AB125" i="2" s="1"/>
  <c r="X14" i="2"/>
  <c r="AA14" i="2" s="1"/>
  <c r="AB14" i="2" s="1"/>
  <c r="X55" i="2"/>
  <c r="AA55" i="2" s="1"/>
  <c r="AB55" i="2" s="1"/>
  <c r="X8" i="2"/>
  <c r="AA8" i="2" s="1"/>
  <c r="AB8" i="2" s="1"/>
  <c r="X356" i="2"/>
  <c r="X281" i="2"/>
  <c r="X299" i="2"/>
  <c r="X127" i="2"/>
  <c r="AA127" i="2" s="1"/>
  <c r="AB127" i="2" s="1"/>
  <c r="X460" i="2"/>
  <c r="AA460" i="2" s="1"/>
  <c r="AB460" i="2" s="1"/>
  <c r="X296" i="2"/>
  <c r="X323" i="2"/>
  <c r="AA323" i="2" s="1"/>
  <c r="AB323" i="2" s="1"/>
  <c r="X377" i="2"/>
  <c r="AA377" i="2" s="1"/>
  <c r="AB377" i="2" s="1"/>
  <c r="X53" i="2"/>
  <c r="AA53" i="2" s="1"/>
  <c r="AB53" i="2" s="1"/>
  <c r="X143" i="2"/>
  <c r="AA143" i="2" s="1"/>
  <c r="AB143" i="2" s="1"/>
  <c r="X305" i="2"/>
  <c r="AA305" i="2" s="1"/>
  <c r="AB305" i="2" s="1"/>
  <c r="X241" i="2"/>
  <c r="AA241" i="2" s="1"/>
  <c r="AB241" i="2" s="1"/>
  <c r="X342" i="2"/>
  <c r="C31" i="5"/>
  <c r="C8" i="4" s="1"/>
  <c r="D31" i="5"/>
  <c r="D8" i="4" s="1"/>
  <c r="E31" i="5"/>
  <c r="E8" i="4" s="1"/>
  <c r="F31" i="5"/>
  <c r="F8" i="4" s="1"/>
  <c r="G31" i="5"/>
  <c r="G8" i="4" s="1"/>
  <c r="H31" i="5"/>
  <c r="H8" i="4" s="1"/>
  <c r="I31" i="5"/>
  <c r="I8" i="4" s="1"/>
  <c r="J31" i="5"/>
  <c r="J8" i="4" s="1"/>
  <c r="K31" i="5"/>
  <c r="K8" i="4" s="1"/>
  <c r="L31" i="5"/>
  <c r="L8" i="4" s="1"/>
  <c r="M31" i="5"/>
  <c r="M8" i="4" s="1"/>
  <c r="B3" i="4"/>
  <c r="B3" i="5"/>
  <c r="B4" i="5"/>
  <c r="B4" i="4" s="1"/>
  <c r="B7" i="4"/>
  <c r="G585" i="2"/>
  <c r="C7" i="4" s="1"/>
  <c r="R532" i="2"/>
  <c r="R85" i="2"/>
  <c r="R86" i="2"/>
  <c r="R426" i="2"/>
  <c r="R91" i="2"/>
  <c r="R92" i="2"/>
  <c r="R104" i="2"/>
  <c r="R265" i="2"/>
  <c r="R110" i="2"/>
  <c r="R113" i="2"/>
  <c r="R387" i="2"/>
  <c r="R496" i="2"/>
  <c r="R124" i="2"/>
  <c r="R388" i="2"/>
  <c r="R297" i="2"/>
  <c r="R127" i="2"/>
  <c r="R130" i="2"/>
  <c r="R134" i="2"/>
  <c r="R267" i="2"/>
  <c r="R135" i="2"/>
  <c r="R558" i="2"/>
  <c r="R429" i="2"/>
  <c r="R350" i="2"/>
  <c r="R516" i="2"/>
  <c r="R554" i="2"/>
  <c r="R154" i="2"/>
  <c r="R365" i="2"/>
  <c r="R160" i="2"/>
  <c r="R376" i="2"/>
  <c r="R171" i="2"/>
  <c r="R285" i="2"/>
  <c r="R540" i="2"/>
  <c r="R269" i="2"/>
  <c r="R186" i="2"/>
  <c r="R351" i="2"/>
  <c r="R189" i="2"/>
  <c r="R270" i="2"/>
  <c r="R195" i="2"/>
  <c r="R197" i="2"/>
  <c r="R198" i="2"/>
  <c r="R201" i="2"/>
  <c r="R542" i="2"/>
  <c r="R335" i="2"/>
  <c r="R457" i="2"/>
  <c r="R208" i="2"/>
  <c r="R209" i="2"/>
  <c r="R408" i="2"/>
  <c r="R436" i="2"/>
  <c r="R300" i="2"/>
  <c r="R214" i="2"/>
  <c r="R215" i="2"/>
  <c r="R437" i="2"/>
  <c r="R219" i="2"/>
  <c r="R570" i="2"/>
  <c r="R232" i="2"/>
  <c r="R236" i="2"/>
  <c r="R418" i="2"/>
  <c r="R442" i="2"/>
  <c r="R443" i="2"/>
  <c r="R476" i="2"/>
  <c r="R444" i="2"/>
  <c r="R368" i="2"/>
  <c r="R535" i="2"/>
  <c r="R551" i="2"/>
  <c r="R511" i="2"/>
  <c r="R382" i="2"/>
  <c r="R250" i="2"/>
  <c r="R251" i="2"/>
  <c r="R340" i="2"/>
  <c r="R513" i="2"/>
  <c r="R261" i="2"/>
  <c r="R342" i="2"/>
  <c r="R37" i="2"/>
  <c r="R43" i="2"/>
  <c r="R44" i="2"/>
  <c r="R480" i="2"/>
  <c r="R324" i="2"/>
  <c r="R557" i="2"/>
  <c r="R45" i="2"/>
  <c r="R292" i="2"/>
  <c r="R78" i="2"/>
  <c r="R105" i="2"/>
  <c r="R139" i="2"/>
  <c r="R284" i="2"/>
  <c r="R488" i="2"/>
  <c r="R21" i="2"/>
  <c r="R470" i="2"/>
  <c r="R422" i="2"/>
  <c r="R482" i="2"/>
  <c r="R76" i="2"/>
  <c r="R89" i="2"/>
  <c r="R90" i="2"/>
  <c r="R106" i="2"/>
  <c r="R313" i="2"/>
  <c r="R136" i="2"/>
  <c r="R332" i="2"/>
  <c r="R149" i="2"/>
  <c r="R509" i="2"/>
  <c r="R174" i="2"/>
  <c r="R177" i="2"/>
  <c r="R352" i="2"/>
  <c r="R200" i="2"/>
  <c r="R518" i="2"/>
  <c r="R212" i="2"/>
  <c r="R319" i="2"/>
  <c r="R438" i="2"/>
  <c r="R226" i="2"/>
  <c r="R458" i="2"/>
  <c r="R520" i="2"/>
  <c r="R276" i="2"/>
  <c r="R547" i="2"/>
  <c r="R274" i="2"/>
  <c r="R523" i="2"/>
  <c r="R57" i="2"/>
  <c r="R53" i="2"/>
  <c r="R62" i="2"/>
  <c r="R565" i="2"/>
  <c r="R108" i="2"/>
  <c r="R109" i="2"/>
  <c r="R314" i="2"/>
  <c r="R168" i="2"/>
  <c r="R176" i="2"/>
  <c r="R185" i="2"/>
  <c r="R380" i="2"/>
  <c r="R222" i="2"/>
  <c r="R474" i="2"/>
  <c r="R302" i="2"/>
  <c r="R303" i="2"/>
  <c r="R449" i="2"/>
  <c r="R357" i="2"/>
  <c r="R13" i="2"/>
  <c r="R460" i="2"/>
  <c r="R541" i="2"/>
  <c r="R454" i="2"/>
  <c r="R330" i="2"/>
  <c r="R346" i="2"/>
  <c r="R466" i="2"/>
  <c r="R573" i="2"/>
  <c r="R358" i="2"/>
  <c r="R461" i="2"/>
  <c r="R529" i="2"/>
  <c r="R304" i="2"/>
  <c r="R24" i="2"/>
  <c r="R359" i="2"/>
  <c r="R29" i="2"/>
  <c r="R524" i="2"/>
  <c r="R54" i="2"/>
  <c r="R55" i="2"/>
  <c r="R344" i="2"/>
  <c r="R70" i="2"/>
  <c r="R385" i="2"/>
  <c r="R278" i="2"/>
  <c r="R307" i="2"/>
  <c r="R279" i="2"/>
  <c r="R88" i="2"/>
  <c r="R463" i="2"/>
  <c r="R101" i="2"/>
  <c r="R310" i="2"/>
  <c r="R389" i="2"/>
  <c r="R126" i="2"/>
  <c r="R131" i="2"/>
  <c r="R143" i="2"/>
  <c r="R472" i="2"/>
  <c r="R349" i="2"/>
  <c r="R374" i="2"/>
  <c r="R155" i="2"/>
  <c r="R156" i="2"/>
  <c r="R455" i="2"/>
  <c r="R526" i="2"/>
  <c r="R527" i="2"/>
  <c r="R182" i="2"/>
  <c r="R187" i="2"/>
  <c r="R188" i="2"/>
  <c r="R286" i="2"/>
  <c r="R406" i="2"/>
  <c r="R194" i="2"/>
  <c r="R519" i="2"/>
  <c r="R237" i="2"/>
  <c r="R367" i="2"/>
  <c r="R571" i="2"/>
  <c r="R475" i="2"/>
  <c r="R395" i="2"/>
  <c r="R290" i="2"/>
  <c r="R448" i="2"/>
  <c r="R413" i="2"/>
  <c r="R256" i="2"/>
  <c r="R17" i="2"/>
  <c r="R566" i="2"/>
  <c r="R326" i="2"/>
  <c r="R469" i="2"/>
  <c r="R504" i="2"/>
  <c r="R263" i="2"/>
  <c r="R82" i="2"/>
  <c r="R120" i="2"/>
  <c r="R373" i="2"/>
  <c r="R166" i="2"/>
  <c r="R49" i="2"/>
  <c r="R306" i="2"/>
  <c r="R288" i="2"/>
  <c r="R487" i="2"/>
  <c r="R231" i="2"/>
  <c r="R233" i="2"/>
  <c r="R499" i="2"/>
  <c r="R507" i="2"/>
  <c r="R309" i="2"/>
  <c r="R125" i="2"/>
  <c r="R539" i="2"/>
  <c r="R401" i="2"/>
  <c r="R102" i="2"/>
  <c r="R386" i="2"/>
  <c r="R514" i="2"/>
  <c r="R159" i="2"/>
  <c r="R220" i="2"/>
  <c r="R446" i="2"/>
  <c r="R478" i="2"/>
  <c r="R331" i="2"/>
  <c r="R228" i="2"/>
  <c r="R8" i="2"/>
  <c r="R18" i="2"/>
  <c r="R56" i="2"/>
  <c r="R494" i="2"/>
  <c r="R97" i="2"/>
  <c r="R495" i="2"/>
  <c r="R363" i="2"/>
  <c r="R150" i="2"/>
  <c r="R199" i="2"/>
  <c r="R207" i="2"/>
  <c r="R229" i="2"/>
  <c r="R394" i="2"/>
  <c r="R356" i="2"/>
  <c r="R545" i="2"/>
  <c r="R440" i="2"/>
  <c r="R254" i="2"/>
  <c r="R451" i="2"/>
  <c r="R452" i="2"/>
  <c r="R576" i="2"/>
  <c r="R528" i="2"/>
  <c r="R325" i="2"/>
  <c r="R521" i="2"/>
  <c r="R530" i="2"/>
  <c r="R41" i="2"/>
  <c r="R508" i="2"/>
  <c r="R383" i="2"/>
  <c r="R31" i="2"/>
  <c r="R583" i="2"/>
  <c r="R103" i="2"/>
  <c r="R483" i="2"/>
  <c r="R485" i="2"/>
  <c r="R138" i="2"/>
  <c r="R144" i="2"/>
  <c r="R268" i="2"/>
  <c r="R147" i="2"/>
  <c r="R148" i="2"/>
  <c r="R151" i="2"/>
  <c r="R152" i="2"/>
  <c r="R317" i="2"/>
  <c r="R473" i="2"/>
  <c r="R157" i="2"/>
  <c r="R36" i="2"/>
  <c r="R481" i="2"/>
  <c r="R582" i="2"/>
  <c r="R129" i="2"/>
  <c r="R281" i="2"/>
  <c r="R145" i="2"/>
  <c r="R184" i="2"/>
  <c r="R204" i="2"/>
  <c r="R336" i="2"/>
  <c r="R291" i="2"/>
  <c r="R93" i="2"/>
  <c r="R362" i="2"/>
  <c r="R80" i="2"/>
  <c r="R12" i="2"/>
  <c r="R467" i="2"/>
  <c r="R20" i="2"/>
  <c r="R538" i="2"/>
  <c r="R27" i="2"/>
  <c r="R51" i="2"/>
  <c r="R61" i="2"/>
  <c r="R68" i="2"/>
  <c r="R74" i="2"/>
  <c r="R578" i="2"/>
  <c r="R83" i="2"/>
  <c r="R308" i="2"/>
  <c r="R95" i="2"/>
  <c r="R96" i="2"/>
  <c r="R111" i="2"/>
  <c r="R116" i="2"/>
  <c r="R403" i="2"/>
  <c r="R311" i="2"/>
  <c r="R128" i="2"/>
  <c r="R348" i="2"/>
  <c r="R298" i="2"/>
  <c r="R162" i="2"/>
  <c r="R375" i="2"/>
  <c r="R165" i="2"/>
  <c r="R167" i="2"/>
  <c r="R517" i="2"/>
  <c r="R178" i="2"/>
  <c r="R432" i="2"/>
  <c r="R377" i="2"/>
  <c r="R392" i="2"/>
  <c r="R416" i="2"/>
  <c r="R273" i="2"/>
  <c r="R213" i="2"/>
  <c r="R223" i="2"/>
  <c r="R486" i="2"/>
  <c r="R224" i="2"/>
  <c r="R337" i="2"/>
  <c r="R238" i="2"/>
  <c r="R439" i="2"/>
  <c r="R245" i="2"/>
  <c r="R248" i="2"/>
  <c r="R500" i="2"/>
  <c r="R450" i="2"/>
  <c r="R579" i="2"/>
  <c r="R64" i="2"/>
  <c r="R384" i="2"/>
  <c r="R431" i="2"/>
  <c r="R16" i="2"/>
  <c r="R32" i="2"/>
  <c r="R146" i="2"/>
  <c r="R170" i="2"/>
  <c r="R407" i="2"/>
  <c r="R241" i="2"/>
  <c r="R132" i="2"/>
  <c r="R19" i="2"/>
  <c r="R294" i="2"/>
  <c r="R318" i="2"/>
  <c r="R417" i="2"/>
  <c r="R397" i="2"/>
  <c r="R11" i="2"/>
  <c r="R421" i="2"/>
  <c r="R10" i="2"/>
  <c r="R512" i="2"/>
  <c r="R531" i="2"/>
  <c r="R468" i="2"/>
  <c r="R38" i="2"/>
  <c r="R46" i="2"/>
  <c r="R328" i="2"/>
  <c r="R47" i="2"/>
  <c r="R275" i="2"/>
  <c r="R58" i="2"/>
  <c r="R65" i="2"/>
  <c r="R277" i="2"/>
  <c r="R87" i="2"/>
  <c r="R98" i="2"/>
  <c r="R329" i="2"/>
  <c r="R115" i="2"/>
  <c r="R140" i="2"/>
  <c r="R404" i="2"/>
  <c r="R153" i="2"/>
  <c r="R562" i="2"/>
  <c r="R175" i="2"/>
  <c r="R391" i="2"/>
  <c r="R415" i="2"/>
  <c r="R206" i="2"/>
  <c r="R464" i="2"/>
  <c r="R412" i="2"/>
  <c r="R567" i="2"/>
  <c r="R9" i="2"/>
  <c r="R425" i="2"/>
  <c r="R75" i="2"/>
  <c r="R280" i="2"/>
  <c r="R107" i="2"/>
  <c r="R427" i="2"/>
  <c r="R118" i="2"/>
  <c r="R525" i="2"/>
  <c r="R133" i="2"/>
  <c r="R141" i="2"/>
  <c r="R498" i="2"/>
  <c r="R180" i="2"/>
  <c r="R190" i="2"/>
  <c r="R272" i="2"/>
  <c r="R225" i="2"/>
  <c r="R410" i="2"/>
  <c r="R568" i="2"/>
  <c r="R445" i="2"/>
  <c r="R477" i="2"/>
  <c r="R15" i="2"/>
  <c r="R158" i="2"/>
  <c r="R459" i="2"/>
  <c r="R492" i="2"/>
  <c r="R94" i="2"/>
  <c r="R537" i="2"/>
  <c r="R39" i="2"/>
  <c r="R114" i="2"/>
  <c r="R119" i="2"/>
  <c r="R123" i="2"/>
  <c r="R428" i="2"/>
  <c r="R315" i="2"/>
  <c r="R282" i="2"/>
  <c r="R164" i="2"/>
  <c r="R193" i="2"/>
  <c r="R271" i="2"/>
  <c r="R506" i="2"/>
  <c r="R550" i="2"/>
  <c r="R338" i="2"/>
  <c r="R381" i="2"/>
  <c r="R247" i="2"/>
  <c r="R370" i="2"/>
  <c r="R179" i="2"/>
  <c r="R7" i="2"/>
  <c r="R14" i="2"/>
  <c r="R502" i="2"/>
  <c r="R26" i="2"/>
  <c r="R262" i="2"/>
  <c r="R345" i="2"/>
  <c r="R112" i="2"/>
  <c r="R137" i="2"/>
  <c r="R544" i="2"/>
  <c r="R393" i="2"/>
  <c r="R202" i="2"/>
  <c r="R561" i="2"/>
  <c r="R465" i="2"/>
  <c r="R453" i="2"/>
  <c r="R491" i="2"/>
  <c r="R399" i="2"/>
  <c r="R505" i="2"/>
  <c r="R543" i="2"/>
  <c r="R295" i="2"/>
  <c r="R471" i="2"/>
  <c r="R402" i="2"/>
  <c r="R361" i="2"/>
  <c r="R266" i="2"/>
  <c r="R484" i="2"/>
  <c r="R497" i="2"/>
  <c r="R584" i="2"/>
  <c r="R456" i="2"/>
  <c r="R379" i="2"/>
  <c r="R575" i="2"/>
  <c r="R217" i="2"/>
  <c r="R289" i="2"/>
  <c r="R227" i="2"/>
  <c r="R354" i="2"/>
  <c r="R230" i="2"/>
  <c r="R239" i="2"/>
  <c r="R242" i="2"/>
  <c r="R322" i="2"/>
  <c r="R490" i="2"/>
  <c r="R246" i="2"/>
  <c r="R293" i="2"/>
  <c r="R312" i="2"/>
  <c r="R23" i="2"/>
  <c r="R35" i="2"/>
  <c r="R34" i="2"/>
  <c r="R40" i="2"/>
  <c r="R67" i="2"/>
  <c r="R72" i="2"/>
  <c r="R398" i="2"/>
  <c r="R84" i="2"/>
  <c r="R296" i="2"/>
  <c r="R121" i="2"/>
  <c r="R122" i="2"/>
  <c r="R515" i="2"/>
  <c r="R192" i="2"/>
  <c r="R205" i="2"/>
  <c r="R218" i="2"/>
  <c r="R301" i="2"/>
  <c r="R534" i="2"/>
  <c r="R396" i="2"/>
  <c r="R252" i="2"/>
  <c r="R253" i="2"/>
  <c r="R390" i="2"/>
  <c r="R60" i="2"/>
  <c r="R59" i="2"/>
  <c r="R142" i="2"/>
  <c r="R173" i="2"/>
  <c r="R240" i="2"/>
  <c r="R441" i="2"/>
  <c r="R479" i="2"/>
  <c r="R99" i="2"/>
  <c r="R100" i="2"/>
  <c r="R50" i="2"/>
  <c r="R343" i="2"/>
  <c r="R81" i="2"/>
  <c r="R264" i="2"/>
  <c r="R347" i="2"/>
  <c r="R117" i="2"/>
  <c r="R316" i="2"/>
  <c r="R364" i="2"/>
  <c r="R283" i="2"/>
  <c r="R378" i="2"/>
  <c r="R183" i="2"/>
  <c r="R216" i="2"/>
  <c r="R320" i="2"/>
  <c r="R235" i="2"/>
  <c r="R244" i="2"/>
  <c r="R249" i="2"/>
  <c r="R569" i="2"/>
  <c r="R323" i="2"/>
  <c r="R503" i="2"/>
  <c r="R22" i="2"/>
  <c r="R522" i="2"/>
  <c r="R25" i="2"/>
  <c r="R341" i="2"/>
  <c r="R28" i="2"/>
  <c r="R546" i="2"/>
  <c r="R30" i="2"/>
  <c r="R305" i="2"/>
  <c r="R360" i="2"/>
  <c r="R42" i="2"/>
  <c r="R327" i="2"/>
  <c r="R48" i="2"/>
  <c r="R414" i="2"/>
  <c r="R52" i="2"/>
  <c r="R423" i="2"/>
  <c r="R372" i="2"/>
  <c r="R63" i="2"/>
  <c r="R66" i="2"/>
  <c r="R424" i="2"/>
  <c r="R462" i="2"/>
  <c r="R69" i="2"/>
  <c r="R71" i="2"/>
  <c r="R73" i="2"/>
  <c r="R493" i="2"/>
  <c r="R77" i="2"/>
  <c r="R79" i="2"/>
  <c r="R400" i="2"/>
  <c r="R33" i="2"/>
  <c r="R577" i="2"/>
  <c r="H585" i="2"/>
  <c r="D7" i="4" s="1"/>
  <c r="I585" i="2"/>
  <c r="E7" i="4" s="1"/>
  <c r="J585" i="2"/>
  <c r="F7" i="4" s="1"/>
  <c r="K585" i="2"/>
  <c r="G7" i="4" s="1"/>
  <c r="L585" i="2"/>
  <c r="H7" i="4" s="1"/>
  <c r="M585" i="2"/>
  <c r="I7" i="4" s="1"/>
  <c r="N585" i="2"/>
  <c r="J7" i="4" s="1"/>
  <c r="O585" i="2"/>
  <c r="K7" i="4" s="1"/>
  <c r="P585" i="2"/>
  <c r="L7" i="4" s="1"/>
  <c r="Q585" i="2"/>
  <c r="M7" i="4" s="1"/>
  <c r="AA296" i="2" l="1"/>
  <c r="AB296" i="2" s="1"/>
  <c r="AS296" i="2"/>
  <c r="AA281" i="2"/>
  <c r="AB281" i="2" s="1"/>
  <c r="AS281" i="2"/>
  <c r="AA269" i="2"/>
  <c r="AB269" i="2" s="1"/>
  <c r="AS269" i="2"/>
  <c r="AA307" i="2"/>
  <c r="AB307" i="2" s="1"/>
  <c r="AS307" i="2"/>
  <c r="AA342" i="2"/>
  <c r="AB342" i="2" s="1"/>
  <c r="AS342" i="2"/>
  <c r="AA299" i="2"/>
  <c r="AB299" i="2" s="1"/>
  <c r="AS299" i="2"/>
  <c r="AA356" i="2"/>
  <c r="AB356" i="2" s="1"/>
  <c r="AS356" i="2"/>
  <c r="AA325" i="2"/>
  <c r="AB325" i="2" s="1"/>
  <c r="AS325" i="2"/>
  <c r="AA310" i="2"/>
  <c r="AB310" i="2" s="1"/>
  <c r="AS310" i="2"/>
  <c r="AA263" i="2"/>
  <c r="AB263" i="2" s="1"/>
  <c r="AS263" i="2"/>
  <c r="AA340" i="2"/>
  <c r="AB340" i="2" s="1"/>
  <c r="AS340" i="2"/>
  <c r="AS241" i="2"/>
  <c r="AS143" i="2"/>
  <c r="AS377" i="2"/>
  <c r="AS294" i="2"/>
  <c r="AS127" i="2"/>
  <c r="AS279" i="2"/>
  <c r="AS8" i="2"/>
  <c r="AS14" i="2"/>
  <c r="AS268" i="2"/>
  <c r="AS166" i="2"/>
  <c r="AS113" i="2"/>
  <c r="AS32" i="2"/>
  <c r="AS130" i="2"/>
  <c r="AS114" i="2"/>
  <c r="AS239" i="2"/>
  <c r="AS240" i="2"/>
  <c r="AS97" i="2"/>
  <c r="AS96" i="2"/>
  <c r="AS249" i="2"/>
  <c r="AS305" i="2"/>
  <c r="AS341" i="2"/>
  <c r="AS303" i="2"/>
  <c r="AS53" i="2"/>
  <c r="AS321" i="2"/>
  <c r="AS460" i="2"/>
  <c r="AS297" i="2"/>
  <c r="AS355" i="2"/>
  <c r="AS55" i="2"/>
  <c r="AS125" i="2"/>
  <c r="AS255" i="2"/>
  <c r="AS12" i="2"/>
  <c r="AS323" i="2"/>
  <c r="AS308" i="2"/>
  <c r="AS109" i="2"/>
  <c r="AS179" i="2"/>
  <c r="AS243" i="2"/>
  <c r="AS262" i="2"/>
  <c r="AS339" i="2"/>
  <c r="AS95" i="2"/>
  <c r="AS301" i="2"/>
  <c r="C9" i="4"/>
  <c r="M9" i="4"/>
  <c r="K9" i="4"/>
  <c r="I9" i="4"/>
  <c r="G9" i="4"/>
  <c r="E9" i="4"/>
  <c r="L9" i="4"/>
  <c r="J9" i="4"/>
  <c r="H9" i="4"/>
  <c r="F9" i="4"/>
  <c r="D9" i="4"/>
  <c r="Y342" i="2"/>
  <c r="AR342" i="2" s="1"/>
  <c r="Y305" i="2"/>
  <c r="Y53" i="2"/>
  <c r="Y323" i="2"/>
  <c r="Y460" i="2"/>
  <c r="Y299" i="2"/>
  <c r="AR299" i="2" s="1"/>
  <c r="Y356" i="2"/>
  <c r="AR356" i="2" s="1"/>
  <c r="Y55" i="2"/>
  <c r="Y125" i="2"/>
  <c r="Y255" i="2"/>
  <c r="Y12" i="2"/>
  <c r="AR12" i="2" s="1"/>
  <c r="Y325" i="2"/>
  <c r="AR325" i="2" s="1"/>
  <c r="Y310" i="2"/>
  <c r="AR310" i="2" s="1"/>
  <c r="Y109" i="2"/>
  <c r="Y179" i="2"/>
  <c r="Y243" i="2"/>
  <c r="Y263" i="2"/>
  <c r="Y340" i="2"/>
  <c r="AR340" i="2" s="1"/>
  <c r="Y95" i="2"/>
  <c r="Y303" i="2"/>
  <c r="Y241" i="2"/>
  <c r="Y143" i="2"/>
  <c r="Y377" i="2"/>
  <c r="Y296" i="2"/>
  <c r="AR296" i="2" s="1"/>
  <c r="Y127" i="2"/>
  <c r="Y281" i="2"/>
  <c r="AR281" i="2" s="1"/>
  <c r="Y8" i="2"/>
  <c r="AR8" i="2" s="1"/>
  <c r="Y14" i="2"/>
  <c r="Y269" i="2"/>
  <c r="AR269" i="2" s="1"/>
  <c r="Y166" i="2"/>
  <c r="Y113" i="2"/>
  <c r="AR224" i="2" s="1"/>
  <c r="Y32" i="2"/>
  <c r="Y130" i="2"/>
  <c r="Y114" i="2"/>
  <c r="Y239" i="2"/>
  <c r="Y240" i="2"/>
  <c r="Y97" i="2"/>
  <c r="Y96" i="2"/>
  <c r="Y249" i="2"/>
  <c r="AR518" i="2" s="1"/>
  <c r="Y307" i="2"/>
  <c r="AR307" i="2" s="1"/>
  <c r="X28" i="2"/>
  <c r="AA28" i="2" s="1"/>
  <c r="AB28" i="2" s="1"/>
  <c r="R587" i="2"/>
  <c r="R586" i="2"/>
  <c r="AR134" i="2" l="1"/>
  <c r="AR263" i="2"/>
  <c r="AS28" i="2"/>
  <c r="AR163" i="2"/>
  <c r="AR305" i="2"/>
  <c r="AR200" i="2"/>
  <c r="AR96" i="2"/>
  <c r="AR201" i="2"/>
  <c r="AR97" i="2"/>
  <c r="AR491" i="2"/>
  <c r="AR240" i="2"/>
  <c r="AR490" i="2"/>
  <c r="AR239" i="2"/>
  <c r="AR225" i="2"/>
  <c r="AR114" i="2"/>
  <c r="AR249" i="2"/>
  <c r="AR130" i="2"/>
  <c r="AR77" i="2"/>
  <c r="AR32" i="2"/>
  <c r="AR285" i="2"/>
  <c r="AR166" i="2"/>
  <c r="AR366" i="2"/>
  <c r="AR268" i="2"/>
  <c r="AR18" i="2"/>
  <c r="AR14" i="2"/>
  <c r="AR295" i="2"/>
  <c r="AR279" i="2"/>
  <c r="AR246" i="2"/>
  <c r="AR127" i="2"/>
  <c r="AR209" i="2"/>
  <c r="AR294" i="2"/>
  <c r="AR370" i="2"/>
  <c r="AR377" i="2"/>
  <c r="AR262" i="2"/>
  <c r="AR143" i="2"/>
  <c r="AR492" i="2"/>
  <c r="AR241" i="2"/>
  <c r="AR530" i="2"/>
  <c r="AR301" i="2"/>
  <c r="AR199" i="2"/>
  <c r="AR95" i="2"/>
  <c r="AR532" i="2"/>
  <c r="AR339" i="2"/>
  <c r="AR494" i="2"/>
  <c r="AR243" i="2"/>
  <c r="AR357" i="2"/>
  <c r="AR179" i="2"/>
  <c r="AR220" i="2"/>
  <c r="AR109" i="2"/>
  <c r="AR300" i="2"/>
  <c r="AR308" i="2"/>
  <c r="AR36" i="2"/>
  <c r="AR323" i="2"/>
  <c r="AR524" i="2"/>
  <c r="AR255" i="2"/>
  <c r="AR244" i="2"/>
  <c r="AR125" i="2"/>
  <c r="AR113" i="2"/>
  <c r="AR55" i="2"/>
  <c r="AR489" i="2"/>
  <c r="AR355" i="2"/>
  <c r="AR400" i="2"/>
  <c r="AR297" i="2"/>
  <c r="AR44" i="2"/>
  <c r="AR460" i="2"/>
  <c r="AR34" i="2"/>
  <c r="AR321" i="2"/>
  <c r="AR111" i="2"/>
  <c r="AR53" i="2"/>
  <c r="AR73" i="2"/>
  <c r="AR303" i="2"/>
  <c r="AR74" i="2"/>
  <c r="AR341" i="2"/>
  <c r="Y28" i="2"/>
  <c r="AR28" i="2" s="1"/>
  <c r="X7" i="2"/>
  <c r="AA7" i="2" s="1"/>
  <c r="AB7" i="2" s="1"/>
  <c r="B8" i="4"/>
  <c r="B9" i="4" s="1"/>
  <c r="G11" i="4" s="1"/>
  <c r="G12" i="4" l="1"/>
  <c r="AS7" i="2"/>
  <c r="AS585" i="2" s="1"/>
  <c r="X585" i="2"/>
  <c r="AR69" i="2"/>
  <c r="AA585" i="2"/>
  <c r="Y7" i="2"/>
  <c r="Y585" i="2" s="1"/>
  <c r="AR7" i="2" l="1"/>
  <c r="AR585" i="2" s="1"/>
  <c r="AB585" i="2"/>
</calcChain>
</file>

<file path=xl/comments1.xml><?xml version="1.0" encoding="utf-8"?>
<comments xmlns="http://schemas.openxmlformats.org/spreadsheetml/2006/main">
  <authors>
    <author>JMHP</author>
  </authors>
  <commentList>
    <comment ref="AE6" authorId="0" shapeId="0">
      <text>
        <r>
          <rPr>
            <sz val="9"/>
            <color indexed="81"/>
            <rFont val="Tahoma"/>
            <family val="2"/>
          </rPr>
          <t xml:space="preserve">OJO: AQUÍ HAY INFORMACION DENTRO DEL AREA SOMBREADA
</t>
        </r>
      </text>
    </comment>
  </commentList>
</comments>
</file>

<file path=xl/sharedStrings.xml><?xml version="1.0" encoding="utf-8"?>
<sst xmlns="http://schemas.openxmlformats.org/spreadsheetml/2006/main" count="3635" uniqueCount="669">
  <si>
    <t xml:space="preserve">ENERO </t>
  </si>
  <si>
    <t>FEBRERO</t>
  </si>
  <si>
    <t>MARZO</t>
  </si>
  <si>
    <t>ABRIL</t>
  </si>
  <si>
    <t xml:space="preserve">MAYO </t>
  </si>
  <si>
    <t xml:space="preserve">JUNIO </t>
  </si>
  <si>
    <t xml:space="preserve">JULIO </t>
  </si>
  <si>
    <t>AGOSTO</t>
  </si>
  <si>
    <t>SEPTIEMBRE</t>
  </si>
  <si>
    <t>OCTUBRE</t>
  </si>
  <si>
    <t>NOVIEMBRE</t>
  </si>
  <si>
    <t>DICIEMBRE</t>
  </si>
  <si>
    <t xml:space="preserve">REGISTRO DE USUARIOS DE AGUA POTABLE DE BARRIO DE LOMA LARGA ZUMPANGO ESTADO DE MÉXICO </t>
  </si>
  <si>
    <t xml:space="preserve">AMELIA MENA MEJIA </t>
  </si>
  <si>
    <t>ALEJANDRO OROPEZA SANCHEZ</t>
  </si>
  <si>
    <t>ALFREDO ORTIZ GOMEZ</t>
  </si>
  <si>
    <t>ALEJANDRA OROPEZA GARCIA</t>
  </si>
  <si>
    <t>AGUSTIN OROPEZA GOMEZ</t>
  </si>
  <si>
    <t xml:space="preserve">ANEL ROMERO ACOSTA </t>
  </si>
  <si>
    <t xml:space="preserve">ALVARO ORTIZ CERON </t>
  </si>
  <si>
    <t xml:space="preserve">ANTONIO AGUILAR ORTEGA </t>
  </si>
  <si>
    <t xml:space="preserve">ADALID MORALES OSORNO </t>
  </si>
  <si>
    <t>ARMANDO OROPEZA TORRES</t>
  </si>
  <si>
    <t>ARISTEO ROMERO ACOSTA</t>
  </si>
  <si>
    <t>ARACELI ROMERO ACOSTA</t>
  </si>
  <si>
    <t>ARTURO BENITEZ SANCHEZ</t>
  </si>
  <si>
    <t>ANA MARIA CASTILLO LOPEZ</t>
  </si>
  <si>
    <t>ANSELMO HERNANDEZ PEREZ</t>
  </si>
  <si>
    <t>ANGEL ORTIZ GOMEZ</t>
  </si>
  <si>
    <t xml:space="preserve">ALEJANDRO AVILA MORENO </t>
  </si>
  <si>
    <t>ALEJANDRO DE LA ROSA BILIFE TECNOLOGY</t>
  </si>
  <si>
    <t>ALEJANDRA MALDONADO CRUZ</t>
  </si>
  <si>
    <t>ALEJANDRO GUZMAN LOPEZ</t>
  </si>
  <si>
    <t xml:space="preserve">ALEJANDRO MENA GARCIA </t>
  </si>
  <si>
    <t>ALEJANDRO OLVERA JIMENEZ</t>
  </si>
  <si>
    <t>ALFONSO ACOSTA  OROPEZA</t>
  </si>
  <si>
    <t>ARMADO MENA RIVERA</t>
  </si>
  <si>
    <t>ANGEL CASTILLO GUITIERREZ</t>
  </si>
  <si>
    <t>ALICIA DELGADO SAVANILLA</t>
  </si>
  <si>
    <t>ALEJANDRO MELENDEZ OROPEZA</t>
  </si>
  <si>
    <t>ALVARO SUAREZ ARVIZO</t>
  </si>
  <si>
    <t>ARMANDO LOPEZ RUIZ</t>
  </si>
  <si>
    <t>ANTONIO OROPEZA TORRES</t>
  </si>
  <si>
    <t>ANGEL MENA SANCHEZ</t>
  </si>
  <si>
    <t>ANGEL ANTONIO JIMINEZ OROPEZA</t>
  </si>
  <si>
    <t xml:space="preserve">ALFREDO TORRES CASTILLO </t>
  </si>
  <si>
    <t>ALEJANDRO CALDERON RUBIO</t>
  </si>
  <si>
    <t xml:space="preserve">ARACELI MORENO ESPINOZA </t>
  </si>
  <si>
    <t xml:space="preserve">APOLO ALANIZ FRANCO </t>
  </si>
  <si>
    <t>ALFREDO MARTINEZ HERNANDEZ</t>
  </si>
  <si>
    <t>ANDRES HERNANDEZ PEREZ</t>
  </si>
  <si>
    <t>ADRIANA SANCHEZ ESTRADA</t>
  </si>
  <si>
    <t xml:space="preserve">ANGEL LICEA OCAMPO </t>
  </si>
  <si>
    <t>ALEJANDRO GOMEZ PEREZ</t>
  </si>
  <si>
    <t>ALFREDO OROPEZA ORTIZ</t>
  </si>
  <si>
    <t>ADRIANA OROPEZA FLORES</t>
  </si>
  <si>
    <t>ALBERTO VELAZQUEZ RAMIREZ</t>
  </si>
  <si>
    <t xml:space="preserve">ALBERTO VARGAS PEREZ </t>
  </si>
  <si>
    <t>ARMANDO OROPEZA SANCHEZ</t>
  </si>
  <si>
    <t xml:space="preserve">BLANCA MENA MEJIA </t>
  </si>
  <si>
    <t>BENITO MENA GOMEZ</t>
  </si>
  <si>
    <t>BERNARDO GOMEZ VAZQUEZ</t>
  </si>
  <si>
    <t xml:space="preserve">BERNARDO OROPEZA GARCIA </t>
  </si>
  <si>
    <t>BERNARDO OROPEZA HERNADEZ</t>
  </si>
  <si>
    <t xml:space="preserve">BERNARDO OROPEZA RIVERA </t>
  </si>
  <si>
    <t>BERTHA PEREZ FLORES</t>
  </si>
  <si>
    <t xml:space="preserve">BENJAMIN HERNANDEZ SANTIAGO </t>
  </si>
  <si>
    <t>BEATRIZ PONCE FRANCISCO</t>
  </si>
  <si>
    <t>BARTOLO OROPEZA HERNANDEZ</t>
  </si>
  <si>
    <t xml:space="preserve">BERTHA OROPEZA SANCHEZ  </t>
  </si>
  <si>
    <t xml:space="preserve">BERNARDO GOMEZ GARCIA </t>
  </si>
  <si>
    <t xml:space="preserve">BERNARDO  VARELA OLGUIN </t>
  </si>
  <si>
    <t xml:space="preserve">BALBINA JIMENEZ OLGUIN </t>
  </si>
  <si>
    <t>BENJAMIN LOPEZ RAMIREZ</t>
  </si>
  <si>
    <t>BRENDA PEREZ PALMA  1</t>
  </si>
  <si>
    <t>BRENDA PEREZ PALMA 2</t>
  </si>
  <si>
    <t xml:space="preserve">CANDELARIO SANCHEZ HERNANDEZ </t>
  </si>
  <si>
    <t>CLEMENTE ORTIZ JIMINEZ</t>
  </si>
  <si>
    <t xml:space="preserve">CLAUDIA MENA SANCHEZ </t>
  </si>
  <si>
    <t>CARMEN MENA GARCIA</t>
  </si>
  <si>
    <t>CARMEN BENITEZ SANCHEZ</t>
  </si>
  <si>
    <t>CARLOS SANCHEZ OROPEZA</t>
  </si>
  <si>
    <t>CRISTOBAL MENA GARCIA</t>
  </si>
  <si>
    <t xml:space="preserve">CONSTANTIO OROPEZA GARCIA </t>
  </si>
  <si>
    <t>CARLOS BUENDIA BADILLO</t>
  </si>
  <si>
    <t>CUSTODIA CARLOS HERNANDEZ</t>
  </si>
  <si>
    <t>CRISTOBAL SANCHEZ PEREZ</t>
  </si>
  <si>
    <t xml:space="preserve">CONSUELO GODINEZ AGUIRRE </t>
  </si>
  <si>
    <t xml:space="preserve">CARLOS APOLINAR PEREZ HERNANDEZ </t>
  </si>
  <si>
    <t xml:space="preserve">CRISTOBAL MENA MAYA </t>
  </si>
  <si>
    <t>CRUZ OROPEZA DOMINGUEZ</t>
  </si>
  <si>
    <t>CESAR ISLAS OROPEZA</t>
  </si>
  <si>
    <t>CELSO RODRIGUEZ CHAVEZ</t>
  </si>
  <si>
    <t xml:space="preserve">CARLOS FERNANDO FRANCO MENA </t>
  </si>
  <si>
    <t xml:space="preserve">CRISTINA GOMEZ GARCIA  </t>
  </si>
  <si>
    <t xml:space="preserve">CARLOS OROPEZA GARCIA </t>
  </si>
  <si>
    <t xml:space="preserve">CARLOS ANTONIO TELLEZ ORTIZ </t>
  </si>
  <si>
    <t xml:space="preserve">CARLOS VARGAS OLVERA </t>
  </si>
  <si>
    <t xml:space="preserve">CINDI VANESSA ESCAMILLA  DELGADO </t>
  </si>
  <si>
    <t xml:space="preserve">DIEGO TORRES GARCIA </t>
  </si>
  <si>
    <t>DAVID LUNA MARTINEZ</t>
  </si>
  <si>
    <t>DEMETRIO PEREZ HERNANDEZ PEREZ</t>
  </si>
  <si>
    <t>DANIEL OROPEZA OROPEZA</t>
  </si>
  <si>
    <t xml:space="preserve">DIEGO GARCIA OROPEZA </t>
  </si>
  <si>
    <t>DOMINGO GOMEZ OROPEZA</t>
  </si>
  <si>
    <t>DANIEL SANCHEZ MEJIA</t>
  </si>
  <si>
    <t xml:space="preserve">DIONICIO ORTIZ ROMERO </t>
  </si>
  <si>
    <t>DANIEL ROMERO REYES</t>
  </si>
  <si>
    <t>DANIEL SANCHEZ GOMEZ</t>
  </si>
  <si>
    <t xml:space="preserve">DANIEL MARTINEZ FRANCO </t>
  </si>
  <si>
    <t>DEMETRIO ISLAS ESCALONA</t>
  </si>
  <si>
    <t>EVERALDO GENCHI OROPEZA</t>
  </si>
  <si>
    <t xml:space="preserve">EPIFANIO PEREZ FLOREZ </t>
  </si>
  <si>
    <t>EVARISTO GOMEZ GOMEZ</t>
  </si>
  <si>
    <t xml:space="preserve">ENRRIQUE  MENA MEJIA </t>
  </si>
  <si>
    <t xml:space="preserve">EUSEBIO MENA OROPEZA </t>
  </si>
  <si>
    <t>EDUARDO OROPEZA GOMEZ</t>
  </si>
  <si>
    <t>ENRIQUE MENA OROPEZA</t>
  </si>
  <si>
    <t xml:space="preserve">ENRIQUE OROPEZA GARCIA </t>
  </si>
  <si>
    <t xml:space="preserve">ELENA ACOSTA JIMENEZ </t>
  </si>
  <si>
    <t xml:space="preserve">EDUARDO PERALTA NAVA </t>
  </si>
  <si>
    <t xml:space="preserve">EDWIN PONCE VAZQUEZ </t>
  </si>
  <si>
    <t xml:space="preserve">ENRIQUE VARGAS PONCE </t>
  </si>
  <si>
    <t xml:space="preserve">ELSA NOBIA RODRIGUEZ HERNANDEZ  </t>
  </si>
  <si>
    <t>ERNESTO ORTIZ OROPEZA</t>
  </si>
  <si>
    <t xml:space="preserve">ELDER VARGAS TAPIA </t>
  </si>
  <si>
    <t>EFRAIN VARGAS JIMENEZ</t>
  </si>
  <si>
    <t xml:space="preserve">EDUARDO  GOMEZ GARCIA </t>
  </si>
  <si>
    <t xml:space="preserve">EVERARDO GENCHI GARCIA </t>
  </si>
  <si>
    <t xml:space="preserve">ENRIQUE  MORALES SALAZAR </t>
  </si>
  <si>
    <t xml:space="preserve">EVA FRANCO HERNANDEZ  </t>
  </si>
  <si>
    <t xml:space="preserve">ERIK TORRES HERNANDEZ </t>
  </si>
  <si>
    <t xml:space="preserve">EUSEBIO MENA RIVERA </t>
  </si>
  <si>
    <t xml:space="preserve">ERIK E. VARELA ANGELES </t>
  </si>
  <si>
    <t xml:space="preserve">ENRIQUE VARGAS VARGAS </t>
  </si>
  <si>
    <t>FELIPE SANCHEZ BECERRA</t>
  </si>
  <si>
    <t>FRANCISCO JAVIER MORALES RODRIGUEZ</t>
  </si>
  <si>
    <t>FLORENTINO OROPEZA GOMEZ</t>
  </si>
  <si>
    <t>FEDERICO SANCHEZ MEJIA</t>
  </si>
  <si>
    <t xml:space="preserve">FILEMON VARGAS MENA </t>
  </si>
  <si>
    <t xml:space="preserve">FELIPE OROPEZA GOMEZ  </t>
  </si>
  <si>
    <t>FILEMON MACIAS</t>
  </si>
  <si>
    <t>FRANCISCA PEREZ FLORES</t>
  </si>
  <si>
    <t xml:space="preserve">FERNANDO CRUZ VARGAS </t>
  </si>
  <si>
    <t>FILEMON VALLEJO CONTRERAS</t>
  </si>
  <si>
    <t xml:space="preserve">FEDERICO MENA MEJIA </t>
  </si>
  <si>
    <t xml:space="preserve">FELIPE ORTIZ JIMENEZ </t>
  </si>
  <si>
    <t>FEDERICO VELAZQUEZ RAMIREZ</t>
  </si>
  <si>
    <t>FRANCISCO GOMEZ OROPEZA</t>
  </si>
  <si>
    <t xml:space="preserve">FELIPE PERALTA NAVA </t>
  </si>
  <si>
    <t>FEDERICO MACIAS  ORTIZ</t>
  </si>
  <si>
    <t>FRANCISCO BARRERA HERNANDEZ</t>
  </si>
  <si>
    <t>FERNANDO MARTINEZ HERNANDEZ</t>
  </si>
  <si>
    <t>FORTINO SANCHEZ PEREZ</t>
  </si>
  <si>
    <t xml:space="preserve">FELIPE DE JESUS OLVERA FAJARDA </t>
  </si>
  <si>
    <t xml:space="preserve">FELIPE OLVERA RIVERA </t>
  </si>
  <si>
    <t>FELIPE DE JESUS SANCHEZ OROPEZA</t>
  </si>
  <si>
    <t>FELIX OLVERA JIMENEZ</t>
  </si>
  <si>
    <t>FRANCISCO VARGAS JIMENEZ</t>
  </si>
  <si>
    <t xml:space="preserve">GUMECINDO ORTIZ JIMENEZ </t>
  </si>
  <si>
    <t xml:space="preserve">GERARDO SANCHEZ VARGAS </t>
  </si>
  <si>
    <t>GENARO GOMEZ OROPEZA</t>
  </si>
  <si>
    <t>GILLERMINA OROPEZA HERNANDEZ</t>
  </si>
  <si>
    <t xml:space="preserve">GUADALUPE LULO ROJAS </t>
  </si>
  <si>
    <t xml:space="preserve">GUADALUPE RAMOS CARLOS </t>
  </si>
  <si>
    <t xml:space="preserve">GILLERMINA PEREZ HERNANDEZ </t>
  </si>
  <si>
    <t>GALDINO VARGAS HERNANDEZ</t>
  </si>
  <si>
    <t>GABRIEL RODRIGUEZ CHAVEZ</t>
  </si>
  <si>
    <t>GABRIEL FRANCO HERNANDEZ</t>
  </si>
  <si>
    <t>GABRIELA FRANCO MENA</t>
  </si>
  <si>
    <t>GONZALO EZPINOZA GOMEZ</t>
  </si>
  <si>
    <t xml:space="preserve">GUADALUPE VARGAS VARGAS </t>
  </si>
  <si>
    <t>GUADALUPE LOPEZ RODRIGUEZ</t>
  </si>
  <si>
    <t>GUILLERMO GARCIA JIMENEZ</t>
  </si>
  <si>
    <t>GUSTAVO TREJO CARVAJAL</t>
  </si>
  <si>
    <t xml:space="preserve">GERARDO ORTIZ CERON </t>
  </si>
  <si>
    <t>GREGORIO RODRIGUEZ FLORES</t>
  </si>
  <si>
    <t>GABINA FRANCO MARTINEZ</t>
  </si>
  <si>
    <t xml:space="preserve">GUADALUPE HERNANDEZ FRANCO </t>
  </si>
  <si>
    <t>GABINO VARGAS JIMENEZ</t>
  </si>
  <si>
    <t>GUILLERMO OROPEZA TORRES</t>
  </si>
  <si>
    <t xml:space="preserve">GISELA SANCHEZ ESTRADA </t>
  </si>
  <si>
    <t xml:space="preserve">GUSTAVO OROPEZA SANCHEZ </t>
  </si>
  <si>
    <t xml:space="preserve">GERMAN MARTINEZ FRANCO </t>
  </si>
  <si>
    <t>GUADALUPE MENA SANCHEZ</t>
  </si>
  <si>
    <t>GREGORIO MENA GOMEZ</t>
  </si>
  <si>
    <t>GERMAN MARTINEZ HERNANDEZ</t>
  </si>
  <si>
    <t>GERARDO SANCHEZ OROPEZA</t>
  </si>
  <si>
    <t>GLORIA ARROYO</t>
  </si>
  <si>
    <t xml:space="preserve">GABRIEL CASTILLO PERALTA </t>
  </si>
  <si>
    <t>GERMAN MARIN PATIÑO</t>
  </si>
  <si>
    <t>HUGO GARCIA JIMENEZ</t>
  </si>
  <si>
    <t>HECTOR ROMERO ACOSTA</t>
  </si>
  <si>
    <t xml:space="preserve">HEBERTO SANCHEZ MEJIA </t>
  </si>
  <si>
    <t>HILARION GOMEZ ROSAS</t>
  </si>
  <si>
    <t>HIPOLITO GOMEZ PEREZ</t>
  </si>
  <si>
    <t xml:space="preserve">HUGO HERNANDEZ VARGAS </t>
  </si>
  <si>
    <t>HONORIO HERNANDEZ SANCHEZ</t>
  </si>
  <si>
    <t xml:space="preserve">HERMINIA FRANCO ALANIZ </t>
  </si>
  <si>
    <t xml:space="preserve">HECTOR TORRES CASTILLO </t>
  </si>
  <si>
    <t xml:space="preserve">HEBERTO SANCHEZ ORTIZ </t>
  </si>
  <si>
    <t>HUGO MARTINEZ SANCHEZ</t>
  </si>
  <si>
    <t xml:space="preserve">HORTENCIA MENA GARCIA </t>
  </si>
  <si>
    <t>HUGO LUGO GONZALEZ</t>
  </si>
  <si>
    <t>HILARIO OROPEZA SANCHEZ</t>
  </si>
  <si>
    <t>INES FRANCO HERNANDEZ</t>
  </si>
  <si>
    <t>IRMA MORALES RODRIGUEZ</t>
  </si>
  <si>
    <t xml:space="preserve">ISAAC HERNANDEZ  RIVERA </t>
  </si>
  <si>
    <t>ISMAEL MORALES CASTILLO</t>
  </si>
  <si>
    <t>IGNACIO OROPEZA SANCHEZ</t>
  </si>
  <si>
    <t>JOSE FELIX OLVERA JIMENEZ</t>
  </si>
  <si>
    <t xml:space="preserve">JOSE ALBERTO GOMEZ GARCIA </t>
  </si>
  <si>
    <t>JOSE FELIX MARTINEZ OROPEZA</t>
  </si>
  <si>
    <t>JOSE LUIS MARTINEZ RODRIGUEZ</t>
  </si>
  <si>
    <t xml:space="preserve">JOSE LUIS  JUAREZ LULO </t>
  </si>
  <si>
    <t>JORGE SANCHEZ RIVERA</t>
  </si>
  <si>
    <t xml:space="preserve">JAIME HERNANDEZ MENA </t>
  </si>
  <si>
    <t>JOSE LUIS SANCHEZ GOMEZ</t>
  </si>
  <si>
    <t>JESUS SANCHEZ OROPEZA</t>
  </si>
  <si>
    <t>JULIA PEREZ FLORES</t>
  </si>
  <si>
    <t>JOSE GABINO OROPEZA DOMINGUEZ</t>
  </si>
  <si>
    <t xml:space="preserve">JOSE SAMUEL LULO GILLEN </t>
  </si>
  <si>
    <t>JOSE MENA MEJIA</t>
  </si>
  <si>
    <t>JAVIER TORRES SANCHEZ</t>
  </si>
  <si>
    <t>JUAN ALBERTO OROPEZA ORTIZ</t>
  </si>
  <si>
    <t>JESUS ENRIQUE MENA ORTIZ</t>
  </si>
  <si>
    <t>JUAN VARGAS CHAVEZ</t>
  </si>
  <si>
    <t xml:space="preserve">JOSE LUIS GOMEZ GARCIA </t>
  </si>
  <si>
    <t>JOSE SALVADOR LOPEZ PEREZ</t>
  </si>
  <si>
    <t>JUAN SANCHEZ PEREZ</t>
  </si>
  <si>
    <t>JESUS CASTILLO GUTIERREZ</t>
  </si>
  <si>
    <t xml:space="preserve">JOSE ALFREDO JIMENEZ OLGUIN </t>
  </si>
  <si>
    <t>JUAN CASTILLO GUTIERREZ</t>
  </si>
  <si>
    <t>JUAN FRANCISCO GONZALES GOMEZ</t>
  </si>
  <si>
    <t xml:space="preserve">JESUS GONZALO EZPINOZA MORENO </t>
  </si>
  <si>
    <t xml:space="preserve">JUAN ARMANO CRUZ VARGAS </t>
  </si>
  <si>
    <t>JOSE ALBERTO GOMEZ PEREZ</t>
  </si>
  <si>
    <t>JONATAN MARTINEZ ARROYO</t>
  </si>
  <si>
    <t xml:space="preserve">JUDITH VARGAS HERNANDEZ </t>
  </si>
  <si>
    <t xml:space="preserve">JUAN FRANCISCO ISLAS ESCALONA </t>
  </si>
  <si>
    <t>JULIA MENA SANCHEZ</t>
  </si>
  <si>
    <t>JULIO CESAR BENITEZ SANCHEZ</t>
  </si>
  <si>
    <t>JUAN CARLOS RODRIGUEZ HERNANDEZ</t>
  </si>
  <si>
    <t xml:space="preserve">JUAN JOSE HERNANDEZ VARGAS </t>
  </si>
  <si>
    <t xml:space="preserve">JACINTO CAMILO GARCIA </t>
  </si>
  <si>
    <t xml:space="preserve">JOSE IGNACIO ORTIZ GARCIA </t>
  </si>
  <si>
    <t>JUAN CARLOS GOMEZ GOMEZ</t>
  </si>
  <si>
    <t xml:space="preserve">JOSE ANSELMO VARGAS VARGAS </t>
  </si>
  <si>
    <t>JOSE AVILEZ PEÑA</t>
  </si>
  <si>
    <t xml:space="preserve">JORGE GOMEZ GARCIA </t>
  </si>
  <si>
    <t>JOSE ISMAEL VELAZQUES RODRIGUEZ</t>
  </si>
  <si>
    <t>JOSE LUIS HERNANDEZ SANCHEZ</t>
  </si>
  <si>
    <t>JAIME SANCHEZ ORTIZ</t>
  </si>
  <si>
    <t>JOSE HERNANDEZ PEREZ</t>
  </si>
  <si>
    <t>JAVIER SANCHEZ ORTIZ</t>
  </si>
  <si>
    <t xml:space="preserve">JOEL MONTES DE OCA NIETO </t>
  </si>
  <si>
    <t xml:space="preserve">JUAN PABLO GOMEZ GARCIA </t>
  </si>
  <si>
    <t>JORGE ACOSTA OROPEZA</t>
  </si>
  <si>
    <t>JUAN PONCE VAZQUEZ</t>
  </si>
  <si>
    <t>JUAN CARLOS GUTIERREZ SANCHEZ</t>
  </si>
  <si>
    <t xml:space="preserve">JUAN ANTONIO MARTINEZ FRANCO </t>
  </si>
  <si>
    <t xml:space="preserve">JUAN CRUZ MENA </t>
  </si>
  <si>
    <t>JOSE GUZMAN FERREIRA</t>
  </si>
  <si>
    <t>JOVANNY VARGAS ORTIZ</t>
  </si>
  <si>
    <t xml:space="preserve">JULIO ROSAS LAZARO </t>
  </si>
  <si>
    <t>JUAN PONCE VARGAS</t>
  </si>
  <si>
    <t>JUAN PABLO GOMEZ MORALES</t>
  </si>
  <si>
    <t>JESUS SANCHEZ JIMENEZ</t>
  </si>
  <si>
    <t>JORGE GOMEZ TELLEZ</t>
  </si>
  <si>
    <t>LUIS ANTONIO GARCIA RIVERA</t>
  </si>
  <si>
    <t>LUCIANO OROPEZA RIVERA</t>
  </si>
  <si>
    <t>LAURA PEREZ FLORES</t>
  </si>
  <si>
    <t xml:space="preserve">LAUREANO FRANCO HERNANDEZ </t>
  </si>
  <si>
    <t>LUIS RAMIREZ OROPEZA</t>
  </si>
  <si>
    <t>LUIS SANCHEZ PEREZ</t>
  </si>
  <si>
    <t xml:space="preserve">LAURA PERALTA NAVA </t>
  </si>
  <si>
    <t xml:space="preserve">LUIS ANGEL OAXACA MENA </t>
  </si>
  <si>
    <t xml:space="preserve">LEONOR ORTIZ GARCIA </t>
  </si>
  <si>
    <t xml:space="preserve">LILIANA ORTIZ MATURANO </t>
  </si>
  <si>
    <t xml:space="preserve">LUIS MANUEL VARELA CARVAJAL </t>
  </si>
  <si>
    <t xml:space="preserve">LILIA GARCIA SOTO </t>
  </si>
  <si>
    <t>LUIS  PEREZ MENDOZA</t>
  </si>
  <si>
    <t xml:space="preserve">LUIS ROMERO LUGO  </t>
  </si>
  <si>
    <t xml:space="preserve">MANUEL FRANCO HERNANDEZ </t>
  </si>
  <si>
    <t xml:space="preserve">MARIO MARTINEZ SANCHEZ </t>
  </si>
  <si>
    <t>MARTIN TREJO ACUÑA</t>
  </si>
  <si>
    <t xml:space="preserve">MANUEL VARELA REGALADO </t>
  </si>
  <si>
    <t xml:space="preserve">MARTIN HERNANDEZ LEDEZMA </t>
  </si>
  <si>
    <t>MODESTO OROPEZA MENDOZA</t>
  </si>
  <si>
    <t>MIGUEL OROPEZA RIVERA</t>
  </si>
  <si>
    <t>MARGARITA TORRES HERNANDEZ</t>
  </si>
  <si>
    <t xml:space="preserve">MICAELA CABRERA ANTONIO </t>
  </si>
  <si>
    <t>MIGUEL OROPEZA  SANCHEZ</t>
  </si>
  <si>
    <t xml:space="preserve">MARCO ANTONIO VARELA ROMERO </t>
  </si>
  <si>
    <t xml:space="preserve">MIGUEL PERALTA NAVA </t>
  </si>
  <si>
    <t>MARIO  ALBERTO GRANADOS ZAMORA</t>
  </si>
  <si>
    <t>MISAEL PERALTAPIÑA</t>
  </si>
  <si>
    <t>MARIA DE JESUS FRANCO HERNANDEZ</t>
  </si>
  <si>
    <t>MARIBEL ORTIZ OROPEZA</t>
  </si>
  <si>
    <t>MARIA FELIX VARGAS JIMENEZ</t>
  </si>
  <si>
    <t>MOISES ORTIZ GOMEZ</t>
  </si>
  <si>
    <t xml:space="preserve">MARIA GUADALUPE MORENO RIVERA </t>
  </si>
  <si>
    <t>MARIA DE LAS NIEVES PEREZ FLORES</t>
  </si>
  <si>
    <t>MARIA MAGDALENA MORALES RODRIGUEZ</t>
  </si>
  <si>
    <t>MIGUEL VARGAS VARGAS</t>
  </si>
  <si>
    <t>MARCELO FRANCO HERNANDEZ</t>
  </si>
  <si>
    <t>MIGUEL OROPEZA PEREZ</t>
  </si>
  <si>
    <t>MAGDALENO PEREZ HERNANDEZ</t>
  </si>
  <si>
    <t xml:space="preserve">MELQUIADES SANCHEZ VARGAS </t>
  </si>
  <si>
    <t xml:space="preserve">MIGUEL ANGEL ROMERO MENA </t>
  </si>
  <si>
    <t xml:space="preserve">MACARIO FLORES RAMOS </t>
  </si>
  <si>
    <t>MIGUEL GARCIA OROPEZA</t>
  </si>
  <si>
    <t>MAURO OROPEZA GOMEZ</t>
  </si>
  <si>
    <t>MARICELA MARTINEZ SANCHEZ</t>
  </si>
  <si>
    <t>MARCELO BENITEZ SANCHEZ</t>
  </si>
  <si>
    <t>MIGUEL TORRES ORTIZ</t>
  </si>
  <si>
    <t xml:space="preserve">MARTIN ORTIZ MATURANO </t>
  </si>
  <si>
    <t xml:space="preserve">MIGUEL SERRANO OROPEZA </t>
  </si>
  <si>
    <t xml:space="preserve">MARCELO CASTILLO ESCUDERO </t>
  </si>
  <si>
    <t>MIGUEL OROPEZA GOMEZ</t>
  </si>
  <si>
    <t>MARIA MARTINEZ HERNANDEZ</t>
  </si>
  <si>
    <t>MARIA EUGENIA ACOSTA OROPEZA</t>
  </si>
  <si>
    <t>MARIO HERNANDEZ SANCHEZ</t>
  </si>
  <si>
    <t>MARITZA OROPEZA TELLEZ</t>
  </si>
  <si>
    <t xml:space="preserve">MARCO POLO TRINIDAD ROMERO </t>
  </si>
  <si>
    <t xml:space="preserve">MODESTA TRINIDAD HERNANDEZ CASTILLO </t>
  </si>
  <si>
    <t>MIGUEL ANGEL GRANADOS JIMENEZ</t>
  </si>
  <si>
    <t xml:space="preserve">MARTIN ORTIZ GARCIA  </t>
  </si>
  <si>
    <t xml:space="preserve">MAGDALI CONSEPCION GOMEZ OLVERA </t>
  </si>
  <si>
    <t xml:space="preserve">MARIA DE JESUS MENA MAYA </t>
  </si>
  <si>
    <t xml:space="preserve">MARICELA GONZALES JARAMILLO </t>
  </si>
  <si>
    <t xml:space="preserve">MIGUEL ANGEL LANDA OLGUIN </t>
  </si>
  <si>
    <t xml:space="preserve">NARCISO MENA MEJIA </t>
  </si>
  <si>
    <t>NORMA MENA GOMEZ</t>
  </si>
  <si>
    <t xml:space="preserve">NANCY ORTIZ HERNANDEZ </t>
  </si>
  <si>
    <t>OSCAR VARGAS VARGAS</t>
  </si>
  <si>
    <t xml:space="preserve">OSCAR HERNANDEZ MENA </t>
  </si>
  <si>
    <t xml:space="preserve">OLIVIA ESTEFANI GOMEZ BECERRA </t>
  </si>
  <si>
    <t xml:space="preserve">OCTAVIO OROPEZA ORTIZ </t>
  </si>
  <si>
    <t xml:space="preserve">OSCAR VARGAS GOMEZ </t>
  </si>
  <si>
    <t xml:space="preserve">OCTAVIANO ORTIZ CERON </t>
  </si>
  <si>
    <t>OSCAR MENA GOMEZ</t>
  </si>
  <si>
    <t>ONESIMO RODRIGUEZ PAVIA</t>
  </si>
  <si>
    <t xml:space="preserve">PEDRO PEREZ GERMAN </t>
  </si>
  <si>
    <t>PABLO OLVERA RIVERA</t>
  </si>
  <si>
    <t>PABLO OLVERA JIMENEZ</t>
  </si>
  <si>
    <t>PIEDAD SANCHEZ PEREZ</t>
  </si>
  <si>
    <t xml:space="preserve">PAZ FRANCO HERNANDEZ </t>
  </si>
  <si>
    <t xml:space="preserve">PORFIRIO HERNANDEZ LECHUGA </t>
  </si>
  <si>
    <t>PEDRO FLORES ESPERILLA</t>
  </si>
  <si>
    <t>PABLO  CESAR MARTINEZ SANCHEZ</t>
  </si>
  <si>
    <t>PABLO GOMEZ OROPEZA</t>
  </si>
  <si>
    <t>PEDRO JIMENEZ OROPEZA</t>
  </si>
  <si>
    <t xml:space="preserve">PABLO SANCHEZ VENEGAS </t>
  </si>
  <si>
    <t xml:space="preserve">PAULINO OROPEZA GARCIA </t>
  </si>
  <si>
    <t xml:space="preserve">PORFIRIO OROPEZA TALONIA </t>
  </si>
  <si>
    <t xml:space="preserve">PEDRO HERNANDEZ ESTRADA 1 </t>
  </si>
  <si>
    <t>PABLO ESTRADA JIMENEZ</t>
  </si>
  <si>
    <t>PEDRO PEREZ HERNANDEZ</t>
  </si>
  <si>
    <t xml:space="preserve">PABLO CLEMENTE ORTIZ GARCIA </t>
  </si>
  <si>
    <t>PEDRO HERNANDEZ GODINEZ</t>
  </si>
  <si>
    <t>PONCIANO RAMIREZ RIVERA</t>
  </si>
  <si>
    <t xml:space="preserve">ROBERTO LULO LULO </t>
  </si>
  <si>
    <t xml:space="preserve">REYES HERNANDEZ SANCHEZ </t>
  </si>
  <si>
    <t xml:space="preserve">RAUL ORTIZ GARCIA </t>
  </si>
  <si>
    <t xml:space="preserve">RICARDO GOMEZ CARABIL </t>
  </si>
  <si>
    <t xml:space="preserve">RUBEN ORTIZ GARCIA </t>
  </si>
  <si>
    <t xml:space="preserve">RUBEN PINEDA MENA </t>
  </si>
  <si>
    <t xml:space="preserve">REYNA RODRIGUEZ MARTINEZ </t>
  </si>
  <si>
    <t xml:space="preserve">RODOLFO GOMEZ ROSAS </t>
  </si>
  <si>
    <t xml:space="preserve">ROBERTO MOLIN ESTRADA </t>
  </si>
  <si>
    <t xml:space="preserve">RAFAEL SANCHEZ OROPEZA </t>
  </si>
  <si>
    <t>ROSA MARIA RODRIGUEZ CHAVEZ</t>
  </si>
  <si>
    <t xml:space="preserve">REFUGIO MENA SANCHEZ </t>
  </si>
  <si>
    <t>REYES GOMEZ OROPEZA</t>
  </si>
  <si>
    <t xml:space="preserve">ROBERTO SANCHEZ MENA </t>
  </si>
  <si>
    <t xml:space="preserve">ROBERTO AYALA OSORNO </t>
  </si>
  <si>
    <t>REYNA OROPEZA GARCIA</t>
  </si>
  <si>
    <t>RAUL GOMEZ OROPEZA</t>
  </si>
  <si>
    <t xml:space="preserve">REEGINA OROPEZA MENA </t>
  </si>
  <si>
    <t>ROBERTO MENA TORRES</t>
  </si>
  <si>
    <t xml:space="preserve">RAFAEL ACOSTA JIMENEZ </t>
  </si>
  <si>
    <t>ROBERTO JAVIER LOPEZ RODRIGUEZ</t>
  </si>
  <si>
    <t xml:space="preserve">RAYMUNDO ORTIZ GARCIA </t>
  </si>
  <si>
    <t>RAYMUNDO GRANADOS JIMENEZ</t>
  </si>
  <si>
    <t xml:space="preserve">ROSA PIÑA VILLEDA </t>
  </si>
  <si>
    <t>RAFAEL TORRES LOPEZ</t>
  </si>
  <si>
    <t>REYES JIMENEZ OROPEZA</t>
  </si>
  <si>
    <t>ROGELIO ORTIZ ANGELES</t>
  </si>
  <si>
    <t>REYNA EDITH MENA TORRES</t>
  </si>
  <si>
    <t xml:space="preserve">RODOLFO MARTINEZ SANCHEZ </t>
  </si>
  <si>
    <t xml:space="preserve">RAQUEL HERNANDEZ CASTILLO </t>
  </si>
  <si>
    <t xml:space="preserve">RAUL CRUZ GRANADOS </t>
  </si>
  <si>
    <t>RODOLFO GOMEZ OLVERA</t>
  </si>
  <si>
    <t>RICARDO CASTILLO OROPEZA</t>
  </si>
  <si>
    <t xml:space="preserve">RAFAEL EVARISTO SANCHEZ VARGAS </t>
  </si>
  <si>
    <t>RODOLFO OROPEZA RIVERA</t>
  </si>
  <si>
    <t>SERGIO OROPEZA GOMEZ</t>
  </si>
  <si>
    <t xml:space="preserve">SERGIO LICEA ESCAMILLA </t>
  </si>
  <si>
    <t>SANDRA AGUILAR HERNANDEZ</t>
  </si>
  <si>
    <t>SUSANA AVILES HERNANDEZ</t>
  </si>
  <si>
    <t xml:space="preserve">SERGIO CASTILLO GUZMAN </t>
  </si>
  <si>
    <t>SANTIAGO GOMEZPEREZ</t>
  </si>
  <si>
    <t xml:space="preserve">SOFIA HERNANDEZ CASTILLO </t>
  </si>
  <si>
    <t>SALVADOR VARGAS JIMENEZ</t>
  </si>
  <si>
    <t>SAMUEL GUITERREZ SANCHEZ</t>
  </si>
  <si>
    <t>SALVADOR VARGAS ORTIZ</t>
  </si>
  <si>
    <t>URBANO GOMEZ OROPEZA</t>
  </si>
  <si>
    <t>VICTOR MANUEL VARGAS HERNANDEZ</t>
  </si>
  <si>
    <t>VALENTIN SANCHEZ MEJIA</t>
  </si>
  <si>
    <t>VERONICA SANCHEZ OROPEZA</t>
  </si>
  <si>
    <t>VICENTE SANCHEZ VARGAS</t>
  </si>
  <si>
    <t>VICTOR MANUEL OROPEZA FLORES</t>
  </si>
  <si>
    <t xml:space="preserve">VICTOR CASTILLO PERALTA </t>
  </si>
  <si>
    <t>VICTOR MANUEL SANCHEZ OROPEZA</t>
  </si>
  <si>
    <t>VALENTIN SANCHEZ OROPEZA</t>
  </si>
  <si>
    <t>VALENTINA MARTINEZ LEDEZMA</t>
  </si>
  <si>
    <t>VICENTE PEREZ FLORES</t>
  </si>
  <si>
    <t xml:space="preserve">VICENTE PINEDA MENA </t>
  </si>
  <si>
    <t>VICENTE TORRES RODRIGUEZ</t>
  </si>
  <si>
    <t>TERESA MENA OROPEZA</t>
  </si>
  <si>
    <t>TORIBIO MENA PEREZ</t>
  </si>
  <si>
    <t xml:space="preserve">XOCHITL ADRIANA SILVA MORALES </t>
  </si>
  <si>
    <t xml:space="preserve">YOLANDA HERNANDEZ CRUZ </t>
  </si>
  <si>
    <t>YESSENIA VARGAS OLVERA</t>
  </si>
  <si>
    <t>ZENON RAMIREZ FLORES</t>
  </si>
  <si>
    <t xml:space="preserve">ZENON VARGAS VARGAS </t>
  </si>
  <si>
    <t>CALLE</t>
  </si>
  <si>
    <t>DIAS DE SUBMINISTRO</t>
  </si>
  <si>
    <t xml:space="preserve">NOMBRE DE USUARIO </t>
  </si>
  <si>
    <t>RESPONSABLE :</t>
  </si>
  <si>
    <t>AÑO :</t>
  </si>
  <si>
    <t xml:space="preserve">MIGUEL MIGUEL ANGELICA MARIA </t>
  </si>
  <si>
    <t xml:space="preserve">ARTURO MENA GOMEZ </t>
  </si>
  <si>
    <t>ENERO</t>
  </si>
  <si>
    <t>PAGO POR USUARIO</t>
  </si>
  <si>
    <t>Columna1</t>
  </si>
  <si>
    <t>MAYO</t>
  </si>
  <si>
    <t>JULIO</t>
  </si>
  <si>
    <t xml:space="preserve">total anual recolectado </t>
  </si>
  <si>
    <t>TOTAL POR MES :</t>
  </si>
  <si>
    <t>CONCEPTO</t>
  </si>
  <si>
    <t xml:space="preserve">FEBRERO </t>
  </si>
  <si>
    <t>JUNIO</t>
  </si>
  <si>
    <t xml:space="preserve">TOTAL DE GASTOS MENSUALES </t>
  </si>
  <si>
    <t>INGRESOS</t>
  </si>
  <si>
    <t>GASTOS</t>
  </si>
  <si>
    <t>CAPITAL</t>
  </si>
  <si>
    <t>CAPITAL CON EL QUE SE CUENTA AL FINAL DEL AÑO</t>
  </si>
  <si>
    <t xml:space="preserve">DEUDA POR PARTE DE PERSONAS QUE SE RETRASARON EN EL AÑO </t>
  </si>
  <si>
    <t>TIPO DE CONSUMIDOR</t>
  </si>
  <si>
    <t xml:space="preserve">MES DE ALTA </t>
  </si>
  <si>
    <t xml:space="preserve">MES DE BAJA </t>
  </si>
  <si>
    <t>BAJAS</t>
  </si>
  <si>
    <t>ALTAS</t>
  </si>
  <si>
    <t>COMPLETO</t>
  </si>
  <si>
    <t>AV. LINDEROS</t>
  </si>
  <si>
    <t>AURELIO CRUZ SALAS</t>
  </si>
  <si>
    <t xml:space="preserve">MOISES ISLAS PARDO </t>
  </si>
  <si>
    <t>AV.PUERTO</t>
  </si>
  <si>
    <t>EFREN VARGAS VARGAS</t>
  </si>
  <si>
    <t>BUGAMBILIAS</t>
  </si>
  <si>
    <t>ALBERTO VARGAS TAPIA</t>
  </si>
  <si>
    <t>AMADO MORENO FIGEROA</t>
  </si>
  <si>
    <t>AMPARO DEL SOCORRO LOPEZ GUILLERMO</t>
  </si>
  <si>
    <t>APOLONIA HERNANDEZ CASTILLO</t>
  </si>
  <si>
    <t>CRISTIAN MANUEL ROSAS SANCHEZ</t>
  </si>
  <si>
    <t>EDUARDO MARTINEZ ARROYO</t>
  </si>
  <si>
    <t>FERNANDO MARTINEZ ARROYO</t>
  </si>
  <si>
    <t>GABRIEL SANCHEZ PEREZ</t>
  </si>
  <si>
    <t>JUAN MIGUEL NAVARRO VARGAS</t>
  </si>
  <si>
    <t xml:space="preserve">LUIS ENRRIQUE SANCHEZ FRANCO </t>
  </si>
  <si>
    <t>ROCIO PERALTA NAVA</t>
  </si>
  <si>
    <t>TERESA HERNANDEZ CASTILLO</t>
  </si>
  <si>
    <t xml:space="preserve">ARTURO HERNANDEZ ESTEBAN </t>
  </si>
  <si>
    <t>MARIANA BAEZ LEON</t>
  </si>
  <si>
    <t xml:space="preserve">RENE ALEJANDRO NAJERA ORTEGA </t>
  </si>
  <si>
    <t xml:space="preserve">AMERICA CAMILA VARGAS HERNANDEZ </t>
  </si>
  <si>
    <t>C.BUGAMBILIAS</t>
  </si>
  <si>
    <t xml:space="preserve">ALBERTO PASCUALPEREZ FLORES 1 </t>
  </si>
  <si>
    <t>C.CRISANTEMOS</t>
  </si>
  <si>
    <t>ALBERTO PASCUALPEREZ FLORES 2</t>
  </si>
  <si>
    <t>ANTONI HARRISON PEREZ  AVILEZ</t>
  </si>
  <si>
    <t xml:space="preserve">CUATEMOC MARIN VELAZQUEZ </t>
  </si>
  <si>
    <t>MICAELA PEREZ FLORES</t>
  </si>
  <si>
    <t xml:space="preserve">SERGIO RAMIREZ ESCAMILLA </t>
  </si>
  <si>
    <t>FABIAN PEREZ PEREZ</t>
  </si>
  <si>
    <t xml:space="preserve">C.CRISANTEMOS </t>
  </si>
  <si>
    <t>C.GIRASOL</t>
  </si>
  <si>
    <t xml:space="preserve">MEDIO </t>
  </si>
  <si>
    <t xml:space="preserve">JOSE ULISES OROZCO NIEVES </t>
  </si>
  <si>
    <t>AMANDO OROPEZA VARGAS</t>
  </si>
  <si>
    <t>C.MARGARITAS</t>
  </si>
  <si>
    <t>C.VIOLETAS</t>
  </si>
  <si>
    <t xml:space="preserve">BELINDA PALOMINO VARGAS </t>
  </si>
  <si>
    <t>MARIA DEL SOCORRO GRANADOS JIMENEZ</t>
  </si>
  <si>
    <t>MARIA ISABEL GRANADOS JIMENEZ</t>
  </si>
  <si>
    <t>ROSA MARIA LOPEZ RODRIGUEZ</t>
  </si>
  <si>
    <t>ALEJANDRA CASTILLO OROPEZA</t>
  </si>
  <si>
    <t xml:space="preserve">CAMINO AL PANTEON </t>
  </si>
  <si>
    <t xml:space="preserve">ABRAHAM BRETON VELAZQUEZ 1 </t>
  </si>
  <si>
    <t>CANAL  INSURGENTES</t>
  </si>
  <si>
    <t>ABRAHAM BRETON VELAZQUEZ 2</t>
  </si>
  <si>
    <t>VIOLETA BRETON VELAZQUEZ</t>
  </si>
  <si>
    <t>CLAVEL</t>
  </si>
  <si>
    <t>AMALIA OLVERA RIVERA</t>
  </si>
  <si>
    <t>EFREN OLVERA RIVERA</t>
  </si>
  <si>
    <t>EMILIANO OROPEZA CORTES</t>
  </si>
  <si>
    <t xml:space="preserve">MAYRA ARACELI OAXACA MENA </t>
  </si>
  <si>
    <t>NORMA ISABEL OROPEZA GONGORA</t>
  </si>
  <si>
    <t>GUSTAVO LICEA ESCAMILLA</t>
  </si>
  <si>
    <t>CRISANTEMOS</t>
  </si>
  <si>
    <t>AUSENCIO PEREZ VILLEGAS</t>
  </si>
  <si>
    <t xml:space="preserve">AURELIO LOPEZ VALLE </t>
  </si>
  <si>
    <t>DANIEL ALEJANDRO ALANIZ PEREZ</t>
  </si>
  <si>
    <t>DEPARTAMENTO 1</t>
  </si>
  <si>
    <t>DEPARTAMENTO 2</t>
  </si>
  <si>
    <t xml:space="preserve">GREGORIO RODRIGUEZ FLORES </t>
  </si>
  <si>
    <t xml:space="preserve">JORGE GOMEZ PEREZ </t>
  </si>
  <si>
    <t xml:space="preserve">CRISANTEMOS </t>
  </si>
  <si>
    <t>DANIEL MESINOS</t>
  </si>
  <si>
    <t>DEPOSITO AGUA</t>
  </si>
  <si>
    <t xml:space="preserve">JESSICA MARLEN MENA MAYA  </t>
  </si>
  <si>
    <t>YASMIN BERENICE MENA MAYA</t>
  </si>
  <si>
    <t>FRESNOS</t>
  </si>
  <si>
    <t>CESAR GAMES NUÑES</t>
  </si>
  <si>
    <t xml:space="preserve">ESTEBAN PEREZ HERNANDEZ </t>
  </si>
  <si>
    <t xml:space="preserve">JORGE ORTIZ ROMERO </t>
  </si>
  <si>
    <t xml:space="preserve">NANCY PEREZ ROBLEDO </t>
  </si>
  <si>
    <t xml:space="preserve">OSMAR GOMEZ CARAVALIN </t>
  </si>
  <si>
    <t>GIRASOL</t>
  </si>
  <si>
    <t>ANSELMO HERNANDEZ PEREZ (RENTA)</t>
  </si>
  <si>
    <t>ANTONIO MENA OROPEZA</t>
  </si>
  <si>
    <t xml:space="preserve">ARIANA SANCHEZ FRANCO </t>
  </si>
  <si>
    <t>ARMANDO MENA MAYA</t>
  </si>
  <si>
    <t xml:space="preserve">CIRILO SILVA ROMERO </t>
  </si>
  <si>
    <t>DAVID SAUL MENA SANCHEZ</t>
  </si>
  <si>
    <t>EUSEBIO HERNANDEZ PEREZ</t>
  </si>
  <si>
    <t>MARIA BERNARDA RIVERO RAMIREZ</t>
  </si>
  <si>
    <t xml:space="preserve">MARINA SANCHEZ MENA </t>
  </si>
  <si>
    <t xml:space="preserve">MARTIN MENA MAYA </t>
  </si>
  <si>
    <t>OCTAVIANO MENA MAYA</t>
  </si>
  <si>
    <t>RITA SANCHEZ MATURANO</t>
  </si>
  <si>
    <t>ALFREDO OROPEZA GARCIA</t>
  </si>
  <si>
    <t xml:space="preserve">ADRIAN MENA OROPEZA </t>
  </si>
  <si>
    <t>HORTENCIA</t>
  </si>
  <si>
    <t>EFIGENIA SANCHEZ OROPEZA</t>
  </si>
  <si>
    <t>LAURA HERNANDEZ DIAZ</t>
  </si>
  <si>
    <t>ALFONSO FABIAN  OROPEZA GONGORA</t>
  </si>
  <si>
    <t>LAS TORRES</t>
  </si>
  <si>
    <t>BRENDA YESABETH PERALTA PIÑA</t>
  </si>
  <si>
    <t>CITLALI VARGAS GARCIA</t>
  </si>
  <si>
    <t xml:space="preserve">JESSICA GUADALUPE PERALTA ORTIZ </t>
  </si>
  <si>
    <t xml:space="preserve">JUSTINO HERNANDEZ ESTRADA </t>
  </si>
  <si>
    <t>MARIO SILVIANO HERNANDEZ PEREZ</t>
  </si>
  <si>
    <t>ANTONIO MARTINEZ HERNANDEZ</t>
  </si>
  <si>
    <t>MARAVILLAS</t>
  </si>
  <si>
    <t>CIPRIANO VELAZQUEZ CASTILLO</t>
  </si>
  <si>
    <t xml:space="preserve">GABRIEL GOMEZ OROPEZA HIJO </t>
  </si>
  <si>
    <t>GABRIEL GOMEZ OROPEZA PAPÁ</t>
  </si>
  <si>
    <t>MIRIAM GOMEZ OROPEZA</t>
  </si>
  <si>
    <t>PEDRO HERNANDEZ ESTRADA 2</t>
  </si>
  <si>
    <t>MARGARITAS</t>
  </si>
  <si>
    <t>AMANDO OROPEZA TORREZ</t>
  </si>
  <si>
    <t>ANTONIO ISLAS JIMENEZ</t>
  </si>
  <si>
    <t>EFREN RAMIREZ CRUZ</t>
  </si>
  <si>
    <t>RAUL GARCIA SOTO</t>
  </si>
  <si>
    <t>ROSA OROPEZA TORRES</t>
  </si>
  <si>
    <t>ALEJANDRO OROPEZA GARCIA</t>
  </si>
  <si>
    <t>NARANJOS</t>
  </si>
  <si>
    <t xml:space="preserve">DELFINA ORTIZ VELAZCO </t>
  </si>
  <si>
    <t>MARIO LUIS AVILA RUANO</t>
  </si>
  <si>
    <t>SANTIAGO OROPEZA GONGORA</t>
  </si>
  <si>
    <t>PANCHITOS</t>
  </si>
  <si>
    <t xml:space="preserve">PAOLA ARLET ORTIZ MENA </t>
  </si>
  <si>
    <t>VIOLETAS</t>
  </si>
  <si>
    <t>ESMERALDA MACEDO RIZO</t>
  </si>
  <si>
    <t>FIDEL  OROPEZA GONGORA</t>
  </si>
  <si>
    <t>ANTONI ROBERTO LOPEZ SANCHEZ</t>
  </si>
  <si>
    <t>GREGORIA GUTIERREZ PEREZ</t>
  </si>
  <si>
    <t>ITZEL ORTIZ ROJAS</t>
  </si>
  <si>
    <t>JACOBO OROPEZA GONGORA</t>
  </si>
  <si>
    <t xml:space="preserve">JESUS MORALES FRANCO </t>
  </si>
  <si>
    <t xml:space="preserve">JONATAN NICOLAS  LOPEZ SANCHEZ </t>
  </si>
  <si>
    <t>JOSE ANTONIO MARTINEZ SANCHEZ</t>
  </si>
  <si>
    <t>JOSE ANTONIO ORTIZ OROPEZA</t>
  </si>
  <si>
    <t>LEONARDO RAMIREZ GARCIA</t>
  </si>
  <si>
    <t xml:space="preserve">MARIA DEL SOCORRO PEREZ ALATORRE </t>
  </si>
  <si>
    <t>MARIA ELENA ESCAMILLA RODRIGUEZ</t>
  </si>
  <si>
    <t xml:space="preserve">PEDRO JUAREZ GARNICA </t>
  </si>
  <si>
    <t>RAUL OROPEZA HERNANDEZ</t>
  </si>
  <si>
    <t xml:space="preserve">SERGIO ORTIZ ROMERO </t>
  </si>
  <si>
    <t>cuenta deudores</t>
  </si>
  <si>
    <t>FELIPE DE JESUS VARGAS OLVERA</t>
  </si>
  <si>
    <t>EFREN VARGAS RAMIREZ</t>
  </si>
  <si>
    <t>LUIS ANGEL CRUZ VARGAS</t>
  </si>
  <si>
    <t xml:space="preserve">MARIA MAGDALENA PEREZ HERNANDEZ  </t>
  </si>
  <si>
    <t>JAVIER SANCHEZ PEREZ</t>
  </si>
  <si>
    <t>MIGUEL DELFINO NAVARRO LOPEZ</t>
  </si>
  <si>
    <t>EDMUNDA VARGAS</t>
  </si>
  <si>
    <t xml:space="preserve">MARIA DE JESUS CENTENO MURILLO  </t>
  </si>
  <si>
    <t xml:space="preserve">RUFINO FLORES BERNAL </t>
  </si>
  <si>
    <t>HERLINDO ACOSTA JIMENEZ</t>
  </si>
  <si>
    <t>ROSA ESTRADA JIMENEZ</t>
  </si>
  <si>
    <t>ROGELIO OROPEZA GONGORA</t>
  </si>
  <si>
    <t xml:space="preserve">EDILIA PEREZ HERNANDEZ </t>
  </si>
  <si>
    <t>FELIPE  DE JESUS VARGAS JIMENEZ</t>
  </si>
  <si>
    <t>GENARO FRANCO RAMIREZ</t>
  </si>
  <si>
    <t xml:space="preserve">IRMA SANCHEZ ESTRADA </t>
  </si>
  <si>
    <t>JUANA  MENA SANCHEZ</t>
  </si>
  <si>
    <t>LORENA HERNANDEZ VARGAS</t>
  </si>
  <si>
    <t>MARGARITO SANCHEZ PEREZ</t>
  </si>
  <si>
    <t xml:space="preserve">MARIA FELIX SANCHEZ PEREZ </t>
  </si>
  <si>
    <t xml:space="preserve">MARTHA MORALES ZALAZAR </t>
  </si>
  <si>
    <t>TELESFORO OROPEZA SANCHEZ</t>
  </si>
  <si>
    <t xml:space="preserve">GABINO MENA GARCIA </t>
  </si>
  <si>
    <t xml:space="preserve">IVAN MARTINEZ PERALTA </t>
  </si>
  <si>
    <t>MARGARITA MORALES CASTILLO</t>
  </si>
  <si>
    <t xml:space="preserve">OSCAR ACOSTA MENA </t>
  </si>
  <si>
    <t xml:space="preserve">PATRICIA  RODRIGUEZ SUCHIL </t>
  </si>
  <si>
    <t>REMEDIOS OROPEZA DOMINGUEZ</t>
  </si>
  <si>
    <t xml:space="preserve">GUSTAVO OROPEZA MENA </t>
  </si>
  <si>
    <t>JUANITA RODRIGUEZ ANGELES</t>
  </si>
  <si>
    <t xml:space="preserve">LUIS ARMANDO OROPEZA FLORES </t>
  </si>
  <si>
    <t>MARIA MAGADALENA HERNANDEZ JIMENEZ</t>
  </si>
  <si>
    <t>ALTA</t>
  </si>
  <si>
    <t>BAJA</t>
  </si>
  <si>
    <t xml:space="preserve">MES ADEUDO DE AÑOS PASADOS </t>
  </si>
  <si>
    <t>DEUDA TOTAL  EL $$</t>
  </si>
  <si>
    <t>DEUDA DE LOS MESES PASADOS EN $$</t>
  </si>
  <si>
    <t xml:space="preserve">DEUDA DEL AÑO 2013 $$ </t>
  </si>
  <si>
    <t xml:space="preserve">MESES DE ADEUDO EN TOTAL HASTA EL AÑO EN CURSO </t>
  </si>
  <si>
    <t xml:space="preserve">MESES DE ADEUDO DEL AÑO EN CURSO </t>
  </si>
  <si>
    <t>Precio del agua :</t>
  </si>
  <si>
    <t xml:space="preserve">COMITIVA DEL SERVICIO DE AGUA POTABLE DE LOMA LARGA ZUMPANGO ESTADO DE MÉXICO </t>
  </si>
  <si>
    <t>C.</t>
  </si>
  <si>
    <t>DEUDA TOTAL  EN $$</t>
  </si>
  <si>
    <t xml:space="preserve">precio de agua potable mensual </t>
  </si>
  <si>
    <t>Luz Electrica</t>
  </si>
  <si>
    <t xml:space="preserve">Administrativo </t>
  </si>
  <si>
    <t>mantenimiento</t>
  </si>
  <si>
    <t>valvulas</t>
  </si>
  <si>
    <t>arreglo de bomba</t>
  </si>
  <si>
    <t>ALBERTO ACOSTA JIMENEZ</t>
  </si>
  <si>
    <t>JAVIER VARELA OLGUIN</t>
  </si>
  <si>
    <t>JUAN MARTINEZ PERALTA</t>
  </si>
  <si>
    <t xml:space="preserve">MAXIMO FLORES VEGA </t>
  </si>
  <si>
    <t xml:space="preserve">RUBEN RAMIREZ RIVERO </t>
  </si>
  <si>
    <t>GABRIELA FRANCO ALANIZ</t>
  </si>
  <si>
    <t xml:space="preserve">JORGE LUIS ORTIZ GARCIA </t>
  </si>
  <si>
    <t xml:space="preserve">JESUS SANCHEZ MENA </t>
  </si>
  <si>
    <t>JUAN ANTONIO TORRES SANCHEZ</t>
  </si>
  <si>
    <t>JUAN PABLO GOMEZ GOMEZ</t>
  </si>
  <si>
    <t>NORMA OROPEZA TALONIA</t>
  </si>
  <si>
    <t>TOMASA JIMEZ ESCALANTE</t>
  </si>
  <si>
    <t>SERGIO ADRIAN OROPEZA JUAREZ</t>
  </si>
  <si>
    <t xml:space="preserve">SONIA LOPEZ GUILLERMO </t>
  </si>
  <si>
    <t xml:space="preserve">SERGIO HERNANDEZ RUIZ </t>
  </si>
  <si>
    <t>HORTENCIA HERNANDEZ RODRIGUEZ</t>
  </si>
  <si>
    <t xml:space="preserve">Fabricas </t>
  </si>
  <si>
    <t>NO</t>
  </si>
  <si>
    <t xml:space="preserve">DEUDORES DEL AÑO </t>
  </si>
  <si>
    <t>PERSONAS QUE NO CONCLUYERON EL PAGO ANUAL DE SERVICIO DE AGUA POTABLE</t>
  </si>
  <si>
    <t>PAGADO</t>
  </si>
  <si>
    <t xml:space="preserve">TOMA </t>
  </si>
  <si>
    <t xml:space="preserve">COOPERACION DE BOMBA </t>
  </si>
  <si>
    <t xml:space="preserve">COOPERACION DE NUEVO POZO </t>
  </si>
  <si>
    <t xml:space="preserve">REGISTRO DE OTRAS COOPERACIONES </t>
  </si>
  <si>
    <t xml:space="preserve">DEUDA DEL AÑO 2021 $$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</si>
</sst>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2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u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14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u val="singleAccounting"/>
      <sz val="11"/>
      <name val="Calibri"/>
      <family val="2"/>
      <scheme val="minor"/>
    </font>
    <font>
      <sz val="16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u val="singleAccounting"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/>
      <diagonal/>
    </border>
  </borders>
  <cellStyleXfs count="6">
    <xf numFmtId="0" fontId="0" fillId="0" borderId="0"/>
    <xf numFmtId="44" fontId="3" fillId="0" borderId="0" applyFont="0" applyFill="0" applyBorder="0" applyAlignment="0" applyProtection="0"/>
    <xf numFmtId="0" fontId="4" fillId="0" borderId="7" applyNumberFormat="0" applyFill="0" applyAlignment="0" applyProtection="0"/>
    <xf numFmtId="0" fontId="11" fillId="3" borderId="10" applyNumberFormat="0" applyAlignment="0" applyProtection="0"/>
    <xf numFmtId="0" fontId="5" fillId="3" borderId="8" applyNumberFormat="0" applyAlignment="0" applyProtection="0"/>
    <xf numFmtId="0" fontId="3" fillId="4" borderId="0" applyNumberFormat="0" applyBorder="0" applyAlignment="0" applyProtection="0"/>
  </cellStyleXfs>
  <cellXfs count="148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8" fillId="0" borderId="5" xfId="0" applyFont="1" applyBorder="1" applyAlignment="1">
      <alignment horizontal="left"/>
    </xf>
    <xf numFmtId="0" fontId="0" fillId="0" borderId="0" xfId="0" applyFill="1" applyBorder="1"/>
    <xf numFmtId="0" fontId="4" fillId="0" borderId="7" xfId="2"/>
    <xf numFmtId="0" fontId="10" fillId="0" borderId="0" xfId="0" applyFont="1" applyFill="1" applyBorder="1" applyAlignment="1">
      <alignment horizontal="left"/>
    </xf>
    <xf numFmtId="0" fontId="0" fillId="0" borderId="0" xfId="0" applyFont="1" applyFill="1" applyBorder="1"/>
    <xf numFmtId="44" fontId="0" fillId="0" borderId="0" xfId="1" applyFont="1"/>
    <xf numFmtId="0" fontId="8" fillId="0" borderId="9" xfId="0" applyFont="1" applyBorder="1" applyAlignment="1">
      <alignment horizontal="left"/>
    </xf>
    <xf numFmtId="0" fontId="8" fillId="6" borderId="5" xfId="0" applyFont="1" applyFill="1" applyBorder="1" applyAlignment="1">
      <alignment horizontal="left"/>
    </xf>
    <xf numFmtId="0" fontId="8" fillId="5" borderId="5" xfId="0" applyFont="1" applyFill="1" applyBorder="1" applyAlignment="1">
      <alignment horizontal="left"/>
    </xf>
    <xf numFmtId="44" fontId="0" fillId="0" borderId="0" xfId="0" applyNumberFormat="1"/>
    <xf numFmtId="44" fontId="0" fillId="0" borderId="0" xfId="1" applyFont="1" applyAlignment="1">
      <alignment horizontal="center"/>
    </xf>
    <xf numFmtId="0" fontId="7" fillId="7" borderId="2" xfId="0" applyFont="1" applyFill="1" applyBorder="1" applyAlignment="1">
      <alignment horizontal="center" wrapText="1"/>
    </xf>
    <xf numFmtId="0" fontId="6" fillId="7" borderId="6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14" fontId="1" fillId="7" borderId="2" xfId="0" applyNumberFormat="1" applyFont="1" applyFill="1" applyBorder="1" applyAlignment="1">
      <alignment horizontal="center" wrapText="1"/>
    </xf>
    <xf numFmtId="14" fontId="13" fillId="7" borderId="2" xfId="0" applyNumberFormat="1" applyFont="1" applyFill="1" applyBorder="1" applyAlignment="1">
      <alignment horizontal="center" wrapText="1"/>
    </xf>
    <xf numFmtId="1" fontId="0" fillId="0" borderId="17" xfId="1" applyNumberFormat="1" applyFont="1" applyBorder="1" applyAlignment="1">
      <alignment horizontal="center"/>
    </xf>
    <xf numFmtId="0" fontId="4" fillId="0" borderId="0" xfId="2" applyBorder="1" applyAlignment="1">
      <alignment vertical="top"/>
    </xf>
    <xf numFmtId="0" fontId="4" fillId="0" borderId="0" xfId="2" applyBorder="1" applyAlignment="1">
      <alignment vertical="center" wrapText="1"/>
    </xf>
    <xf numFmtId="44" fontId="14" fillId="2" borderId="23" xfId="4" applyNumberFormat="1" applyFont="1" applyFill="1" applyBorder="1" applyAlignment="1">
      <alignment horizontal="center" vertical="center"/>
    </xf>
    <xf numFmtId="0" fontId="4" fillId="0" borderId="0" xfId="2" applyFill="1" applyBorder="1" applyAlignment="1"/>
    <xf numFmtId="0" fontId="6" fillId="0" borderId="0" xfId="0" applyFont="1" applyAlignment="1"/>
    <xf numFmtId="44" fontId="11" fillId="3" borderId="10" xfId="3" applyNumberFormat="1"/>
    <xf numFmtId="0" fontId="11" fillId="3" borderId="10" xfId="3" applyAlignment="1"/>
    <xf numFmtId="0" fontId="16" fillId="0" borderId="7" xfId="2" applyFont="1"/>
    <xf numFmtId="0" fontId="3" fillId="4" borderId="19" xfId="5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44" fontId="12" fillId="3" borderId="30" xfId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7" fillId="0" borderId="0" xfId="0" applyFont="1"/>
    <xf numFmtId="0" fontId="19" fillId="11" borderId="0" xfId="0" applyFont="1" applyFill="1"/>
    <xf numFmtId="0" fontId="1" fillId="0" borderId="0" xfId="0" applyFont="1"/>
    <xf numFmtId="0" fontId="18" fillId="0" borderId="13" xfId="0" applyFont="1" applyBorder="1"/>
    <xf numFmtId="0" fontId="18" fillId="0" borderId="14" xfId="0" applyFont="1" applyBorder="1"/>
    <xf numFmtId="0" fontId="18" fillId="0" borderId="0" xfId="0" applyFont="1" applyBorder="1"/>
    <xf numFmtId="0" fontId="18" fillId="0" borderId="16" xfId="0" applyFont="1" applyBorder="1"/>
    <xf numFmtId="0" fontId="18" fillId="0" borderId="2" xfId="0" applyFont="1" applyBorder="1"/>
    <xf numFmtId="0" fontId="18" fillId="0" borderId="3" xfId="0" applyFont="1" applyBorder="1"/>
    <xf numFmtId="0" fontId="0" fillId="0" borderId="31" xfId="0" applyBorder="1"/>
    <xf numFmtId="0" fontId="20" fillId="0" borderId="5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8" fillId="7" borderId="5" xfId="0" applyFont="1" applyFill="1" applyBorder="1" applyAlignment="1">
      <alignment horizontal="left"/>
    </xf>
    <xf numFmtId="0" fontId="6" fillId="7" borderId="5" xfId="0" applyFont="1" applyFill="1" applyBorder="1" applyAlignment="1">
      <alignment horizontal="center" wrapText="1"/>
    </xf>
    <xf numFmtId="0" fontId="1" fillId="7" borderId="28" xfId="0" applyFont="1" applyFill="1" applyBorder="1" applyAlignment="1">
      <alignment horizontal="center" wrapText="1"/>
    </xf>
    <xf numFmtId="44" fontId="12" fillId="3" borderId="32" xfId="1" applyFont="1" applyFill="1" applyBorder="1" applyAlignment="1">
      <alignment horizontal="center"/>
    </xf>
    <xf numFmtId="44" fontId="12" fillId="3" borderId="17" xfId="1" applyFont="1" applyFill="1" applyBorder="1" applyAlignment="1">
      <alignment horizontal="center"/>
    </xf>
    <xf numFmtId="44" fontId="12" fillId="3" borderId="33" xfId="1" applyFont="1" applyFill="1" applyBorder="1" applyAlignment="1">
      <alignment horizontal="center"/>
    </xf>
    <xf numFmtId="44" fontId="14" fillId="2" borderId="31" xfId="1" applyNumberFormat="1" applyFont="1" applyFill="1" applyBorder="1" applyAlignment="1">
      <alignment horizontal="center" vertical="center"/>
    </xf>
    <xf numFmtId="44" fontId="12" fillId="3" borderId="8" xfId="1" applyFont="1" applyFill="1" applyBorder="1" applyAlignment="1">
      <alignment horizontal="center"/>
    </xf>
    <xf numFmtId="44" fontId="12" fillId="3" borderId="34" xfId="1" applyFont="1" applyFill="1" applyBorder="1" applyAlignment="1">
      <alignment horizontal="center"/>
    </xf>
    <xf numFmtId="44" fontId="14" fillId="2" borderId="23" xfId="1" applyNumberFormat="1" applyFont="1" applyFill="1" applyBorder="1" applyAlignment="1">
      <alignment horizontal="center" vertical="center"/>
    </xf>
    <xf numFmtId="44" fontId="14" fillId="2" borderId="31" xfId="4" applyNumberFormat="1" applyFont="1" applyFill="1" applyBorder="1" applyAlignment="1">
      <alignment horizontal="center" vertical="center"/>
    </xf>
    <xf numFmtId="0" fontId="17" fillId="0" borderId="0" xfId="0" applyFont="1" applyBorder="1"/>
    <xf numFmtId="0" fontId="17" fillId="0" borderId="0" xfId="0" applyFont="1" applyFill="1" applyBorder="1"/>
    <xf numFmtId="0" fontId="1" fillId="7" borderId="21" xfId="0" applyFont="1" applyFill="1" applyBorder="1" applyAlignment="1">
      <alignment horizontal="center" wrapText="1"/>
    </xf>
    <xf numFmtId="0" fontId="0" fillId="2" borderId="0" xfId="0" applyFill="1"/>
    <xf numFmtId="14" fontId="21" fillId="7" borderId="2" xfId="0" applyNumberFormat="1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8" fillId="0" borderId="4" xfId="0" applyFont="1" applyBorder="1" applyAlignment="1">
      <alignment horizontal="left"/>
    </xf>
    <xf numFmtId="44" fontId="12" fillId="2" borderId="30" xfId="1" applyFont="1" applyFill="1" applyBorder="1" applyAlignment="1">
      <alignment horizontal="center"/>
    </xf>
    <xf numFmtId="1" fontId="0" fillId="2" borderId="0" xfId="1" applyNumberFormat="1" applyFont="1" applyFill="1" applyBorder="1" applyAlignment="1">
      <alignment horizontal="center"/>
    </xf>
    <xf numFmtId="44" fontId="0" fillId="2" borderId="0" xfId="1" applyFont="1" applyFill="1" applyAlignment="1">
      <alignment horizontal="center"/>
    </xf>
    <xf numFmtId="0" fontId="0" fillId="2" borderId="28" xfId="0" applyFill="1" applyBorder="1"/>
    <xf numFmtId="0" fontId="0" fillId="2" borderId="21" xfId="0" applyFill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top"/>
    </xf>
    <xf numFmtId="0" fontId="8" fillId="0" borderId="0" xfId="0" applyFont="1" applyFill="1" applyBorder="1" applyAlignment="1">
      <alignment horizontal="left"/>
    </xf>
    <xf numFmtId="44" fontId="12" fillId="0" borderId="0" xfId="1" applyNumberFormat="1" applyFont="1" applyFill="1" applyBorder="1" applyAlignment="1">
      <alignment horizontal="center"/>
    </xf>
    <xf numFmtId="44" fontId="14" fillId="0" borderId="0" xfId="4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1" fontId="0" fillId="0" borderId="0" xfId="1" applyNumberFormat="1" applyFont="1" applyFill="1" applyBorder="1" applyAlignment="1">
      <alignment horizontal="center"/>
    </xf>
    <xf numFmtId="44" fontId="0" fillId="0" borderId="0" xfId="1" applyNumberFormat="1" applyFont="1" applyFill="1" applyBorder="1" applyAlignment="1">
      <alignment horizontal="center"/>
    </xf>
    <xf numFmtId="0" fontId="7" fillId="7" borderId="36" xfId="0" applyFont="1" applyFill="1" applyBorder="1" applyAlignment="1">
      <alignment horizontal="center" wrapText="1"/>
    </xf>
    <xf numFmtId="0" fontId="6" fillId="7" borderId="12" xfId="0" applyFont="1" applyFill="1" applyBorder="1" applyAlignment="1">
      <alignment horizontal="center" wrapText="1"/>
    </xf>
    <xf numFmtId="0" fontId="1" fillId="7" borderId="37" xfId="0" applyFont="1" applyFill="1" applyBorder="1" applyAlignment="1">
      <alignment horizontal="center" wrapText="1"/>
    </xf>
    <xf numFmtId="14" fontId="1" fillId="7" borderId="12" xfId="0" applyNumberFormat="1" applyFont="1" applyFill="1" applyBorder="1" applyAlignment="1">
      <alignment horizontal="center" wrapText="1"/>
    </xf>
    <xf numFmtId="14" fontId="1" fillId="7" borderId="35" xfId="0" applyNumberFormat="1" applyFont="1" applyFill="1" applyBorder="1" applyAlignment="1">
      <alignment horizontal="center" wrapText="1"/>
    </xf>
    <xf numFmtId="14" fontId="1" fillId="7" borderId="36" xfId="0" applyNumberFormat="1" applyFont="1" applyFill="1" applyBorder="1" applyAlignment="1">
      <alignment horizontal="center" wrapText="1"/>
    </xf>
    <xf numFmtId="14" fontId="1" fillId="7" borderId="37" xfId="0" applyNumberFormat="1" applyFont="1" applyFill="1" applyBorder="1" applyAlignment="1">
      <alignment horizontal="center" wrapText="1"/>
    </xf>
    <xf numFmtId="14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wrapText="1"/>
    </xf>
    <xf numFmtId="44" fontId="22" fillId="2" borderId="0" xfId="1" applyFont="1" applyFill="1"/>
    <xf numFmtId="0" fontId="7" fillId="8" borderId="21" xfId="0" applyFont="1" applyFill="1" applyBorder="1" applyAlignment="1">
      <alignment horizontal="center" wrapText="1"/>
    </xf>
    <xf numFmtId="1" fontId="0" fillId="0" borderId="38" xfId="1" applyNumberFormat="1" applyFont="1" applyBorder="1" applyAlignment="1">
      <alignment horizontal="center"/>
    </xf>
    <xf numFmtId="1" fontId="0" fillId="2" borderId="0" xfId="1" applyNumberFormat="1" applyFont="1" applyFill="1" applyAlignment="1">
      <alignment horizontal="center"/>
    </xf>
    <xf numFmtId="44" fontId="23" fillId="2" borderId="31" xfId="1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left"/>
    </xf>
    <xf numFmtId="0" fontId="2" fillId="0" borderId="5" xfId="0" applyFont="1" applyFill="1" applyBorder="1" applyAlignment="1"/>
    <xf numFmtId="0" fontId="2" fillId="0" borderId="28" xfId="0" applyFont="1" applyFill="1" applyBorder="1" applyAlignment="1"/>
    <xf numFmtId="0" fontId="0" fillId="0" borderId="11" xfId="0" applyFont="1" applyBorder="1"/>
    <xf numFmtId="0" fontId="0" fillId="0" borderId="13" xfId="0" applyFont="1" applyBorder="1"/>
    <xf numFmtId="0" fontId="0" fillId="0" borderId="14" xfId="0" applyFont="1" applyBorder="1"/>
    <xf numFmtId="0" fontId="0" fillId="0" borderId="13" xfId="0" applyFont="1" applyFill="1" applyBorder="1"/>
    <xf numFmtId="0" fontId="0" fillId="0" borderId="15" xfId="0" applyFont="1" applyBorder="1"/>
    <xf numFmtId="0" fontId="0" fillId="0" borderId="16" xfId="0" applyFont="1" applyBorder="1"/>
    <xf numFmtId="0" fontId="0" fillId="4" borderId="18" xfId="5" applyFont="1" applyBorder="1" applyAlignment="1"/>
    <xf numFmtId="0" fontId="3" fillId="4" borderId="19" xfId="5" applyFont="1" applyBorder="1" applyAlignment="1"/>
    <xf numFmtId="0" fontId="3" fillId="4" borderId="20" xfId="5" applyFont="1" applyBorder="1" applyAlignment="1"/>
    <xf numFmtId="0" fontId="4" fillId="0" borderId="7" xfId="2" applyFont="1" applyAlignment="1">
      <alignment horizontal="center"/>
    </xf>
    <xf numFmtId="0" fontId="12" fillId="0" borderId="0" xfId="0" applyFont="1" applyAlignment="1">
      <alignment horizontal="center"/>
    </xf>
    <xf numFmtId="44" fontId="25" fillId="9" borderId="12" xfId="1" applyFont="1" applyFill="1" applyBorder="1" applyAlignment="1">
      <alignment horizontal="center"/>
    </xf>
    <xf numFmtId="44" fontId="25" fillId="9" borderId="6" xfId="0" applyNumberFormat="1" applyFont="1" applyFill="1" applyBorder="1" applyAlignment="1">
      <alignment horizontal="center" vertical="center"/>
    </xf>
    <xf numFmtId="44" fontId="26" fillId="2" borderId="18" xfId="1" applyFont="1" applyFill="1" applyBorder="1" applyAlignment="1">
      <alignment horizontal="center" vertical="center" wrapText="1"/>
    </xf>
    <xf numFmtId="44" fontId="26" fillId="6" borderId="12" xfId="1" applyFont="1" applyFill="1" applyBorder="1" applyAlignment="1">
      <alignment horizontal="center" vertical="center" wrapText="1"/>
    </xf>
    <xf numFmtId="44" fontId="26" fillId="2" borderId="19" xfId="1" applyFont="1" applyFill="1" applyBorder="1" applyAlignment="1">
      <alignment horizontal="center" vertical="center" wrapText="1"/>
    </xf>
    <xf numFmtId="44" fontId="26" fillId="2" borderId="12" xfId="1" applyFont="1" applyFill="1" applyBorder="1" applyAlignment="1">
      <alignment horizontal="center" vertical="center" wrapText="1"/>
    </xf>
    <xf numFmtId="44" fontId="26" fillId="6" borderId="18" xfId="1" applyFont="1" applyFill="1" applyBorder="1" applyAlignment="1">
      <alignment horizontal="center" vertical="center" wrapText="1"/>
    </xf>
    <xf numFmtId="0" fontId="0" fillId="2" borderId="0" xfId="0" applyFont="1" applyFill="1" applyBorder="1"/>
    <xf numFmtId="0" fontId="0" fillId="0" borderId="0" xfId="0" applyFill="1"/>
    <xf numFmtId="0" fontId="0" fillId="0" borderId="0" xfId="0" applyFill="1" applyAlignment="1">
      <alignment horizontal="center"/>
    </xf>
    <xf numFmtId="1" fontId="0" fillId="0" borderId="17" xfId="1" applyNumberFormat="1" applyFont="1" applyFill="1" applyBorder="1" applyAlignment="1">
      <alignment horizontal="center"/>
    </xf>
    <xf numFmtId="44" fontId="23" fillId="2" borderId="23" xfId="1" applyNumberFormat="1" applyFont="1" applyFill="1" applyBorder="1" applyAlignment="1">
      <alignment horizontal="center" vertical="center"/>
    </xf>
    <xf numFmtId="0" fontId="0" fillId="0" borderId="5" xfId="0" applyFill="1" applyBorder="1"/>
    <xf numFmtId="14" fontId="1" fillId="7" borderId="6" xfId="0" applyNumberFormat="1" applyFont="1" applyFill="1" applyBorder="1" applyAlignment="1">
      <alignment horizontal="center" vertical="center" wrapText="1"/>
    </xf>
    <xf numFmtId="14" fontId="1" fillId="7" borderId="2" xfId="0" applyNumberFormat="1" applyFont="1" applyFill="1" applyBorder="1" applyAlignment="1">
      <alignment horizontal="center" vertical="center" wrapText="1"/>
    </xf>
    <xf numFmtId="14" fontId="1" fillId="7" borderId="1" xfId="0" applyNumberFormat="1" applyFont="1" applyFill="1" applyBorder="1" applyAlignment="1">
      <alignment horizontal="center" vertical="center" wrapText="1"/>
    </xf>
    <xf numFmtId="0" fontId="18" fillId="9" borderId="0" xfId="0" applyFont="1" applyFill="1" applyAlignment="1">
      <alignment horizontal="center" vertical="center"/>
    </xf>
    <xf numFmtId="44" fontId="18" fillId="9" borderId="0" xfId="1" applyFont="1" applyFill="1" applyAlignment="1">
      <alignment horizontal="center" vertical="center"/>
    </xf>
    <xf numFmtId="44" fontId="24" fillId="9" borderId="10" xfId="3" applyNumberFormat="1" applyFont="1" applyFill="1"/>
    <xf numFmtId="44" fontId="27" fillId="0" borderId="0" xfId="0" applyNumberFormat="1" applyFont="1"/>
    <xf numFmtId="44" fontId="28" fillId="10" borderId="8" xfId="1" applyFont="1" applyFill="1" applyBorder="1" applyAlignment="1">
      <alignment horizontal="center"/>
    </xf>
    <xf numFmtId="0" fontId="19" fillId="0" borderId="5" xfId="0" applyFont="1" applyFill="1" applyBorder="1" applyAlignment="1"/>
    <xf numFmtId="44" fontId="1" fillId="6" borderId="0" xfId="1" applyFont="1" applyFill="1" applyBorder="1" applyAlignment="1">
      <alignment horizontal="center" wrapText="1"/>
    </xf>
    <xf numFmtId="44" fontId="0" fillId="6" borderId="0" xfId="1" applyFont="1" applyFill="1"/>
    <xf numFmtId="0" fontId="19" fillId="7" borderId="21" xfId="0" applyFont="1" applyFill="1" applyBorder="1" applyAlignment="1">
      <alignment horizontal="left" wrapText="1"/>
    </xf>
    <xf numFmtId="0" fontId="6" fillId="6" borderId="5" xfId="0" applyFont="1" applyFill="1" applyBorder="1" applyAlignment="1">
      <alignment horizontal="center" wrapText="1"/>
    </xf>
    <xf numFmtId="0" fontId="4" fillId="0" borderId="0" xfId="2" applyBorder="1" applyAlignment="1">
      <alignment horizontal="center" vertical="top"/>
    </xf>
    <xf numFmtId="0" fontId="4" fillId="0" borderId="0" xfId="2" applyBorder="1" applyAlignment="1">
      <alignment horizontal="center" vertical="center" wrapText="1"/>
    </xf>
    <xf numFmtId="0" fontId="4" fillId="2" borderId="0" xfId="2" applyFill="1" applyBorder="1" applyAlignment="1">
      <alignment horizontal="center"/>
    </xf>
    <xf numFmtId="0" fontId="11" fillId="3" borderId="24" xfId="3" applyBorder="1" applyAlignment="1">
      <alignment horizontal="left" vertical="top"/>
    </xf>
    <xf numFmtId="0" fontId="11" fillId="3" borderId="25" xfId="3" applyBorder="1" applyAlignment="1">
      <alignment horizontal="left" vertical="top"/>
    </xf>
    <xf numFmtId="0" fontId="11" fillId="3" borderId="26" xfId="3" applyBorder="1" applyAlignment="1">
      <alignment horizontal="left" vertical="top"/>
    </xf>
    <xf numFmtId="0" fontId="11" fillId="3" borderId="24" xfId="3" applyBorder="1" applyAlignment="1">
      <alignment horizontal="left"/>
    </xf>
    <xf numFmtId="0" fontId="11" fillId="3" borderId="25" xfId="3" applyBorder="1" applyAlignment="1">
      <alignment horizontal="left"/>
    </xf>
    <xf numFmtId="0" fontId="11" fillId="3" borderId="26" xfId="3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</cellXfs>
  <cellStyles count="6">
    <cellStyle name="40% - Énfasis4" xfId="5" builtinId="43"/>
    <cellStyle name="Cálculo" xfId="4" builtinId="22"/>
    <cellStyle name="Encabezado 1" xfId="2" builtinId="16"/>
    <cellStyle name="Moneda" xfId="1" builtinId="4"/>
    <cellStyle name="Normal" xfId="0" builtinId="0"/>
    <cellStyle name="Salida" xfId="3" builtinId="21"/>
  </cellStyles>
  <dxfs count="90"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1" indent="0" justifyLastLine="0" shrinkToFit="0" readingOrder="0"/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  <fill>
        <patternFill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A7D00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rgb="FF7F7F7F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rgb="FFFA7D00"/>
        <name val="Calibri"/>
        <scheme val="minor"/>
      </font>
      <numFmt numFmtId="34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rgb="FF7F7F7F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7F7F7F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4"/>
        <color theme="1"/>
      </font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4" tint="0.39997558519241921"/>
        </patternFill>
      </fill>
      <alignment horizontal="center" vertical="bottom" textRotation="0" wrapText="1" indent="0" justifyLastLine="0" shrinkToFit="0" readingOrder="0"/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7" tint="-0.25098422193060094"/>
          </stop>
        </gradientFill>
      </fill>
    </dxf>
    <dxf>
      <fill>
        <gradientFill degree="90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7" tint="-0.25098422193060094"/>
          </stop>
        </gradientFill>
      </fill>
    </dxf>
    <dxf>
      <fill>
        <gradientFill degree="90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</dxf>
    <dxf>
      <font>
        <strike val="0"/>
        <u val="double"/>
        <color auto="1"/>
      </font>
      <fill>
        <patternFill>
          <fgColor auto="1"/>
          <bgColor rgb="FF00B0F0"/>
        </patternFill>
      </fill>
    </dxf>
  </dxfs>
  <tableStyles count="2" defaultTableStyle="TableStyleMedium2" defaultPivotStyle="PivotStyleLight16">
    <tableStyle name="Estilo de tabla 1" pivot="0" count="1">
      <tableStyleElement type="wholeTable" dxfId="89"/>
    </tableStyle>
    <tableStyle name="Estilo de tabla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6</xdr:row>
      <xdr:rowOff>19050</xdr:rowOff>
    </xdr:from>
    <xdr:to>
      <xdr:col>6</xdr:col>
      <xdr:colOff>19050</xdr:colOff>
      <xdr:row>10</xdr:row>
      <xdr:rowOff>171450</xdr:rowOff>
    </xdr:to>
    <xdr:sp macro="" textlink="">
      <xdr:nvSpPr>
        <xdr:cNvPr id="4" name="CuadroTexto 3"/>
        <xdr:cNvSpPr txBox="1"/>
      </xdr:nvSpPr>
      <xdr:spPr>
        <a:xfrm>
          <a:off x="1" y="1847850"/>
          <a:ext cx="11906249" cy="971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Por medio del  presente se le comunica su estado de adeudo del servico de agua potable , se  solicita de la manera más cordial de acudir a cubrir el adeudo del servicio  agua potable , ya que se cuenta con una gran deuda  de electricidad debido</a:t>
          </a:r>
          <a:r>
            <a:rPr lang="es-MX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</a:t>
          </a:r>
          <a:r>
            <a:rPr lang="es-MX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que este</a:t>
          </a:r>
          <a:r>
            <a:rPr lang="es-MX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servicio </a:t>
          </a:r>
          <a:r>
            <a:rPr lang="es-MX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fundamental para poder brindar el servicio de agua se debe crubrir, para poder seguir brindando el servicio , a</a:t>
          </a:r>
          <a:r>
            <a:rPr lang="es-MX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continuacion se muestra su estado actual de pagos de servicios de aguapotable y el total de deuda que setiene hasta el presente mes </a:t>
          </a:r>
          <a:endParaRPr lang="es-MX" sz="1100"/>
        </a:p>
      </xdr:txBody>
    </xdr:sp>
    <xdr:clientData/>
  </xdr:twoCellAnchor>
  <xdr:twoCellAnchor>
    <xdr:from>
      <xdr:col>0</xdr:col>
      <xdr:colOff>0</xdr:colOff>
      <xdr:row>19</xdr:row>
      <xdr:rowOff>180975</xdr:rowOff>
    </xdr:from>
    <xdr:to>
      <xdr:col>7</xdr:col>
      <xdr:colOff>742950</xdr:colOff>
      <xdr:row>24</xdr:row>
      <xdr:rowOff>114300</xdr:rowOff>
    </xdr:to>
    <xdr:sp macro="" textlink="">
      <xdr:nvSpPr>
        <xdr:cNvPr id="5" name="CuadroTexto 4"/>
        <xdr:cNvSpPr txBox="1"/>
      </xdr:nvSpPr>
      <xdr:spPr>
        <a:xfrm>
          <a:off x="0" y="4933950"/>
          <a:ext cx="9086850" cy="88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sin más por el momento me despido desenadole tenga un agradable día</a:t>
          </a:r>
          <a:r>
            <a:rPr lang="es-MX" sz="1100" baseline="0"/>
            <a:t> esperamos contar con su pago de uso de servicio para poder seguir brindado el servicio de manera eficiente cualquier duda o aclaracion por favor acudir (xxxxxxx) se le recuerda que su opinion es muy importante ya que usted es quien recibe el servicio cualquier opinion o aportacion para mejorar el servicio es bienvenida Gracias</a:t>
          </a:r>
        </a:p>
        <a:p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6:AB584" headerRowDxfId="75" headerRowBorderDxfId="74" tableBorderDxfId="73">
  <sortState ref="B7:AB584">
    <sortCondition ref="Y7"/>
  </sortState>
  <tableColumns count="27">
    <tableColumn id="1" name="NOMBRE DE USUARIO " totalsRowLabel="Total" dataDxfId="72" totalsRowDxfId="71"/>
    <tableColumn id="2" name="CALLE" dataDxfId="70" totalsRowDxfId="69"/>
    <tableColumn id="3" name="DIAS DE SUBMINISTRO" dataDxfId="68" totalsRowDxfId="67"/>
    <tableColumn id="22" name="TIPO DE CONSUMIDOR" dataDxfId="66" totalsRowDxfId="65"/>
    <tableColumn id="4" name="ENERO " dataDxfId="64" totalsRowDxfId="63" dataCellStyle="Moneda"/>
    <tableColumn id="5" name="FEBRERO" dataDxfId="62" totalsRowDxfId="61" dataCellStyle="Moneda"/>
    <tableColumn id="6" name="MARZO" dataDxfId="60" totalsRowDxfId="59" dataCellStyle="Moneda"/>
    <tableColumn id="7" name="ABRIL" dataDxfId="58" totalsRowDxfId="57" dataCellStyle="Moneda"/>
    <tableColumn id="8" name="MAYO " dataDxfId="56" totalsRowDxfId="55" dataCellStyle="Moneda"/>
    <tableColumn id="9" name="JUNIO " dataDxfId="54" totalsRowDxfId="53" dataCellStyle="Moneda"/>
    <tableColumn id="10" name="JULIO " dataDxfId="52" totalsRowDxfId="51" dataCellStyle="Moneda"/>
    <tableColumn id="11" name="AGOSTO" dataDxfId="50" totalsRowDxfId="49" dataCellStyle="Moneda"/>
    <tableColumn id="12" name="SEPTIEMBRE" dataDxfId="48" totalsRowDxfId="47" dataCellStyle="Moneda"/>
    <tableColumn id="13" name="OCTUBRE" dataDxfId="46" totalsRowDxfId="45" dataCellStyle="Moneda"/>
    <tableColumn id="14" name="NOVIEMBRE" dataDxfId="44" totalsRowDxfId="43" dataCellStyle="Moneda"/>
    <tableColumn id="15" name="DICIEMBRE" dataDxfId="42" totalsRowDxfId="41" dataCellStyle="Moneda"/>
    <tableColumn id="17" name="PAGO POR USUARIO" dataDxfId="40" totalsRowDxfId="39" dataCellStyle="Moneda">
      <calculatedColumnFormula>SUM(Tabla1[[#This Row],[ENERO ]:[DICIEMBRE]])</calculatedColumnFormula>
    </tableColumn>
    <tableColumn id="16" name="BAJAS"/>
    <tableColumn id="18" name="MES DE BAJA "/>
    <tableColumn id="19" name="ALTAS"/>
    <tableColumn id="21" name="MES DE ALTA "/>
    <tableColumn id="23" name="MES ADEUDO DE AÑOS PASADOS " dataDxfId="38" totalsRowDxfId="37"/>
    <tableColumn id="24" name="MESES DE ADEUDO DEL AÑO EN CURSO " dataDxfId="36" totalsRowDxfId="35" dataCellStyle="Moneda">
      <calculatedColumnFormula>COUNTIF(Tabla1[[#This Row],[ENERO ]:[DICIEMBRE]],0)-(AQ7)-IF(Tabla1[[#This Row],[BAJAS]]="BAJA",IF(Tabla1[[#This Row],[ALTAS]]="ALTA",VLOOKUP(Tabla1[[#This Row],[MES DE ALTA ]],$AT$6:$AU$17,2,FALSE),12)-VLOOKUP(Tabla1[[#This Row],[MES DE BAJA ]],$AT$6:$AU$17,2,FALSE),0)</calculatedColumnFormula>
    </tableColumn>
    <tableColumn id="27" name="MESES DE ADEUDO EN TOTAL HASTA EL AÑO EN CURSO " dataDxfId="34" totalsRowDxfId="33" dataCellStyle="Moneda">
      <calculatedColumnFormula>SUM(Tabla1[[#This Row],[MES ADEUDO DE AÑOS PASADOS ]:[MESES DE ADEUDO DEL AÑO EN CURSO ]])</calculatedColumnFormula>
    </tableColumn>
    <tableColumn id="20" name="DEUDA DE LOS MESES PASADOS EN $$" dataDxfId="32" totalsRowDxfId="31" dataCellStyle="Moneda">
      <calculatedColumnFormula>IF(Tabla1[[#This Row],[TIPO DE CONSUMIDOR]]="COMPLETO",W7*$T$2,W7*($T$2/2))</calculatedColumnFormula>
    </tableColumn>
    <tableColumn id="25" name="DEUDA DEL AÑO 2013 $$ " dataDxfId="30" totalsRowDxfId="29" dataCellStyle="Moneda">
      <calculatedColumnFormula>IF(Tabla1[[#This Row],[TIPO DE CONSUMIDOR]]="COMPLETO",Tabla1[[#This Row],[MESES DE ADEUDO DEL AÑO EN CURSO ]]*$T$2,Tabla1[[#This Row],[MESES DE ADEUDO DEL AÑO EN CURSO ]]*($T$2/2))</calculatedColumnFormula>
    </tableColumn>
    <tableColumn id="26" name="DEUDA TOTAL  EL $$" totalsRowFunction="sum" dataDxfId="28" totalsRowDxfId="27" dataCellStyle="Moneda">
      <calculatedColumnFormula>SUM(Tabla1[[#This Row],[DEUDA DE LOS MESES PASADOS EN $$]:[DEUDA DEL AÑO 2013 $$ ]])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3" name="Tabla3" displayName="Tabla3" ref="A6:M31" totalsRowShown="0">
  <autoFilter ref="A6:M3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name="CONCEPTO"/>
    <tableColumn id="2" name="ENERO" dataDxfId="26" dataCellStyle="Moneda"/>
    <tableColumn id="3" name="FEBRERO " dataDxfId="25" dataCellStyle="Moneda"/>
    <tableColumn id="4" name="MARZO" dataDxfId="24" dataCellStyle="Moneda"/>
    <tableColumn id="5" name="ABRIL" dataDxfId="23" dataCellStyle="Moneda"/>
    <tableColumn id="6" name="MAYO" dataDxfId="22" dataCellStyle="Moneda"/>
    <tableColumn id="7" name="JUNIO" dataDxfId="21" dataCellStyle="Moneda"/>
    <tableColumn id="8" name="JULIO" dataDxfId="20" dataCellStyle="Moneda"/>
    <tableColumn id="9" name="AGOSTO" dataDxfId="19" dataCellStyle="Moneda"/>
    <tableColumn id="10" name="SEPTIEMBRE" dataDxfId="18" dataCellStyle="Moneda"/>
    <tableColumn id="11" name="OCTUBRE" dataDxfId="17" dataCellStyle="Moneda"/>
    <tableColumn id="12" name="NOVIEMBRE" dataDxfId="16" dataCellStyle="Moneda"/>
    <tableColumn id="13" name="DICIEMBRE" dataDxfId="15" dataCellStyle="Moneda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id="4" name="Tabla4" displayName="Tabla4" ref="A6:M9" totalsRowShown="0" headerRowDxfId="12">
  <autoFilter ref="A6:M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name="Columna1"/>
    <tableColumn id="2" name="ENERO"/>
    <tableColumn id="3" name="FEBRERO"/>
    <tableColumn id="4" name="MARZO"/>
    <tableColumn id="5" name="ABRIL"/>
    <tableColumn id="6" name="MAYO"/>
    <tableColumn id="7" name="JUNIO"/>
    <tableColumn id="8" name="JULIO"/>
    <tableColumn id="9" name="AGOSTO"/>
    <tableColumn id="10" name="SEPTIEMBRE"/>
    <tableColumn id="11" name="OCTUBRE"/>
    <tableColumn id="12" name="NOVIEMBRE"/>
    <tableColumn id="13" name="DICIEMBRE" dataDxfId="11">
      <calculatedColumnFormula>'Regis Usu.'!Q585</calculatedColumnFormula>
    </tableColumn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2" name="Tabla13" displayName="Tabla13" ref="C2:I580" totalsRowShown="0" headerRowDxfId="4">
  <autoFilter ref="C2:I580"/>
  <sortState ref="C3:I580">
    <sortCondition ref="C3"/>
  </sortState>
  <tableColumns count="7">
    <tableColumn id="1" name="NO" dataDxfId="3"/>
    <tableColumn id="2" name="NOMBRE DE USUARIO " dataDxfId="2"/>
    <tableColumn id="3" name="CALLE" dataDxfId="1"/>
    <tableColumn id="4" name="TIPO DE CONSUMIDOR" dataDxfId="0"/>
    <tableColumn id="5" name="COOPERACION DE NUEVO POZO " dataCellStyle="Moneda"/>
    <tableColumn id="6" name="COOPERACION DE BOMBA " dataCellStyle="Moneda"/>
    <tableColumn id="7" name="TOMA " dataCellStyle="Moned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AW591"/>
  <sheetViews>
    <sheetView zoomScale="90" zoomScaleNormal="90" workbookViewId="0">
      <selection activeCell="A3" sqref="A3"/>
    </sheetView>
  </sheetViews>
  <sheetFormatPr baseColWidth="10" defaultRowHeight="15" x14ac:dyDescent="0.25"/>
  <cols>
    <col min="1" max="1" width="14.28515625" style="109" customWidth="1"/>
    <col min="2" max="2" width="53.7109375" customWidth="1"/>
    <col min="3" max="3" width="19.5703125" customWidth="1"/>
    <col min="4" max="4" width="10.85546875" hidden="1" customWidth="1"/>
    <col min="5" max="5" width="16.42578125" customWidth="1"/>
    <col min="6" max="6" width="10.5703125" customWidth="1"/>
    <col min="7" max="7" width="10.7109375" customWidth="1"/>
    <col min="8" max="10" width="10.42578125" customWidth="1"/>
    <col min="11" max="11" width="11" customWidth="1"/>
    <col min="12" max="12" width="10.28515625" customWidth="1"/>
    <col min="13" max="13" width="10.7109375" customWidth="1"/>
    <col min="14" max="14" width="12.7109375" customWidth="1"/>
    <col min="15" max="15" width="11.140625" customWidth="1"/>
    <col min="16" max="16" width="12.28515625" customWidth="1"/>
    <col min="17" max="17" width="11" customWidth="1"/>
    <col min="18" max="18" width="16.42578125" customWidth="1"/>
    <col min="19" max="19" width="11.42578125" hidden="1" customWidth="1"/>
    <col min="20" max="20" width="12.140625" hidden="1" customWidth="1"/>
    <col min="21" max="21" width="9.5703125" hidden="1" customWidth="1"/>
    <col min="22" max="23" width="12.5703125" customWidth="1"/>
    <col min="24" max="24" width="14.140625" customWidth="1"/>
    <col min="25" max="25" width="13.140625" customWidth="1"/>
    <col min="26" max="26" width="12.85546875" customWidth="1"/>
    <col min="27" max="27" width="14" customWidth="1"/>
    <col min="28" max="28" width="13" customWidth="1"/>
    <col min="39" max="39" width="20" customWidth="1"/>
    <col min="40" max="40" width="11.7109375" customWidth="1"/>
  </cols>
  <sheetData>
    <row r="1" spans="1:49" ht="15" customHeight="1" x14ac:dyDescent="0.25">
      <c r="A1" s="137" t="s">
        <v>12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3"/>
    </row>
    <row r="2" spans="1:49" ht="15.75" customHeight="1" x14ac:dyDescent="0.25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3"/>
      <c r="S2" t="s">
        <v>633</v>
      </c>
      <c r="T2" s="10">
        <v>45</v>
      </c>
    </row>
    <row r="3" spans="1:49" ht="20.25" thickBot="1" x14ac:dyDescent="0.35">
      <c r="A3" s="108" t="s">
        <v>430</v>
      </c>
      <c r="B3" s="136" t="s">
        <v>432</v>
      </c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3"/>
    </row>
    <row r="4" spans="1:49" ht="25.5" customHeight="1" thickTop="1" thickBot="1" x14ac:dyDescent="0.35">
      <c r="A4" s="108" t="s">
        <v>431</v>
      </c>
      <c r="B4" s="138">
        <v>2021</v>
      </c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3"/>
    </row>
    <row r="5" spans="1:49" ht="3" customHeight="1" thickTop="1" thickBot="1" x14ac:dyDescent="0.3"/>
    <row r="6" spans="1:49" ht="75" customHeight="1" thickBot="1" x14ac:dyDescent="0.4">
      <c r="A6" s="109" t="s">
        <v>660</v>
      </c>
      <c r="B6" s="16" t="s">
        <v>429</v>
      </c>
      <c r="C6" s="17" t="s">
        <v>427</v>
      </c>
      <c r="D6" s="18" t="s">
        <v>428</v>
      </c>
      <c r="E6" s="18" t="s">
        <v>450</v>
      </c>
      <c r="F6" s="123" t="s">
        <v>0</v>
      </c>
      <c r="G6" s="123" t="s">
        <v>1</v>
      </c>
      <c r="H6" s="123" t="s">
        <v>2</v>
      </c>
      <c r="I6" s="123" t="s">
        <v>3</v>
      </c>
      <c r="J6" s="124" t="s">
        <v>4</v>
      </c>
      <c r="K6" s="123" t="s">
        <v>5</v>
      </c>
      <c r="L6" s="123" t="s">
        <v>6</v>
      </c>
      <c r="M6" s="123" t="s">
        <v>7</v>
      </c>
      <c r="N6" s="123" t="s">
        <v>8</v>
      </c>
      <c r="O6" s="123" t="s">
        <v>9</v>
      </c>
      <c r="P6" s="125" t="s">
        <v>10</v>
      </c>
      <c r="Q6" s="125" t="s">
        <v>11</v>
      </c>
      <c r="R6" s="20" t="s">
        <v>435</v>
      </c>
      <c r="S6" s="19" t="s">
        <v>453</v>
      </c>
      <c r="T6" s="19" t="s">
        <v>452</v>
      </c>
      <c r="U6" s="19" t="s">
        <v>454</v>
      </c>
      <c r="V6" s="19" t="s">
        <v>451</v>
      </c>
      <c r="W6" s="19" t="s">
        <v>627</v>
      </c>
      <c r="X6" s="19" t="s">
        <v>632</v>
      </c>
      <c r="Y6" s="19" t="s">
        <v>631</v>
      </c>
      <c r="Z6" s="64" t="s">
        <v>629</v>
      </c>
      <c r="AA6" s="64" t="s">
        <v>630</v>
      </c>
      <c r="AB6" s="64" t="s">
        <v>628</v>
      </c>
      <c r="AE6" s="99" t="s">
        <v>434</v>
      </c>
      <c r="AF6" s="100" t="s">
        <v>1</v>
      </c>
      <c r="AG6" s="100" t="s">
        <v>2</v>
      </c>
      <c r="AH6" s="100" t="s">
        <v>3</v>
      </c>
      <c r="AI6" s="100" t="s">
        <v>437</v>
      </c>
      <c r="AJ6" s="100" t="s">
        <v>443</v>
      </c>
      <c r="AK6" s="100" t="s">
        <v>438</v>
      </c>
      <c r="AL6" s="100" t="s">
        <v>7</v>
      </c>
      <c r="AM6" s="100" t="s">
        <v>8</v>
      </c>
      <c r="AN6" s="100" t="s">
        <v>9</v>
      </c>
      <c r="AO6" s="100" t="s">
        <v>10</v>
      </c>
      <c r="AP6" s="100" t="s">
        <v>11</v>
      </c>
      <c r="AQ6" s="101"/>
      <c r="AR6" s="102" t="s">
        <v>592</v>
      </c>
      <c r="AS6" s="100" t="s">
        <v>661</v>
      </c>
      <c r="AT6" s="40" t="s">
        <v>434</v>
      </c>
      <c r="AU6" s="40">
        <f>AV6-1</f>
        <v>0</v>
      </c>
      <c r="AV6" s="40">
        <v>1</v>
      </c>
      <c r="AW6" s="41"/>
    </row>
    <row r="7" spans="1:49" ht="21.75" thickBot="1" x14ac:dyDescent="0.35">
      <c r="A7" s="109">
        <f>1</f>
        <v>1</v>
      </c>
      <c r="B7" s="5" t="s">
        <v>29</v>
      </c>
      <c r="C7" s="2" t="s">
        <v>456</v>
      </c>
      <c r="D7" s="46"/>
      <c r="E7" s="36" t="s">
        <v>455</v>
      </c>
      <c r="F7" s="34">
        <v>45</v>
      </c>
      <c r="G7" s="34">
        <v>45</v>
      </c>
      <c r="H7" s="34">
        <v>45</v>
      </c>
      <c r="I7" s="34">
        <v>45</v>
      </c>
      <c r="J7" s="34">
        <v>45</v>
      </c>
      <c r="K7" s="34">
        <v>45</v>
      </c>
      <c r="L7" s="34">
        <v>45</v>
      </c>
      <c r="M7" s="34">
        <v>45</v>
      </c>
      <c r="N7" s="34">
        <v>45</v>
      </c>
      <c r="O7" s="34">
        <v>45</v>
      </c>
      <c r="P7" s="34">
        <v>45</v>
      </c>
      <c r="Q7" s="34">
        <v>45</v>
      </c>
      <c r="R7" s="24">
        <f>SUM(Tabla1[[#This Row],[ENERO ]:[DICIEMBRE]])</f>
        <v>540</v>
      </c>
      <c r="W7" s="65">
        <v>0</v>
      </c>
      <c r="X7" s="21">
        <f>COUNTIF(Tabla1[[#This Row],[ENERO ]:[DICIEMBRE]],0)-(AQ7)-IF(Tabla1[[#This Row],[BAJAS]]="BAJA",IF(Tabla1[[#This Row],[ALTAS]]="ALTA",VLOOKUP(Tabla1[[#This Row],[MES DE ALTA ]],$AT$6:$AU$17,2,FALSE),12)-VLOOKUP(Tabla1[[#This Row],[MES DE BAJA ]],$AT$6:$AU$17,2,FALSE),0)</f>
        <v>0</v>
      </c>
      <c r="Y7" s="69">
        <f>SUM(Tabla1[[#This Row],[MES ADEUDO DE AÑOS PASADOS ]:[MESES DE ADEUDO DEL AÑO EN CURSO ]])</f>
        <v>0</v>
      </c>
      <c r="Z7" s="15">
        <f>IF(Tabla1[[#This Row],[TIPO DE CONSUMIDOR]]="COMPLETO",W7*$T$2,W7*($T$2/2))</f>
        <v>0</v>
      </c>
      <c r="AA7" s="15">
        <f>IF(Tabla1[[#This Row],[TIPO DE CONSUMIDOR]]="COMPLETO",Tabla1[[#This Row],[MESES DE ADEUDO DEL AÑO EN CURSO ]]*$T$2,Tabla1[[#This Row],[MESES DE ADEUDO DEL AÑO EN CURSO ]]*($T$2/2))</f>
        <v>0</v>
      </c>
      <c r="AB7" s="70">
        <f>SUM(Tabla1[[#This Row],[DEUDA DE LOS MESES PASADOS EN $$]:[DEUDA DEL AÑO 2013 $$ ]])</f>
        <v>0</v>
      </c>
      <c r="AE7" s="103">
        <f>IF(Tabla1[[#This Row],[TIPO DE CONSUMIDOR]]="MEDIO",IF(Tabla1[[#This Row],[ENERO ]]&gt;22.5,Tabla1[[#This Row],[ENERO ]]/22.5-1,0),IF(Tabla1[[#This Row],[ENERO ]]&gt;45,Tabla1[[#This Row],[ENERO ]]/45-1,0))</f>
        <v>0</v>
      </c>
      <c r="AF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" s="103">
        <f>IF(Tabla1[[#This Row],[TIPO DE CONSUMIDOR]]="MEDIO",IF(Tabla1[[#This Row],[MARZO]]&gt;22.5,Tabla1[[#This Row],[MARZO]]/22.5-1,0),IF(Tabla1[[#This Row],[MARZO]]&gt;45,Tabla1[[#This Row],[MARZO]]/45-1,0))</f>
        <v>0</v>
      </c>
      <c r="AH7" s="103">
        <f>IF(Tabla1[[#This Row],[TIPO DE CONSUMIDOR]]="MEDIO",IF(Tabla1[[#This Row],[ABRIL]]&gt;22.5,Tabla1[[#This Row],[ABRIL]]/22.5-1,0),IF(Tabla1[[#This Row],[ABRIL]]&gt;45,Tabla1[[#This Row],[ABRIL]]/45-1,0))</f>
        <v>0</v>
      </c>
      <c r="AI7" s="103">
        <f>IF(Tabla1[[#This Row],[TIPO DE CONSUMIDOR]]="MEDIO",IF(Tabla1[[#This Row],[MAYO ]]&gt;22.5,Tabla1[[#This Row],[MAYO ]]/22.5-1,0),IF(Tabla1[[#This Row],[MAYO ]]&gt;45,Tabla1[[#This Row],[MAYO ]]/45-1,0))</f>
        <v>0</v>
      </c>
      <c r="AJ7" s="103">
        <f>IF(Tabla1[[#This Row],[TIPO DE CONSUMIDOR]]="MEDIO",IF(Tabla1[[#This Row],[JUNIO ]]&gt;22.5,Tabla1[[#This Row],[JUNIO ]]/22.5-1,0),IF(Tabla1[[#This Row],[JUNIO ]]&gt;45,Tabla1[[#This Row],[JUNIO ]]/45-1,0))</f>
        <v>0</v>
      </c>
      <c r="AK7" s="103">
        <f>IF(Tabla1[[#This Row],[TIPO DE CONSUMIDOR]]="MEDIO",IF(Tabla1[[#This Row],[JULIO ]]&gt;22.5,Tabla1[[#This Row],[JULIO ]]/22.5-1,0),IF(Tabla1[[#This Row],[JULIO ]]&gt;45,Tabla1[[#This Row],[JULIO ]]/45-1,0))</f>
        <v>0</v>
      </c>
      <c r="AL7" s="103">
        <f>IF(Tabla1[[#This Row],[TIPO DE CONSUMIDOR]]="MEDIO",IF(Tabla1[[#This Row],[AGOSTO]]&gt;22.5,Tabla1[[#This Row],[AGOSTO]]/22.5-1,0),IF(Tabla1[[#This Row],[AGOSTO]]&gt;45,Tabla1[[#This Row],[AGOSTO]]/45-1,0))</f>
        <v>0</v>
      </c>
      <c r="AM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" s="104">
        <f>SUM(AE7:AP7)</f>
        <v>0</v>
      </c>
      <c r="AR7" s="9">
        <f t="shared" ref="AR7:AR70" si="0">IF(Y7&gt;0,1,0)</f>
        <v>0</v>
      </c>
      <c r="AS7" s="60">
        <f>IF(Tabla1[[#This Row],[MESES DE ADEUDO DEL AÑO EN CURSO ]]&gt;0,1,0)</f>
        <v>0</v>
      </c>
      <c r="AT7" s="60" t="s">
        <v>1</v>
      </c>
      <c r="AU7" s="60">
        <f t="shared" ref="AU7:AU17" si="1">AV7-1</f>
        <v>1</v>
      </c>
      <c r="AV7" s="42">
        <v>2</v>
      </c>
      <c r="AW7" s="43"/>
    </row>
    <row r="8" spans="1:49" ht="21.75" thickBot="1" x14ac:dyDescent="0.35">
      <c r="A8" s="109">
        <v>2</v>
      </c>
      <c r="B8" s="67" t="s">
        <v>106</v>
      </c>
      <c r="C8" s="1" t="s">
        <v>456</v>
      </c>
      <c r="D8" s="31"/>
      <c r="E8" s="35" t="s">
        <v>455</v>
      </c>
      <c r="F8" s="34">
        <v>45</v>
      </c>
      <c r="G8" s="34">
        <v>45</v>
      </c>
      <c r="H8" s="34">
        <v>45</v>
      </c>
      <c r="I8" s="34">
        <v>45</v>
      </c>
      <c r="J8" s="34">
        <v>45</v>
      </c>
      <c r="K8" s="34">
        <v>45</v>
      </c>
      <c r="L8" s="34">
        <v>45</v>
      </c>
      <c r="M8" s="34">
        <v>45</v>
      </c>
      <c r="N8" s="34">
        <v>0</v>
      </c>
      <c r="O8" s="34">
        <v>0</v>
      </c>
      <c r="P8" s="34">
        <v>0</v>
      </c>
      <c r="Q8" s="34">
        <v>0</v>
      </c>
      <c r="R8" s="24">
        <f>SUM(Tabla1[[#This Row],[ENERO ]:[DICIEMBRE]])</f>
        <v>360</v>
      </c>
      <c r="S8" t="s">
        <v>626</v>
      </c>
      <c r="T8" t="s">
        <v>8</v>
      </c>
      <c r="W8" s="65">
        <v>0</v>
      </c>
      <c r="X8" s="21">
        <f>COUNTIF(Tabla1[[#This Row],[ENERO ]:[DICIEMBRE]],0)-(AQ8)-IF(Tabla1[[#This Row],[BAJAS]]="BAJA",IF(Tabla1[[#This Row],[ALTAS]]="ALTA",VLOOKUP(Tabla1[[#This Row],[MES DE ALTA ]],$AT$6:$AU$17,2,FALSE),12)-VLOOKUP(Tabla1[[#This Row],[MES DE BAJA ]],$AT$6:$AU$17,2,FALSE),0)</f>
        <v>0</v>
      </c>
      <c r="Y8" s="69">
        <f>SUM(Tabla1[[#This Row],[MES ADEUDO DE AÑOS PASADOS ]:[MESES DE ADEUDO DEL AÑO EN CURSO ]])</f>
        <v>0</v>
      </c>
      <c r="Z8" s="15">
        <f>IF(Tabla1[[#This Row],[TIPO DE CONSUMIDOR]]="COMPLETO",W8*$T$2,W8*($T$2/2))</f>
        <v>0</v>
      </c>
      <c r="AA8" s="15">
        <f>IF(Tabla1[[#This Row],[TIPO DE CONSUMIDOR]]="COMPLETO",Tabla1[[#This Row],[MESES DE ADEUDO DEL AÑO EN CURSO ]]*$T$2,Tabla1[[#This Row],[MESES DE ADEUDO DEL AÑO EN CURSO ]]*($T$2/2))</f>
        <v>0</v>
      </c>
      <c r="AB8" s="70">
        <f>SUM(Tabla1[[#This Row],[DEUDA DE LOS MESES PASADOS EN $$]:[DEUDA DEL AÑO 2013 $$ ]])</f>
        <v>0</v>
      </c>
      <c r="AE8" s="103">
        <f>IF(Tabla1[[#This Row],[TIPO DE CONSUMIDOR]]="MEDIO",IF(Tabla1[[#This Row],[ENERO ]]&gt;22.5,Tabla1[[#This Row],[ENERO ]]/22.5-1,0),IF(Tabla1[[#This Row],[ENERO ]]&gt;45,Tabla1[[#This Row],[ENERO ]]/45-1,0))</f>
        <v>0</v>
      </c>
      <c r="AF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" s="103">
        <f>IF(Tabla1[[#This Row],[TIPO DE CONSUMIDOR]]="MEDIO",IF(Tabla1[[#This Row],[MARZO]]&gt;22.5,Tabla1[[#This Row],[MARZO]]/22.5-1,0),IF(Tabla1[[#This Row],[MARZO]]&gt;45,Tabla1[[#This Row],[MARZO]]/45-1,0))</f>
        <v>0</v>
      </c>
      <c r="AH8" s="103">
        <f>IF(Tabla1[[#This Row],[TIPO DE CONSUMIDOR]]="MEDIO",IF(Tabla1[[#This Row],[ABRIL]]&gt;22.5,Tabla1[[#This Row],[ABRIL]]/22.5-1,0),IF(Tabla1[[#This Row],[ABRIL]]&gt;45,Tabla1[[#This Row],[ABRIL]]/45-1,0))</f>
        <v>0</v>
      </c>
      <c r="AI8" s="103">
        <f>IF(Tabla1[[#This Row],[TIPO DE CONSUMIDOR]]="MEDIO",IF(Tabla1[[#This Row],[MAYO ]]&gt;22.5,Tabla1[[#This Row],[MAYO ]]/22.5-1,0),IF(Tabla1[[#This Row],[MAYO ]]&gt;45,Tabla1[[#This Row],[MAYO ]]/45-1,0))</f>
        <v>0</v>
      </c>
      <c r="AJ8" s="103">
        <f>IF(Tabla1[[#This Row],[TIPO DE CONSUMIDOR]]="MEDIO",IF(Tabla1[[#This Row],[JUNIO ]]&gt;22.5,Tabla1[[#This Row],[JUNIO ]]/22.5-1,0),IF(Tabla1[[#This Row],[JUNIO ]]&gt;45,Tabla1[[#This Row],[JUNIO ]]/45-1,0))</f>
        <v>0</v>
      </c>
      <c r="AK8" s="103">
        <f>IF(Tabla1[[#This Row],[TIPO DE CONSUMIDOR]]="MEDIO",IF(Tabla1[[#This Row],[JULIO ]]&gt;22.5,Tabla1[[#This Row],[JULIO ]]/22.5-1,0),IF(Tabla1[[#This Row],[JULIO ]]&gt;45,Tabla1[[#This Row],[JULIO ]]/45-1,0))</f>
        <v>0</v>
      </c>
      <c r="AL8" s="103">
        <f>IF(Tabla1[[#This Row],[TIPO DE CONSUMIDOR]]="MEDIO",IF(Tabla1[[#This Row],[AGOSTO]]&gt;22.5,Tabla1[[#This Row],[AGOSTO]]/22.5-1,0),IF(Tabla1[[#This Row],[AGOSTO]]&gt;45,Tabla1[[#This Row],[AGOSTO]]/45-1,0))</f>
        <v>0</v>
      </c>
      <c r="AM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" s="104">
        <f t="shared" ref="AQ8:AQ71" si="2">SUM(AE8:AP8)</f>
        <v>0</v>
      </c>
      <c r="AR8" s="9">
        <f t="shared" si="0"/>
        <v>0</v>
      </c>
      <c r="AS8" s="60">
        <f>IF(Tabla1[[#This Row],[MESES DE ADEUDO DEL AÑO EN CURSO ]]&gt;0,1,0)</f>
        <v>0</v>
      </c>
      <c r="AT8" s="60" t="s">
        <v>2</v>
      </c>
      <c r="AU8" s="60">
        <f t="shared" si="1"/>
        <v>2</v>
      </c>
      <c r="AV8" s="42">
        <v>3</v>
      </c>
      <c r="AW8" s="43"/>
    </row>
    <row r="9" spans="1:49" ht="21.75" thickBot="1" x14ac:dyDescent="0.35">
      <c r="A9" s="109">
        <v>3</v>
      </c>
      <c r="B9" s="5" t="s">
        <v>204</v>
      </c>
      <c r="C9" s="2" t="s">
        <v>456</v>
      </c>
      <c r="D9" s="46"/>
      <c r="E9" s="36" t="s">
        <v>455</v>
      </c>
      <c r="F9" s="34">
        <v>45</v>
      </c>
      <c r="G9" s="34">
        <v>45</v>
      </c>
      <c r="H9" s="34">
        <v>45</v>
      </c>
      <c r="I9" s="34">
        <v>45</v>
      </c>
      <c r="J9" s="34">
        <v>45</v>
      </c>
      <c r="K9" s="34">
        <v>45</v>
      </c>
      <c r="L9" s="34">
        <v>45</v>
      </c>
      <c r="M9" s="34">
        <v>45</v>
      </c>
      <c r="N9" s="34">
        <v>45</v>
      </c>
      <c r="O9" s="34">
        <v>45</v>
      </c>
      <c r="P9" s="34">
        <v>45</v>
      </c>
      <c r="Q9" s="34">
        <v>45</v>
      </c>
      <c r="R9" s="24">
        <f>SUM(Tabla1[[#This Row],[ENERO ]:[DICIEMBRE]])</f>
        <v>540</v>
      </c>
      <c r="W9" s="65">
        <v>0</v>
      </c>
      <c r="X9" s="21">
        <f>COUNTIF(Tabla1[[#This Row],[ENERO ]:[DICIEMBRE]],0)-(AQ9)-IF(Tabla1[[#This Row],[BAJAS]]="BAJA",IF(Tabla1[[#This Row],[ALTAS]]="ALTA",VLOOKUP(Tabla1[[#This Row],[MES DE ALTA ]],$AT$6:$AU$17,2,FALSE),12)-VLOOKUP(Tabla1[[#This Row],[MES DE BAJA ]],$AT$6:$AU$17,2,FALSE),0)</f>
        <v>0</v>
      </c>
      <c r="Y9" s="69">
        <f>SUM(Tabla1[[#This Row],[MES ADEUDO DE AÑOS PASADOS ]:[MESES DE ADEUDO DEL AÑO EN CURSO ]])</f>
        <v>0</v>
      </c>
      <c r="Z9" s="15">
        <f>IF(Tabla1[[#This Row],[TIPO DE CONSUMIDOR]]="COMPLETO",W9*$T$2,W9*($T$2/2))</f>
        <v>0</v>
      </c>
      <c r="AA9" s="15">
        <f>IF(Tabla1[[#This Row],[TIPO DE CONSUMIDOR]]="COMPLETO",Tabla1[[#This Row],[MESES DE ADEUDO DEL AÑO EN CURSO ]]*$T$2,Tabla1[[#This Row],[MESES DE ADEUDO DEL AÑO EN CURSO ]]*($T$2/2))</f>
        <v>0</v>
      </c>
      <c r="AB9" s="70">
        <f>SUM(Tabla1[[#This Row],[DEUDA DE LOS MESES PASADOS EN $$]:[DEUDA DEL AÑO 2013 $$ ]])</f>
        <v>0</v>
      </c>
      <c r="AE9" s="103">
        <f>IF(Tabla1[[#This Row],[TIPO DE CONSUMIDOR]]="MEDIO",IF(Tabla1[[#This Row],[ENERO ]]&gt;22.5,Tabla1[[#This Row],[ENERO ]]/22.5-1,0),IF(Tabla1[[#This Row],[ENERO ]]&gt;45,Tabla1[[#This Row],[ENERO ]]/45-1,0))</f>
        <v>0</v>
      </c>
      <c r="AF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" s="103">
        <f>IF(Tabla1[[#This Row],[TIPO DE CONSUMIDOR]]="MEDIO",IF(Tabla1[[#This Row],[MARZO]]&gt;22.5,Tabla1[[#This Row],[MARZO]]/22.5-1,0),IF(Tabla1[[#This Row],[MARZO]]&gt;45,Tabla1[[#This Row],[MARZO]]/45-1,0))</f>
        <v>0</v>
      </c>
      <c r="AH9" s="103">
        <f>IF(Tabla1[[#This Row],[TIPO DE CONSUMIDOR]]="MEDIO",IF(Tabla1[[#This Row],[ABRIL]]&gt;22.5,Tabla1[[#This Row],[ABRIL]]/22.5-1,0),IF(Tabla1[[#This Row],[ABRIL]]&gt;45,Tabla1[[#This Row],[ABRIL]]/45-1,0))</f>
        <v>0</v>
      </c>
      <c r="AI9" s="103">
        <f>IF(Tabla1[[#This Row],[TIPO DE CONSUMIDOR]]="MEDIO",IF(Tabla1[[#This Row],[MAYO ]]&gt;22.5,Tabla1[[#This Row],[MAYO ]]/22.5-1,0),IF(Tabla1[[#This Row],[MAYO ]]&gt;45,Tabla1[[#This Row],[MAYO ]]/45-1,0))</f>
        <v>0</v>
      </c>
      <c r="AJ9" s="103">
        <f>IF(Tabla1[[#This Row],[TIPO DE CONSUMIDOR]]="MEDIO",IF(Tabla1[[#This Row],[JUNIO ]]&gt;22.5,Tabla1[[#This Row],[JUNIO ]]/22.5-1,0),IF(Tabla1[[#This Row],[JUNIO ]]&gt;45,Tabla1[[#This Row],[JUNIO ]]/45-1,0))</f>
        <v>0</v>
      </c>
      <c r="AK9" s="103">
        <f>IF(Tabla1[[#This Row],[TIPO DE CONSUMIDOR]]="MEDIO",IF(Tabla1[[#This Row],[JULIO ]]&gt;22.5,Tabla1[[#This Row],[JULIO ]]/22.5-1,0),IF(Tabla1[[#This Row],[JULIO ]]&gt;45,Tabla1[[#This Row],[JULIO ]]/45-1,0))</f>
        <v>0</v>
      </c>
      <c r="AL9" s="103">
        <f>IF(Tabla1[[#This Row],[TIPO DE CONSUMIDOR]]="MEDIO",IF(Tabla1[[#This Row],[AGOSTO]]&gt;22.5,Tabla1[[#This Row],[AGOSTO]]/22.5-1,0),IF(Tabla1[[#This Row],[AGOSTO]]&gt;45,Tabla1[[#This Row],[AGOSTO]]/45-1,0))</f>
        <v>0</v>
      </c>
      <c r="AM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" s="104">
        <f t="shared" si="2"/>
        <v>0</v>
      </c>
      <c r="AR9" s="9">
        <f t="shared" si="0"/>
        <v>0</v>
      </c>
      <c r="AS9" s="60">
        <f>IF(Tabla1[[#This Row],[MESES DE ADEUDO DEL AÑO EN CURSO ]]&gt;0,1,0)</f>
        <v>0</v>
      </c>
      <c r="AT9" s="60" t="s">
        <v>3</v>
      </c>
      <c r="AU9" s="60">
        <f t="shared" si="1"/>
        <v>3</v>
      </c>
      <c r="AV9" s="42">
        <v>4</v>
      </c>
      <c r="AW9" s="43"/>
    </row>
    <row r="10" spans="1:49" ht="21.75" customHeight="1" thickBot="1" x14ac:dyDescent="0.35">
      <c r="A10" s="109">
        <v>4</v>
      </c>
      <c r="B10" s="5" t="s">
        <v>267</v>
      </c>
      <c r="C10" s="2" t="s">
        <v>456</v>
      </c>
      <c r="D10" s="46"/>
      <c r="E10" s="36" t="s">
        <v>455</v>
      </c>
      <c r="F10" s="34">
        <v>45</v>
      </c>
      <c r="G10" s="34">
        <v>45</v>
      </c>
      <c r="H10" s="34">
        <v>45</v>
      </c>
      <c r="I10" s="34">
        <v>45</v>
      </c>
      <c r="J10" s="34">
        <v>45</v>
      </c>
      <c r="K10" s="34">
        <v>45</v>
      </c>
      <c r="L10" s="34">
        <v>45</v>
      </c>
      <c r="M10" s="34">
        <v>45</v>
      </c>
      <c r="N10" s="34">
        <v>45</v>
      </c>
      <c r="O10" s="34">
        <v>45</v>
      </c>
      <c r="P10" s="34">
        <v>45</v>
      </c>
      <c r="Q10" s="34">
        <v>45</v>
      </c>
      <c r="R10" s="24">
        <f>SUM(Tabla1[[#This Row],[ENERO ]:[DICIEMBRE]])</f>
        <v>540</v>
      </c>
      <c r="W10" s="65">
        <v>0</v>
      </c>
      <c r="X10" s="21">
        <f>COUNTIF(Tabla1[[#This Row],[ENERO ]:[DICIEMBRE]],0)-(AQ10)-IF(Tabla1[[#This Row],[BAJAS]]="BAJA",IF(Tabla1[[#This Row],[ALTAS]]="ALTA",VLOOKUP(Tabla1[[#This Row],[MES DE ALTA ]],$AT$6:$AU$17,2,FALSE),12)-VLOOKUP(Tabla1[[#This Row],[MES DE BAJA ]],$AT$6:$AU$17,2,FALSE),0)</f>
        <v>0</v>
      </c>
      <c r="Y10" s="69">
        <f>SUM(Tabla1[[#This Row],[MES ADEUDO DE AÑOS PASADOS ]:[MESES DE ADEUDO DEL AÑO EN CURSO ]])</f>
        <v>0</v>
      </c>
      <c r="Z10" s="15">
        <f>IF(Tabla1[[#This Row],[TIPO DE CONSUMIDOR]]="COMPLETO",W10*$T$2,W10*($T$2/2))</f>
        <v>0</v>
      </c>
      <c r="AA10" s="15">
        <f>IF(Tabla1[[#This Row],[TIPO DE CONSUMIDOR]]="COMPLETO",Tabla1[[#This Row],[MESES DE ADEUDO DEL AÑO EN CURSO ]]*$T$2,Tabla1[[#This Row],[MESES DE ADEUDO DEL AÑO EN CURSO ]]*($T$2/2))</f>
        <v>0</v>
      </c>
      <c r="AB10" s="70">
        <f>SUM(Tabla1[[#This Row],[DEUDA DE LOS MESES PASADOS EN $$]:[DEUDA DEL AÑO 2013 $$ ]])</f>
        <v>0</v>
      </c>
      <c r="AE10" s="103">
        <f>IF(Tabla1[[#This Row],[TIPO DE CONSUMIDOR]]="MEDIO",IF(Tabla1[[#This Row],[ENERO ]]&gt;22.5,Tabla1[[#This Row],[ENERO ]]/22.5-1,0),IF(Tabla1[[#This Row],[ENERO ]]&gt;45,Tabla1[[#This Row],[ENERO ]]/45-1,0))</f>
        <v>0</v>
      </c>
      <c r="AF1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" s="103">
        <f>IF(Tabla1[[#This Row],[TIPO DE CONSUMIDOR]]="MEDIO",IF(Tabla1[[#This Row],[MARZO]]&gt;22.5,Tabla1[[#This Row],[MARZO]]/22.5-1,0),IF(Tabla1[[#This Row],[MARZO]]&gt;45,Tabla1[[#This Row],[MARZO]]/45-1,0))</f>
        <v>0</v>
      </c>
      <c r="AH10" s="103">
        <f>IF(Tabla1[[#This Row],[TIPO DE CONSUMIDOR]]="MEDIO",IF(Tabla1[[#This Row],[ABRIL]]&gt;22.5,Tabla1[[#This Row],[ABRIL]]/22.5-1,0),IF(Tabla1[[#This Row],[ABRIL]]&gt;45,Tabla1[[#This Row],[ABRIL]]/45-1,0))</f>
        <v>0</v>
      </c>
      <c r="AI10" s="103">
        <f>IF(Tabla1[[#This Row],[TIPO DE CONSUMIDOR]]="MEDIO",IF(Tabla1[[#This Row],[MAYO ]]&gt;22.5,Tabla1[[#This Row],[MAYO ]]/22.5-1,0),IF(Tabla1[[#This Row],[MAYO ]]&gt;45,Tabla1[[#This Row],[MAYO ]]/45-1,0))</f>
        <v>0</v>
      </c>
      <c r="AJ10" s="103">
        <f>IF(Tabla1[[#This Row],[TIPO DE CONSUMIDOR]]="MEDIO",IF(Tabla1[[#This Row],[JUNIO ]]&gt;22.5,Tabla1[[#This Row],[JUNIO ]]/22.5-1,0),IF(Tabla1[[#This Row],[JUNIO ]]&gt;45,Tabla1[[#This Row],[JUNIO ]]/45-1,0))</f>
        <v>0</v>
      </c>
      <c r="AK10" s="103">
        <f>IF(Tabla1[[#This Row],[TIPO DE CONSUMIDOR]]="MEDIO",IF(Tabla1[[#This Row],[JULIO ]]&gt;22.5,Tabla1[[#This Row],[JULIO ]]/22.5-1,0),IF(Tabla1[[#This Row],[JULIO ]]&gt;45,Tabla1[[#This Row],[JULIO ]]/45-1,0))</f>
        <v>0</v>
      </c>
      <c r="AL10" s="103">
        <f>IF(Tabla1[[#This Row],[TIPO DE CONSUMIDOR]]="MEDIO",IF(Tabla1[[#This Row],[AGOSTO]]&gt;22.5,Tabla1[[#This Row],[AGOSTO]]/22.5-1,0),IF(Tabla1[[#This Row],[AGOSTO]]&gt;45,Tabla1[[#This Row],[AGOSTO]]/45-1,0))</f>
        <v>0</v>
      </c>
      <c r="AM1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" s="104">
        <f t="shared" si="2"/>
        <v>0</v>
      </c>
      <c r="AR10" s="9">
        <f t="shared" si="0"/>
        <v>0</v>
      </c>
      <c r="AS10" s="60">
        <f>IF(Tabla1[[#This Row],[MESES DE ADEUDO DEL AÑO EN CURSO ]]&gt;0,1,0)</f>
        <v>0</v>
      </c>
      <c r="AT10" s="60" t="s">
        <v>437</v>
      </c>
      <c r="AU10" s="60">
        <f t="shared" si="1"/>
        <v>4</v>
      </c>
      <c r="AV10" s="42">
        <v>5</v>
      </c>
      <c r="AW10" s="43"/>
    </row>
    <row r="11" spans="1:49" ht="21.75" thickBot="1" x14ac:dyDescent="0.35">
      <c r="A11" s="109">
        <v>5</v>
      </c>
      <c r="B11" s="5" t="s">
        <v>308</v>
      </c>
      <c r="C11" s="2" t="s">
        <v>456</v>
      </c>
      <c r="D11" s="46"/>
      <c r="E11" s="36" t="s">
        <v>455</v>
      </c>
      <c r="F11" s="34">
        <v>45</v>
      </c>
      <c r="G11" s="34">
        <v>45</v>
      </c>
      <c r="H11" s="34">
        <v>45</v>
      </c>
      <c r="I11" s="34">
        <v>45</v>
      </c>
      <c r="J11" s="34">
        <v>45</v>
      </c>
      <c r="K11" s="34">
        <v>45</v>
      </c>
      <c r="L11" s="34">
        <v>45</v>
      </c>
      <c r="M11" s="34">
        <v>45</v>
      </c>
      <c r="N11" s="34">
        <v>45</v>
      </c>
      <c r="O11" s="34">
        <v>45</v>
      </c>
      <c r="P11" s="34">
        <v>45</v>
      </c>
      <c r="Q11" s="34">
        <v>45</v>
      </c>
      <c r="R11" s="24">
        <f>SUM(Tabla1[[#This Row],[ENERO ]:[DICIEMBRE]])</f>
        <v>540</v>
      </c>
      <c r="W11" s="65">
        <v>0</v>
      </c>
      <c r="X11" s="21">
        <f>COUNTIF(Tabla1[[#This Row],[ENERO ]:[DICIEMBRE]],0)-(AQ11)-IF(Tabla1[[#This Row],[BAJAS]]="BAJA",IF(Tabla1[[#This Row],[ALTAS]]="ALTA",VLOOKUP(Tabla1[[#This Row],[MES DE ALTA ]],$AT$6:$AU$17,2,FALSE),12)-VLOOKUP(Tabla1[[#This Row],[MES DE BAJA ]],$AT$6:$AU$17,2,FALSE),0)</f>
        <v>0</v>
      </c>
      <c r="Y11" s="69">
        <f>SUM(Tabla1[[#This Row],[MES ADEUDO DE AÑOS PASADOS ]:[MESES DE ADEUDO DEL AÑO EN CURSO ]])</f>
        <v>0</v>
      </c>
      <c r="Z11" s="15">
        <f>IF(Tabla1[[#This Row],[TIPO DE CONSUMIDOR]]="COMPLETO",W11*$T$2,W11*($T$2/2))</f>
        <v>0</v>
      </c>
      <c r="AA11" s="15">
        <f>IF(Tabla1[[#This Row],[TIPO DE CONSUMIDOR]]="COMPLETO",Tabla1[[#This Row],[MESES DE ADEUDO DEL AÑO EN CURSO ]]*$T$2,Tabla1[[#This Row],[MESES DE ADEUDO DEL AÑO EN CURSO ]]*($T$2/2))</f>
        <v>0</v>
      </c>
      <c r="AB11" s="70">
        <f>SUM(Tabla1[[#This Row],[DEUDA DE LOS MESES PASADOS EN $$]:[DEUDA DEL AÑO 2013 $$ ]])</f>
        <v>0</v>
      </c>
      <c r="AE11" s="103">
        <f>IF(Tabla1[[#This Row],[TIPO DE CONSUMIDOR]]="MEDIO",IF(Tabla1[[#This Row],[ENERO ]]&gt;22.5,Tabla1[[#This Row],[ENERO ]]/22.5-1,0),IF(Tabla1[[#This Row],[ENERO ]]&gt;45,Tabla1[[#This Row],[ENERO ]]/45-1,0))</f>
        <v>0</v>
      </c>
      <c r="AF1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" s="103">
        <f>IF(Tabla1[[#This Row],[TIPO DE CONSUMIDOR]]="MEDIO",IF(Tabla1[[#This Row],[MARZO]]&gt;22.5,Tabla1[[#This Row],[MARZO]]/22.5-1,0),IF(Tabla1[[#This Row],[MARZO]]&gt;45,Tabla1[[#This Row],[MARZO]]/45-1,0))</f>
        <v>0</v>
      </c>
      <c r="AH11" s="103">
        <f>IF(Tabla1[[#This Row],[TIPO DE CONSUMIDOR]]="MEDIO",IF(Tabla1[[#This Row],[ABRIL]]&gt;22.5,Tabla1[[#This Row],[ABRIL]]/22.5-1,0),IF(Tabla1[[#This Row],[ABRIL]]&gt;45,Tabla1[[#This Row],[ABRIL]]/45-1,0))</f>
        <v>0</v>
      </c>
      <c r="AI11" s="103">
        <f>IF(Tabla1[[#This Row],[TIPO DE CONSUMIDOR]]="MEDIO",IF(Tabla1[[#This Row],[MAYO ]]&gt;22.5,Tabla1[[#This Row],[MAYO ]]/22.5-1,0),IF(Tabla1[[#This Row],[MAYO ]]&gt;45,Tabla1[[#This Row],[MAYO ]]/45-1,0))</f>
        <v>0</v>
      </c>
      <c r="AJ11" s="103">
        <f>IF(Tabla1[[#This Row],[TIPO DE CONSUMIDOR]]="MEDIO",IF(Tabla1[[#This Row],[JUNIO ]]&gt;22.5,Tabla1[[#This Row],[JUNIO ]]/22.5-1,0),IF(Tabla1[[#This Row],[JUNIO ]]&gt;45,Tabla1[[#This Row],[JUNIO ]]/45-1,0))</f>
        <v>0</v>
      </c>
      <c r="AK11" s="103">
        <f>IF(Tabla1[[#This Row],[TIPO DE CONSUMIDOR]]="MEDIO",IF(Tabla1[[#This Row],[JULIO ]]&gt;22.5,Tabla1[[#This Row],[JULIO ]]/22.5-1,0),IF(Tabla1[[#This Row],[JULIO ]]&gt;45,Tabla1[[#This Row],[JULIO ]]/45-1,0))</f>
        <v>0</v>
      </c>
      <c r="AL11" s="103">
        <f>IF(Tabla1[[#This Row],[TIPO DE CONSUMIDOR]]="MEDIO",IF(Tabla1[[#This Row],[AGOSTO]]&gt;22.5,Tabla1[[#This Row],[AGOSTO]]/22.5-1,0),IF(Tabla1[[#This Row],[AGOSTO]]&gt;45,Tabla1[[#This Row],[AGOSTO]]/45-1,0))</f>
        <v>0</v>
      </c>
      <c r="AM1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" s="104">
        <f t="shared" si="2"/>
        <v>0</v>
      </c>
      <c r="AR11" s="9">
        <f t="shared" si="0"/>
        <v>0</v>
      </c>
      <c r="AS11" s="60">
        <f>IF(Tabla1[[#This Row],[MESES DE ADEUDO DEL AÑO EN CURSO ]]&gt;0,1,0)</f>
        <v>0</v>
      </c>
      <c r="AT11" s="60" t="s">
        <v>443</v>
      </c>
      <c r="AU11" s="60">
        <f t="shared" si="1"/>
        <v>5</v>
      </c>
      <c r="AV11" s="42">
        <v>6</v>
      </c>
      <c r="AW11" s="43"/>
    </row>
    <row r="12" spans="1:49" ht="21.75" thickBot="1" x14ac:dyDescent="0.35">
      <c r="A12" s="109">
        <v>6</v>
      </c>
      <c r="B12" s="5" t="s">
        <v>458</v>
      </c>
      <c r="C12" s="2" t="s">
        <v>456</v>
      </c>
      <c r="D12" s="46"/>
      <c r="E12" s="36" t="s">
        <v>455</v>
      </c>
      <c r="F12" s="34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34">
        <v>0</v>
      </c>
      <c r="O12" s="34">
        <v>0</v>
      </c>
      <c r="P12" s="34">
        <v>0</v>
      </c>
      <c r="Q12" s="34">
        <v>0</v>
      </c>
      <c r="R12" s="24">
        <f>SUM(Tabla1[[#This Row],[ENERO ]:[DICIEMBRE]])</f>
        <v>0</v>
      </c>
      <c r="S12" t="s">
        <v>626</v>
      </c>
      <c r="T12" t="s">
        <v>434</v>
      </c>
      <c r="W12" s="65">
        <v>0</v>
      </c>
      <c r="X12" s="21">
        <f>COUNTIF(Tabla1[[#This Row],[ENERO ]:[DICIEMBRE]],0)-(AQ12)-IF(Tabla1[[#This Row],[BAJAS]]="BAJA",IF(Tabla1[[#This Row],[ALTAS]]="ALTA",VLOOKUP(Tabla1[[#This Row],[MES DE ALTA ]],$AT$6:$AU$17,2,FALSE),12)-VLOOKUP(Tabla1[[#This Row],[MES DE BAJA ]],$AT$6:$AU$17,2,FALSE),0)</f>
        <v>0</v>
      </c>
      <c r="Y12" s="69">
        <f>SUM(Tabla1[[#This Row],[MES ADEUDO DE AÑOS PASADOS ]:[MESES DE ADEUDO DEL AÑO EN CURSO ]])</f>
        <v>0</v>
      </c>
      <c r="Z12" s="15">
        <f>IF(Tabla1[[#This Row],[TIPO DE CONSUMIDOR]]="COMPLETO",W12*$T$2,W12*($T$2/2))</f>
        <v>0</v>
      </c>
      <c r="AA12" s="15">
        <f>IF(Tabla1[[#This Row],[TIPO DE CONSUMIDOR]]="COMPLETO",Tabla1[[#This Row],[MESES DE ADEUDO DEL AÑO EN CURSO ]]*$T$2,Tabla1[[#This Row],[MESES DE ADEUDO DEL AÑO EN CURSO ]]*($T$2/2))</f>
        <v>0</v>
      </c>
      <c r="AB12" s="70">
        <f>SUM(Tabla1[[#This Row],[DEUDA DE LOS MESES PASADOS EN $$]:[DEUDA DEL AÑO 2013 $$ ]])</f>
        <v>0</v>
      </c>
      <c r="AE12" s="103">
        <f>IF(Tabla1[[#This Row],[TIPO DE CONSUMIDOR]]="MEDIO",IF(Tabla1[[#This Row],[ENERO ]]&gt;22.5,Tabla1[[#This Row],[ENERO ]]/22.5-1,0),IF(Tabla1[[#This Row],[ENERO ]]&gt;45,Tabla1[[#This Row],[ENERO ]]/45-1,0))</f>
        <v>0</v>
      </c>
      <c r="AF1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" s="103">
        <f>IF(Tabla1[[#This Row],[TIPO DE CONSUMIDOR]]="MEDIO",IF(Tabla1[[#This Row],[MARZO]]&gt;22.5,Tabla1[[#This Row],[MARZO]]/22.5-1,0),IF(Tabla1[[#This Row],[MARZO]]&gt;45,Tabla1[[#This Row],[MARZO]]/45-1,0))</f>
        <v>0</v>
      </c>
      <c r="AH12" s="103">
        <f>IF(Tabla1[[#This Row],[TIPO DE CONSUMIDOR]]="MEDIO",IF(Tabla1[[#This Row],[ABRIL]]&gt;22.5,Tabla1[[#This Row],[ABRIL]]/22.5-1,0),IF(Tabla1[[#This Row],[ABRIL]]&gt;45,Tabla1[[#This Row],[ABRIL]]/45-1,0))</f>
        <v>0</v>
      </c>
      <c r="AI12" s="103">
        <f>IF(Tabla1[[#This Row],[TIPO DE CONSUMIDOR]]="MEDIO",IF(Tabla1[[#This Row],[MAYO ]]&gt;22.5,Tabla1[[#This Row],[MAYO ]]/22.5-1,0),IF(Tabla1[[#This Row],[MAYO ]]&gt;45,Tabla1[[#This Row],[MAYO ]]/45-1,0))</f>
        <v>0</v>
      </c>
      <c r="AJ12" s="103">
        <f>IF(Tabla1[[#This Row],[TIPO DE CONSUMIDOR]]="MEDIO",IF(Tabla1[[#This Row],[JUNIO ]]&gt;22.5,Tabla1[[#This Row],[JUNIO ]]/22.5-1,0),IF(Tabla1[[#This Row],[JUNIO ]]&gt;45,Tabla1[[#This Row],[JUNIO ]]/45-1,0))</f>
        <v>0</v>
      </c>
      <c r="AK12" s="103">
        <f>IF(Tabla1[[#This Row],[TIPO DE CONSUMIDOR]]="MEDIO",IF(Tabla1[[#This Row],[JULIO ]]&gt;22.5,Tabla1[[#This Row],[JULIO ]]/22.5-1,0),IF(Tabla1[[#This Row],[JULIO ]]&gt;45,Tabla1[[#This Row],[JULIO ]]/45-1,0))</f>
        <v>0</v>
      </c>
      <c r="AL12" s="103">
        <f>IF(Tabla1[[#This Row],[TIPO DE CONSUMIDOR]]="MEDIO",IF(Tabla1[[#This Row],[AGOSTO]]&gt;22.5,Tabla1[[#This Row],[AGOSTO]]/22.5-1,0),IF(Tabla1[[#This Row],[AGOSTO]]&gt;45,Tabla1[[#This Row],[AGOSTO]]/45-1,0))</f>
        <v>0</v>
      </c>
      <c r="AM1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" s="104">
        <f t="shared" si="2"/>
        <v>0</v>
      </c>
      <c r="AR12" s="9">
        <f t="shared" si="0"/>
        <v>0</v>
      </c>
      <c r="AS12" s="60">
        <f>IF(Tabla1[[#This Row],[MESES DE ADEUDO DEL AÑO EN CURSO ]]&gt;0,1,0)</f>
        <v>0</v>
      </c>
      <c r="AT12" s="60" t="s">
        <v>438</v>
      </c>
      <c r="AU12" s="60">
        <f t="shared" si="1"/>
        <v>6</v>
      </c>
      <c r="AV12" s="42">
        <v>7</v>
      </c>
      <c r="AW12" s="43"/>
    </row>
    <row r="13" spans="1:49" ht="21.75" thickBot="1" x14ac:dyDescent="0.35">
      <c r="A13" s="109">
        <v>7</v>
      </c>
      <c r="B13" s="5" t="s">
        <v>424</v>
      </c>
      <c r="C13" s="2" t="s">
        <v>456</v>
      </c>
      <c r="D13" s="46"/>
      <c r="E13" s="36" t="s">
        <v>455</v>
      </c>
      <c r="F13" s="34">
        <v>45</v>
      </c>
      <c r="G13" s="34">
        <v>45</v>
      </c>
      <c r="H13" s="34">
        <v>45</v>
      </c>
      <c r="I13" s="34">
        <v>45</v>
      </c>
      <c r="J13" s="34">
        <v>45</v>
      </c>
      <c r="K13" s="34">
        <v>45</v>
      </c>
      <c r="L13" s="34">
        <v>45</v>
      </c>
      <c r="M13" s="34">
        <v>45</v>
      </c>
      <c r="N13" s="34">
        <v>45</v>
      </c>
      <c r="O13" s="34">
        <v>45</v>
      </c>
      <c r="P13" s="34">
        <v>45</v>
      </c>
      <c r="Q13" s="34">
        <v>45</v>
      </c>
      <c r="R13" s="24">
        <f>SUM(Tabla1[[#This Row],[ENERO ]:[DICIEMBRE]])</f>
        <v>540</v>
      </c>
      <c r="W13" s="65">
        <v>0</v>
      </c>
      <c r="X13" s="21">
        <f>COUNTIF(Tabla1[[#This Row],[ENERO ]:[DICIEMBRE]],0)-(AQ13)-IF(Tabla1[[#This Row],[BAJAS]]="BAJA",IF(Tabla1[[#This Row],[ALTAS]]="ALTA",VLOOKUP(Tabla1[[#This Row],[MES DE ALTA ]],$AT$6:$AU$17,2,FALSE),12)-VLOOKUP(Tabla1[[#This Row],[MES DE BAJA ]],$AT$6:$AU$17,2,FALSE),0)</f>
        <v>0</v>
      </c>
      <c r="Y13" s="69">
        <f>SUM(Tabla1[[#This Row],[MES ADEUDO DE AÑOS PASADOS ]:[MESES DE ADEUDO DEL AÑO EN CURSO ]])</f>
        <v>0</v>
      </c>
      <c r="Z13" s="15">
        <f>IF(Tabla1[[#This Row],[TIPO DE CONSUMIDOR]]="COMPLETO",W13*$T$2,W13*($T$2/2))</f>
        <v>0</v>
      </c>
      <c r="AA13" s="15">
        <f>IF(Tabla1[[#This Row],[TIPO DE CONSUMIDOR]]="COMPLETO",Tabla1[[#This Row],[MESES DE ADEUDO DEL AÑO EN CURSO ]]*$T$2,Tabla1[[#This Row],[MESES DE ADEUDO DEL AÑO EN CURSO ]]*($T$2/2))</f>
        <v>0</v>
      </c>
      <c r="AB13" s="70">
        <f>SUM(Tabla1[[#This Row],[DEUDA DE LOS MESES PASADOS EN $$]:[DEUDA DEL AÑO 2013 $$ ]])</f>
        <v>0</v>
      </c>
      <c r="AE13" s="103">
        <f>IF(Tabla1[[#This Row],[TIPO DE CONSUMIDOR]]="MEDIO",IF(Tabla1[[#This Row],[ENERO ]]&gt;22.5,Tabla1[[#This Row],[ENERO ]]/22.5-1,0),IF(Tabla1[[#This Row],[ENERO ]]&gt;45,Tabla1[[#This Row],[ENERO ]]/45-1,0))</f>
        <v>0</v>
      </c>
      <c r="AF1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" s="103">
        <f>IF(Tabla1[[#This Row],[TIPO DE CONSUMIDOR]]="MEDIO",IF(Tabla1[[#This Row],[MARZO]]&gt;22.5,Tabla1[[#This Row],[MARZO]]/22.5-1,0),IF(Tabla1[[#This Row],[MARZO]]&gt;45,Tabla1[[#This Row],[MARZO]]/45-1,0))</f>
        <v>0</v>
      </c>
      <c r="AH13" s="103">
        <f>IF(Tabla1[[#This Row],[TIPO DE CONSUMIDOR]]="MEDIO",IF(Tabla1[[#This Row],[ABRIL]]&gt;22.5,Tabla1[[#This Row],[ABRIL]]/22.5-1,0),IF(Tabla1[[#This Row],[ABRIL]]&gt;45,Tabla1[[#This Row],[ABRIL]]/45-1,0))</f>
        <v>0</v>
      </c>
      <c r="AI13" s="103">
        <f>IF(Tabla1[[#This Row],[TIPO DE CONSUMIDOR]]="MEDIO",IF(Tabla1[[#This Row],[MAYO ]]&gt;22.5,Tabla1[[#This Row],[MAYO ]]/22.5-1,0),IF(Tabla1[[#This Row],[MAYO ]]&gt;45,Tabla1[[#This Row],[MAYO ]]/45-1,0))</f>
        <v>0</v>
      </c>
      <c r="AJ13" s="103">
        <f>IF(Tabla1[[#This Row],[TIPO DE CONSUMIDOR]]="MEDIO",IF(Tabla1[[#This Row],[JUNIO ]]&gt;22.5,Tabla1[[#This Row],[JUNIO ]]/22.5-1,0),IF(Tabla1[[#This Row],[JUNIO ]]&gt;45,Tabla1[[#This Row],[JUNIO ]]/45-1,0))</f>
        <v>0</v>
      </c>
      <c r="AK13" s="103">
        <f>IF(Tabla1[[#This Row],[TIPO DE CONSUMIDOR]]="MEDIO",IF(Tabla1[[#This Row],[JULIO ]]&gt;22.5,Tabla1[[#This Row],[JULIO ]]/22.5-1,0),IF(Tabla1[[#This Row],[JULIO ]]&gt;45,Tabla1[[#This Row],[JULIO ]]/45-1,0))</f>
        <v>0</v>
      </c>
      <c r="AL13" s="103">
        <f>IF(Tabla1[[#This Row],[TIPO DE CONSUMIDOR]]="MEDIO",IF(Tabla1[[#This Row],[AGOSTO]]&gt;22.5,Tabla1[[#This Row],[AGOSTO]]/22.5-1,0),IF(Tabla1[[#This Row],[AGOSTO]]&gt;45,Tabla1[[#This Row],[AGOSTO]]/45-1,0))</f>
        <v>0</v>
      </c>
      <c r="AM1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" s="104">
        <f t="shared" si="2"/>
        <v>0</v>
      </c>
      <c r="AR13" s="9">
        <f t="shared" si="0"/>
        <v>0</v>
      </c>
      <c r="AS13" s="60">
        <f>IF(Tabla1[[#This Row],[MESES DE ADEUDO DEL AÑO EN CURSO ]]&gt;0,1,0)</f>
        <v>0</v>
      </c>
      <c r="AT13" s="60" t="s">
        <v>7</v>
      </c>
      <c r="AU13" s="60">
        <f t="shared" si="1"/>
        <v>7</v>
      </c>
      <c r="AV13" s="42">
        <v>8</v>
      </c>
      <c r="AW13" s="43"/>
    </row>
    <row r="14" spans="1:49" ht="21.75" thickBot="1" x14ac:dyDescent="0.35">
      <c r="A14" s="109">
        <v>8</v>
      </c>
      <c r="B14" s="47" t="s">
        <v>457</v>
      </c>
      <c r="C14" s="2" t="s">
        <v>456</v>
      </c>
      <c r="D14" s="46"/>
      <c r="E14" s="36" t="s">
        <v>455</v>
      </c>
      <c r="F14" s="34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34">
        <v>0</v>
      </c>
      <c r="M14" s="34">
        <v>0</v>
      </c>
      <c r="N14" s="34">
        <v>45</v>
      </c>
      <c r="O14" s="34">
        <v>45</v>
      </c>
      <c r="P14" s="34">
        <v>45</v>
      </c>
      <c r="Q14" s="34">
        <v>45</v>
      </c>
      <c r="R14" s="24">
        <f>SUM(Tabla1[[#This Row],[ENERO ]:[DICIEMBRE]])</f>
        <v>180</v>
      </c>
      <c r="S14" t="s">
        <v>626</v>
      </c>
      <c r="T14" t="s">
        <v>434</v>
      </c>
      <c r="U14" t="s">
        <v>625</v>
      </c>
      <c r="V14" t="s">
        <v>8</v>
      </c>
      <c r="W14" s="65">
        <v>0</v>
      </c>
      <c r="X14" s="21">
        <f>COUNTIF(Tabla1[[#This Row],[ENERO ]:[DICIEMBRE]],0)-(AQ14)-IF(Tabla1[[#This Row],[BAJAS]]="BAJA",IF(Tabla1[[#This Row],[ALTAS]]="ALTA",VLOOKUP(Tabla1[[#This Row],[MES DE ALTA ]],$AT$6:$AU$17,2,FALSE),12)-VLOOKUP(Tabla1[[#This Row],[MES DE BAJA ]],$AT$6:$AU$17,2,FALSE),0)</f>
        <v>0</v>
      </c>
      <c r="Y14" s="69">
        <f>SUM(Tabla1[[#This Row],[MES ADEUDO DE AÑOS PASADOS ]:[MESES DE ADEUDO DEL AÑO EN CURSO ]])</f>
        <v>0</v>
      </c>
      <c r="Z14" s="15">
        <f>IF(Tabla1[[#This Row],[TIPO DE CONSUMIDOR]]="COMPLETO",W14*$T$2,W14*($T$2/2))</f>
        <v>0</v>
      </c>
      <c r="AA14" s="15">
        <f>IF(Tabla1[[#This Row],[TIPO DE CONSUMIDOR]]="COMPLETO",Tabla1[[#This Row],[MESES DE ADEUDO DEL AÑO EN CURSO ]]*$T$2,Tabla1[[#This Row],[MESES DE ADEUDO DEL AÑO EN CURSO ]]*($T$2/2))</f>
        <v>0</v>
      </c>
      <c r="AB14" s="70">
        <f>SUM(Tabla1[[#This Row],[DEUDA DE LOS MESES PASADOS EN $$]:[DEUDA DEL AÑO 2013 $$ ]])</f>
        <v>0</v>
      </c>
      <c r="AE14" s="103">
        <f>IF(Tabla1[[#This Row],[TIPO DE CONSUMIDOR]]="MEDIO",IF(Tabla1[[#This Row],[ENERO ]]&gt;22.5,Tabla1[[#This Row],[ENERO ]]/22.5-1,0),IF(Tabla1[[#This Row],[ENERO ]]&gt;45,Tabla1[[#This Row],[ENERO ]]/45-1,0))</f>
        <v>0</v>
      </c>
      <c r="AF1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" s="103">
        <f>IF(Tabla1[[#This Row],[TIPO DE CONSUMIDOR]]="MEDIO",IF(Tabla1[[#This Row],[MARZO]]&gt;22.5,Tabla1[[#This Row],[MARZO]]/22.5-1,0),IF(Tabla1[[#This Row],[MARZO]]&gt;45,Tabla1[[#This Row],[MARZO]]/45-1,0))</f>
        <v>0</v>
      </c>
      <c r="AH14" s="103">
        <f>IF(Tabla1[[#This Row],[TIPO DE CONSUMIDOR]]="MEDIO",IF(Tabla1[[#This Row],[ABRIL]]&gt;22.5,Tabla1[[#This Row],[ABRIL]]/22.5-1,0),IF(Tabla1[[#This Row],[ABRIL]]&gt;45,Tabla1[[#This Row],[ABRIL]]/45-1,0))</f>
        <v>0</v>
      </c>
      <c r="AI14" s="103">
        <f>IF(Tabla1[[#This Row],[TIPO DE CONSUMIDOR]]="MEDIO",IF(Tabla1[[#This Row],[MAYO ]]&gt;22.5,Tabla1[[#This Row],[MAYO ]]/22.5-1,0),IF(Tabla1[[#This Row],[MAYO ]]&gt;45,Tabla1[[#This Row],[MAYO ]]/45-1,0))</f>
        <v>0</v>
      </c>
      <c r="AJ14" s="103">
        <f>IF(Tabla1[[#This Row],[TIPO DE CONSUMIDOR]]="MEDIO",IF(Tabla1[[#This Row],[JUNIO ]]&gt;22.5,Tabla1[[#This Row],[JUNIO ]]/22.5-1,0),IF(Tabla1[[#This Row],[JUNIO ]]&gt;45,Tabla1[[#This Row],[JUNIO ]]/45-1,0))</f>
        <v>0</v>
      </c>
      <c r="AK14" s="103">
        <f>IF(Tabla1[[#This Row],[TIPO DE CONSUMIDOR]]="MEDIO",IF(Tabla1[[#This Row],[JULIO ]]&gt;22.5,Tabla1[[#This Row],[JULIO ]]/22.5-1,0),IF(Tabla1[[#This Row],[JULIO ]]&gt;45,Tabla1[[#This Row],[JULIO ]]/45-1,0))</f>
        <v>0</v>
      </c>
      <c r="AL14" s="103">
        <f>IF(Tabla1[[#This Row],[TIPO DE CONSUMIDOR]]="MEDIO",IF(Tabla1[[#This Row],[AGOSTO]]&gt;22.5,Tabla1[[#This Row],[AGOSTO]]/22.5-1,0),IF(Tabla1[[#This Row],[AGOSTO]]&gt;45,Tabla1[[#This Row],[AGOSTO]]/45-1,0))</f>
        <v>0</v>
      </c>
      <c r="AM1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" s="104">
        <f t="shared" si="2"/>
        <v>0</v>
      </c>
      <c r="AR14" s="9">
        <f t="shared" si="0"/>
        <v>0</v>
      </c>
      <c r="AS14" s="60">
        <f>IF(Tabla1[[#This Row],[MESES DE ADEUDO DEL AÑO EN CURSO ]]&gt;0,1,0)</f>
        <v>0</v>
      </c>
      <c r="AT14" s="60" t="s">
        <v>8</v>
      </c>
      <c r="AU14" s="60">
        <f t="shared" si="1"/>
        <v>8</v>
      </c>
      <c r="AV14" s="42">
        <v>9</v>
      </c>
      <c r="AW14" s="43"/>
    </row>
    <row r="15" spans="1:49" ht="21.75" thickBot="1" x14ac:dyDescent="0.35">
      <c r="A15" s="109">
        <v>9</v>
      </c>
      <c r="B15" s="5" t="s">
        <v>178</v>
      </c>
      <c r="C15" s="2" t="s">
        <v>459</v>
      </c>
      <c r="D15" s="46"/>
      <c r="E15" s="36" t="s">
        <v>455</v>
      </c>
      <c r="F15" s="34">
        <v>45</v>
      </c>
      <c r="G15" s="34">
        <v>45</v>
      </c>
      <c r="H15" s="34">
        <v>45</v>
      </c>
      <c r="I15" s="34">
        <v>45</v>
      </c>
      <c r="J15" s="34">
        <v>45</v>
      </c>
      <c r="K15" s="34">
        <v>45</v>
      </c>
      <c r="L15" s="34">
        <v>45</v>
      </c>
      <c r="M15" s="34">
        <v>45</v>
      </c>
      <c r="N15" s="34">
        <v>45</v>
      </c>
      <c r="O15" s="34">
        <v>45</v>
      </c>
      <c r="P15" s="34">
        <v>45</v>
      </c>
      <c r="Q15" s="34">
        <v>45</v>
      </c>
      <c r="R15" s="24">
        <f>SUM(Tabla1[[#This Row],[ENERO ]:[DICIEMBRE]])</f>
        <v>540</v>
      </c>
      <c r="W15" s="65">
        <v>0</v>
      </c>
      <c r="X15" s="21">
        <f>COUNTIF(Tabla1[[#This Row],[ENERO ]:[DICIEMBRE]],0)-(AQ15)-IF(Tabla1[[#This Row],[BAJAS]]="BAJA",IF(Tabla1[[#This Row],[ALTAS]]="ALTA",VLOOKUP(Tabla1[[#This Row],[MES DE ALTA ]],$AT$6:$AU$17,2,FALSE),12)-VLOOKUP(Tabla1[[#This Row],[MES DE BAJA ]],$AT$6:$AU$17,2,FALSE),0)</f>
        <v>0</v>
      </c>
      <c r="Y15" s="69">
        <f>SUM(Tabla1[[#This Row],[MES ADEUDO DE AÑOS PASADOS ]:[MESES DE ADEUDO DEL AÑO EN CURSO ]])</f>
        <v>0</v>
      </c>
      <c r="Z15" s="15">
        <f>IF(Tabla1[[#This Row],[TIPO DE CONSUMIDOR]]="COMPLETO",W15*$T$2,W15*($T$2/2))</f>
        <v>0</v>
      </c>
      <c r="AA15" s="15">
        <f>IF(Tabla1[[#This Row],[TIPO DE CONSUMIDOR]]="COMPLETO",Tabla1[[#This Row],[MESES DE ADEUDO DEL AÑO EN CURSO ]]*$T$2,Tabla1[[#This Row],[MESES DE ADEUDO DEL AÑO EN CURSO ]]*($T$2/2))</f>
        <v>0</v>
      </c>
      <c r="AB15" s="70">
        <f>SUM(Tabla1[[#This Row],[DEUDA DE LOS MESES PASADOS EN $$]:[DEUDA DEL AÑO 2013 $$ ]])</f>
        <v>0</v>
      </c>
      <c r="AE15" s="103">
        <f>IF(Tabla1[[#This Row],[TIPO DE CONSUMIDOR]]="MEDIO",IF(Tabla1[[#This Row],[ENERO ]]&gt;22.5,Tabla1[[#This Row],[ENERO ]]/22.5-1,0),IF(Tabla1[[#This Row],[ENERO ]]&gt;45,Tabla1[[#This Row],[ENERO ]]/45-1,0))</f>
        <v>0</v>
      </c>
      <c r="AF1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" s="103">
        <f>IF(Tabla1[[#This Row],[TIPO DE CONSUMIDOR]]="MEDIO",IF(Tabla1[[#This Row],[MARZO]]&gt;22.5,Tabla1[[#This Row],[MARZO]]/22.5-1,0),IF(Tabla1[[#This Row],[MARZO]]&gt;45,Tabla1[[#This Row],[MARZO]]/45-1,0))</f>
        <v>0</v>
      </c>
      <c r="AH15" s="103">
        <f>IF(Tabla1[[#This Row],[TIPO DE CONSUMIDOR]]="MEDIO",IF(Tabla1[[#This Row],[ABRIL]]&gt;22.5,Tabla1[[#This Row],[ABRIL]]/22.5-1,0),IF(Tabla1[[#This Row],[ABRIL]]&gt;45,Tabla1[[#This Row],[ABRIL]]/45-1,0))</f>
        <v>0</v>
      </c>
      <c r="AI15" s="103">
        <f>IF(Tabla1[[#This Row],[TIPO DE CONSUMIDOR]]="MEDIO",IF(Tabla1[[#This Row],[MAYO ]]&gt;22.5,Tabla1[[#This Row],[MAYO ]]/22.5-1,0),IF(Tabla1[[#This Row],[MAYO ]]&gt;45,Tabla1[[#This Row],[MAYO ]]/45-1,0))</f>
        <v>0</v>
      </c>
      <c r="AJ15" s="103">
        <f>IF(Tabla1[[#This Row],[TIPO DE CONSUMIDOR]]="MEDIO",IF(Tabla1[[#This Row],[JUNIO ]]&gt;22.5,Tabla1[[#This Row],[JUNIO ]]/22.5-1,0),IF(Tabla1[[#This Row],[JUNIO ]]&gt;45,Tabla1[[#This Row],[JUNIO ]]/45-1,0))</f>
        <v>0</v>
      </c>
      <c r="AK15" s="103">
        <f>IF(Tabla1[[#This Row],[TIPO DE CONSUMIDOR]]="MEDIO",IF(Tabla1[[#This Row],[JULIO ]]&gt;22.5,Tabla1[[#This Row],[JULIO ]]/22.5-1,0),IF(Tabla1[[#This Row],[JULIO ]]&gt;45,Tabla1[[#This Row],[JULIO ]]/45-1,0))</f>
        <v>0</v>
      </c>
      <c r="AL15" s="103">
        <f>IF(Tabla1[[#This Row],[TIPO DE CONSUMIDOR]]="MEDIO",IF(Tabla1[[#This Row],[AGOSTO]]&gt;22.5,Tabla1[[#This Row],[AGOSTO]]/22.5-1,0),IF(Tabla1[[#This Row],[AGOSTO]]&gt;45,Tabla1[[#This Row],[AGOSTO]]/45-1,0))</f>
        <v>0</v>
      </c>
      <c r="AM1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" s="104">
        <f t="shared" si="2"/>
        <v>0</v>
      </c>
      <c r="AR15" s="9">
        <f t="shared" si="0"/>
        <v>0</v>
      </c>
      <c r="AS15" s="60">
        <f>IF(Tabla1[[#This Row],[MESES DE ADEUDO DEL AÑO EN CURSO ]]&gt;0,1,0)</f>
        <v>0</v>
      </c>
      <c r="AT15" s="60" t="s">
        <v>9</v>
      </c>
      <c r="AU15" s="60">
        <f t="shared" si="1"/>
        <v>9</v>
      </c>
      <c r="AV15" s="42">
        <v>10</v>
      </c>
      <c r="AW15" s="43"/>
    </row>
    <row r="16" spans="1:49" ht="21.75" thickBot="1" x14ac:dyDescent="0.35">
      <c r="A16" s="109">
        <v>10</v>
      </c>
      <c r="B16" s="5" t="s">
        <v>37</v>
      </c>
      <c r="C16" s="2" t="s">
        <v>461</v>
      </c>
      <c r="D16" s="32"/>
      <c r="E16" s="35" t="s">
        <v>455</v>
      </c>
      <c r="F16" s="34">
        <v>45</v>
      </c>
      <c r="G16" s="34">
        <v>45</v>
      </c>
      <c r="H16" s="34">
        <v>45</v>
      </c>
      <c r="I16" s="34">
        <v>45</v>
      </c>
      <c r="J16" s="34">
        <v>45</v>
      </c>
      <c r="K16" s="34">
        <v>45</v>
      </c>
      <c r="L16" s="34">
        <v>45</v>
      </c>
      <c r="M16" s="34">
        <v>45</v>
      </c>
      <c r="N16" s="34">
        <v>45</v>
      </c>
      <c r="O16" s="34">
        <v>45</v>
      </c>
      <c r="P16" s="34">
        <v>45</v>
      </c>
      <c r="Q16" s="34">
        <v>45</v>
      </c>
      <c r="R16" s="24">
        <f>SUM(Tabla1[[#This Row],[ENERO ]:[DICIEMBRE]])</f>
        <v>540</v>
      </c>
      <c r="W16" s="65">
        <v>0</v>
      </c>
      <c r="X16" s="21">
        <f>COUNTIF(Tabla1[[#This Row],[ENERO ]:[DICIEMBRE]],0)-(AQ16)-IF(Tabla1[[#This Row],[BAJAS]]="BAJA",IF(Tabla1[[#This Row],[ALTAS]]="ALTA",VLOOKUP(Tabla1[[#This Row],[MES DE ALTA ]],$AT$6:$AU$17,2,FALSE),12)-VLOOKUP(Tabla1[[#This Row],[MES DE BAJA ]],$AT$6:$AU$17,2,FALSE),0)</f>
        <v>0</v>
      </c>
      <c r="Y16" s="69">
        <f>SUM(Tabla1[[#This Row],[MES ADEUDO DE AÑOS PASADOS ]:[MESES DE ADEUDO DEL AÑO EN CURSO ]])</f>
        <v>0</v>
      </c>
      <c r="Z16" s="15">
        <f>IF(Tabla1[[#This Row],[TIPO DE CONSUMIDOR]]="COMPLETO",W16*$T$2,W16*($T$2/2))</f>
        <v>0</v>
      </c>
      <c r="AA16" s="15">
        <f>IF(Tabla1[[#This Row],[TIPO DE CONSUMIDOR]]="COMPLETO",Tabla1[[#This Row],[MESES DE ADEUDO DEL AÑO EN CURSO ]]*$T$2,Tabla1[[#This Row],[MESES DE ADEUDO DEL AÑO EN CURSO ]]*($T$2/2))</f>
        <v>0</v>
      </c>
      <c r="AB16" s="70">
        <f>SUM(Tabla1[[#This Row],[DEUDA DE LOS MESES PASADOS EN $$]:[DEUDA DEL AÑO 2013 $$ ]])</f>
        <v>0</v>
      </c>
      <c r="AE16" s="103">
        <f>IF(Tabla1[[#This Row],[TIPO DE CONSUMIDOR]]="MEDIO",IF(Tabla1[[#This Row],[ENERO ]]&gt;22.5,Tabla1[[#This Row],[ENERO ]]/22.5-1,0),IF(Tabla1[[#This Row],[ENERO ]]&gt;45,Tabla1[[#This Row],[ENERO ]]/45-1,0))</f>
        <v>0</v>
      </c>
      <c r="AF1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" s="103">
        <f>IF(Tabla1[[#This Row],[TIPO DE CONSUMIDOR]]="MEDIO",IF(Tabla1[[#This Row],[MARZO]]&gt;22.5,Tabla1[[#This Row],[MARZO]]/22.5-1,0),IF(Tabla1[[#This Row],[MARZO]]&gt;45,Tabla1[[#This Row],[MARZO]]/45-1,0))</f>
        <v>0</v>
      </c>
      <c r="AH16" s="103">
        <f>IF(Tabla1[[#This Row],[TIPO DE CONSUMIDOR]]="MEDIO",IF(Tabla1[[#This Row],[ABRIL]]&gt;22.5,Tabla1[[#This Row],[ABRIL]]/22.5-1,0),IF(Tabla1[[#This Row],[ABRIL]]&gt;45,Tabla1[[#This Row],[ABRIL]]/45-1,0))</f>
        <v>0</v>
      </c>
      <c r="AI16" s="103">
        <f>IF(Tabla1[[#This Row],[TIPO DE CONSUMIDOR]]="MEDIO",IF(Tabla1[[#This Row],[MAYO ]]&gt;22.5,Tabla1[[#This Row],[MAYO ]]/22.5-1,0),IF(Tabla1[[#This Row],[MAYO ]]&gt;45,Tabla1[[#This Row],[MAYO ]]/45-1,0))</f>
        <v>0</v>
      </c>
      <c r="AJ16" s="103">
        <f>IF(Tabla1[[#This Row],[TIPO DE CONSUMIDOR]]="MEDIO",IF(Tabla1[[#This Row],[JUNIO ]]&gt;22.5,Tabla1[[#This Row],[JUNIO ]]/22.5-1,0),IF(Tabla1[[#This Row],[JUNIO ]]&gt;45,Tabla1[[#This Row],[JUNIO ]]/45-1,0))</f>
        <v>0</v>
      </c>
      <c r="AK16" s="103">
        <f>IF(Tabla1[[#This Row],[TIPO DE CONSUMIDOR]]="MEDIO",IF(Tabla1[[#This Row],[JULIO ]]&gt;22.5,Tabla1[[#This Row],[JULIO ]]/22.5-1,0),IF(Tabla1[[#This Row],[JULIO ]]&gt;45,Tabla1[[#This Row],[JULIO ]]/45-1,0))</f>
        <v>0</v>
      </c>
      <c r="AL16" s="103">
        <f>IF(Tabla1[[#This Row],[TIPO DE CONSUMIDOR]]="MEDIO",IF(Tabla1[[#This Row],[AGOSTO]]&gt;22.5,Tabla1[[#This Row],[AGOSTO]]/22.5-1,0),IF(Tabla1[[#This Row],[AGOSTO]]&gt;45,Tabla1[[#This Row],[AGOSTO]]/45-1,0))</f>
        <v>0</v>
      </c>
      <c r="AM1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" s="104">
        <f t="shared" si="2"/>
        <v>0</v>
      </c>
      <c r="AR16" s="9">
        <f t="shared" si="0"/>
        <v>0</v>
      </c>
      <c r="AS16" s="60">
        <f>IF(Tabla1[[#This Row],[MESES DE ADEUDO DEL AÑO EN CURSO ]]&gt;0,1,0)</f>
        <v>0</v>
      </c>
      <c r="AT16" s="60" t="s">
        <v>10</v>
      </c>
      <c r="AU16" s="60">
        <f t="shared" si="1"/>
        <v>10</v>
      </c>
      <c r="AV16" s="42">
        <v>11</v>
      </c>
      <c r="AW16" s="43"/>
    </row>
    <row r="17" spans="1:49" ht="21.75" thickBot="1" x14ac:dyDescent="0.35">
      <c r="A17" s="109">
        <v>11</v>
      </c>
      <c r="B17" s="5" t="s">
        <v>100</v>
      </c>
      <c r="C17" s="2" t="s">
        <v>461</v>
      </c>
      <c r="D17" s="46"/>
      <c r="E17" s="35" t="s">
        <v>455</v>
      </c>
      <c r="F17" s="34">
        <v>45</v>
      </c>
      <c r="G17" s="34">
        <v>45</v>
      </c>
      <c r="H17" s="34">
        <v>45</v>
      </c>
      <c r="I17" s="34">
        <v>45</v>
      </c>
      <c r="J17" s="34">
        <v>45</v>
      </c>
      <c r="K17" s="34">
        <v>45</v>
      </c>
      <c r="L17" s="34">
        <v>45</v>
      </c>
      <c r="M17" s="34">
        <v>45</v>
      </c>
      <c r="N17" s="34">
        <v>45</v>
      </c>
      <c r="O17" s="34">
        <v>45</v>
      </c>
      <c r="P17" s="34">
        <v>45</v>
      </c>
      <c r="Q17" s="34">
        <v>45</v>
      </c>
      <c r="R17" s="24">
        <f>SUM(Tabla1[[#This Row],[ENERO ]:[DICIEMBRE]])</f>
        <v>540</v>
      </c>
      <c r="W17" s="65">
        <v>0</v>
      </c>
      <c r="X17" s="21">
        <f>COUNTIF(Tabla1[[#This Row],[ENERO ]:[DICIEMBRE]],0)-(AQ17)-IF(Tabla1[[#This Row],[BAJAS]]="BAJA",IF(Tabla1[[#This Row],[ALTAS]]="ALTA",VLOOKUP(Tabla1[[#This Row],[MES DE ALTA ]],$AT$6:$AU$17,2,FALSE),12)-VLOOKUP(Tabla1[[#This Row],[MES DE BAJA ]],$AT$6:$AU$17,2,FALSE),0)</f>
        <v>0</v>
      </c>
      <c r="Y17" s="69">
        <f>SUM(Tabla1[[#This Row],[MES ADEUDO DE AÑOS PASADOS ]:[MESES DE ADEUDO DEL AÑO EN CURSO ]])</f>
        <v>0</v>
      </c>
      <c r="Z17" s="15">
        <f>IF(Tabla1[[#This Row],[TIPO DE CONSUMIDOR]]="COMPLETO",W17*$T$2,W17*($T$2/2))</f>
        <v>0</v>
      </c>
      <c r="AA17" s="15">
        <f>IF(Tabla1[[#This Row],[TIPO DE CONSUMIDOR]]="COMPLETO",Tabla1[[#This Row],[MESES DE ADEUDO DEL AÑO EN CURSO ]]*$T$2,Tabla1[[#This Row],[MESES DE ADEUDO DEL AÑO EN CURSO ]]*($T$2/2))</f>
        <v>0</v>
      </c>
      <c r="AB17" s="70">
        <f>SUM(Tabla1[[#This Row],[DEUDA DE LOS MESES PASADOS EN $$]:[DEUDA DEL AÑO 2013 $$ ]])</f>
        <v>0</v>
      </c>
      <c r="AE17" s="103">
        <f>IF(Tabla1[[#This Row],[TIPO DE CONSUMIDOR]]="MEDIO",IF(Tabla1[[#This Row],[ENERO ]]&gt;22.5,Tabla1[[#This Row],[ENERO ]]/22.5-1,0),IF(Tabla1[[#This Row],[ENERO ]]&gt;45,Tabla1[[#This Row],[ENERO ]]/45-1,0))</f>
        <v>0</v>
      </c>
      <c r="AF1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" s="103">
        <f>IF(Tabla1[[#This Row],[TIPO DE CONSUMIDOR]]="MEDIO",IF(Tabla1[[#This Row],[MARZO]]&gt;22.5,Tabla1[[#This Row],[MARZO]]/22.5-1,0),IF(Tabla1[[#This Row],[MARZO]]&gt;45,Tabla1[[#This Row],[MARZO]]/45-1,0))</f>
        <v>0</v>
      </c>
      <c r="AH17" s="103">
        <f>IF(Tabla1[[#This Row],[TIPO DE CONSUMIDOR]]="MEDIO",IF(Tabla1[[#This Row],[ABRIL]]&gt;22.5,Tabla1[[#This Row],[ABRIL]]/22.5-1,0),IF(Tabla1[[#This Row],[ABRIL]]&gt;45,Tabla1[[#This Row],[ABRIL]]/45-1,0))</f>
        <v>0</v>
      </c>
      <c r="AI17" s="103">
        <f>IF(Tabla1[[#This Row],[TIPO DE CONSUMIDOR]]="MEDIO",IF(Tabla1[[#This Row],[MAYO ]]&gt;22.5,Tabla1[[#This Row],[MAYO ]]/22.5-1,0),IF(Tabla1[[#This Row],[MAYO ]]&gt;45,Tabla1[[#This Row],[MAYO ]]/45-1,0))</f>
        <v>0</v>
      </c>
      <c r="AJ17" s="103">
        <f>IF(Tabla1[[#This Row],[TIPO DE CONSUMIDOR]]="MEDIO",IF(Tabla1[[#This Row],[JUNIO ]]&gt;22.5,Tabla1[[#This Row],[JUNIO ]]/22.5-1,0),IF(Tabla1[[#This Row],[JUNIO ]]&gt;45,Tabla1[[#This Row],[JUNIO ]]/45-1,0))</f>
        <v>0</v>
      </c>
      <c r="AK17" s="103">
        <f>IF(Tabla1[[#This Row],[TIPO DE CONSUMIDOR]]="MEDIO",IF(Tabla1[[#This Row],[JULIO ]]&gt;22.5,Tabla1[[#This Row],[JULIO ]]/22.5-1,0),IF(Tabla1[[#This Row],[JULIO ]]&gt;45,Tabla1[[#This Row],[JULIO ]]/45-1,0))</f>
        <v>0</v>
      </c>
      <c r="AL17" s="103">
        <f>IF(Tabla1[[#This Row],[TIPO DE CONSUMIDOR]]="MEDIO",IF(Tabla1[[#This Row],[AGOSTO]]&gt;22.5,Tabla1[[#This Row],[AGOSTO]]/22.5-1,0),IF(Tabla1[[#This Row],[AGOSTO]]&gt;45,Tabla1[[#This Row],[AGOSTO]]/45-1,0))</f>
        <v>0</v>
      </c>
      <c r="AM1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" s="104">
        <f t="shared" si="2"/>
        <v>0</v>
      </c>
      <c r="AR17" s="9">
        <f t="shared" si="0"/>
        <v>0</v>
      </c>
      <c r="AS17" s="60">
        <f>IF(Tabla1[[#This Row],[MESES DE ADEUDO DEL AÑO EN CURSO ]]&gt;0,1,0)</f>
        <v>0</v>
      </c>
      <c r="AT17" s="60" t="s">
        <v>11</v>
      </c>
      <c r="AU17" s="60">
        <f t="shared" si="1"/>
        <v>11</v>
      </c>
      <c r="AV17" s="42">
        <v>12</v>
      </c>
      <c r="AW17" s="43"/>
    </row>
    <row r="18" spans="1:49" ht="21.75" thickBot="1" x14ac:dyDescent="0.35">
      <c r="A18" s="109">
        <v>12</v>
      </c>
      <c r="B18" s="5" t="s">
        <v>469</v>
      </c>
      <c r="C18" s="2" t="s">
        <v>461</v>
      </c>
      <c r="D18" s="32"/>
      <c r="E18" s="35" t="s">
        <v>455</v>
      </c>
      <c r="F18" s="34">
        <v>45</v>
      </c>
      <c r="G18" s="34">
        <v>45</v>
      </c>
      <c r="H18" s="34">
        <v>45</v>
      </c>
      <c r="I18" s="34">
        <v>45</v>
      </c>
      <c r="J18" s="34">
        <v>45</v>
      </c>
      <c r="K18" s="34">
        <v>45</v>
      </c>
      <c r="L18" s="34">
        <v>45</v>
      </c>
      <c r="M18" s="34">
        <v>45</v>
      </c>
      <c r="N18" s="34">
        <v>45</v>
      </c>
      <c r="O18" s="34">
        <v>45</v>
      </c>
      <c r="P18" s="34">
        <v>45</v>
      </c>
      <c r="Q18" s="34">
        <v>45</v>
      </c>
      <c r="R18" s="24">
        <f>SUM(Tabla1[[#This Row],[ENERO ]:[DICIEMBRE]])</f>
        <v>540</v>
      </c>
      <c r="W18" s="65">
        <v>0</v>
      </c>
      <c r="X18" s="21">
        <f>COUNTIF(Tabla1[[#This Row],[ENERO ]:[DICIEMBRE]],0)-(AQ18)-IF(Tabla1[[#This Row],[BAJAS]]="BAJA",IF(Tabla1[[#This Row],[ALTAS]]="ALTA",VLOOKUP(Tabla1[[#This Row],[MES DE ALTA ]],$AT$6:$AU$17,2,FALSE),12)-VLOOKUP(Tabla1[[#This Row],[MES DE BAJA ]],$AT$6:$AU$17,2,FALSE),0)</f>
        <v>0</v>
      </c>
      <c r="Y18" s="69">
        <f>SUM(Tabla1[[#This Row],[MES ADEUDO DE AÑOS PASADOS ]:[MESES DE ADEUDO DEL AÑO EN CURSO ]])</f>
        <v>0</v>
      </c>
      <c r="Z18" s="15">
        <f>IF(Tabla1[[#This Row],[TIPO DE CONSUMIDOR]]="COMPLETO",W18*$T$2,W18*($T$2/2))</f>
        <v>0</v>
      </c>
      <c r="AA18" s="15">
        <f>IF(Tabla1[[#This Row],[TIPO DE CONSUMIDOR]]="COMPLETO",Tabla1[[#This Row],[MESES DE ADEUDO DEL AÑO EN CURSO ]]*$T$2,Tabla1[[#This Row],[MESES DE ADEUDO DEL AÑO EN CURSO ]]*($T$2/2))</f>
        <v>0</v>
      </c>
      <c r="AB18" s="70">
        <f>SUM(Tabla1[[#This Row],[DEUDA DE LOS MESES PASADOS EN $$]:[DEUDA DEL AÑO 2013 $$ ]])</f>
        <v>0</v>
      </c>
      <c r="AE18" s="103">
        <f>IF(Tabla1[[#This Row],[TIPO DE CONSUMIDOR]]="MEDIO",IF(Tabla1[[#This Row],[ENERO ]]&gt;22.5,Tabla1[[#This Row],[ENERO ]]/22.5-1,0),IF(Tabla1[[#This Row],[ENERO ]]&gt;45,Tabla1[[#This Row],[ENERO ]]/45-1,0))</f>
        <v>0</v>
      </c>
      <c r="AF1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" s="103">
        <f>IF(Tabla1[[#This Row],[TIPO DE CONSUMIDOR]]="MEDIO",IF(Tabla1[[#This Row],[MARZO]]&gt;22.5,Tabla1[[#This Row],[MARZO]]/22.5-1,0),IF(Tabla1[[#This Row],[MARZO]]&gt;45,Tabla1[[#This Row],[MARZO]]/45-1,0))</f>
        <v>0</v>
      </c>
      <c r="AH18" s="103">
        <f>IF(Tabla1[[#This Row],[TIPO DE CONSUMIDOR]]="MEDIO",IF(Tabla1[[#This Row],[ABRIL]]&gt;22.5,Tabla1[[#This Row],[ABRIL]]/22.5-1,0),IF(Tabla1[[#This Row],[ABRIL]]&gt;45,Tabla1[[#This Row],[ABRIL]]/45-1,0))</f>
        <v>0</v>
      </c>
      <c r="AI18" s="103">
        <f>IF(Tabla1[[#This Row],[TIPO DE CONSUMIDOR]]="MEDIO",IF(Tabla1[[#This Row],[MAYO ]]&gt;22.5,Tabla1[[#This Row],[MAYO ]]/22.5-1,0),IF(Tabla1[[#This Row],[MAYO ]]&gt;45,Tabla1[[#This Row],[MAYO ]]/45-1,0))</f>
        <v>0</v>
      </c>
      <c r="AJ18" s="103">
        <f>IF(Tabla1[[#This Row],[TIPO DE CONSUMIDOR]]="MEDIO",IF(Tabla1[[#This Row],[JUNIO ]]&gt;22.5,Tabla1[[#This Row],[JUNIO ]]/22.5-1,0),IF(Tabla1[[#This Row],[JUNIO ]]&gt;45,Tabla1[[#This Row],[JUNIO ]]/45-1,0))</f>
        <v>0</v>
      </c>
      <c r="AK18" s="103">
        <f>IF(Tabla1[[#This Row],[TIPO DE CONSUMIDOR]]="MEDIO",IF(Tabla1[[#This Row],[JULIO ]]&gt;22.5,Tabla1[[#This Row],[JULIO ]]/22.5-1,0),IF(Tabla1[[#This Row],[JULIO ]]&gt;45,Tabla1[[#This Row],[JULIO ]]/45-1,0))</f>
        <v>0</v>
      </c>
      <c r="AL18" s="103">
        <f>IF(Tabla1[[#This Row],[TIPO DE CONSUMIDOR]]="MEDIO",IF(Tabla1[[#This Row],[AGOSTO]]&gt;22.5,Tabla1[[#This Row],[AGOSTO]]/22.5-1,0),IF(Tabla1[[#This Row],[AGOSTO]]&gt;45,Tabla1[[#This Row],[AGOSTO]]/45-1,0))</f>
        <v>0</v>
      </c>
      <c r="AM1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" s="104">
        <f t="shared" si="2"/>
        <v>0</v>
      </c>
      <c r="AR18" s="9">
        <f t="shared" si="0"/>
        <v>0</v>
      </c>
      <c r="AS18" s="60">
        <f>IF(Tabla1[[#This Row],[MESES DE ADEUDO DEL AÑO EN CURSO ]]&gt;0,1,0)</f>
        <v>0</v>
      </c>
      <c r="AT18" s="60"/>
      <c r="AU18" s="60"/>
      <c r="AV18" s="42"/>
      <c r="AW18" s="43"/>
    </row>
    <row r="19" spans="1:49" ht="21.75" thickBot="1" x14ac:dyDescent="0.35">
      <c r="A19" s="109">
        <v>13</v>
      </c>
      <c r="B19" s="5" t="s">
        <v>261</v>
      </c>
      <c r="C19" s="2" t="s">
        <v>461</v>
      </c>
      <c r="D19" s="32"/>
      <c r="E19" s="36" t="s">
        <v>455</v>
      </c>
      <c r="F19" s="34">
        <v>45</v>
      </c>
      <c r="G19" s="34">
        <v>45</v>
      </c>
      <c r="H19" s="34">
        <v>45</v>
      </c>
      <c r="I19" s="34">
        <v>45</v>
      </c>
      <c r="J19" s="34">
        <v>45</v>
      </c>
      <c r="K19" s="34">
        <v>45</v>
      </c>
      <c r="L19" s="34">
        <v>45</v>
      </c>
      <c r="M19" s="34">
        <v>45</v>
      </c>
      <c r="N19" s="34">
        <v>45</v>
      </c>
      <c r="O19" s="34">
        <v>45</v>
      </c>
      <c r="P19" s="34">
        <v>45</v>
      </c>
      <c r="Q19" s="34">
        <v>45</v>
      </c>
      <c r="R19" s="24">
        <f>SUM(Tabla1[[#This Row],[ENERO ]:[DICIEMBRE]])</f>
        <v>540</v>
      </c>
      <c r="W19" s="65">
        <v>0</v>
      </c>
      <c r="X19" s="21">
        <f>COUNTIF(Tabla1[[#This Row],[ENERO ]:[DICIEMBRE]],0)-(AQ19)-IF(Tabla1[[#This Row],[BAJAS]]="BAJA",IF(Tabla1[[#This Row],[ALTAS]]="ALTA",VLOOKUP(Tabla1[[#This Row],[MES DE ALTA ]],$AT$6:$AU$17,2,FALSE),12)-VLOOKUP(Tabla1[[#This Row],[MES DE BAJA ]],$AT$6:$AU$17,2,FALSE),0)</f>
        <v>0</v>
      </c>
      <c r="Y19" s="69">
        <f>SUM(Tabla1[[#This Row],[MES ADEUDO DE AÑOS PASADOS ]:[MESES DE ADEUDO DEL AÑO EN CURSO ]])</f>
        <v>0</v>
      </c>
      <c r="Z19" s="15">
        <f>IF(Tabla1[[#This Row],[TIPO DE CONSUMIDOR]]="COMPLETO",W19*$T$2,W19*($T$2/2))</f>
        <v>0</v>
      </c>
      <c r="AA19" s="15">
        <f>IF(Tabla1[[#This Row],[TIPO DE CONSUMIDOR]]="COMPLETO",Tabla1[[#This Row],[MESES DE ADEUDO DEL AÑO EN CURSO ]]*$T$2,Tabla1[[#This Row],[MESES DE ADEUDO DEL AÑO EN CURSO ]]*($T$2/2))</f>
        <v>0</v>
      </c>
      <c r="AB19" s="70">
        <f>SUM(Tabla1[[#This Row],[DEUDA DE LOS MESES PASADOS EN $$]:[DEUDA DEL AÑO 2013 $$ ]])</f>
        <v>0</v>
      </c>
      <c r="AE19" s="103">
        <f>IF(Tabla1[[#This Row],[TIPO DE CONSUMIDOR]]="MEDIO",IF(Tabla1[[#This Row],[ENERO ]]&gt;22.5,Tabla1[[#This Row],[ENERO ]]/22.5-1,0),IF(Tabla1[[#This Row],[ENERO ]]&gt;45,Tabla1[[#This Row],[ENERO ]]/45-1,0))</f>
        <v>0</v>
      </c>
      <c r="AF1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" s="103">
        <f>IF(Tabla1[[#This Row],[TIPO DE CONSUMIDOR]]="MEDIO",IF(Tabla1[[#This Row],[MARZO]]&gt;22.5,Tabla1[[#This Row],[MARZO]]/22.5-1,0),IF(Tabla1[[#This Row],[MARZO]]&gt;45,Tabla1[[#This Row],[MARZO]]/45-1,0))</f>
        <v>0</v>
      </c>
      <c r="AH19" s="103">
        <f>IF(Tabla1[[#This Row],[TIPO DE CONSUMIDOR]]="MEDIO",IF(Tabla1[[#This Row],[ABRIL]]&gt;22.5,Tabla1[[#This Row],[ABRIL]]/22.5-1,0),IF(Tabla1[[#This Row],[ABRIL]]&gt;45,Tabla1[[#This Row],[ABRIL]]/45-1,0))</f>
        <v>0</v>
      </c>
      <c r="AI19" s="103">
        <f>IF(Tabla1[[#This Row],[TIPO DE CONSUMIDOR]]="MEDIO",IF(Tabla1[[#This Row],[MAYO ]]&gt;22.5,Tabla1[[#This Row],[MAYO ]]/22.5-1,0),IF(Tabla1[[#This Row],[MAYO ]]&gt;45,Tabla1[[#This Row],[MAYO ]]/45-1,0))</f>
        <v>0</v>
      </c>
      <c r="AJ19" s="103">
        <f>IF(Tabla1[[#This Row],[TIPO DE CONSUMIDOR]]="MEDIO",IF(Tabla1[[#This Row],[JUNIO ]]&gt;22.5,Tabla1[[#This Row],[JUNIO ]]/22.5-1,0),IF(Tabla1[[#This Row],[JUNIO ]]&gt;45,Tabla1[[#This Row],[JUNIO ]]/45-1,0))</f>
        <v>0</v>
      </c>
      <c r="AK19" s="103">
        <f>IF(Tabla1[[#This Row],[TIPO DE CONSUMIDOR]]="MEDIO",IF(Tabla1[[#This Row],[JULIO ]]&gt;22.5,Tabla1[[#This Row],[JULIO ]]/22.5-1,0),IF(Tabla1[[#This Row],[JULIO ]]&gt;45,Tabla1[[#This Row],[JULIO ]]/45-1,0))</f>
        <v>0</v>
      </c>
      <c r="AL19" s="103">
        <f>IF(Tabla1[[#This Row],[TIPO DE CONSUMIDOR]]="MEDIO",IF(Tabla1[[#This Row],[AGOSTO]]&gt;22.5,Tabla1[[#This Row],[AGOSTO]]/22.5-1,0),IF(Tabla1[[#This Row],[AGOSTO]]&gt;45,Tabla1[[#This Row],[AGOSTO]]/45-1,0))</f>
        <v>0</v>
      </c>
      <c r="AM1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" s="104">
        <f t="shared" si="2"/>
        <v>0</v>
      </c>
      <c r="AR19" s="9">
        <f t="shared" si="0"/>
        <v>0</v>
      </c>
      <c r="AS19" s="60">
        <f>IF(Tabla1[[#This Row],[MESES DE ADEUDO DEL AÑO EN CURSO ]]&gt;0,1,0)</f>
        <v>0</v>
      </c>
      <c r="AT19" s="60"/>
      <c r="AU19" s="60"/>
      <c r="AV19" s="42"/>
      <c r="AW19" s="43"/>
    </row>
    <row r="20" spans="1:49" ht="21.75" thickBot="1" x14ac:dyDescent="0.35">
      <c r="A20" s="109">
        <v>14</v>
      </c>
      <c r="B20" s="5" t="s">
        <v>233</v>
      </c>
      <c r="C20" s="2" t="s">
        <v>461</v>
      </c>
      <c r="D20" s="46"/>
      <c r="E20" s="36" t="s">
        <v>455</v>
      </c>
      <c r="F20" s="34">
        <v>45</v>
      </c>
      <c r="G20" s="34">
        <v>45</v>
      </c>
      <c r="H20" s="34">
        <v>45</v>
      </c>
      <c r="I20" s="34">
        <v>45</v>
      </c>
      <c r="J20" s="34">
        <v>45</v>
      </c>
      <c r="K20" s="34">
        <v>45</v>
      </c>
      <c r="L20" s="34">
        <v>45</v>
      </c>
      <c r="M20" s="34">
        <v>45</v>
      </c>
      <c r="N20" s="34">
        <v>45</v>
      </c>
      <c r="O20" s="34">
        <v>45</v>
      </c>
      <c r="P20" s="34">
        <v>45</v>
      </c>
      <c r="Q20" s="34">
        <v>45</v>
      </c>
      <c r="R20" s="24">
        <f>SUM(Tabla1[[#This Row],[ENERO ]:[DICIEMBRE]])</f>
        <v>540</v>
      </c>
      <c r="W20" s="65">
        <v>0</v>
      </c>
      <c r="X20" s="21">
        <f>COUNTIF(Tabla1[[#This Row],[ENERO ]:[DICIEMBRE]],0)-(AQ20)-IF(Tabla1[[#This Row],[BAJAS]]="BAJA",IF(Tabla1[[#This Row],[ALTAS]]="ALTA",VLOOKUP(Tabla1[[#This Row],[MES DE ALTA ]],$AT$6:$AU$17,2,FALSE),12)-VLOOKUP(Tabla1[[#This Row],[MES DE BAJA ]],$AT$6:$AU$17,2,FALSE),0)</f>
        <v>0</v>
      </c>
      <c r="Y20" s="69">
        <f>SUM(Tabla1[[#This Row],[MES ADEUDO DE AÑOS PASADOS ]:[MESES DE ADEUDO DEL AÑO EN CURSO ]])</f>
        <v>0</v>
      </c>
      <c r="Z20" s="15">
        <f>IF(Tabla1[[#This Row],[TIPO DE CONSUMIDOR]]="COMPLETO",W20*$T$2,W20*($T$2/2))</f>
        <v>0</v>
      </c>
      <c r="AA20" s="15">
        <f>IF(Tabla1[[#This Row],[TIPO DE CONSUMIDOR]]="COMPLETO",Tabla1[[#This Row],[MESES DE ADEUDO DEL AÑO EN CURSO ]]*$T$2,Tabla1[[#This Row],[MESES DE ADEUDO DEL AÑO EN CURSO ]]*($T$2/2))</f>
        <v>0</v>
      </c>
      <c r="AB20" s="70">
        <f>SUM(Tabla1[[#This Row],[DEUDA DE LOS MESES PASADOS EN $$]:[DEUDA DEL AÑO 2013 $$ ]])</f>
        <v>0</v>
      </c>
      <c r="AE20" s="103">
        <f>IF(Tabla1[[#This Row],[TIPO DE CONSUMIDOR]]="MEDIO",IF(Tabla1[[#This Row],[ENERO ]]&gt;22.5,Tabla1[[#This Row],[ENERO ]]/22.5-1,0),IF(Tabla1[[#This Row],[ENERO ]]&gt;45,Tabla1[[#This Row],[ENERO ]]/45-1,0))</f>
        <v>0</v>
      </c>
      <c r="AF2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" s="103">
        <f>IF(Tabla1[[#This Row],[TIPO DE CONSUMIDOR]]="MEDIO",IF(Tabla1[[#This Row],[MARZO]]&gt;22.5,Tabla1[[#This Row],[MARZO]]/22.5-1,0),IF(Tabla1[[#This Row],[MARZO]]&gt;45,Tabla1[[#This Row],[MARZO]]/45-1,0))</f>
        <v>0</v>
      </c>
      <c r="AH20" s="103">
        <f>IF(Tabla1[[#This Row],[TIPO DE CONSUMIDOR]]="MEDIO",IF(Tabla1[[#This Row],[ABRIL]]&gt;22.5,Tabla1[[#This Row],[ABRIL]]/22.5-1,0),IF(Tabla1[[#This Row],[ABRIL]]&gt;45,Tabla1[[#This Row],[ABRIL]]/45-1,0))</f>
        <v>0</v>
      </c>
      <c r="AI20" s="103">
        <f>IF(Tabla1[[#This Row],[TIPO DE CONSUMIDOR]]="MEDIO",IF(Tabla1[[#This Row],[MAYO ]]&gt;22.5,Tabla1[[#This Row],[MAYO ]]/22.5-1,0),IF(Tabla1[[#This Row],[MAYO ]]&gt;45,Tabla1[[#This Row],[MAYO ]]/45-1,0))</f>
        <v>0</v>
      </c>
      <c r="AJ20" s="103">
        <f>IF(Tabla1[[#This Row],[TIPO DE CONSUMIDOR]]="MEDIO",IF(Tabla1[[#This Row],[JUNIO ]]&gt;22.5,Tabla1[[#This Row],[JUNIO ]]/22.5-1,0),IF(Tabla1[[#This Row],[JUNIO ]]&gt;45,Tabla1[[#This Row],[JUNIO ]]/45-1,0))</f>
        <v>0</v>
      </c>
      <c r="AK20" s="103">
        <f>IF(Tabla1[[#This Row],[TIPO DE CONSUMIDOR]]="MEDIO",IF(Tabla1[[#This Row],[JULIO ]]&gt;22.5,Tabla1[[#This Row],[JULIO ]]/22.5-1,0),IF(Tabla1[[#This Row],[JULIO ]]&gt;45,Tabla1[[#This Row],[JULIO ]]/45-1,0))</f>
        <v>0</v>
      </c>
      <c r="AL20" s="103">
        <f>IF(Tabla1[[#This Row],[TIPO DE CONSUMIDOR]]="MEDIO",IF(Tabla1[[#This Row],[AGOSTO]]&gt;22.5,Tabla1[[#This Row],[AGOSTO]]/22.5-1,0),IF(Tabla1[[#This Row],[AGOSTO]]&gt;45,Tabla1[[#This Row],[AGOSTO]]/45-1,0))</f>
        <v>0</v>
      </c>
      <c r="AM2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" s="104">
        <f t="shared" si="2"/>
        <v>0</v>
      </c>
      <c r="AR20" s="9">
        <f t="shared" si="0"/>
        <v>0</v>
      </c>
      <c r="AS20" s="60">
        <f>IF(Tabla1[[#This Row],[MESES DE ADEUDO DEL AÑO EN CURSO ]]&gt;0,1,0)</f>
        <v>0</v>
      </c>
      <c r="AT20" s="60"/>
      <c r="AU20" s="60"/>
      <c r="AV20" s="42"/>
      <c r="AW20" s="43"/>
    </row>
    <row r="21" spans="1:49" ht="21.75" thickBot="1" x14ac:dyDescent="0.35">
      <c r="A21" s="109">
        <v>15</v>
      </c>
      <c r="B21" s="5" t="s">
        <v>596</v>
      </c>
      <c r="C21" s="2" t="s">
        <v>461</v>
      </c>
      <c r="D21" s="46"/>
      <c r="E21" s="36" t="s">
        <v>455</v>
      </c>
      <c r="F21" s="34">
        <v>45</v>
      </c>
      <c r="G21" s="34">
        <v>45</v>
      </c>
      <c r="H21" s="34">
        <v>45</v>
      </c>
      <c r="I21" s="34">
        <v>45</v>
      </c>
      <c r="J21" s="34">
        <v>45</v>
      </c>
      <c r="K21" s="34">
        <v>45</v>
      </c>
      <c r="L21" s="34">
        <v>45</v>
      </c>
      <c r="M21" s="34">
        <v>45</v>
      </c>
      <c r="N21" s="34">
        <v>45</v>
      </c>
      <c r="O21" s="34">
        <v>45</v>
      </c>
      <c r="P21" s="34">
        <v>45</v>
      </c>
      <c r="Q21" s="34">
        <v>45</v>
      </c>
      <c r="R21" s="24">
        <f>SUM(Tabla1[[#This Row],[ENERO ]:[DICIEMBRE]])</f>
        <v>540</v>
      </c>
      <c r="W21" s="65">
        <v>0</v>
      </c>
      <c r="X21" s="21">
        <f>COUNTIF(Tabla1[[#This Row],[ENERO ]:[DICIEMBRE]],0)-(AQ21)-IF(Tabla1[[#This Row],[BAJAS]]="BAJA",IF(Tabla1[[#This Row],[ALTAS]]="ALTA",VLOOKUP(Tabla1[[#This Row],[MES DE ALTA ]],$AT$6:$AU$17,2,FALSE),12)-VLOOKUP(Tabla1[[#This Row],[MES DE BAJA ]],$AT$6:$AU$17,2,FALSE),0)</f>
        <v>0</v>
      </c>
      <c r="Y21" s="69">
        <f>SUM(Tabla1[[#This Row],[MES ADEUDO DE AÑOS PASADOS ]:[MESES DE ADEUDO DEL AÑO EN CURSO ]])</f>
        <v>0</v>
      </c>
      <c r="Z21" s="15">
        <f>IF(Tabla1[[#This Row],[TIPO DE CONSUMIDOR]]="COMPLETO",W21*$T$2,W21*($T$2/2))</f>
        <v>0</v>
      </c>
      <c r="AA21" s="15">
        <f>IF(Tabla1[[#This Row],[TIPO DE CONSUMIDOR]]="COMPLETO",Tabla1[[#This Row],[MESES DE ADEUDO DEL AÑO EN CURSO ]]*$T$2,Tabla1[[#This Row],[MESES DE ADEUDO DEL AÑO EN CURSO ]]*($T$2/2))</f>
        <v>0</v>
      </c>
      <c r="AB21" s="70">
        <f>SUM(Tabla1[[#This Row],[DEUDA DE LOS MESES PASADOS EN $$]:[DEUDA DEL AÑO 2013 $$ ]])</f>
        <v>0</v>
      </c>
      <c r="AE21" s="103">
        <f>IF(Tabla1[[#This Row],[TIPO DE CONSUMIDOR]]="MEDIO",IF(Tabla1[[#This Row],[ENERO ]]&gt;22.5,Tabla1[[#This Row],[ENERO ]]/22.5-1,0),IF(Tabla1[[#This Row],[ENERO ]]&gt;45,Tabla1[[#This Row],[ENERO ]]/45-1,0))</f>
        <v>0</v>
      </c>
      <c r="AF2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" s="103">
        <f>IF(Tabla1[[#This Row],[TIPO DE CONSUMIDOR]]="MEDIO",IF(Tabla1[[#This Row],[MARZO]]&gt;22.5,Tabla1[[#This Row],[MARZO]]/22.5-1,0),IF(Tabla1[[#This Row],[MARZO]]&gt;45,Tabla1[[#This Row],[MARZO]]/45-1,0))</f>
        <v>0</v>
      </c>
      <c r="AH21" s="103">
        <f>IF(Tabla1[[#This Row],[TIPO DE CONSUMIDOR]]="MEDIO",IF(Tabla1[[#This Row],[ABRIL]]&gt;22.5,Tabla1[[#This Row],[ABRIL]]/22.5-1,0),IF(Tabla1[[#This Row],[ABRIL]]&gt;45,Tabla1[[#This Row],[ABRIL]]/45-1,0))</f>
        <v>0</v>
      </c>
      <c r="AI21" s="103">
        <f>IF(Tabla1[[#This Row],[TIPO DE CONSUMIDOR]]="MEDIO",IF(Tabla1[[#This Row],[MAYO ]]&gt;22.5,Tabla1[[#This Row],[MAYO ]]/22.5-1,0),IF(Tabla1[[#This Row],[MAYO ]]&gt;45,Tabla1[[#This Row],[MAYO ]]/45-1,0))</f>
        <v>0</v>
      </c>
      <c r="AJ21" s="103">
        <f>IF(Tabla1[[#This Row],[TIPO DE CONSUMIDOR]]="MEDIO",IF(Tabla1[[#This Row],[JUNIO ]]&gt;22.5,Tabla1[[#This Row],[JUNIO ]]/22.5-1,0),IF(Tabla1[[#This Row],[JUNIO ]]&gt;45,Tabla1[[#This Row],[JUNIO ]]/45-1,0))</f>
        <v>0</v>
      </c>
      <c r="AK21" s="103">
        <f>IF(Tabla1[[#This Row],[TIPO DE CONSUMIDOR]]="MEDIO",IF(Tabla1[[#This Row],[JULIO ]]&gt;22.5,Tabla1[[#This Row],[JULIO ]]/22.5-1,0),IF(Tabla1[[#This Row],[JULIO ]]&gt;45,Tabla1[[#This Row],[JULIO ]]/45-1,0))</f>
        <v>0</v>
      </c>
      <c r="AL21" s="103">
        <f>IF(Tabla1[[#This Row],[TIPO DE CONSUMIDOR]]="MEDIO",IF(Tabla1[[#This Row],[AGOSTO]]&gt;22.5,Tabla1[[#This Row],[AGOSTO]]/22.5-1,0),IF(Tabla1[[#This Row],[AGOSTO]]&gt;45,Tabla1[[#This Row],[AGOSTO]]/45-1,0))</f>
        <v>0</v>
      </c>
      <c r="AM2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" s="104">
        <f t="shared" si="2"/>
        <v>0</v>
      </c>
      <c r="AR21" s="9">
        <f t="shared" si="0"/>
        <v>0</v>
      </c>
      <c r="AS21" s="60">
        <f>IF(Tabla1[[#This Row],[MESES DE ADEUDO DEL AÑO EN CURSO ]]&gt;0,1,0)</f>
        <v>0</v>
      </c>
      <c r="AT21" s="60"/>
      <c r="AU21" s="60"/>
      <c r="AV21" s="42"/>
      <c r="AW21" s="43"/>
    </row>
    <row r="22" spans="1:49" ht="21.75" thickBot="1" x14ac:dyDescent="0.35">
      <c r="A22" s="109">
        <v>16</v>
      </c>
      <c r="B22" s="5" t="s">
        <v>304</v>
      </c>
      <c r="C22" s="2" t="s">
        <v>461</v>
      </c>
      <c r="D22" s="46"/>
      <c r="E22" s="36" t="s">
        <v>455</v>
      </c>
      <c r="F22" s="34">
        <v>45</v>
      </c>
      <c r="G22" s="34">
        <v>45</v>
      </c>
      <c r="H22" s="34">
        <v>45</v>
      </c>
      <c r="I22" s="34">
        <v>45</v>
      </c>
      <c r="J22" s="34">
        <v>45</v>
      </c>
      <c r="K22" s="34">
        <v>45</v>
      </c>
      <c r="L22" s="34">
        <v>45</v>
      </c>
      <c r="M22" s="34">
        <v>45</v>
      </c>
      <c r="N22" s="34">
        <v>45</v>
      </c>
      <c r="O22" s="34">
        <v>45</v>
      </c>
      <c r="P22" s="34">
        <v>45</v>
      </c>
      <c r="Q22" s="34">
        <v>45</v>
      </c>
      <c r="R22" s="24">
        <f>SUM(Tabla1[[#This Row],[ENERO ]:[DICIEMBRE]])</f>
        <v>540</v>
      </c>
      <c r="W22" s="65">
        <v>0</v>
      </c>
      <c r="X22" s="21">
        <f>COUNTIF(Tabla1[[#This Row],[ENERO ]:[DICIEMBRE]],0)-(AQ22)-IF(Tabla1[[#This Row],[BAJAS]]="BAJA",IF(Tabla1[[#This Row],[ALTAS]]="ALTA",VLOOKUP(Tabla1[[#This Row],[MES DE ALTA ]],$AT$6:$AU$17,2,FALSE),12)-VLOOKUP(Tabla1[[#This Row],[MES DE BAJA ]],$AT$6:$AU$17,2,FALSE),0)</f>
        <v>0</v>
      </c>
      <c r="Y22" s="69">
        <f>SUM(Tabla1[[#This Row],[MES ADEUDO DE AÑOS PASADOS ]:[MESES DE ADEUDO DEL AÑO EN CURSO ]])</f>
        <v>0</v>
      </c>
      <c r="Z22" s="15">
        <f>IF(Tabla1[[#This Row],[TIPO DE CONSUMIDOR]]="COMPLETO",W22*$T$2,W22*($T$2/2))</f>
        <v>0</v>
      </c>
      <c r="AA22" s="15">
        <f>IF(Tabla1[[#This Row],[TIPO DE CONSUMIDOR]]="COMPLETO",Tabla1[[#This Row],[MESES DE ADEUDO DEL AÑO EN CURSO ]]*$T$2,Tabla1[[#This Row],[MESES DE ADEUDO DEL AÑO EN CURSO ]]*($T$2/2))</f>
        <v>0</v>
      </c>
      <c r="AB22" s="70">
        <f>SUM(Tabla1[[#This Row],[DEUDA DE LOS MESES PASADOS EN $$]:[DEUDA DEL AÑO 2013 $$ ]])</f>
        <v>0</v>
      </c>
      <c r="AE22" s="103">
        <f>IF(Tabla1[[#This Row],[TIPO DE CONSUMIDOR]]="MEDIO",IF(Tabla1[[#This Row],[ENERO ]]&gt;22.5,Tabla1[[#This Row],[ENERO ]]/22.5-1,0),IF(Tabla1[[#This Row],[ENERO ]]&gt;45,Tabla1[[#This Row],[ENERO ]]/45-1,0))</f>
        <v>0</v>
      </c>
      <c r="AF2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" s="103">
        <f>IF(Tabla1[[#This Row],[TIPO DE CONSUMIDOR]]="MEDIO",IF(Tabla1[[#This Row],[MARZO]]&gt;22.5,Tabla1[[#This Row],[MARZO]]/22.5-1,0),IF(Tabla1[[#This Row],[MARZO]]&gt;45,Tabla1[[#This Row],[MARZO]]/45-1,0))</f>
        <v>0</v>
      </c>
      <c r="AH22" s="103">
        <f>IF(Tabla1[[#This Row],[TIPO DE CONSUMIDOR]]="MEDIO",IF(Tabla1[[#This Row],[ABRIL]]&gt;22.5,Tabla1[[#This Row],[ABRIL]]/22.5-1,0),IF(Tabla1[[#This Row],[ABRIL]]&gt;45,Tabla1[[#This Row],[ABRIL]]/45-1,0))</f>
        <v>0</v>
      </c>
      <c r="AI22" s="103">
        <f>IF(Tabla1[[#This Row],[TIPO DE CONSUMIDOR]]="MEDIO",IF(Tabla1[[#This Row],[MAYO ]]&gt;22.5,Tabla1[[#This Row],[MAYO ]]/22.5-1,0),IF(Tabla1[[#This Row],[MAYO ]]&gt;45,Tabla1[[#This Row],[MAYO ]]/45-1,0))</f>
        <v>0</v>
      </c>
      <c r="AJ22" s="103">
        <f>IF(Tabla1[[#This Row],[TIPO DE CONSUMIDOR]]="MEDIO",IF(Tabla1[[#This Row],[JUNIO ]]&gt;22.5,Tabla1[[#This Row],[JUNIO ]]/22.5-1,0),IF(Tabla1[[#This Row],[JUNIO ]]&gt;45,Tabla1[[#This Row],[JUNIO ]]/45-1,0))</f>
        <v>0</v>
      </c>
      <c r="AK22" s="103">
        <f>IF(Tabla1[[#This Row],[TIPO DE CONSUMIDOR]]="MEDIO",IF(Tabla1[[#This Row],[JULIO ]]&gt;22.5,Tabla1[[#This Row],[JULIO ]]/22.5-1,0),IF(Tabla1[[#This Row],[JULIO ]]&gt;45,Tabla1[[#This Row],[JULIO ]]/45-1,0))</f>
        <v>0</v>
      </c>
      <c r="AL22" s="103">
        <f>IF(Tabla1[[#This Row],[TIPO DE CONSUMIDOR]]="MEDIO",IF(Tabla1[[#This Row],[AGOSTO]]&gt;22.5,Tabla1[[#This Row],[AGOSTO]]/22.5-1,0),IF(Tabla1[[#This Row],[AGOSTO]]&gt;45,Tabla1[[#This Row],[AGOSTO]]/45-1,0))</f>
        <v>0</v>
      </c>
      <c r="AM2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" s="104">
        <f t="shared" si="2"/>
        <v>0</v>
      </c>
      <c r="AR22" s="9">
        <f t="shared" si="0"/>
        <v>0</v>
      </c>
      <c r="AS22" s="60">
        <f>IF(Tabla1[[#This Row],[MESES DE ADEUDO DEL AÑO EN CURSO ]]&gt;0,1,0)</f>
        <v>0</v>
      </c>
      <c r="AT22" s="60"/>
      <c r="AU22" s="60"/>
      <c r="AV22" s="42"/>
      <c r="AW22" s="43"/>
    </row>
    <row r="23" spans="1:49" ht="21.75" thickBot="1" x14ac:dyDescent="0.35">
      <c r="A23" s="109">
        <v>17</v>
      </c>
      <c r="B23" s="5" t="s">
        <v>325</v>
      </c>
      <c r="C23" s="2" t="s">
        <v>461</v>
      </c>
      <c r="D23" s="32"/>
      <c r="E23" s="35" t="s">
        <v>455</v>
      </c>
      <c r="F23" s="34">
        <v>45</v>
      </c>
      <c r="G23" s="34">
        <v>45</v>
      </c>
      <c r="H23" s="34">
        <v>45</v>
      </c>
      <c r="I23" s="34">
        <v>45</v>
      </c>
      <c r="J23" s="34">
        <v>45</v>
      </c>
      <c r="K23" s="34">
        <v>45</v>
      </c>
      <c r="L23" s="34">
        <v>45</v>
      </c>
      <c r="M23" s="34">
        <v>45</v>
      </c>
      <c r="N23" s="34">
        <v>45</v>
      </c>
      <c r="O23" s="34">
        <v>45</v>
      </c>
      <c r="P23" s="34">
        <v>45</v>
      </c>
      <c r="Q23" s="34">
        <v>45</v>
      </c>
      <c r="R23" s="24">
        <f>SUM(Tabla1[[#This Row],[ENERO ]:[DICIEMBRE]])</f>
        <v>540</v>
      </c>
      <c r="W23" s="65">
        <v>0</v>
      </c>
      <c r="X23" s="21">
        <f>COUNTIF(Tabla1[[#This Row],[ENERO ]:[DICIEMBRE]],0)-(AQ23)-IF(Tabla1[[#This Row],[BAJAS]]="BAJA",IF(Tabla1[[#This Row],[ALTAS]]="ALTA",VLOOKUP(Tabla1[[#This Row],[MES DE ALTA ]],$AT$6:$AU$17,2,FALSE),12)-VLOOKUP(Tabla1[[#This Row],[MES DE BAJA ]],$AT$6:$AU$17,2,FALSE),0)</f>
        <v>0</v>
      </c>
      <c r="Y23" s="69">
        <f>SUM(Tabla1[[#This Row],[MES ADEUDO DE AÑOS PASADOS ]:[MESES DE ADEUDO DEL AÑO EN CURSO ]])</f>
        <v>0</v>
      </c>
      <c r="Z23" s="15">
        <f>IF(Tabla1[[#This Row],[TIPO DE CONSUMIDOR]]="COMPLETO",W23*$T$2,W23*($T$2/2))</f>
        <v>0</v>
      </c>
      <c r="AA23" s="15">
        <f>IF(Tabla1[[#This Row],[TIPO DE CONSUMIDOR]]="COMPLETO",Tabla1[[#This Row],[MESES DE ADEUDO DEL AÑO EN CURSO ]]*$T$2,Tabla1[[#This Row],[MESES DE ADEUDO DEL AÑO EN CURSO ]]*($T$2/2))</f>
        <v>0</v>
      </c>
      <c r="AB23" s="70">
        <f>SUM(Tabla1[[#This Row],[DEUDA DE LOS MESES PASADOS EN $$]:[DEUDA DEL AÑO 2013 $$ ]])</f>
        <v>0</v>
      </c>
      <c r="AE23" s="103">
        <f>IF(Tabla1[[#This Row],[TIPO DE CONSUMIDOR]]="MEDIO",IF(Tabla1[[#This Row],[ENERO ]]&gt;22.5,Tabla1[[#This Row],[ENERO ]]/22.5-1,0),IF(Tabla1[[#This Row],[ENERO ]]&gt;45,Tabla1[[#This Row],[ENERO ]]/45-1,0))</f>
        <v>0</v>
      </c>
      <c r="AF2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" s="103">
        <f>IF(Tabla1[[#This Row],[TIPO DE CONSUMIDOR]]="MEDIO",IF(Tabla1[[#This Row],[MARZO]]&gt;22.5,Tabla1[[#This Row],[MARZO]]/22.5-1,0),IF(Tabla1[[#This Row],[MARZO]]&gt;45,Tabla1[[#This Row],[MARZO]]/45-1,0))</f>
        <v>0</v>
      </c>
      <c r="AH23" s="103">
        <f>IF(Tabla1[[#This Row],[TIPO DE CONSUMIDOR]]="MEDIO",IF(Tabla1[[#This Row],[ABRIL]]&gt;22.5,Tabla1[[#This Row],[ABRIL]]/22.5-1,0),IF(Tabla1[[#This Row],[ABRIL]]&gt;45,Tabla1[[#This Row],[ABRIL]]/45-1,0))</f>
        <v>0</v>
      </c>
      <c r="AI23" s="103">
        <f>IF(Tabla1[[#This Row],[TIPO DE CONSUMIDOR]]="MEDIO",IF(Tabla1[[#This Row],[MAYO ]]&gt;22.5,Tabla1[[#This Row],[MAYO ]]/22.5-1,0),IF(Tabla1[[#This Row],[MAYO ]]&gt;45,Tabla1[[#This Row],[MAYO ]]/45-1,0))</f>
        <v>0</v>
      </c>
      <c r="AJ23" s="103">
        <f>IF(Tabla1[[#This Row],[TIPO DE CONSUMIDOR]]="MEDIO",IF(Tabla1[[#This Row],[JUNIO ]]&gt;22.5,Tabla1[[#This Row],[JUNIO ]]/22.5-1,0),IF(Tabla1[[#This Row],[JUNIO ]]&gt;45,Tabla1[[#This Row],[JUNIO ]]/45-1,0))</f>
        <v>0</v>
      </c>
      <c r="AK23" s="103">
        <f>IF(Tabla1[[#This Row],[TIPO DE CONSUMIDOR]]="MEDIO",IF(Tabla1[[#This Row],[JULIO ]]&gt;22.5,Tabla1[[#This Row],[JULIO ]]/22.5-1,0),IF(Tabla1[[#This Row],[JULIO ]]&gt;45,Tabla1[[#This Row],[JULIO ]]/45-1,0))</f>
        <v>0</v>
      </c>
      <c r="AL23" s="103">
        <f>IF(Tabla1[[#This Row],[TIPO DE CONSUMIDOR]]="MEDIO",IF(Tabla1[[#This Row],[AGOSTO]]&gt;22.5,Tabla1[[#This Row],[AGOSTO]]/22.5-1,0),IF(Tabla1[[#This Row],[AGOSTO]]&gt;45,Tabla1[[#This Row],[AGOSTO]]/45-1,0))</f>
        <v>0</v>
      </c>
      <c r="AM2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" s="104">
        <f t="shared" si="2"/>
        <v>0</v>
      </c>
      <c r="AR23" s="9">
        <f t="shared" si="0"/>
        <v>0</v>
      </c>
      <c r="AS23" s="60">
        <f>IF(Tabla1[[#This Row],[MESES DE ADEUDO DEL AÑO EN CURSO ]]&gt;0,1,0)</f>
        <v>0</v>
      </c>
      <c r="AT23" s="60"/>
      <c r="AU23" s="60"/>
      <c r="AV23" s="42"/>
      <c r="AW23" s="43"/>
    </row>
    <row r="24" spans="1:49" ht="21.75" thickBot="1" x14ac:dyDescent="0.35">
      <c r="A24" s="109">
        <v>18</v>
      </c>
      <c r="B24" s="5" t="s">
        <v>383</v>
      </c>
      <c r="C24" s="2" t="s">
        <v>461</v>
      </c>
      <c r="D24" s="46"/>
      <c r="E24" s="36" t="s">
        <v>455</v>
      </c>
      <c r="F24" s="34">
        <v>45</v>
      </c>
      <c r="G24" s="34">
        <v>45</v>
      </c>
      <c r="H24" s="34">
        <v>45</v>
      </c>
      <c r="I24" s="34">
        <v>45</v>
      </c>
      <c r="J24" s="34">
        <v>45</v>
      </c>
      <c r="K24" s="34">
        <v>45</v>
      </c>
      <c r="L24" s="34">
        <v>45</v>
      </c>
      <c r="M24" s="34">
        <v>45</v>
      </c>
      <c r="N24" s="34">
        <v>45</v>
      </c>
      <c r="O24" s="34">
        <v>45</v>
      </c>
      <c r="P24" s="34">
        <v>45</v>
      </c>
      <c r="Q24" s="34">
        <v>45</v>
      </c>
      <c r="R24" s="24">
        <f>SUM(Tabla1[[#This Row],[ENERO ]:[DICIEMBRE]])</f>
        <v>540</v>
      </c>
      <c r="W24" s="65">
        <v>0</v>
      </c>
      <c r="X24" s="21">
        <f>COUNTIF(Tabla1[[#This Row],[ENERO ]:[DICIEMBRE]],0)-(AQ24)-IF(Tabla1[[#This Row],[BAJAS]]="BAJA",IF(Tabla1[[#This Row],[ALTAS]]="ALTA",VLOOKUP(Tabla1[[#This Row],[MES DE ALTA ]],$AT$6:$AU$17,2,FALSE),12)-VLOOKUP(Tabla1[[#This Row],[MES DE BAJA ]],$AT$6:$AU$17,2,FALSE),0)</f>
        <v>0</v>
      </c>
      <c r="Y24" s="69">
        <f>SUM(Tabla1[[#This Row],[MES ADEUDO DE AÑOS PASADOS ]:[MESES DE ADEUDO DEL AÑO EN CURSO ]])</f>
        <v>0</v>
      </c>
      <c r="Z24" s="15">
        <f>IF(Tabla1[[#This Row],[TIPO DE CONSUMIDOR]]="COMPLETO",W24*$T$2,W24*($T$2/2))</f>
        <v>0</v>
      </c>
      <c r="AA24" s="15">
        <f>IF(Tabla1[[#This Row],[TIPO DE CONSUMIDOR]]="COMPLETO",Tabla1[[#This Row],[MESES DE ADEUDO DEL AÑO EN CURSO ]]*$T$2,Tabla1[[#This Row],[MESES DE ADEUDO DEL AÑO EN CURSO ]]*($T$2/2))</f>
        <v>0</v>
      </c>
      <c r="AB24" s="70">
        <f>SUM(Tabla1[[#This Row],[DEUDA DE LOS MESES PASADOS EN $$]:[DEUDA DEL AÑO 2013 $$ ]])</f>
        <v>0</v>
      </c>
      <c r="AE24" s="103">
        <f>IF(Tabla1[[#This Row],[TIPO DE CONSUMIDOR]]="MEDIO",IF(Tabla1[[#This Row],[ENERO ]]&gt;22.5,Tabla1[[#This Row],[ENERO ]]/22.5-1,0),IF(Tabla1[[#This Row],[ENERO ]]&gt;45,Tabla1[[#This Row],[ENERO ]]/45-1,0))</f>
        <v>0</v>
      </c>
      <c r="AF2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" s="103">
        <f>IF(Tabla1[[#This Row],[TIPO DE CONSUMIDOR]]="MEDIO",IF(Tabla1[[#This Row],[MARZO]]&gt;22.5,Tabla1[[#This Row],[MARZO]]/22.5-1,0),IF(Tabla1[[#This Row],[MARZO]]&gt;45,Tabla1[[#This Row],[MARZO]]/45-1,0))</f>
        <v>0</v>
      </c>
      <c r="AH24" s="103">
        <f>IF(Tabla1[[#This Row],[TIPO DE CONSUMIDOR]]="MEDIO",IF(Tabla1[[#This Row],[ABRIL]]&gt;22.5,Tabla1[[#This Row],[ABRIL]]/22.5-1,0),IF(Tabla1[[#This Row],[ABRIL]]&gt;45,Tabla1[[#This Row],[ABRIL]]/45-1,0))</f>
        <v>0</v>
      </c>
      <c r="AI24" s="103">
        <f>IF(Tabla1[[#This Row],[TIPO DE CONSUMIDOR]]="MEDIO",IF(Tabla1[[#This Row],[MAYO ]]&gt;22.5,Tabla1[[#This Row],[MAYO ]]/22.5-1,0),IF(Tabla1[[#This Row],[MAYO ]]&gt;45,Tabla1[[#This Row],[MAYO ]]/45-1,0))</f>
        <v>0</v>
      </c>
      <c r="AJ24" s="103">
        <f>IF(Tabla1[[#This Row],[TIPO DE CONSUMIDOR]]="MEDIO",IF(Tabla1[[#This Row],[JUNIO ]]&gt;22.5,Tabla1[[#This Row],[JUNIO ]]/22.5-1,0),IF(Tabla1[[#This Row],[JUNIO ]]&gt;45,Tabla1[[#This Row],[JUNIO ]]/45-1,0))</f>
        <v>0</v>
      </c>
      <c r="AK24" s="103">
        <f>IF(Tabla1[[#This Row],[TIPO DE CONSUMIDOR]]="MEDIO",IF(Tabla1[[#This Row],[JULIO ]]&gt;22.5,Tabla1[[#This Row],[JULIO ]]/22.5-1,0),IF(Tabla1[[#This Row],[JULIO ]]&gt;45,Tabla1[[#This Row],[JULIO ]]/45-1,0))</f>
        <v>0</v>
      </c>
      <c r="AL24" s="103">
        <f>IF(Tabla1[[#This Row],[TIPO DE CONSUMIDOR]]="MEDIO",IF(Tabla1[[#This Row],[AGOSTO]]&gt;22.5,Tabla1[[#This Row],[AGOSTO]]/22.5-1,0),IF(Tabla1[[#This Row],[AGOSTO]]&gt;45,Tabla1[[#This Row],[AGOSTO]]/45-1,0))</f>
        <v>0</v>
      </c>
      <c r="AM2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" s="104">
        <f t="shared" si="2"/>
        <v>0</v>
      </c>
      <c r="AR24" s="9">
        <f t="shared" si="0"/>
        <v>0</v>
      </c>
      <c r="AS24" s="60">
        <f>IF(Tabla1[[#This Row],[MESES DE ADEUDO DEL AÑO EN CURSO ]]&gt;0,1,0)</f>
        <v>0</v>
      </c>
      <c r="AT24" s="60"/>
      <c r="AU24" s="60"/>
      <c r="AV24" s="42"/>
      <c r="AW24" s="43"/>
    </row>
    <row r="25" spans="1:49" ht="21.75" thickBot="1" x14ac:dyDescent="0.35">
      <c r="A25" s="109">
        <v>19</v>
      </c>
      <c r="B25" s="5" t="s">
        <v>403</v>
      </c>
      <c r="C25" s="2" t="s">
        <v>461</v>
      </c>
      <c r="D25" s="46"/>
      <c r="E25" s="36" t="s">
        <v>455</v>
      </c>
      <c r="F25" s="34">
        <v>45</v>
      </c>
      <c r="G25" s="34">
        <v>45</v>
      </c>
      <c r="H25" s="34">
        <v>45</v>
      </c>
      <c r="I25" s="34">
        <v>45</v>
      </c>
      <c r="J25" s="34">
        <v>45</v>
      </c>
      <c r="K25" s="34">
        <v>45</v>
      </c>
      <c r="L25" s="34">
        <v>45</v>
      </c>
      <c r="M25" s="34">
        <v>45</v>
      </c>
      <c r="N25" s="34">
        <v>45</v>
      </c>
      <c r="O25" s="34">
        <v>45</v>
      </c>
      <c r="P25" s="34">
        <v>45</v>
      </c>
      <c r="Q25" s="34">
        <v>45</v>
      </c>
      <c r="R25" s="24">
        <f>SUM(Tabla1[[#This Row],[ENERO ]:[DICIEMBRE]])</f>
        <v>540</v>
      </c>
      <c r="W25" s="65">
        <v>0</v>
      </c>
      <c r="X25" s="21">
        <f>COUNTIF(Tabla1[[#This Row],[ENERO ]:[DICIEMBRE]],0)-(AQ25)-IF(Tabla1[[#This Row],[BAJAS]]="BAJA",IF(Tabla1[[#This Row],[ALTAS]]="ALTA",VLOOKUP(Tabla1[[#This Row],[MES DE ALTA ]],$AT$6:$AU$17,2,FALSE),12)-VLOOKUP(Tabla1[[#This Row],[MES DE BAJA ]],$AT$6:$AU$17,2,FALSE),0)</f>
        <v>0</v>
      </c>
      <c r="Y25" s="69">
        <f>SUM(Tabla1[[#This Row],[MES ADEUDO DE AÑOS PASADOS ]:[MESES DE ADEUDO DEL AÑO EN CURSO ]])</f>
        <v>0</v>
      </c>
      <c r="Z25" s="15">
        <f>IF(Tabla1[[#This Row],[TIPO DE CONSUMIDOR]]="COMPLETO",W25*$T$2,W25*($T$2/2))</f>
        <v>0</v>
      </c>
      <c r="AA25" s="15">
        <f>IF(Tabla1[[#This Row],[TIPO DE CONSUMIDOR]]="COMPLETO",Tabla1[[#This Row],[MESES DE ADEUDO DEL AÑO EN CURSO ]]*$T$2,Tabla1[[#This Row],[MESES DE ADEUDO DEL AÑO EN CURSO ]]*($T$2/2))</f>
        <v>0</v>
      </c>
      <c r="AB25" s="70">
        <f>SUM(Tabla1[[#This Row],[DEUDA DE LOS MESES PASADOS EN $$]:[DEUDA DEL AÑO 2013 $$ ]])</f>
        <v>0</v>
      </c>
      <c r="AE25" s="103">
        <f>IF(Tabla1[[#This Row],[TIPO DE CONSUMIDOR]]="MEDIO",IF(Tabla1[[#This Row],[ENERO ]]&gt;22.5,Tabla1[[#This Row],[ENERO ]]/22.5-1,0),IF(Tabla1[[#This Row],[ENERO ]]&gt;45,Tabla1[[#This Row],[ENERO ]]/45-1,0))</f>
        <v>0</v>
      </c>
      <c r="AF2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" s="103">
        <f>IF(Tabla1[[#This Row],[TIPO DE CONSUMIDOR]]="MEDIO",IF(Tabla1[[#This Row],[MARZO]]&gt;22.5,Tabla1[[#This Row],[MARZO]]/22.5-1,0),IF(Tabla1[[#This Row],[MARZO]]&gt;45,Tabla1[[#This Row],[MARZO]]/45-1,0))</f>
        <v>0</v>
      </c>
      <c r="AH25" s="103">
        <f>IF(Tabla1[[#This Row],[TIPO DE CONSUMIDOR]]="MEDIO",IF(Tabla1[[#This Row],[ABRIL]]&gt;22.5,Tabla1[[#This Row],[ABRIL]]/22.5-1,0),IF(Tabla1[[#This Row],[ABRIL]]&gt;45,Tabla1[[#This Row],[ABRIL]]/45-1,0))</f>
        <v>0</v>
      </c>
      <c r="AI25" s="103">
        <f>IF(Tabla1[[#This Row],[TIPO DE CONSUMIDOR]]="MEDIO",IF(Tabla1[[#This Row],[MAYO ]]&gt;22.5,Tabla1[[#This Row],[MAYO ]]/22.5-1,0),IF(Tabla1[[#This Row],[MAYO ]]&gt;45,Tabla1[[#This Row],[MAYO ]]/45-1,0))</f>
        <v>0</v>
      </c>
      <c r="AJ25" s="103">
        <f>IF(Tabla1[[#This Row],[TIPO DE CONSUMIDOR]]="MEDIO",IF(Tabla1[[#This Row],[JUNIO ]]&gt;22.5,Tabla1[[#This Row],[JUNIO ]]/22.5-1,0),IF(Tabla1[[#This Row],[JUNIO ]]&gt;45,Tabla1[[#This Row],[JUNIO ]]/45-1,0))</f>
        <v>0</v>
      </c>
      <c r="AK25" s="103">
        <f>IF(Tabla1[[#This Row],[TIPO DE CONSUMIDOR]]="MEDIO",IF(Tabla1[[#This Row],[JULIO ]]&gt;22.5,Tabla1[[#This Row],[JULIO ]]/22.5-1,0),IF(Tabla1[[#This Row],[JULIO ]]&gt;45,Tabla1[[#This Row],[JULIO ]]/45-1,0))</f>
        <v>0</v>
      </c>
      <c r="AL25" s="103">
        <f>IF(Tabla1[[#This Row],[TIPO DE CONSUMIDOR]]="MEDIO",IF(Tabla1[[#This Row],[AGOSTO]]&gt;22.5,Tabla1[[#This Row],[AGOSTO]]/22.5-1,0),IF(Tabla1[[#This Row],[AGOSTO]]&gt;45,Tabla1[[#This Row],[AGOSTO]]/45-1,0))</f>
        <v>0</v>
      </c>
      <c r="AM2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" s="104">
        <f t="shared" si="2"/>
        <v>0</v>
      </c>
      <c r="AR25" s="9">
        <f t="shared" si="0"/>
        <v>0</v>
      </c>
      <c r="AS25" s="60">
        <f>IF(Tabla1[[#This Row],[MESES DE ADEUDO DEL AÑO EN CURSO ]]&gt;0,1,0)</f>
        <v>0</v>
      </c>
      <c r="AT25" s="60"/>
      <c r="AU25" s="60"/>
      <c r="AV25" s="42"/>
      <c r="AW25" s="43"/>
    </row>
    <row r="26" spans="1:49" ht="21.75" thickBot="1" x14ac:dyDescent="0.35">
      <c r="A26" s="109">
        <v>20</v>
      </c>
      <c r="B26" s="5" t="s">
        <v>426</v>
      </c>
      <c r="C26" s="2" t="s">
        <v>461</v>
      </c>
      <c r="D26" s="46"/>
      <c r="E26" s="36" t="s">
        <v>455</v>
      </c>
      <c r="F26" s="34">
        <v>45</v>
      </c>
      <c r="G26" s="34">
        <v>45</v>
      </c>
      <c r="H26" s="34">
        <v>45</v>
      </c>
      <c r="I26" s="34">
        <v>45</v>
      </c>
      <c r="J26" s="34">
        <v>45</v>
      </c>
      <c r="K26" s="34">
        <v>45</v>
      </c>
      <c r="L26" s="34">
        <v>45</v>
      </c>
      <c r="M26" s="34">
        <v>45</v>
      </c>
      <c r="N26" s="34">
        <v>45</v>
      </c>
      <c r="O26" s="34">
        <v>45</v>
      </c>
      <c r="P26" s="34">
        <v>45</v>
      </c>
      <c r="Q26" s="34">
        <v>45</v>
      </c>
      <c r="R26" s="24">
        <f>SUM(Tabla1[[#This Row],[ENERO ]:[DICIEMBRE]])</f>
        <v>540</v>
      </c>
      <c r="W26" s="65">
        <v>0</v>
      </c>
      <c r="X26" s="21">
        <f>COUNTIF(Tabla1[[#This Row],[ENERO ]:[DICIEMBRE]],0)-(AQ26)-IF(Tabla1[[#This Row],[BAJAS]]="BAJA",IF(Tabla1[[#This Row],[ALTAS]]="ALTA",VLOOKUP(Tabla1[[#This Row],[MES DE ALTA ]],$AT$6:$AU$17,2,FALSE),12)-VLOOKUP(Tabla1[[#This Row],[MES DE BAJA ]],$AT$6:$AU$17,2,FALSE),0)</f>
        <v>0</v>
      </c>
      <c r="Y26" s="69">
        <f>SUM(Tabla1[[#This Row],[MES ADEUDO DE AÑOS PASADOS ]:[MESES DE ADEUDO DEL AÑO EN CURSO ]])</f>
        <v>0</v>
      </c>
      <c r="Z26" s="15">
        <f>IF(Tabla1[[#This Row],[TIPO DE CONSUMIDOR]]="COMPLETO",W26*$T$2,W26*($T$2/2))</f>
        <v>0</v>
      </c>
      <c r="AA26" s="15">
        <f>IF(Tabla1[[#This Row],[TIPO DE CONSUMIDOR]]="COMPLETO",Tabla1[[#This Row],[MESES DE ADEUDO DEL AÑO EN CURSO ]]*$T$2,Tabla1[[#This Row],[MESES DE ADEUDO DEL AÑO EN CURSO ]]*($T$2/2))</f>
        <v>0</v>
      </c>
      <c r="AB26" s="70">
        <f>SUM(Tabla1[[#This Row],[DEUDA DE LOS MESES PASADOS EN $$]:[DEUDA DEL AÑO 2013 $$ ]])</f>
        <v>0</v>
      </c>
      <c r="AE26" s="103">
        <f>IF(Tabla1[[#This Row],[TIPO DE CONSUMIDOR]]="MEDIO",IF(Tabla1[[#This Row],[ENERO ]]&gt;22.5,Tabla1[[#This Row],[ENERO ]]/22.5-1,0),IF(Tabla1[[#This Row],[ENERO ]]&gt;45,Tabla1[[#This Row],[ENERO ]]/45-1,0))</f>
        <v>0</v>
      </c>
      <c r="AF2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" s="103">
        <f>IF(Tabla1[[#This Row],[TIPO DE CONSUMIDOR]]="MEDIO",IF(Tabla1[[#This Row],[MARZO]]&gt;22.5,Tabla1[[#This Row],[MARZO]]/22.5-1,0),IF(Tabla1[[#This Row],[MARZO]]&gt;45,Tabla1[[#This Row],[MARZO]]/45-1,0))</f>
        <v>0</v>
      </c>
      <c r="AH26" s="103">
        <f>IF(Tabla1[[#This Row],[TIPO DE CONSUMIDOR]]="MEDIO",IF(Tabla1[[#This Row],[ABRIL]]&gt;22.5,Tabla1[[#This Row],[ABRIL]]/22.5-1,0),IF(Tabla1[[#This Row],[ABRIL]]&gt;45,Tabla1[[#This Row],[ABRIL]]/45-1,0))</f>
        <v>0</v>
      </c>
      <c r="AI26" s="103">
        <f>IF(Tabla1[[#This Row],[TIPO DE CONSUMIDOR]]="MEDIO",IF(Tabla1[[#This Row],[MAYO ]]&gt;22.5,Tabla1[[#This Row],[MAYO ]]/22.5-1,0),IF(Tabla1[[#This Row],[MAYO ]]&gt;45,Tabla1[[#This Row],[MAYO ]]/45-1,0))</f>
        <v>0</v>
      </c>
      <c r="AJ26" s="103">
        <f>IF(Tabla1[[#This Row],[TIPO DE CONSUMIDOR]]="MEDIO",IF(Tabla1[[#This Row],[JUNIO ]]&gt;22.5,Tabla1[[#This Row],[JUNIO ]]/22.5-1,0),IF(Tabla1[[#This Row],[JUNIO ]]&gt;45,Tabla1[[#This Row],[JUNIO ]]/45-1,0))</f>
        <v>0</v>
      </c>
      <c r="AK26" s="103">
        <f>IF(Tabla1[[#This Row],[TIPO DE CONSUMIDOR]]="MEDIO",IF(Tabla1[[#This Row],[JULIO ]]&gt;22.5,Tabla1[[#This Row],[JULIO ]]/22.5-1,0),IF(Tabla1[[#This Row],[JULIO ]]&gt;45,Tabla1[[#This Row],[JULIO ]]/45-1,0))</f>
        <v>0</v>
      </c>
      <c r="AL26" s="103">
        <f>IF(Tabla1[[#This Row],[TIPO DE CONSUMIDOR]]="MEDIO",IF(Tabla1[[#This Row],[AGOSTO]]&gt;22.5,Tabla1[[#This Row],[AGOSTO]]/22.5-1,0),IF(Tabla1[[#This Row],[AGOSTO]]&gt;45,Tabla1[[#This Row],[AGOSTO]]/45-1,0))</f>
        <v>0</v>
      </c>
      <c r="AM2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" s="104">
        <f t="shared" si="2"/>
        <v>0</v>
      </c>
      <c r="AR26" s="9">
        <f t="shared" si="0"/>
        <v>0</v>
      </c>
      <c r="AS26" s="60">
        <f>IF(Tabla1[[#This Row],[MESES DE ADEUDO DEL AÑO EN CURSO ]]&gt;0,1,0)</f>
        <v>0</v>
      </c>
      <c r="AT26" s="60"/>
      <c r="AU26" s="60"/>
      <c r="AV26" s="42"/>
      <c r="AW26" s="43"/>
    </row>
    <row r="27" spans="1:49" ht="21.75" thickBot="1" x14ac:dyDescent="0.35">
      <c r="A27" s="109">
        <v>21</v>
      </c>
      <c r="B27" s="5" t="s">
        <v>226</v>
      </c>
      <c r="C27" s="2" t="s">
        <v>478</v>
      </c>
      <c r="D27" s="32"/>
      <c r="E27" s="35" t="s">
        <v>455</v>
      </c>
      <c r="F27" s="34">
        <v>45</v>
      </c>
      <c r="G27" s="34">
        <v>45</v>
      </c>
      <c r="H27" s="34">
        <v>45</v>
      </c>
      <c r="I27" s="34">
        <v>45</v>
      </c>
      <c r="J27" s="34">
        <v>45</v>
      </c>
      <c r="K27" s="34">
        <v>45</v>
      </c>
      <c r="L27" s="34">
        <v>45</v>
      </c>
      <c r="M27" s="34">
        <v>45</v>
      </c>
      <c r="N27" s="34">
        <v>45</v>
      </c>
      <c r="O27" s="34">
        <v>45</v>
      </c>
      <c r="P27" s="34">
        <v>45</v>
      </c>
      <c r="Q27" s="34">
        <v>45</v>
      </c>
      <c r="R27" s="24">
        <f>SUM(Tabla1[[#This Row],[ENERO ]:[DICIEMBRE]])</f>
        <v>540</v>
      </c>
      <c r="W27" s="65">
        <v>0</v>
      </c>
      <c r="X27" s="21">
        <f>COUNTIF(Tabla1[[#This Row],[ENERO ]:[DICIEMBRE]],0)-(AQ27)-IF(Tabla1[[#This Row],[BAJAS]]="BAJA",IF(Tabla1[[#This Row],[ALTAS]]="ALTA",VLOOKUP(Tabla1[[#This Row],[MES DE ALTA ]],$AT$6:$AU$17,2,FALSE),12)-VLOOKUP(Tabla1[[#This Row],[MES DE BAJA ]],$AT$6:$AU$17,2,FALSE),0)</f>
        <v>0</v>
      </c>
      <c r="Y27" s="69">
        <f>SUM(Tabla1[[#This Row],[MES ADEUDO DE AÑOS PASADOS ]:[MESES DE ADEUDO DEL AÑO EN CURSO ]])</f>
        <v>0</v>
      </c>
      <c r="Z27" s="15">
        <f>IF(Tabla1[[#This Row],[TIPO DE CONSUMIDOR]]="COMPLETO",W27*$T$2,W27*($T$2/2))</f>
        <v>0</v>
      </c>
      <c r="AA27" s="15">
        <f>IF(Tabla1[[#This Row],[TIPO DE CONSUMIDOR]]="COMPLETO",Tabla1[[#This Row],[MESES DE ADEUDO DEL AÑO EN CURSO ]]*$T$2,Tabla1[[#This Row],[MESES DE ADEUDO DEL AÑO EN CURSO ]]*($T$2/2))</f>
        <v>0</v>
      </c>
      <c r="AB27" s="70">
        <f>SUM(Tabla1[[#This Row],[DEUDA DE LOS MESES PASADOS EN $$]:[DEUDA DEL AÑO 2013 $$ ]])</f>
        <v>0</v>
      </c>
      <c r="AE27" s="103">
        <f>IF(Tabla1[[#This Row],[TIPO DE CONSUMIDOR]]="MEDIO",IF(Tabla1[[#This Row],[ENERO ]]&gt;22.5,Tabla1[[#This Row],[ENERO ]]/22.5-1,0),IF(Tabla1[[#This Row],[ENERO ]]&gt;45,Tabla1[[#This Row],[ENERO ]]/45-1,0))</f>
        <v>0</v>
      </c>
      <c r="AF2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" s="103">
        <f>IF(Tabla1[[#This Row],[TIPO DE CONSUMIDOR]]="MEDIO",IF(Tabla1[[#This Row],[MARZO]]&gt;22.5,Tabla1[[#This Row],[MARZO]]/22.5-1,0),IF(Tabla1[[#This Row],[MARZO]]&gt;45,Tabla1[[#This Row],[MARZO]]/45-1,0))</f>
        <v>0</v>
      </c>
      <c r="AH27" s="103">
        <f>IF(Tabla1[[#This Row],[TIPO DE CONSUMIDOR]]="MEDIO",IF(Tabla1[[#This Row],[ABRIL]]&gt;22.5,Tabla1[[#This Row],[ABRIL]]/22.5-1,0),IF(Tabla1[[#This Row],[ABRIL]]&gt;45,Tabla1[[#This Row],[ABRIL]]/45-1,0))</f>
        <v>0</v>
      </c>
      <c r="AI27" s="103">
        <f>IF(Tabla1[[#This Row],[TIPO DE CONSUMIDOR]]="MEDIO",IF(Tabla1[[#This Row],[MAYO ]]&gt;22.5,Tabla1[[#This Row],[MAYO ]]/22.5-1,0),IF(Tabla1[[#This Row],[MAYO ]]&gt;45,Tabla1[[#This Row],[MAYO ]]/45-1,0))</f>
        <v>0</v>
      </c>
      <c r="AJ27" s="103">
        <f>IF(Tabla1[[#This Row],[TIPO DE CONSUMIDOR]]="MEDIO",IF(Tabla1[[#This Row],[JUNIO ]]&gt;22.5,Tabla1[[#This Row],[JUNIO ]]/22.5-1,0),IF(Tabla1[[#This Row],[JUNIO ]]&gt;45,Tabla1[[#This Row],[JUNIO ]]/45-1,0))</f>
        <v>0</v>
      </c>
      <c r="AK27" s="103">
        <f>IF(Tabla1[[#This Row],[TIPO DE CONSUMIDOR]]="MEDIO",IF(Tabla1[[#This Row],[JULIO ]]&gt;22.5,Tabla1[[#This Row],[JULIO ]]/22.5-1,0),IF(Tabla1[[#This Row],[JULIO ]]&gt;45,Tabla1[[#This Row],[JULIO ]]/45-1,0))</f>
        <v>0</v>
      </c>
      <c r="AL27" s="103">
        <f>IF(Tabla1[[#This Row],[TIPO DE CONSUMIDOR]]="MEDIO",IF(Tabla1[[#This Row],[AGOSTO]]&gt;22.5,Tabla1[[#This Row],[AGOSTO]]/22.5-1,0),IF(Tabla1[[#This Row],[AGOSTO]]&gt;45,Tabla1[[#This Row],[AGOSTO]]/45-1,0))</f>
        <v>0</v>
      </c>
      <c r="AM2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" s="104">
        <f t="shared" si="2"/>
        <v>0</v>
      </c>
      <c r="AR27" s="9">
        <f t="shared" si="0"/>
        <v>0</v>
      </c>
      <c r="AS27" s="60">
        <f>IF(Tabla1[[#This Row],[MESES DE ADEUDO DEL AÑO EN CURSO ]]&gt;0,1,0)</f>
        <v>0</v>
      </c>
      <c r="AT27" s="42"/>
      <c r="AU27" s="42"/>
      <c r="AV27" s="42"/>
      <c r="AW27" s="43"/>
    </row>
    <row r="28" spans="1:49" ht="21.75" thickBot="1" x14ac:dyDescent="0.35">
      <c r="A28" s="109">
        <v>22</v>
      </c>
      <c r="B28" s="96" t="s">
        <v>30</v>
      </c>
      <c r="C28" s="122" t="s">
        <v>487</v>
      </c>
      <c r="D28" s="71"/>
      <c r="E28" s="72" t="s">
        <v>455</v>
      </c>
      <c r="F28" s="68">
        <v>45</v>
      </c>
      <c r="G28" s="68">
        <v>45</v>
      </c>
      <c r="H28" s="68">
        <v>45</v>
      </c>
      <c r="I28" s="68">
        <v>45</v>
      </c>
      <c r="J28" s="68">
        <v>45</v>
      </c>
      <c r="K28" s="68">
        <v>45</v>
      </c>
      <c r="L28" s="68">
        <v>45</v>
      </c>
      <c r="M28" s="68">
        <v>45</v>
      </c>
      <c r="N28" s="68">
        <v>45</v>
      </c>
      <c r="O28" s="68">
        <v>45</v>
      </c>
      <c r="P28" s="68">
        <v>45</v>
      </c>
      <c r="Q28" s="68">
        <v>45</v>
      </c>
      <c r="R28" s="24">
        <f>SUM(Tabla1[[#This Row],[ENERO ]:[DICIEMBRE]])</f>
        <v>540</v>
      </c>
      <c r="S28" s="118"/>
      <c r="T28" s="118"/>
      <c r="U28" s="118"/>
      <c r="V28" s="118"/>
      <c r="W28" s="119">
        <v>0</v>
      </c>
      <c r="X28" s="120">
        <f>COUNTIF(Tabla1[[#This Row],[ENERO ]:[DICIEMBRE]],0)-(AQ28)-IF(Tabla1[[#This Row],[BAJAS]]="BAJA",IF(Tabla1[[#This Row],[ALTAS]]="ALTA",VLOOKUP(Tabla1[[#This Row],[MES DE ALTA ]],$AT$6:$AU$17,2,FALSE),12)-VLOOKUP(Tabla1[[#This Row],[MES DE BAJA ]],$AT$6:$AU$17,2,FALSE),0)</f>
        <v>0</v>
      </c>
      <c r="Y28" s="69">
        <f>SUM(Tabla1[[#This Row],[MES ADEUDO DE AÑOS PASADOS ]:[MESES DE ADEUDO DEL AÑO EN CURSO ]])</f>
        <v>0</v>
      </c>
      <c r="Z28" s="15">
        <f>IF(Tabla1[[#This Row],[TIPO DE CONSUMIDOR]]="COMPLETO",W28*$T$2,W28*($T$2/2))</f>
        <v>0</v>
      </c>
      <c r="AA28" s="15">
        <f>IF(Tabla1[[#This Row],[TIPO DE CONSUMIDOR]]="COMPLETO",Tabla1[[#This Row],[MESES DE ADEUDO DEL AÑO EN CURSO ]]*$T$2,Tabla1[[#This Row],[MESES DE ADEUDO DEL AÑO EN CURSO ]]*($T$2/2))</f>
        <v>0</v>
      </c>
      <c r="AB28" s="70">
        <f>SUM(Tabla1[[#This Row],[DEUDA DE LOS MESES PASADOS EN $$]:[DEUDA DEL AÑO 2013 $$ ]])</f>
        <v>0</v>
      </c>
      <c r="AE28" s="103">
        <f>IF(Tabla1[[#This Row],[TIPO DE CONSUMIDOR]]="MEDIO",IF(Tabla1[[#This Row],[ENERO ]]&gt;22.5,Tabla1[[#This Row],[ENERO ]]/22.5-1,0),IF(Tabla1[[#This Row],[ENERO ]]&gt;45,Tabla1[[#This Row],[ENERO ]]/45-1,0))</f>
        <v>0</v>
      </c>
      <c r="AF2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" s="103">
        <f>IF(Tabla1[[#This Row],[TIPO DE CONSUMIDOR]]="MEDIO",IF(Tabla1[[#This Row],[MARZO]]&gt;22.5,Tabla1[[#This Row],[MARZO]]/22.5-1,0),IF(Tabla1[[#This Row],[MARZO]]&gt;45,Tabla1[[#This Row],[MARZO]]/45-1,0))</f>
        <v>0</v>
      </c>
      <c r="AH28" s="103">
        <f>IF(Tabla1[[#This Row],[TIPO DE CONSUMIDOR]]="MEDIO",IF(Tabla1[[#This Row],[ABRIL]]&gt;22.5,Tabla1[[#This Row],[ABRIL]]/22.5-1,0),IF(Tabla1[[#This Row],[ABRIL]]&gt;45,Tabla1[[#This Row],[ABRIL]]/45-1,0))</f>
        <v>0</v>
      </c>
      <c r="AI28" s="103">
        <f>IF(Tabla1[[#This Row],[TIPO DE CONSUMIDOR]]="MEDIO",IF(Tabla1[[#This Row],[MAYO ]]&gt;22.5,Tabla1[[#This Row],[MAYO ]]/22.5-1,0),IF(Tabla1[[#This Row],[MAYO ]]&gt;45,Tabla1[[#This Row],[MAYO ]]/45-1,0))</f>
        <v>0</v>
      </c>
      <c r="AJ28" s="103">
        <f>IF(Tabla1[[#This Row],[TIPO DE CONSUMIDOR]]="MEDIO",IF(Tabla1[[#This Row],[JUNIO ]]&gt;22.5,Tabla1[[#This Row],[JUNIO ]]/22.5-1,0),IF(Tabla1[[#This Row],[JUNIO ]]&gt;45,Tabla1[[#This Row],[JUNIO ]]/45-1,0))</f>
        <v>0</v>
      </c>
      <c r="AK28" s="103">
        <f>IF(Tabla1[[#This Row],[TIPO DE CONSUMIDOR]]="MEDIO",IF(Tabla1[[#This Row],[JULIO ]]&gt;22.5,Tabla1[[#This Row],[JULIO ]]/22.5-1,0),IF(Tabla1[[#This Row],[JULIO ]]&gt;45,Tabla1[[#This Row],[JULIO ]]/45-1,0))</f>
        <v>0</v>
      </c>
      <c r="AL28" s="103">
        <f>IF(Tabla1[[#This Row],[TIPO DE CONSUMIDOR]]="MEDIO",IF(Tabla1[[#This Row],[AGOSTO]]&gt;22.5,Tabla1[[#This Row],[AGOSTO]]/22.5-1,0),IF(Tabla1[[#This Row],[AGOSTO]]&gt;45,Tabla1[[#This Row],[AGOSTO]]/45-1,0))</f>
        <v>0</v>
      </c>
      <c r="AM2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" s="104">
        <f t="shared" si="2"/>
        <v>0</v>
      </c>
      <c r="AR28" s="9">
        <f t="shared" si="0"/>
        <v>0</v>
      </c>
      <c r="AS28" s="60">
        <f>IF(Tabla1[[#This Row],[MESES DE ADEUDO DEL AÑO EN CURSO ]]&gt;0,1,0)</f>
        <v>0</v>
      </c>
      <c r="AT28" s="42"/>
      <c r="AU28" s="42"/>
      <c r="AV28" s="42"/>
      <c r="AW28" s="43"/>
    </row>
    <row r="29" spans="1:49" ht="21.75" thickBot="1" x14ac:dyDescent="0.35">
      <c r="A29" s="109">
        <v>23</v>
      </c>
      <c r="B29" s="5" t="s">
        <v>218</v>
      </c>
      <c r="C29" s="2" t="s">
        <v>488</v>
      </c>
      <c r="D29" s="32"/>
      <c r="E29" s="35" t="s">
        <v>455</v>
      </c>
      <c r="F29" s="34">
        <v>45</v>
      </c>
      <c r="G29" s="56">
        <v>45</v>
      </c>
      <c r="H29" s="56">
        <v>45</v>
      </c>
      <c r="I29" s="56">
        <v>45</v>
      </c>
      <c r="J29" s="56">
        <v>45</v>
      </c>
      <c r="K29" s="56">
        <v>45</v>
      </c>
      <c r="L29" s="56">
        <v>45</v>
      </c>
      <c r="M29" s="56">
        <v>45</v>
      </c>
      <c r="N29" s="56">
        <v>45</v>
      </c>
      <c r="O29" s="56">
        <v>45</v>
      </c>
      <c r="P29" s="56">
        <v>45</v>
      </c>
      <c r="Q29" s="57">
        <v>45</v>
      </c>
      <c r="R29" s="24">
        <f>SUM(Tabla1[[#This Row],[ENERO ]:[DICIEMBRE]])</f>
        <v>540</v>
      </c>
      <c r="W29" s="65">
        <v>0</v>
      </c>
      <c r="X29" s="21">
        <f>COUNTIF(Tabla1[[#This Row],[ENERO ]:[DICIEMBRE]],0)-(AQ29)-IF(Tabla1[[#This Row],[BAJAS]]="BAJA",IF(Tabla1[[#This Row],[ALTAS]]="ALTA",VLOOKUP(Tabla1[[#This Row],[MES DE ALTA ]],$AT$6:$AU$17,2,FALSE),12)-VLOOKUP(Tabla1[[#This Row],[MES DE BAJA ]],$AT$6:$AU$17,2,FALSE),0)</f>
        <v>0</v>
      </c>
      <c r="Y29" s="69">
        <f>SUM(Tabla1[[#This Row],[MES ADEUDO DE AÑOS PASADOS ]:[MESES DE ADEUDO DEL AÑO EN CURSO ]])</f>
        <v>0</v>
      </c>
      <c r="Z29" s="15">
        <f>IF(Tabla1[[#This Row],[TIPO DE CONSUMIDOR]]="COMPLETO",W29*$T$2,W29*($T$2/2))</f>
        <v>0</v>
      </c>
      <c r="AA29" s="15">
        <f>IF(Tabla1[[#This Row],[TIPO DE CONSUMIDOR]]="COMPLETO",Tabla1[[#This Row],[MESES DE ADEUDO DEL AÑO EN CURSO ]]*$T$2,Tabla1[[#This Row],[MESES DE ADEUDO DEL AÑO EN CURSO ]]*($T$2/2))</f>
        <v>0</v>
      </c>
      <c r="AB29" s="70">
        <f>SUM(Tabla1[[#This Row],[DEUDA DE LOS MESES PASADOS EN $$]:[DEUDA DEL AÑO 2013 $$ ]])</f>
        <v>0</v>
      </c>
      <c r="AE29" s="103">
        <f>IF(Tabla1[[#This Row],[TIPO DE CONSUMIDOR]]="MEDIO",IF(Tabla1[[#This Row],[ENERO ]]&gt;22.5,Tabla1[[#This Row],[ENERO ]]/22.5-1,0),IF(Tabla1[[#This Row],[ENERO ]]&gt;45,Tabla1[[#This Row],[ENERO ]]/45-1,0))</f>
        <v>0</v>
      </c>
      <c r="AF2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" s="103">
        <f>IF(Tabla1[[#This Row],[TIPO DE CONSUMIDOR]]="MEDIO",IF(Tabla1[[#This Row],[MARZO]]&gt;22.5,Tabla1[[#This Row],[MARZO]]/22.5-1,0),IF(Tabla1[[#This Row],[MARZO]]&gt;45,Tabla1[[#This Row],[MARZO]]/45-1,0))</f>
        <v>0</v>
      </c>
      <c r="AH29" s="103">
        <f>IF(Tabla1[[#This Row],[TIPO DE CONSUMIDOR]]="MEDIO",IF(Tabla1[[#This Row],[ABRIL]]&gt;22.5,Tabla1[[#This Row],[ABRIL]]/22.5-1,0),IF(Tabla1[[#This Row],[ABRIL]]&gt;45,Tabla1[[#This Row],[ABRIL]]/45-1,0))</f>
        <v>0</v>
      </c>
      <c r="AI29" s="103">
        <f>IF(Tabla1[[#This Row],[TIPO DE CONSUMIDOR]]="MEDIO",IF(Tabla1[[#This Row],[MAYO ]]&gt;22.5,Tabla1[[#This Row],[MAYO ]]/22.5-1,0),IF(Tabla1[[#This Row],[MAYO ]]&gt;45,Tabla1[[#This Row],[MAYO ]]/45-1,0))</f>
        <v>0</v>
      </c>
      <c r="AJ29" s="103">
        <f>IF(Tabla1[[#This Row],[TIPO DE CONSUMIDOR]]="MEDIO",IF(Tabla1[[#This Row],[JUNIO ]]&gt;22.5,Tabla1[[#This Row],[JUNIO ]]/22.5-1,0),IF(Tabla1[[#This Row],[JUNIO ]]&gt;45,Tabla1[[#This Row],[JUNIO ]]/45-1,0))</f>
        <v>0</v>
      </c>
      <c r="AK29" s="103">
        <f>IF(Tabla1[[#This Row],[TIPO DE CONSUMIDOR]]="MEDIO",IF(Tabla1[[#This Row],[JULIO ]]&gt;22.5,Tabla1[[#This Row],[JULIO ]]/22.5-1,0),IF(Tabla1[[#This Row],[JULIO ]]&gt;45,Tabla1[[#This Row],[JULIO ]]/45-1,0))</f>
        <v>0</v>
      </c>
      <c r="AL29" s="103">
        <f>IF(Tabla1[[#This Row],[TIPO DE CONSUMIDOR]]="MEDIO",IF(Tabla1[[#This Row],[AGOSTO]]&gt;22.5,Tabla1[[#This Row],[AGOSTO]]/22.5-1,0),IF(Tabla1[[#This Row],[AGOSTO]]&gt;45,Tabla1[[#This Row],[AGOSTO]]/45-1,0))</f>
        <v>0</v>
      </c>
      <c r="AM2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" s="104">
        <f t="shared" si="2"/>
        <v>0</v>
      </c>
      <c r="AR29" s="9">
        <f t="shared" si="0"/>
        <v>0</v>
      </c>
      <c r="AS29" s="60">
        <f>IF(Tabla1[[#This Row],[MESES DE ADEUDO DEL AÑO EN CURSO ]]&gt;0,1,0)</f>
        <v>0</v>
      </c>
      <c r="AT29" s="42"/>
      <c r="AU29" s="42"/>
      <c r="AV29" s="42"/>
      <c r="AW29" s="43"/>
    </row>
    <row r="30" spans="1:49" ht="21.75" thickBot="1" x14ac:dyDescent="0.35">
      <c r="A30" s="109">
        <v>24</v>
      </c>
      <c r="B30" s="5" t="s">
        <v>229</v>
      </c>
      <c r="C30" s="2" t="s">
        <v>488</v>
      </c>
      <c r="D30" s="32"/>
      <c r="E30" s="35" t="s">
        <v>455</v>
      </c>
      <c r="F30" s="34">
        <v>45</v>
      </c>
      <c r="G30" s="34">
        <v>45</v>
      </c>
      <c r="H30" s="34">
        <v>45</v>
      </c>
      <c r="I30" s="34">
        <v>45</v>
      </c>
      <c r="J30" s="34">
        <v>45</v>
      </c>
      <c r="K30" s="34">
        <v>45</v>
      </c>
      <c r="L30" s="34">
        <v>45</v>
      </c>
      <c r="M30" s="34">
        <v>45</v>
      </c>
      <c r="N30" s="34">
        <v>45</v>
      </c>
      <c r="O30" s="34">
        <v>45</v>
      </c>
      <c r="P30" s="34">
        <v>45</v>
      </c>
      <c r="Q30" s="34">
        <v>45</v>
      </c>
      <c r="R30" s="24">
        <f>SUM(Tabla1[[#This Row],[ENERO ]:[DICIEMBRE]])</f>
        <v>540</v>
      </c>
      <c r="W30" s="65">
        <v>0</v>
      </c>
      <c r="X30" s="21">
        <f>COUNTIF(Tabla1[[#This Row],[ENERO ]:[DICIEMBRE]],0)-(AQ30)-IF(Tabla1[[#This Row],[BAJAS]]="BAJA",IF(Tabla1[[#This Row],[ALTAS]]="ALTA",VLOOKUP(Tabla1[[#This Row],[MES DE ALTA ]],$AT$6:$AU$17,2,FALSE),12)-VLOOKUP(Tabla1[[#This Row],[MES DE BAJA ]],$AT$6:$AU$17,2,FALSE),0)</f>
        <v>0</v>
      </c>
      <c r="Y30" s="69">
        <f>SUM(Tabla1[[#This Row],[MES ADEUDO DE AÑOS PASADOS ]:[MESES DE ADEUDO DEL AÑO EN CURSO ]])</f>
        <v>0</v>
      </c>
      <c r="Z30" s="15">
        <f>IF(Tabla1[[#This Row],[TIPO DE CONSUMIDOR]]="COMPLETO",W30*$T$2,W30*($T$2/2))</f>
        <v>0</v>
      </c>
      <c r="AA30" s="15">
        <f>IF(Tabla1[[#This Row],[TIPO DE CONSUMIDOR]]="COMPLETO",Tabla1[[#This Row],[MESES DE ADEUDO DEL AÑO EN CURSO ]]*$T$2,Tabla1[[#This Row],[MESES DE ADEUDO DEL AÑO EN CURSO ]]*($T$2/2))</f>
        <v>0</v>
      </c>
      <c r="AB30" s="70">
        <f>SUM(Tabla1[[#This Row],[DEUDA DE LOS MESES PASADOS EN $$]:[DEUDA DEL AÑO 2013 $$ ]])</f>
        <v>0</v>
      </c>
      <c r="AE30" s="103">
        <f>IF(Tabla1[[#This Row],[TIPO DE CONSUMIDOR]]="MEDIO",IF(Tabla1[[#This Row],[ENERO ]]&gt;22.5,Tabla1[[#This Row],[ENERO ]]/22.5-1,0),IF(Tabla1[[#This Row],[ENERO ]]&gt;45,Tabla1[[#This Row],[ENERO ]]/45-1,0))</f>
        <v>0</v>
      </c>
      <c r="AF3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" s="103">
        <f>IF(Tabla1[[#This Row],[TIPO DE CONSUMIDOR]]="MEDIO",IF(Tabla1[[#This Row],[MARZO]]&gt;22.5,Tabla1[[#This Row],[MARZO]]/22.5-1,0),IF(Tabla1[[#This Row],[MARZO]]&gt;45,Tabla1[[#This Row],[MARZO]]/45-1,0))</f>
        <v>0</v>
      </c>
      <c r="AH30" s="103">
        <f>IF(Tabla1[[#This Row],[TIPO DE CONSUMIDOR]]="MEDIO",IF(Tabla1[[#This Row],[ABRIL]]&gt;22.5,Tabla1[[#This Row],[ABRIL]]/22.5-1,0),IF(Tabla1[[#This Row],[ABRIL]]&gt;45,Tabla1[[#This Row],[ABRIL]]/45-1,0))</f>
        <v>0</v>
      </c>
      <c r="AI30" s="103">
        <f>IF(Tabla1[[#This Row],[TIPO DE CONSUMIDOR]]="MEDIO",IF(Tabla1[[#This Row],[MAYO ]]&gt;22.5,Tabla1[[#This Row],[MAYO ]]/22.5-1,0),IF(Tabla1[[#This Row],[MAYO ]]&gt;45,Tabla1[[#This Row],[MAYO ]]/45-1,0))</f>
        <v>0</v>
      </c>
      <c r="AJ30" s="103">
        <f>IF(Tabla1[[#This Row],[TIPO DE CONSUMIDOR]]="MEDIO",IF(Tabla1[[#This Row],[JUNIO ]]&gt;22.5,Tabla1[[#This Row],[JUNIO ]]/22.5-1,0),IF(Tabla1[[#This Row],[JUNIO ]]&gt;45,Tabla1[[#This Row],[JUNIO ]]/45-1,0))</f>
        <v>0</v>
      </c>
      <c r="AK30" s="103">
        <f>IF(Tabla1[[#This Row],[TIPO DE CONSUMIDOR]]="MEDIO",IF(Tabla1[[#This Row],[JULIO ]]&gt;22.5,Tabla1[[#This Row],[JULIO ]]/22.5-1,0),IF(Tabla1[[#This Row],[JULIO ]]&gt;45,Tabla1[[#This Row],[JULIO ]]/45-1,0))</f>
        <v>0</v>
      </c>
      <c r="AL30" s="103">
        <f>IF(Tabla1[[#This Row],[TIPO DE CONSUMIDOR]]="MEDIO",IF(Tabla1[[#This Row],[AGOSTO]]&gt;22.5,Tabla1[[#This Row],[AGOSTO]]/22.5-1,0),IF(Tabla1[[#This Row],[AGOSTO]]&gt;45,Tabla1[[#This Row],[AGOSTO]]/45-1,0))</f>
        <v>0</v>
      </c>
      <c r="AM3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" s="104">
        <f t="shared" si="2"/>
        <v>0</v>
      </c>
      <c r="AR30" s="9">
        <f t="shared" si="0"/>
        <v>0</v>
      </c>
      <c r="AS30" s="60">
        <f>IF(Tabla1[[#This Row],[MESES DE ADEUDO DEL AÑO EN CURSO ]]&gt;0,1,0)</f>
        <v>0</v>
      </c>
      <c r="AT30" s="42"/>
      <c r="AU30" s="42"/>
      <c r="AV30" s="42"/>
      <c r="AW30" s="43"/>
    </row>
    <row r="31" spans="1:49" ht="21.75" thickBot="1" x14ac:dyDescent="0.35">
      <c r="A31" s="109">
        <v>25</v>
      </c>
      <c r="B31" s="5" t="s">
        <v>597</v>
      </c>
      <c r="C31" s="2" t="s">
        <v>488</v>
      </c>
      <c r="D31" s="32"/>
      <c r="E31" s="35" t="s">
        <v>455</v>
      </c>
      <c r="F31" s="34">
        <v>45</v>
      </c>
      <c r="G31" s="34">
        <v>45</v>
      </c>
      <c r="H31" s="34">
        <v>45</v>
      </c>
      <c r="I31" s="34">
        <v>45</v>
      </c>
      <c r="J31" s="34">
        <v>45</v>
      </c>
      <c r="K31" s="34">
        <v>45</v>
      </c>
      <c r="L31" s="34">
        <v>45</v>
      </c>
      <c r="M31" s="34">
        <v>45</v>
      </c>
      <c r="N31" s="34">
        <v>45</v>
      </c>
      <c r="O31" s="34">
        <v>45</v>
      </c>
      <c r="P31" s="34">
        <v>45</v>
      </c>
      <c r="Q31" s="34">
        <v>45</v>
      </c>
      <c r="R31" s="24">
        <f>SUM(Tabla1[[#This Row],[ENERO ]:[DICIEMBRE]])</f>
        <v>540</v>
      </c>
      <c r="W31" s="65">
        <v>0</v>
      </c>
      <c r="X31" s="21">
        <f>COUNTIF(Tabla1[[#This Row],[ENERO ]:[DICIEMBRE]],0)-(AQ31)-IF(Tabla1[[#This Row],[BAJAS]]="BAJA",IF(Tabla1[[#This Row],[ALTAS]]="ALTA",VLOOKUP(Tabla1[[#This Row],[MES DE ALTA ]],$AT$6:$AU$17,2,FALSE),12)-VLOOKUP(Tabla1[[#This Row],[MES DE BAJA ]],$AT$6:$AU$17,2,FALSE),0)</f>
        <v>0</v>
      </c>
      <c r="Y31" s="69">
        <f>SUM(Tabla1[[#This Row],[MES ADEUDO DE AÑOS PASADOS ]:[MESES DE ADEUDO DEL AÑO EN CURSO ]])</f>
        <v>0</v>
      </c>
      <c r="Z31" s="15">
        <f>IF(Tabla1[[#This Row],[TIPO DE CONSUMIDOR]]="COMPLETO",W31*$T$2,W31*($T$2/2))</f>
        <v>0</v>
      </c>
      <c r="AA31" s="15">
        <f>IF(Tabla1[[#This Row],[TIPO DE CONSUMIDOR]]="COMPLETO",Tabla1[[#This Row],[MESES DE ADEUDO DEL AÑO EN CURSO ]]*$T$2,Tabla1[[#This Row],[MESES DE ADEUDO DEL AÑO EN CURSO ]]*($T$2/2))</f>
        <v>0</v>
      </c>
      <c r="AB31" s="70">
        <f>SUM(Tabla1[[#This Row],[DEUDA DE LOS MESES PASADOS EN $$]:[DEUDA DEL AÑO 2013 $$ ]])</f>
        <v>0</v>
      </c>
      <c r="AE31" s="103">
        <f>IF(Tabla1[[#This Row],[TIPO DE CONSUMIDOR]]="MEDIO",IF(Tabla1[[#This Row],[ENERO ]]&gt;22.5,Tabla1[[#This Row],[ENERO ]]/22.5-1,0),IF(Tabla1[[#This Row],[ENERO ]]&gt;45,Tabla1[[#This Row],[ENERO ]]/45-1,0))</f>
        <v>0</v>
      </c>
      <c r="AF3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" s="103">
        <f>IF(Tabla1[[#This Row],[TIPO DE CONSUMIDOR]]="MEDIO",IF(Tabla1[[#This Row],[MARZO]]&gt;22.5,Tabla1[[#This Row],[MARZO]]/22.5-1,0),IF(Tabla1[[#This Row],[MARZO]]&gt;45,Tabla1[[#This Row],[MARZO]]/45-1,0))</f>
        <v>0</v>
      </c>
      <c r="AH31" s="103">
        <f>IF(Tabla1[[#This Row],[TIPO DE CONSUMIDOR]]="MEDIO",IF(Tabla1[[#This Row],[ABRIL]]&gt;22.5,Tabla1[[#This Row],[ABRIL]]/22.5-1,0),IF(Tabla1[[#This Row],[ABRIL]]&gt;45,Tabla1[[#This Row],[ABRIL]]/45-1,0))</f>
        <v>0</v>
      </c>
      <c r="AI31" s="103">
        <f>IF(Tabla1[[#This Row],[TIPO DE CONSUMIDOR]]="MEDIO",IF(Tabla1[[#This Row],[MAYO ]]&gt;22.5,Tabla1[[#This Row],[MAYO ]]/22.5-1,0),IF(Tabla1[[#This Row],[MAYO ]]&gt;45,Tabla1[[#This Row],[MAYO ]]/45-1,0))</f>
        <v>0</v>
      </c>
      <c r="AJ31" s="103">
        <f>IF(Tabla1[[#This Row],[TIPO DE CONSUMIDOR]]="MEDIO",IF(Tabla1[[#This Row],[JUNIO ]]&gt;22.5,Tabla1[[#This Row],[JUNIO ]]/22.5-1,0),IF(Tabla1[[#This Row],[JUNIO ]]&gt;45,Tabla1[[#This Row],[JUNIO ]]/45-1,0))</f>
        <v>0</v>
      </c>
      <c r="AK31" s="103">
        <f>IF(Tabla1[[#This Row],[TIPO DE CONSUMIDOR]]="MEDIO",IF(Tabla1[[#This Row],[JULIO ]]&gt;22.5,Tabla1[[#This Row],[JULIO ]]/22.5-1,0),IF(Tabla1[[#This Row],[JULIO ]]&gt;45,Tabla1[[#This Row],[JULIO ]]/45-1,0))</f>
        <v>0</v>
      </c>
      <c r="AL31" s="103">
        <f>IF(Tabla1[[#This Row],[TIPO DE CONSUMIDOR]]="MEDIO",IF(Tabla1[[#This Row],[AGOSTO]]&gt;22.5,Tabla1[[#This Row],[AGOSTO]]/22.5-1,0),IF(Tabla1[[#This Row],[AGOSTO]]&gt;45,Tabla1[[#This Row],[AGOSTO]]/45-1,0))</f>
        <v>0</v>
      </c>
      <c r="AM3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" s="104">
        <f t="shared" si="2"/>
        <v>0</v>
      </c>
      <c r="AR31" s="9">
        <f t="shared" si="0"/>
        <v>0</v>
      </c>
      <c r="AS31" s="60">
        <f>IF(Tabla1[[#This Row],[MESES DE ADEUDO DEL AÑO EN CURSO ]]&gt;0,1,0)</f>
        <v>0</v>
      </c>
      <c r="AT31" s="42"/>
      <c r="AU31" s="42"/>
      <c r="AV31" s="42"/>
      <c r="AW31" s="43"/>
    </row>
    <row r="32" spans="1:49" ht="21.75" thickBot="1" x14ac:dyDescent="0.35">
      <c r="A32" s="109">
        <v>26</v>
      </c>
      <c r="B32" s="47" t="s">
        <v>477</v>
      </c>
      <c r="C32" s="2" t="s">
        <v>478</v>
      </c>
      <c r="D32" s="32"/>
      <c r="E32" s="35" t="s">
        <v>455</v>
      </c>
      <c r="F32" s="34">
        <v>0</v>
      </c>
      <c r="G32" s="34">
        <v>0</v>
      </c>
      <c r="H32" s="34">
        <v>0</v>
      </c>
      <c r="I32" s="34">
        <v>0</v>
      </c>
      <c r="J32" s="34">
        <v>0</v>
      </c>
      <c r="K32" s="34">
        <v>0</v>
      </c>
      <c r="L32" s="34">
        <v>0</v>
      </c>
      <c r="M32" s="34">
        <v>0</v>
      </c>
      <c r="N32" s="34">
        <v>0</v>
      </c>
      <c r="O32" s="34">
        <v>0</v>
      </c>
      <c r="P32" s="34">
        <v>0</v>
      </c>
      <c r="Q32" s="34">
        <v>0</v>
      </c>
      <c r="R32" s="24">
        <f>SUM(Tabla1[[#This Row],[ENERO ]:[DICIEMBRE]])</f>
        <v>0</v>
      </c>
      <c r="S32" t="s">
        <v>626</v>
      </c>
      <c r="T32" t="s">
        <v>434</v>
      </c>
      <c r="W32" s="65">
        <v>0</v>
      </c>
      <c r="X32" s="21">
        <f>COUNTIF(Tabla1[[#This Row],[ENERO ]:[DICIEMBRE]],0)-(AQ32)-IF(Tabla1[[#This Row],[BAJAS]]="BAJA",IF(Tabla1[[#This Row],[ALTAS]]="ALTA",VLOOKUP(Tabla1[[#This Row],[MES DE ALTA ]],$AT$6:$AU$17,2,FALSE),12)-VLOOKUP(Tabla1[[#This Row],[MES DE BAJA ]],$AT$6:$AU$17,2,FALSE),0)</f>
        <v>0</v>
      </c>
      <c r="Y32" s="69">
        <f>SUM(Tabla1[[#This Row],[MES ADEUDO DE AÑOS PASADOS ]:[MESES DE ADEUDO DEL AÑO EN CURSO ]])</f>
        <v>0</v>
      </c>
      <c r="Z32" s="15">
        <f>IF(Tabla1[[#This Row],[TIPO DE CONSUMIDOR]]="COMPLETO",W32*$T$2,W32*($T$2/2))</f>
        <v>0</v>
      </c>
      <c r="AA32" s="15">
        <f>IF(Tabla1[[#This Row],[TIPO DE CONSUMIDOR]]="COMPLETO",Tabla1[[#This Row],[MESES DE ADEUDO DEL AÑO EN CURSO ]]*$T$2,Tabla1[[#This Row],[MESES DE ADEUDO DEL AÑO EN CURSO ]]*($T$2/2))</f>
        <v>0</v>
      </c>
      <c r="AB32" s="70">
        <f>SUM(Tabla1[[#This Row],[DEUDA DE LOS MESES PASADOS EN $$]:[DEUDA DEL AÑO 2013 $$ ]])</f>
        <v>0</v>
      </c>
      <c r="AE32" s="103">
        <f>IF(Tabla1[[#This Row],[TIPO DE CONSUMIDOR]]="MEDIO",IF(Tabla1[[#This Row],[ENERO ]]&gt;22.5,Tabla1[[#This Row],[ENERO ]]/22.5-1,0),IF(Tabla1[[#This Row],[ENERO ]]&gt;45,Tabla1[[#This Row],[ENERO ]]/45-1,0))</f>
        <v>0</v>
      </c>
      <c r="AF3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" s="103">
        <f>IF(Tabla1[[#This Row],[TIPO DE CONSUMIDOR]]="MEDIO",IF(Tabla1[[#This Row],[MARZO]]&gt;22.5,Tabla1[[#This Row],[MARZO]]/22.5-1,0),IF(Tabla1[[#This Row],[MARZO]]&gt;45,Tabla1[[#This Row],[MARZO]]/45-1,0))</f>
        <v>0</v>
      </c>
      <c r="AH32" s="103">
        <f>IF(Tabla1[[#This Row],[TIPO DE CONSUMIDOR]]="MEDIO",IF(Tabla1[[#This Row],[ABRIL]]&gt;22.5,Tabla1[[#This Row],[ABRIL]]/22.5-1,0),IF(Tabla1[[#This Row],[ABRIL]]&gt;45,Tabla1[[#This Row],[ABRIL]]/45-1,0))</f>
        <v>0</v>
      </c>
      <c r="AI32" s="103">
        <f>IF(Tabla1[[#This Row],[TIPO DE CONSUMIDOR]]="MEDIO",IF(Tabla1[[#This Row],[MAYO ]]&gt;22.5,Tabla1[[#This Row],[MAYO ]]/22.5-1,0),IF(Tabla1[[#This Row],[MAYO ]]&gt;45,Tabla1[[#This Row],[MAYO ]]/45-1,0))</f>
        <v>0</v>
      </c>
      <c r="AJ32" s="103">
        <f>IF(Tabla1[[#This Row],[TIPO DE CONSUMIDOR]]="MEDIO",IF(Tabla1[[#This Row],[JUNIO ]]&gt;22.5,Tabla1[[#This Row],[JUNIO ]]/22.5-1,0),IF(Tabla1[[#This Row],[JUNIO ]]&gt;45,Tabla1[[#This Row],[JUNIO ]]/45-1,0))</f>
        <v>0</v>
      </c>
      <c r="AK32" s="103">
        <f>IF(Tabla1[[#This Row],[TIPO DE CONSUMIDOR]]="MEDIO",IF(Tabla1[[#This Row],[JULIO ]]&gt;22.5,Tabla1[[#This Row],[JULIO ]]/22.5-1,0),IF(Tabla1[[#This Row],[JULIO ]]&gt;45,Tabla1[[#This Row],[JULIO ]]/45-1,0))</f>
        <v>0</v>
      </c>
      <c r="AL32" s="103">
        <f>IF(Tabla1[[#This Row],[TIPO DE CONSUMIDOR]]="MEDIO",IF(Tabla1[[#This Row],[AGOSTO]]&gt;22.5,Tabla1[[#This Row],[AGOSTO]]/22.5-1,0),IF(Tabla1[[#This Row],[AGOSTO]]&gt;45,Tabla1[[#This Row],[AGOSTO]]/45-1,0))</f>
        <v>0</v>
      </c>
      <c r="AM3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" s="104">
        <f t="shared" si="2"/>
        <v>0</v>
      </c>
      <c r="AR32" s="9">
        <f t="shared" si="0"/>
        <v>0</v>
      </c>
      <c r="AS32" s="60">
        <f>IF(Tabla1[[#This Row],[MESES DE ADEUDO DEL AÑO EN CURSO ]]&gt;0,1,0)</f>
        <v>0</v>
      </c>
      <c r="AT32" s="42"/>
      <c r="AU32" s="42"/>
      <c r="AV32" s="42"/>
      <c r="AW32" s="43"/>
    </row>
    <row r="33" spans="1:49" ht="21.75" thickBot="1" x14ac:dyDescent="0.35">
      <c r="A33" s="109">
        <v>27</v>
      </c>
      <c r="B33" s="5" t="s">
        <v>277</v>
      </c>
      <c r="C33" s="2" t="s">
        <v>478</v>
      </c>
      <c r="D33" s="32"/>
      <c r="E33" s="35" t="s">
        <v>455</v>
      </c>
      <c r="F33" s="34">
        <v>45</v>
      </c>
      <c r="G33" s="34">
        <v>45</v>
      </c>
      <c r="H33" s="34">
        <v>45</v>
      </c>
      <c r="I33" s="34">
        <v>45</v>
      </c>
      <c r="J33" s="34">
        <v>45</v>
      </c>
      <c r="K33" s="34">
        <v>45</v>
      </c>
      <c r="L33" s="34">
        <v>45</v>
      </c>
      <c r="M33" s="34">
        <v>45</v>
      </c>
      <c r="N33" s="34">
        <v>45</v>
      </c>
      <c r="O33" s="34">
        <v>45</v>
      </c>
      <c r="P33" s="34">
        <v>45</v>
      </c>
      <c r="Q33" s="34">
        <v>45</v>
      </c>
      <c r="R33" s="24">
        <f>SUM(Tabla1[[#This Row],[ENERO ]:[DICIEMBRE]])</f>
        <v>540</v>
      </c>
      <c r="W33" s="65">
        <v>0</v>
      </c>
      <c r="X33" s="21">
        <f>COUNTIF(Tabla1[[#This Row],[ENERO ]:[DICIEMBRE]],0)-(AQ33)-IF(Tabla1[[#This Row],[BAJAS]]="BAJA",IF(Tabla1[[#This Row],[ALTAS]]="ALTA",VLOOKUP(Tabla1[[#This Row],[MES DE ALTA ]],$AT$6:$AU$17,2,FALSE),12)-VLOOKUP(Tabla1[[#This Row],[MES DE BAJA ]],$AT$6:$AU$17,2,FALSE),0)</f>
        <v>0</v>
      </c>
      <c r="Y33" s="69">
        <f>SUM(Tabla1[[#This Row],[MES ADEUDO DE AÑOS PASADOS ]:[MESES DE ADEUDO DEL AÑO EN CURSO ]])</f>
        <v>0</v>
      </c>
      <c r="Z33" s="15">
        <f>IF(Tabla1[[#This Row],[TIPO DE CONSUMIDOR]]="COMPLETO",W33*$T$2,W33*($T$2/2))</f>
        <v>0</v>
      </c>
      <c r="AA33" s="15">
        <f>IF(Tabla1[[#This Row],[TIPO DE CONSUMIDOR]]="COMPLETO",Tabla1[[#This Row],[MESES DE ADEUDO DEL AÑO EN CURSO ]]*$T$2,Tabla1[[#This Row],[MESES DE ADEUDO DEL AÑO EN CURSO ]]*($T$2/2))</f>
        <v>0</v>
      </c>
      <c r="AB33" s="70">
        <f>SUM(Tabla1[[#This Row],[DEUDA DE LOS MESES PASADOS EN $$]:[DEUDA DEL AÑO 2013 $$ ]])</f>
        <v>0</v>
      </c>
      <c r="AE33" s="103">
        <f>IF(Tabla1[[#This Row],[TIPO DE CONSUMIDOR]]="MEDIO",IF(Tabla1[[#This Row],[ENERO ]]&gt;22.5,Tabla1[[#This Row],[ENERO ]]/22.5-1,0),IF(Tabla1[[#This Row],[ENERO ]]&gt;45,Tabla1[[#This Row],[ENERO ]]/45-1,0))</f>
        <v>0</v>
      </c>
      <c r="AF3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" s="103">
        <f>IF(Tabla1[[#This Row],[TIPO DE CONSUMIDOR]]="MEDIO",IF(Tabla1[[#This Row],[MARZO]]&gt;22.5,Tabla1[[#This Row],[MARZO]]/22.5-1,0),IF(Tabla1[[#This Row],[MARZO]]&gt;45,Tabla1[[#This Row],[MARZO]]/45-1,0))</f>
        <v>0</v>
      </c>
      <c r="AH33" s="103">
        <f>IF(Tabla1[[#This Row],[TIPO DE CONSUMIDOR]]="MEDIO",IF(Tabla1[[#This Row],[ABRIL]]&gt;22.5,Tabla1[[#This Row],[ABRIL]]/22.5-1,0),IF(Tabla1[[#This Row],[ABRIL]]&gt;45,Tabla1[[#This Row],[ABRIL]]/45-1,0))</f>
        <v>0</v>
      </c>
      <c r="AI33" s="103">
        <f>IF(Tabla1[[#This Row],[TIPO DE CONSUMIDOR]]="MEDIO",IF(Tabla1[[#This Row],[MAYO ]]&gt;22.5,Tabla1[[#This Row],[MAYO ]]/22.5-1,0),IF(Tabla1[[#This Row],[MAYO ]]&gt;45,Tabla1[[#This Row],[MAYO ]]/45-1,0))</f>
        <v>0</v>
      </c>
      <c r="AJ33" s="103">
        <f>IF(Tabla1[[#This Row],[TIPO DE CONSUMIDOR]]="MEDIO",IF(Tabla1[[#This Row],[JUNIO ]]&gt;22.5,Tabla1[[#This Row],[JUNIO ]]/22.5-1,0),IF(Tabla1[[#This Row],[JUNIO ]]&gt;45,Tabla1[[#This Row],[JUNIO ]]/45-1,0))</f>
        <v>0</v>
      </c>
      <c r="AK33" s="103">
        <f>IF(Tabla1[[#This Row],[TIPO DE CONSUMIDOR]]="MEDIO",IF(Tabla1[[#This Row],[JULIO ]]&gt;22.5,Tabla1[[#This Row],[JULIO ]]/22.5-1,0),IF(Tabla1[[#This Row],[JULIO ]]&gt;45,Tabla1[[#This Row],[JULIO ]]/45-1,0))</f>
        <v>0</v>
      </c>
      <c r="AL33" s="103">
        <f>IF(Tabla1[[#This Row],[TIPO DE CONSUMIDOR]]="MEDIO",IF(Tabla1[[#This Row],[AGOSTO]]&gt;22.5,Tabla1[[#This Row],[AGOSTO]]/22.5-1,0),IF(Tabla1[[#This Row],[AGOSTO]]&gt;45,Tabla1[[#This Row],[AGOSTO]]/45-1,0))</f>
        <v>0</v>
      </c>
      <c r="AM3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" s="104">
        <f t="shared" si="2"/>
        <v>0</v>
      </c>
      <c r="AR33" s="9">
        <f t="shared" si="0"/>
        <v>0</v>
      </c>
      <c r="AS33" s="60">
        <f>IF(Tabla1[[#This Row],[MESES DE ADEUDO DEL AÑO EN CURSO ]]&gt;0,1,0)</f>
        <v>0</v>
      </c>
      <c r="AT33" s="42"/>
      <c r="AU33" s="42"/>
      <c r="AV33" s="42"/>
      <c r="AW33" s="43"/>
    </row>
    <row r="34" spans="1:49" ht="21.75" thickBot="1" x14ac:dyDescent="0.35">
      <c r="A34" s="109">
        <v>28</v>
      </c>
      <c r="B34" s="5" t="s">
        <v>598</v>
      </c>
      <c r="C34" s="2" t="s">
        <v>478</v>
      </c>
      <c r="D34" s="32"/>
      <c r="E34" s="35" t="s">
        <v>455</v>
      </c>
      <c r="F34" s="34">
        <v>45</v>
      </c>
      <c r="G34" s="34">
        <v>45</v>
      </c>
      <c r="H34" s="34">
        <v>45</v>
      </c>
      <c r="I34" s="34">
        <v>45</v>
      </c>
      <c r="J34" s="34">
        <v>45</v>
      </c>
      <c r="K34" s="34">
        <v>45</v>
      </c>
      <c r="L34" s="34">
        <v>45</v>
      </c>
      <c r="M34" s="34">
        <v>45</v>
      </c>
      <c r="N34" s="34">
        <v>45</v>
      </c>
      <c r="O34" s="34">
        <v>45</v>
      </c>
      <c r="P34" s="34">
        <v>45</v>
      </c>
      <c r="Q34" s="34">
        <v>45</v>
      </c>
      <c r="R34" s="24">
        <f>SUM(Tabla1[[#This Row],[ENERO ]:[DICIEMBRE]])</f>
        <v>540</v>
      </c>
      <c r="W34" s="65">
        <v>0</v>
      </c>
      <c r="X34" s="21">
        <f>COUNTIF(Tabla1[[#This Row],[ENERO ]:[DICIEMBRE]],0)-(AQ34)-IF(Tabla1[[#This Row],[BAJAS]]="BAJA",IF(Tabla1[[#This Row],[ALTAS]]="ALTA",VLOOKUP(Tabla1[[#This Row],[MES DE ALTA ]],$AT$6:$AU$17,2,FALSE),12)-VLOOKUP(Tabla1[[#This Row],[MES DE BAJA ]],$AT$6:$AU$17,2,FALSE),0)</f>
        <v>0</v>
      </c>
      <c r="Y34" s="69">
        <f>SUM(Tabla1[[#This Row],[MES ADEUDO DE AÑOS PASADOS ]:[MESES DE ADEUDO DEL AÑO EN CURSO ]])</f>
        <v>0</v>
      </c>
      <c r="Z34" s="15">
        <f>IF(Tabla1[[#This Row],[TIPO DE CONSUMIDOR]]="COMPLETO",W34*$T$2,W34*($T$2/2))</f>
        <v>0</v>
      </c>
      <c r="AA34" s="15">
        <f>IF(Tabla1[[#This Row],[TIPO DE CONSUMIDOR]]="COMPLETO",Tabla1[[#This Row],[MESES DE ADEUDO DEL AÑO EN CURSO ]]*$T$2,Tabla1[[#This Row],[MESES DE ADEUDO DEL AÑO EN CURSO ]]*($T$2/2))</f>
        <v>0</v>
      </c>
      <c r="AB34" s="70">
        <f>SUM(Tabla1[[#This Row],[DEUDA DE LOS MESES PASADOS EN $$]:[DEUDA DEL AÑO 2013 $$ ]])</f>
        <v>0</v>
      </c>
      <c r="AE34" s="103">
        <f>IF(Tabla1[[#This Row],[TIPO DE CONSUMIDOR]]="MEDIO",IF(Tabla1[[#This Row],[ENERO ]]&gt;22.5,Tabla1[[#This Row],[ENERO ]]/22.5-1,0),IF(Tabla1[[#This Row],[ENERO ]]&gt;45,Tabla1[[#This Row],[ENERO ]]/45-1,0))</f>
        <v>0</v>
      </c>
      <c r="AF3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" s="103">
        <f>IF(Tabla1[[#This Row],[TIPO DE CONSUMIDOR]]="MEDIO",IF(Tabla1[[#This Row],[MARZO]]&gt;22.5,Tabla1[[#This Row],[MARZO]]/22.5-1,0),IF(Tabla1[[#This Row],[MARZO]]&gt;45,Tabla1[[#This Row],[MARZO]]/45-1,0))</f>
        <v>0</v>
      </c>
      <c r="AH34" s="103">
        <f>IF(Tabla1[[#This Row],[TIPO DE CONSUMIDOR]]="MEDIO",IF(Tabla1[[#This Row],[ABRIL]]&gt;22.5,Tabla1[[#This Row],[ABRIL]]/22.5-1,0),IF(Tabla1[[#This Row],[ABRIL]]&gt;45,Tabla1[[#This Row],[ABRIL]]/45-1,0))</f>
        <v>0</v>
      </c>
      <c r="AI34" s="103">
        <f>IF(Tabla1[[#This Row],[TIPO DE CONSUMIDOR]]="MEDIO",IF(Tabla1[[#This Row],[MAYO ]]&gt;22.5,Tabla1[[#This Row],[MAYO ]]/22.5-1,0),IF(Tabla1[[#This Row],[MAYO ]]&gt;45,Tabla1[[#This Row],[MAYO ]]/45-1,0))</f>
        <v>0</v>
      </c>
      <c r="AJ34" s="103">
        <f>IF(Tabla1[[#This Row],[TIPO DE CONSUMIDOR]]="MEDIO",IF(Tabla1[[#This Row],[JUNIO ]]&gt;22.5,Tabla1[[#This Row],[JUNIO ]]/22.5-1,0),IF(Tabla1[[#This Row],[JUNIO ]]&gt;45,Tabla1[[#This Row],[JUNIO ]]/45-1,0))</f>
        <v>0</v>
      </c>
      <c r="AK34" s="103">
        <f>IF(Tabla1[[#This Row],[TIPO DE CONSUMIDOR]]="MEDIO",IF(Tabla1[[#This Row],[JULIO ]]&gt;22.5,Tabla1[[#This Row],[JULIO ]]/22.5-1,0),IF(Tabla1[[#This Row],[JULIO ]]&gt;45,Tabla1[[#This Row],[JULIO ]]/45-1,0))</f>
        <v>0</v>
      </c>
      <c r="AL34" s="103">
        <f>IF(Tabla1[[#This Row],[TIPO DE CONSUMIDOR]]="MEDIO",IF(Tabla1[[#This Row],[AGOSTO]]&gt;22.5,Tabla1[[#This Row],[AGOSTO]]/22.5-1,0),IF(Tabla1[[#This Row],[AGOSTO]]&gt;45,Tabla1[[#This Row],[AGOSTO]]/45-1,0))</f>
        <v>0</v>
      </c>
      <c r="AM3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" s="104">
        <f t="shared" si="2"/>
        <v>0</v>
      </c>
      <c r="AR34" s="9">
        <f t="shared" si="0"/>
        <v>0</v>
      </c>
      <c r="AS34" s="60">
        <f>IF(Tabla1[[#This Row],[MESES DE ADEUDO DEL AÑO EN CURSO ]]&gt;0,1,0)</f>
        <v>0</v>
      </c>
      <c r="AT34" s="42"/>
      <c r="AU34" s="42"/>
      <c r="AV34" s="42"/>
      <c r="AW34" s="43"/>
    </row>
    <row r="35" spans="1:49" ht="21.75" thickBot="1" x14ac:dyDescent="0.35">
      <c r="A35" s="109">
        <v>29</v>
      </c>
      <c r="B35" s="5" t="s">
        <v>403</v>
      </c>
      <c r="C35" s="2" t="s">
        <v>478</v>
      </c>
      <c r="D35" s="32"/>
      <c r="E35" s="35" t="s">
        <v>455</v>
      </c>
      <c r="F35" s="34">
        <v>45</v>
      </c>
      <c r="G35" s="34">
        <v>45</v>
      </c>
      <c r="H35" s="34">
        <v>45</v>
      </c>
      <c r="I35" s="34">
        <v>45</v>
      </c>
      <c r="J35" s="34">
        <v>45</v>
      </c>
      <c r="K35" s="34">
        <v>45</v>
      </c>
      <c r="L35" s="34">
        <v>45</v>
      </c>
      <c r="M35" s="34">
        <v>45</v>
      </c>
      <c r="N35" s="34">
        <v>45</v>
      </c>
      <c r="O35" s="34">
        <v>45</v>
      </c>
      <c r="P35" s="34">
        <v>45</v>
      </c>
      <c r="Q35" s="34">
        <v>45</v>
      </c>
      <c r="R35" s="24">
        <f>SUM(Tabla1[[#This Row],[ENERO ]:[DICIEMBRE]])</f>
        <v>540</v>
      </c>
      <c r="W35" s="65">
        <v>0</v>
      </c>
      <c r="X35" s="21">
        <f>COUNTIF(Tabla1[[#This Row],[ENERO ]:[DICIEMBRE]],0)-(AQ35)-IF(Tabla1[[#This Row],[BAJAS]]="BAJA",IF(Tabla1[[#This Row],[ALTAS]]="ALTA",VLOOKUP(Tabla1[[#This Row],[MES DE ALTA ]],$AT$6:$AU$17,2,FALSE),12)-VLOOKUP(Tabla1[[#This Row],[MES DE BAJA ]],$AT$6:$AU$17,2,FALSE),0)</f>
        <v>0</v>
      </c>
      <c r="Y35" s="69">
        <f>SUM(Tabla1[[#This Row],[MES ADEUDO DE AÑOS PASADOS ]:[MESES DE ADEUDO DEL AÑO EN CURSO ]])</f>
        <v>0</v>
      </c>
      <c r="Z35" s="15">
        <f>IF(Tabla1[[#This Row],[TIPO DE CONSUMIDOR]]="COMPLETO",W35*$T$2,W35*($T$2/2))</f>
        <v>0</v>
      </c>
      <c r="AA35" s="15">
        <f>IF(Tabla1[[#This Row],[TIPO DE CONSUMIDOR]]="COMPLETO",Tabla1[[#This Row],[MESES DE ADEUDO DEL AÑO EN CURSO ]]*$T$2,Tabla1[[#This Row],[MESES DE ADEUDO DEL AÑO EN CURSO ]]*($T$2/2))</f>
        <v>0</v>
      </c>
      <c r="AB35" s="70">
        <f>SUM(Tabla1[[#This Row],[DEUDA DE LOS MESES PASADOS EN $$]:[DEUDA DEL AÑO 2013 $$ ]])</f>
        <v>0</v>
      </c>
      <c r="AE35" s="103">
        <f>IF(Tabla1[[#This Row],[TIPO DE CONSUMIDOR]]="MEDIO",IF(Tabla1[[#This Row],[ENERO ]]&gt;22.5,Tabla1[[#This Row],[ENERO ]]/22.5-1,0),IF(Tabla1[[#This Row],[ENERO ]]&gt;45,Tabla1[[#This Row],[ENERO ]]/45-1,0))</f>
        <v>0</v>
      </c>
      <c r="AF3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" s="103">
        <f>IF(Tabla1[[#This Row],[TIPO DE CONSUMIDOR]]="MEDIO",IF(Tabla1[[#This Row],[MARZO]]&gt;22.5,Tabla1[[#This Row],[MARZO]]/22.5-1,0),IF(Tabla1[[#This Row],[MARZO]]&gt;45,Tabla1[[#This Row],[MARZO]]/45-1,0))</f>
        <v>0</v>
      </c>
      <c r="AH35" s="103">
        <f>IF(Tabla1[[#This Row],[TIPO DE CONSUMIDOR]]="MEDIO",IF(Tabla1[[#This Row],[ABRIL]]&gt;22.5,Tabla1[[#This Row],[ABRIL]]/22.5-1,0),IF(Tabla1[[#This Row],[ABRIL]]&gt;45,Tabla1[[#This Row],[ABRIL]]/45-1,0))</f>
        <v>0</v>
      </c>
      <c r="AI35" s="103">
        <f>IF(Tabla1[[#This Row],[TIPO DE CONSUMIDOR]]="MEDIO",IF(Tabla1[[#This Row],[MAYO ]]&gt;22.5,Tabla1[[#This Row],[MAYO ]]/22.5-1,0),IF(Tabla1[[#This Row],[MAYO ]]&gt;45,Tabla1[[#This Row],[MAYO ]]/45-1,0))</f>
        <v>0</v>
      </c>
      <c r="AJ35" s="103">
        <f>IF(Tabla1[[#This Row],[TIPO DE CONSUMIDOR]]="MEDIO",IF(Tabla1[[#This Row],[JUNIO ]]&gt;22.5,Tabla1[[#This Row],[JUNIO ]]/22.5-1,0),IF(Tabla1[[#This Row],[JUNIO ]]&gt;45,Tabla1[[#This Row],[JUNIO ]]/45-1,0))</f>
        <v>0</v>
      </c>
      <c r="AK35" s="103">
        <f>IF(Tabla1[[#This Row],[TIPO DE CONSUMIDOR]]="MEDIO",IF(Tabla1[[#This Row],[JULIO ]]&gt;22.5,Tabla1[[#This Row],[JULIO ]]/22.5-1,0),IF(Tabla1[[#This Row],[JULIO ]]&gt;45,Tabla1[[#This Row],[JULIO ]]/45-1,0))</f>
        <v>0</v>
      </c>
      <c r="AL35" s="103">
        <f>IF(Tabla1[[#This Row],[TIPO DE CONSUMIDOR]]="MEDIO",IF(Tabla1[[#This Row],[AGOSTO]]&gt;22.5,Tabla1[[#This Row],[AGOSTO]]/22.5-1,0),IF(Tabla1[[#This Row],[AGOSTO]]&gt;45,Tabla1[[#This Row],[AGOSTO]]/45-1,0))</f>
        <v>0</v>
      </c>
      <c r="AM3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" s="104">
        <f t="shared" si="2"/>
        <v>0</v>
      </c>
      <c r="AR35" s="9">
        <f t="shared" si="0"/>
        <v>0</v>
      </c>
      <c r="AS35" s="60">
        <f>IF(Tabla1[[#This Row],[MESES DE ADEUDO DEL AÑO EN CURSO ]]&gt;0,1,0)</f>
        <v>0</v>
      </c>
      <c r="AT35" s="42"/>
      <c r="AU35" s="42"/>
      <c r="AV35" s="42"/>
      <c r="AW35" s="43"/>
    </row>
    <row r="36" spans="1:49" ht="21.75" thickBot="1" x14ac:dyDescent="0.35">
      <c r="A36" s="109">
        <v>30</v>
      </c>
      <c r="B36" s="5" t="s">
        <v>479</v>
      </c>
      <c r="C36" s="2" t="s">
        <v>480</v>
      </c>
      <c r="D36" s="32"/>
      <c r="E36" s="35" t="s">
        <v>455</v>
      </c>
      <c r="F36" s="34">
        <v>45</v>
      </c>
      <c r="G36" s="34">
        <v>45</v>
      </c>
      <c r="H36" s="34">
        <v>45</v>
      </c>
      <c r="I36" s="34">
        <v>45</v>
      </c>
      <c r="J36" s="34">
        <v>45</v>
      </c>
      <c r="K36" s="34">
        <v>45</v>
      </c>
      <c r="L36" s="34">
        <v>45</v>
      </c>
      <c r="M36" s="34">
        <v>45</v>
      </c>
      <c r="N36" s="34">
        <v>45</v>
      </c>
      <c r="O36" s="34">
        <v>45</v>
      </c>
      <c r="P36" s="34">
        <v>45</v>
      </c>
      <c r="Q36" s="34">
        <v>45</v>
      </c>
      <c r="R36" s="24">
        <f>SUM(Tabla1[[#This Row],[ENERO ]:[DICIEMBRE]])</f>
        <v>540</v>
      </c>
      <c r="W36" s="65">
        <v>0</v>
      </c>
      <c r="X36" s="21">
        <f>COUNTIF(Tabla1[[#This Row],[ENERO ]:[DICIEMBRE]],0)-(AQ36)-IF(Tabla1[[#This Row],[BAJAS]]="BAJA",IF(Tabla1[[#This Row],[ALTAS]]="ALTA",VLOOKUP(Tabla1[[#This Row],[MES DE ALTA ]],$AT$6:$AU$17,2,FALSE),12)-VLOOKUP(Tabla1[[#This Row],[MES DE BAJA ]],$AT$6:$AU$17,2,FALSE),0)</f>
        <v>0</v>
      </c>
      <c r="Y36" s="69">
        <f>SUM(Tabla1[[#This Row],[MES ADEUDO DE AÑOS PASADOS ]:[MESES DE ADEUDO DEL AÑO EN CURSO ]])</f>
        <v>0</v>
      </c>
      <c r="Z36" s="15">
        <f>IF(Tabla1[[#This Row],[TIPO DE CONSUMIDOR]]="COMPLETO",W36*$T$2,W36*($T$2/2))</f>
        <v>0</v>
      </c>
      <c r="AA36" s="15">
        <f>IF(Tabla1[[#This Row],[TIPO DE CONSUMIDOR]]="COMPLETO",Tabla1[[#This Row],[MESES DE ADEUDO DEL AÑO EN CURSO ]]*$T$2,Tabla1[[#This Row],[MESES DE ADEUDO DEL AÑO EN CURSO ]]*($T$2/2))</f>
        <v>0</v>
      </c>
      <c r="AB36" s="70">
        <f>SUM(Tabla1[[#This Row],[DEUDA DE LOS MESES PASADOS EN $$]:[DEUDA DEL AÑO 2013 $$ ]])</f>
        <v>0</v>
      </c>
      <c r="AE36" s="103">
        <f>IF(Tabla1[[#This Row],[TIPO DE CONSUMIDOR]]="MEDIO",IF(Tabla1[[#This Row],[ENERO ]]&gt;22.5,Tabla1[[#This Row],[ENERO ]]/22.5-1,0),IF(Tabla1[[#This Row],[ENERO ]]&gt;45,Tabla1[[#This Row],[ENERO ]]/45-1,0))</f>
        <v>0</v>
      </c>
      <c r="AF3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" s="103">
        <f>IF(Tabla1[[#This Row],[TIPO DE CONSUMIDOR]]="MEDIO",IF(Tabla1[[#This Row],[MARZO]]&gt;22.5,Tabla1[[#This Row],[MARZO]]/22.5-1,0),IF(Tabla1[[#This Row],[MARZO]]&gt;45,Tabla1[[#This Row],[MARZO]]/45-1,0))</f>
        <v>0</v>
      </c>
      <c r="AH36" s="103">
        <f>IF(Tabla1[[#This Row],[TIPO DE CONSUMIDOR]]="MEDIO",IF(Tabla1[[#This Row],[ABRIL]]&gt;22.5,Tabla1[[#This Row],[ABRIL]]/22.5-1,0),IF(Tabla1[[#This Row],[ABRIL]]&gt;45,Tabla1[[#This Row],[ABRIL]]/45-1,0))</f>
        <v>0</v>
      </c>
      <c r="AI36" s="103">
        <f>IF(Tabla1[[#This Row],[TIPO DE CONSUMIDOR]]="MEDIO",IF(Tabla1[[#This Row],[MAYO ]]&gt;22.5,Tabla1[[#This Row],[MAYO ]]/22.5-1,0),IF(Tabla1[[#This Row],[MAYO ]]&gt;45,Tabla1[[#This Row],[MAYO ]]/45-1,0))</f>
        <v>0</v>
      </c>
      <c r="AJ36" s="103">
        <f>IF(Tabla1[[#This Row],[TIPO DE CONSUMIDOR]]="MEDIO",IF(Tabla1[[#This Row],[JUNIO ]]&gt;22.5,Tabla1[[#This Row],[JUNIO ]]/22.5-1,0),IF(Tabla1[[#This Row],[JUNIO ]]&gt;45,Tabla1[[#This Row],[JUNIO ]]/45-1,0))</f>
        <v>0</v>
      </c>
      <c r="AK36" s="103">
        <f>IF(Tabla1[[#This Row],[TIPO DE CONSUMIDOR]]="MEDIO",IF(Tabla1[[#This Row],[JULIO ]]&gt;22.5,Tabla1[[#This Row],[JULIO ]]/22.5-1,0),IF(Tabla1[[#This Row],[JULIO ]]&gt;45,Tabla1[[#This Row],[JULIO ]]/45-1,0))</f>
        <v>0</v>
      </c>
      <c r="AL36" s="103">
        <f>IF(Tabla1[[#This Row],[TIPO DE CONSUMIDOR]]="MEDIO",IF(Tabla1[[#This Row],[AGOSTO]]&gt;22.5,Tabla1[[#This Row],[AGOSTO]]/22.5-1,0),IF(Tabla1[[#This Row],[AGOSTO]]&gt;45,Tabla1[[#This Row],[AGOSTO]]/45-1,0))</f>
        <v>0</v>
      </c>
      <c r="AM3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" s="104">
        <f t="shared" si="2"/>
        <v>0</v>
      </c>
      <c r="AR36" s="9">
        <f t="shared" si="0"/>
        <v>0</v>
      </c>
      <c r="AS36" s="60">
        <f>IF(Tabla1[[#This Row],[MESES DE ADEUDO DEL AÑO EN CURSO ]]&gt;0,1,0)</f>
        <v>0</v>
      </c>
      <c r="AT36" s="42"/>
      <c r="AU36" s="42"/>
      <c r="AV36" s="42"/>
      <c r="AW36" s="43"/>
    </row>
    <row r="37" spans="1:49" ht="21.75" thickBot="1" x14ac:dyDescent="0.35">
      <c r="A37" s="109">
        <v>31</v>
      </c>
      <c r="B37" s="5" t="s">
        <v>481</v>
      </c>
      <c r="C37" s="2" t="s">
        <v>480</v>
      </c>
      <c r="D37" s="32"/>
      <c r="E37" s="35" t="s">
        <v>455</v>
      </c>
      <c r="F37" s="34">
        <v>45</v>
      </c>
      <c r="G37" s="34">
        <v>45</v>
      </c>
      <c r="H37" s="34">
        <v>45</v>
      </c>
      <c r="I37" s="34">
        <v>45</v>
      </c>
      <c r="J37" s="34">
        <v>45</v>
      </c>
      <c r="K37" s="34">
        <v>45</v>
      </c>
      <c r="L37" s="34">
        <v>45</v>
      </c>
      <c r="M37" s="34">
        <v>45</v>
      </c>
      <c r="N37" s="34">
        <v>45</v>
      </c>
      <c r="O37" s="34">
        <v>45</v>
      </c>
      <c r="P37" s="34">
        <v>45</v>
      </c>
      <c r="Q37" s="34">
        <v>45</v>
      </c>
      <c r="R37" s="24">
        <f>SUM(Tabla1[[#This Row],[ENERO ]:[DICIEMBRE]])</f>
        <v>540</v>
      </c>
      <c r="W37" s="65">
        <v>0</v>
      </c>
      <c r="X37" s="21">
        <f>COUNTIF(Tabla1[[#This Row],[ENERO ]:[DICIEMBRE]],0)-(AQ37)-IF(Tabla1[[#This Row],[BAJAS]]="BAJA",IF(Tabla1[[#This Row],[ALTAS]]="ALTA",VLOOKUP(Tabla1[[#This Row],[MES DE ALTA ]],$AT$6:$AU$17,2,FALSE),12)-VLOOKUP(Tabla1[[#This Row],[MES DE BAJA ]],$AT$6:$AU$17,2,FALSE),0)</f>
        <v>0</v>
      </c>
      <c r="Y37" s="69">
        <f>SUM(Tabla1[[#This Row],[MES ADEUDO DE AÑOS PASADOS ]:[MESES DE ADEUDO DEL AÑO EN CURSO ]])</f>
        <v>0</v>
      </c>
      <c r="Z37" s="15">
        <f>IF(Tabla1[[#This Row],[TIPO DE CONSUMIDOR]]="COMPLETO",W37*$T$2,W37*($T$2/2))</f>
        <v>0</v>
      </c>
      <c r="AA37" s="15">
        <f>IF(Tabla1[[#This Row],[TIPO DE CONSUMIDOR]]="COMPLETO",Tabla1[[#This Row],[MESES DE ADEUDO DEL AÑO EN CURSO ]]*$T$2,Tabla1[[#This Row],[MESES DE ADEUDO DEL AÑO EN CURSO ]]*($T$2/2))</f>
        <v>0</v>
      </c>
      <c r="AB37" s="70">
        <f>SUM(Tabla1[[#This Row],[DEUDA DE LOS MESES PASADOS EN $$]:[DEUDA DEL AÑO 2013 $$ ]])</f>
        <v>0</v>
      </c>
      <c r="AE37" s="103">
        <f>IF(Tabla1[[#This Row],[TIPO DE CONSUMIDOR]]="MEDIO",IF(Tabla1[[#This Row],[ENERO ]]&gt;22.5,Tabla1[[#This Row],[ENERO ]]/22.5-1,0),IF(Tabla1[[#This Row],[ENERO ]]&gt;45,Tabla1[[#This Row],[ENERO ]]/45-1,0))</f>
        <v>0</v>
      </c>
      <c r="AF3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" s="103">
        <f>IF(Tabla1[[#This Row],[TIPO DE CONSUMIDOR]]="MEDIO",IF(Tabla1[[#This Row],[MARZO]]&gt;22.5,Tabla1[[#This Row],[MARZO]]/22.5-1,0),IF(Tabla1[[#This Row],[MARZO]]&gt;45,Tabla1[[#This Row],[MARZO]]/45-1,0))</f>
        <v>0</v>
      </c>
      <c r="AH37" s="103">
        <f>IF(Tabla1[[#This Row],[TIPO DE CONSUMIDOR]]="MEDIO",IF(Tabla1[[#This Row],[ABRIL]]&gt;22.5,Tabla1[[#This Row],[ABRIL]]/22.5-1,0),IF(Tabla1[[#This Row],[ABRIL]]&gt;45,Tabla1[[#This Row],[ABRIL]]/45-1,0))</f>
        <v>0</v>
      </c>
      <c r="AI37" s="103">
        <f>IF(Tabla1[[#This Row],[TIPO DE CONSUMIDOR]]="MEDIO",IF(Tabla1[[#This Row],[MAYO ]]&gt;22.5,Tabla1[[#This Row],[MAYO ]]/22.5-1,0),IF(Tabla1[[#This Row],[MAYO ]]&gt;45,Tabla1[[#This Row],[MAYO ]]/45-1,0))</f>
        <v>0</v>
      </c>
      <c r="AJ37" s="103">
        <f>IF(Tabla1[[#This Row],[TIPO DE CONSUMIDOR]]="MEDIO",IF(Tabla1[[#This Row],[JUNIO ]]&gt;22.5,Tabla1[[#This Row],[JUNIO ]]/22.5-1,0),IF(Tabla1[[#This Row],[JUNIO ]]&gt;45,Tabla1[[#This Row],[JUNIO ]]/45-1,0))</f>
        <v>0</v>
      </c>
      <c r="AK37" s="103">
        <f>IF(Tabla1[[#This Row],[TIPO DE CONSUMIDOR]]="MEDIO",IF(Tabla1[[#This Row],[JULIO ]]&gt;22.5,Tabla1[[#This Row],[JULIO ]]/22.5-1,0),IF(Tabla1[[#This Row],[JULIO ]]&gt;45,Tabla1[[#This Row],[JULIO ]]/45-1,0))</f>
        <v>0</v>
      </c>
      <c r="AL37" s="103">
        <f>IF(Tabla1[[#This Row],[TIPO DE CONSUMIDOR]]="MEDIO",IF(Tabla1[[#This Row],[AGOSTO]]&gt;22.5,Tabla1[[#This Row],[AGOSTO]]/22.5-1,0),IF(Tabla1[[#This Row],[AGOSTO]]&gt;45,Tabla1[[#This Row],[AGOSTO]]/45-1,0))</f>
        <v>0</v>
      </c>
      <c r="AM3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" s="104">
        <f t="shared" si="2"/>
        <v>0</v>
      </c>
      <c r="AR37" s="9">
        <f t="shared" si="0"/>
        <v>0</v>
      </c>
      <c r="AS37" s="60">
        <f>IF(Tabla1[[#This Row],[MESES DE ADEUDO DEL AÑO EN CURSO ]]&gt;0,1,0)</f>
        <v>0</v>
      </c>
      <c r="AT37" s="42"/>
      <c r="AU37" s="42"/>
      <c r="AV37" s="42"/>
      <c r="AW37" s="43"/>
    </row>
    <row r="38" spans="1:49" ht="21.75" thickBot="1" x14ac:dyDescent="0.35">
      <c r="A38" s="109">
        <v>32</v>
      </c>
      <c r="B38" s="5" t="s">
        <v>482</v>
      </c>
      <c r="C38" s="2" t="s">
        <v>480</v>
      </c>
      <c r="D38" s="32"/>
      <c r="E38" s="35" t="s">
        <v>455</v>
      </c>
      <c r="F38" s="34">
        <v>45</v>
      </c>
      <c r="G38" s="34">
        <v>45</v>
      </c>
      <c r="H38" s="34">
        <v>45</v>
      </c>
      <c r="I38" s="34">
        <v>45</v>
      </c>
      <c r="J38" s="34">
        <v>45</v>
      </c>
      <c r="K38" s="34">
        <v>45</v>
      </c>
      <c r="L38" s="34">
        <v>45</v>
      </c>
      <c r="M38" s="34">
        <v>45</v>
      </c>
      <c r="N38" s="34">
        <v>45</v>
      </c>
      <c r="O38" s="34">
        <v>45</v>
      </c>
      <c r="P38" s="34">
        <v>45</v>
      </c>
      <c r="Q38" s="34">
        <v>45</v>
      </c>
      <c r="R38" s="24">
        <f>SUM(Tabla1[[#This Row],[ENERO ]:[DICIEMBRE]])</f>
        <v>540</v>
      </c>
      <c r="W38" s="65">
        <v>0</v>
      </c>
      <c r="X38" s="21">
        <f>COUNTIF(Tabla1[[#This Row],[ENERO ]:[DICIEMBRE]],0)-(AQ38)-IF(Tabla1[[#This Row],[BAJAS]]="BAJA",IF(Tabla1[[#This Row],[ALTAS]]="ALTA",VLOOKUP(Tabla1[[#This Row],[MES DE ALTA ]],$AT$6:$AU$17,2,FALSE),12)-VLOOKUP(Tabla1[[#This Row],[MES DE BAJA ]],$AT$6:$AU$17,2,FALSE),0)</f>
        <v>0</v>
      </c>
      <c r="Y38" s="69">
        <f>SUM(Tabla1[[#This Row],[MES ADEUDO DE AÑOS PASADOS ]:[MESES DE ADEUDO DEL AÑO EN CURSO ]])</f>
        <v>0</v>
      </c>
      <c r="Z38" s="15">
        <f>IF(Tabla1[[#This Row],[TIPO DE CONSUMIDOR]]="COMPLETO",W38*$T$2,W38*($T$2/2))</f>
        <v>0</v>
      </c>
      <c r="AA38" s="15">
        <f>IF(Tabla1[[#This Row],[TIPO DE CONSUMIDOR]]="COMPLETO",Tabla1[[#This Row],[MESES DE ADEUDO DEL AÑO EN CURSO ]]*$T$2,Tabla1[[#This Row],[MESES DE ADEUDO DEL AÑO EN CURSO ]]*($T$2/2))</f>
        <v>0</v>
      </c>
      <c r="AB38" s="70">
        <f>SUM(Tabla1[[#This Row],[DEUDA DE LOS MESES PASADOS EN $$]:[DEUDA DEL AÑO 2013 $$ ]])</f>
        <v>0</v>
      </c>
      <c r="AE38" s="103">
        <f>IF(Tabla1[[#This Row],[TIPO DE CONSUMIDOR]]="MEDIO",IF(Tabla1[[#This Row],[ENERO ]]&gt;22.5,Tabla1[[#This Row],[ENERO ]]/22.5-1,0),IF(Tabla1[[#This Row],[ENERO ]]&gt;45,Tabla1[[#This Row],[ENERO ]]/45-1,0))</f>
        <v>0</v>
      </c>
      <c r="AF3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" s="103">
        <f>IF(Tabla1[[#This Row],[TIPO DE CONSUMIDOR]]="MEDIO",IF(Tabla1[[#This Row],[MARZO]]&gt;22.5,Tabla1[[#This Row],[MARZO]]/22.5-1,0),IF(Tabla1[[#This Row],[MARZO]]&gt;45,Tabla1[[#This Row],[MARZO]]/45-1,0))</f>
        <v>0</v>
      </c>
      <c r="AH38" s="103">
        <f>IF(Tabla1[[#This Row],[TIPO DE CONSUMIDOR]]="MEDIO",IF(Tabla1[[#This Row],[ABRIL]]&gt;22.5,Tabla1[[#This Row],[ABRIL]]/22.5-1,0),IF(Tabla1[[#This Row],[ABRIL]]&gt;45,Tabla1[[#This Row],[ABRIL]]/45-1,0))</f>
        <v>0</v>
      </c>
      <c r="AI38" s="103">
        <f>IF(Tabla1[[#This Row],[TIPO DE CONSUMIDOR]]="MEDIO",IF(Tabla1[[#This Row],[MAYO ]]&gt;22.5,Tabla1[[#This Row],[MAYO ]]/22.5-1,0),IF(Tabla1[[#This Row],[MAYO ]]&gt;45,Tabla1[[#This Row],[MAYO ]]/45-1,0))</f>
        <v>0</v>
      </c>
      <c r="AJ38" s="103">
        <f>IF(Tabla1[[#This Row],[TIPO DE CONSUMIDOR]]="MEDIO",IF(Tabla1[[#This Row],[JUNIO ]]&gt;22.5,Tabla1[[#This Row],[JUNIO ]]/22.5-1,0),IF(Tabla1[[#This Row],[JUNIO ]]&gt;45,Tabla1[[#This Row],[JUNIO ]]/45-1,0))</f>
        <v>0</v>
      </c>
      <c r="AK38" s="103">
        <f>IF(Tabla1[[#This Row],[TIPO DE CONSUMIDOR]]="MEDIO",IF(Tabla1[[#This Row],[JULIO ]]&gt;22.5,Tabla1[[#This Row],[JULIO ]]/22.5-1,0),IF(Tabla1[[#This Row],[JULIO ]]&gt;45,Tabla1[[#This Row],[JULIO ]]/45-1,0))</f>
        <v>0</v>
      </c>
      <c r="AL38" s="103">
        <f>IF(Tabla1[[#This Row],[TIPO DE CONSUMIDOR]]="MEDIO",IF(Tabla1[[#This Row],[AGOSTO]]&gt;22.5,Tabla1[[#This Row],[AGOSTO]]/22.5-1,0),IF(Tabla1[[#This Row],[AGOSTO]]&gt;45,Tabla1[[#This Row],[AGOSTO]]/45-1,0))</f>
        <v>0</v>
      </c>
      <c r="AM3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" s="104">
        <f t="shared" si="2"/>
        <v>0</v>
      </c>
      <c r="AR38" s="9">
        <f t="shared" si="0"/>
        <v>0</v>
      </c>
      <c r="AS38" s="60">
        <f>IF(Tabla1[[#This Row],[MESES DE ADEUDO DEL AÑO EN CURSO ]]&gt;0,1,0)</f>
        <v>0</v>
      </c>
      <c r="AT38" s="42"/>
      <c r="AU38" s="42"/>
      <c r="AV38" s="42"/>
      <c r="AW38" s="43"/>
    </row>
    <row r="39" spans="1:49" ht="21.75" thickBot="1" x14ac:dyDescent="0.35">
      <c r="A39" s="109">
        <v>33</v>
      </c>
      <c r="B39" s="5" t="s">
        <v>20</v>
      </c>
      <c r="C39" s="2" t="s">
        <v>480</v>
      </c>
      <c r="D39" s="32"/>
      <c r="E39" s="35" t="s">
        <v>455</v>
      </c>
      <c r="F39" s="34">
        <v>45</v>
      </c>
      <c r="G39" s="34">
        <v>45</v>
      </c>
      <c r="H39" s="34">
        <v>45</v>
      </c>
      <c r="I39" s="34">
        <v>45</v>
      </c>
      <c r="J39" s="34">
        <v>45</v>
      </c>
      <c r="K39" s="34">
        <v>45</v>
      </c>
      <c r="L39" s="34">
        <v>45</v>
      </c>
      <c r="M39" s="34">
        <v>45</v>
      </c>
      <c r="N39" s="34">
        <v>45</v>
      </c>
      <c r="O39" s="34">
        <v>45</v>
      </c>
      <c r="P39" s="34">
        <v>45</v>
      </c>
      <c r="Q39" s="34">
        <v>45</v>
      </c>
      <c r="R39" s="24">
        <f>SUM(Tabla1[[#This Row],[ENERO ]:[DICIEMBRE]])</f>
        <v>540</v>
      </c>
      <c r="W39" s="65">
        <v>0</v>
      </c>
      <c r="X39" s="21">
        <f>COUNTIF(Tabla1[[#This Row],[ENERO ]:[DICIEMBRE]],0)-(AQ39)-IF(Tabla1[[#This Row],[BAJAS]]="BAJA",IF(Tabla1[[#This Row],[ALTAS]]="ALTA",VLOOKUP(Tabla1[[#This Row],[MES DE ALTA ]],$AT$6:$AU$17,2,FALSE),12)-VLOOKUP(Tabla1[[#This Row],[MES DE BAJA ]],$AT$6:$AU$17,2,FALSE),0)</f>
        <v>0</v>
      </c>
      <c r="Y39" s="69">
        <f>SUM(Tabla1[[#This Row],[MES ADEUDO DE AÑOS PASADOS ]:[MESES DE ADEUDO DEL AÑO EN CURSO ]])</f>
        <v>0</v>
      </c>
      <c r="Z39" s="15">
        <f>IF(Tabla1[[#This Row],[TIPO DE CONSUMIDOR]]="COMPLETO",W39*$T$2,W39*($T$2/2))</f>
        <v>0</v>
      </c>
      <c r="AA39" s="15">
        <f>IF(Tabla1[[#This Row],[TIPO DE CONSUMIDOR]]="COMPLETO",Tabla1[[#This Row],[MESES DE ADEUDO DEL AÑO EN CURSO ]]*$T$2,Tabla1[[#This Row],[MESES DE ADEUDO DEL AÑO EN CURSO ]]*($T$2/2))</f>
        <v>0</v>
      </c>
      <c r="AB39" s="70">
        <f>SUM(Tabla1[[#This Row],[DEUDA DE LOS MESES PASADOS EN $$]:[DEUDA DEL AÑO 2013 $$ ]])</f>
        <v>0</v>
      </c>
      <c r="AE39" s="103">
        <f>IF(Tabla1[[#This Row],[TIPO DE CONSUMIDOR]]="MEDIO",IF(Tabla1[[#This Row],[ENERO ]]&gt;22.5,Tabla1[[#This Row],[ENERO ]]/22.5-1,0),IF(Tabla1[[#This Row],[ENERO ]]&gt;45,Tabla1[[#This Row],[ENERO ]]/45-1,0))</f>
        <v>0</v>
      </c>
      <c r="AF3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" s="103">
        <f>IF(Tabla1[[#This Row],[TIPO DE CONSUMIDOR]]="MEDIO",IF(Tabla1[[#This Row],[MARZO]]&gt;22.5,Tabla1[[#This Row],[MARZO]]/22.5-1,0),IF(Tabla1[[#This Row],[MARZO]]&gt;45,Tabla1[[#This Row],[MARZO]]/45-1,0))</f>
        <v>0</v>
      </c>
      <c r="AH39" s="103">
        <f>IF(Tabla1[[#This Row],[TIPO DE CONSUMIDOR]]="MEDIO",IF(Tabla1[[#This Row],[ABRIL]]&gt;22.5,Tabla1[[#This Row],[ABRIL]]/22.5-1,0),IF(Tabla1[[#This Row],[ABRIL]]&gt;45,Tabla1[[#This Row],[ABRIL]]/45-1,0))</f>
        <v>0</v>
      </c>
      <c r="AI39" s="103">
        <f>IF(Tabla1[[#This Row],[TIPO DE CONSUMIDOR]]="MEDIO",IF(Tabla1[[#This Row],[MAYO ]]&gt;22.5,Tabla1[[#This Row],[MAYO ]]/22.5-1,0),IF(Tabla1[[#This Row],[MAYO ]]&gt;45,Tabla1[[#This Row],[MAYO ]]/45-1,0))</f>
        <v>0</v>
      </c>
      <c r="AJ39" s="103">
        <f>IF(Tabla1[[#This Row],[TIPO DE CONSUMIDOR]]="MEDIO",IF(Tabla1[[#This Row],[JUNIO ]]&gt;22.5,Tabla1[[#This Row],[JUNIO ]]/22.5-1,0),IF(Tabla1[[#This Row],[JUNIO ]]&gt;45,Tabla1[[#This Row],[JUNIO ]]/45-1,0))</f>
        <v>0</v>
      </c>
      <c r="AK39" s="103">
        <f>IF(Tabla1[[#This Row],[TIPO DE CONSUMIDOR]]="MEDIO",IF(Tabla1[[#This Row],[JULIO ]]&gt;22.5,Tabla1[[#This Row],[JULIO ]]/22.5-1,0),IF(Tabla1[[#This Row],[JULIO ]]&gt;45,Tabla1[[#This Row],[JULIO ]]/45-1,0))</f>
        <v>0</v>
      </c>
      <c r="AL39" s="103">
        <f>IF(Tabla1[[#This Row],[TIPO DE CONSUMIDOR]]="MEDIO",IF(Tabla1[[#This Row],[AGOSTO]]&gt;22.5,Tabla1[[#This Row],[AGOSTO]]/22.5-1,0),IF(Tabla1[[#This Row],[AGOSTO]]&gt;45,Tabla1[[#This Row],[AGOSTO]]/45-1,0))</f>
        <v>0</v>
      </c>
      <c r="AM3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" s="104">
        <f t="shared" si="2"/>
        <v>0</v>
      </c>
      <c r="AR39" s="9">
        <f t="shared" si="0"/>
        <v>0</v>
      </c>
      <c r="AS39" s="60">
        <f>IF(Tabla1[[#This Row],[MESES DE ADEUDO DEL AÑO EN CURSO ]]&gt;0,1,0)</f>
        <v>0</v>
      </c>
      <c r="AT39" s="42"/>
      <c r="AU39" s="42"/>
      <c r="AV39" s="42"/>
      <c r="AW39" s="43"/>
    </row>
    <row r="40" spans="1:49" ht="21.75" thickBot="1" x14ac:dyDescent="0.35">
      <c r="A40" s="109">
        <v>34</v>
      </c>
      <c r="B40" s="5" t="s">
        <v>67</v>
      </c>
      <c r="C40" s="2" t="s">
        <v>480</v>
      </c>
      <c r="D40" s="32"/>
      <c r="E40" s="35" t="s">
        <v>455</v>
      </c>
      <c r="F40" s="34">
        <v>45</v>
      </c>
      <c r="G40" s="34">
        <v>45</v>
      </c>
      <c r="H40" s="34">
        <v>45</v>
      </c>
      <c r="I40" s="34">
        <v>45</v>
      </c>
      <c r="J40" s="34">
        <v>45</v>
      </c>
      <c r="K40" s="34">
        <v>45</v>
      </c>
      <c r="L40" s="34">
        <v>45</v>
      </c>
      <c r="M40" s="34">
        <v>45</v>
      </c>
      <c r="N40" s="34">
        <v>45</v>
      </c>
      <c r="O40" s="34">
        <v>45</v>
      </c>
      <c r="P40" s="34">
        <v>45</v>
      </c>
      <c r="Q40" s="34">
        <v>45</v>
      </c>
      <c r="R40" s="24">
        <f>SUM(Tabla1[[#This Row],[ENERO ]:[DICIEMBRE]])</f>
        <v>540</v>
      </c>
      <c r="W40" s="65">
        <v>0</v>
      </c>
      <c r="X40" s="21">
        <f>COUNTIF(Tabla1[[#This Row],[ENERO ]:[DICIEMBRE]],0)-(AQ40)-IF(Tabla1[[#This Row],[BAJAS]]="BAJA",IF(Tabla1[[#This Row],[ALTAS]]="ALTA",VLOOKUP(Tabla1[[#This Row],[MES DE ALTA ]],$AT$6:$AU$17,2,FALSE),12)-VLOOKUP(Tabla1[[#This Row],[MES DE BAJA ]],$AT$6:$AU$17,2,FALSE),0)</f>
        <v>0</v>
      </c>
      <c r="Y40" s="69">
        <f>SUM(Tabla1[[#This Row],[MES ADEUDO DE AÑOS PASADOS ]:[MESES DE ADEUDO DEL AÑO EN CURSO ]])</f>
        <v>0</v>
      </c>
      <c r="Z40" s="15">
        <f>IF(Tabla1[[#This Row],[TIPO DE CONSUMIDOR]]="COMPLETO",W40*$T$2,W40*($T$2/2))</f>
        <v>0</v>
      </c>
      <c r="AA40" s="15">
        <f>IF(Tabla1[[#This Row],[TIPO DE CONSUMIDOR]]="COMPLETO",Tabla1[[#This Row],[MESES DE ADEUDO DEL AÑO EN CURSO ]]*$T$2,Tabla1[[#This Row],[MESES DE ADEUDO DEL AÑO EN CURSO ]]*($T$2/2))</f>
        <v>0</v>
      </c>
      <c r="AB40" s="70">
        <f>SUM(Tabla1[[#This Row],[DEUDA DE LOS MESES PASADOS EN $$]:[DEUDA DEL AÑO 2013 $$ ]])</f>
        <v>0</v>
      </c>
      <c r="AE40" s="103">
        <f>IF(Tabla1[[#This Row],[TIPO DE CONSUMIDOR]]="MEDIO",IF(Tabla1[[#This Row],[ENERO ]]&gt;22.5,Tabla1[[#This Row],[ENERO ]]/22.5-1,0),IF(Tabla1[[#This Row],[ENERO ]]&gt;45,Tabla1[[#This Row],[ENERO ]]/45-1,0))</f>
        <v>0</v>
      </c>
      <c r="AF4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" s="103">
        <f>IF(Tabla1[[#This Row],[TIPO DE CONSUMIDOR]]="MEDIO",IF(Tabla1[[#This Row],[MARZO]]&gt;22.5,Tabla1[[#This Row],[MARZO]]/22.5-1,0),IF(Tabla1[[#This Row],[MARZO]]&gt;45,Tabla1[[#This Row],[MARZO]]/45-1,0))</f>
        <v>0</v>
      </c>
      <c r="AH40" s="103">
        <f>IF(Tabla1[[#This Row],[TIPO DE CONSUMIDOR]]="MEDIO",IF(Tabla1[[#This Row],[ABRIL]]&gt;22.5,Tabla1[[#This Row],[ABRIL]]/22.5-1,0),IF(Tabla1[[#This Row],[ABRIL]]&gt;45,Tabla1[[#This Row],[ABRIL]]/45-1,0))</f>
        <v>0</v>
      </c>
      <c r="AI40" s="103">
        <f>IF(Tabla1[[#This Row],[TIPO DE CONSUMIDOR]]="MEDIO",IF(Tabla1[[#This Row],[MAYO ]]&gt;22.5,Tabla1[[#This Row],[MAYO ]]/22.5-1,0),IF(Tabla1[[#This Row],[MAYO ]]&gt;45,Tabla1[[#This Row],[MAYO ]]/45-1,0))</f>
        <v>0</v>
      </c>
      <c r="AJ40" s="103">
        <f>IF(Tabla1[[#This Row],[TIPO DE CONSUMIDOR]]="MEDIO",IF(Tabla1[[#This Row],[JUNIO ]]&gt;22.5,Tabla1[[#This Row],[JUNIO ]]/22.5-1,0),IF(Tabla1[[#This Row],[JUNIO ]]&gt;45,Tabla1[[#This Row],[JUNIO ]]/45-1,0))</f>
        <v>0</v>
      </c>
      <c r="AK40" s="103">
        <f>IF(Tabla1[[#This Row],[TIPO DE CONSUMIDOR]]="MEDIO",IF(Tabla1[[#This Row],[JULIO ]]&gt;22.5,Tabla1[[#This Row],[JULIO ]]/22.5-1,0),IF(Tabla1[[#This Row],[JULIO ]]&gt;45,Tabla1[[#This Row],[JULIO ]]/45-1,0))</f>
        <v>0</v>
      </c>
      <c r="AL40" s="103">
        <f>IF(Tabla1[[#This Row],[TIPO DE CONSUMIDOR]]="MEDIO",IF(Tabla1[[#This Row],[AGOSTO]]&gt;22.5,Tabla1[[#This Row],[AGOSTO]]/22.5-1,0),IF(Tabla1[[#This Row],[AGOSTO]]&gt;45,Tabla1[[#This Row],[AGOSTO]]/45-1,0))</f>
        <v>0</v>
      </c>
      <c r="AM4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" s="104">
        <f t="shared" si="2"/>
        <v>0</v>
      </c>
      <c r="AR40" s="9">
        <f t="shared" si="0"/>
        <v>0</v>
      </c>
      <c r="AS40" s="60">
        <f>IF(Tabla1[[#This Row],[MESES DE ADEUDO DEL AÑO EN CURSO ]]&gt;0,1,0)</f>
        <v>0</v>
      </c>
      <c r="AT40" s="42"/>
      <c r="AU40" s="42"/>
      <c r="AV40" s="42"/>
      <c r="AW40" s="43"/>
    </row>
    <row r="41" spans="1:49" ht="21.75" thickBot="1" x14ac:dyDescent="0.35">
      <c r="A41" s="109">
        <v>35</v>
      </c>
      <c r="B41" s="5" t="s">
        <v>65</v>
      </c>
      <c r="C41" s="2" t="s">
        <v>480</v>
      </c>
      <c r="D41" s="32"/>
      <c r="E41" s="35" t="s">
        <v>455</v>
      </c>
      <c r="F41" s="34">
        <v>45</v>
      </c>
      <c r="G41" s="34">
        <v>45</v>
      </c>
      <c r="H41" s="34">
        <v>45</v>
      </c>
      <c r="I41" s="34">
        <v>45</v>
      </c>
      <c r="J41" s="34">
        <v>45</v>
      </c>
      <c r="K41" s="34">
        <v>45</v>
      </c>
      <c r="L41" s="34">
        <v>45</v>
      </c>
      <c r="M41" s="34">
        <v>45</v>
      </c>
      <c r="N41" s="34">
        <v>45</v>
      </c>
      <c r="O41" s="34">
        <v>45</v>
      </c>
      <c r="P41" s="34">
        <v>45</v>
      </c>
      <c r="Q41" s="34">
        <v>45</v>
      </c>
      <c r="R41" s="24">
        <f>SUM(Tabla1[[#This Row],[ENERO ]:[DICIEMBRE]])</f>
        <v>540</v>
      </c>
      <c r="W41" s="65">
        <v>0</v>
      </c>
      <c r="X41" s="21">
        <f>COUNTIF(Tabla1[[#This Row],[ENERO ]:[DICIEMBRE]],0)-(AQ41)-IF(Tabla1[[#This Row],[BAJAS]]="BAJA",IF(Tabla1[[#This Row],[ALTAS]]="ALTA",VLOOKUP(Tabla1[[#This Row],[MES DE ALTA ]],$AT$6:$AU$17,2,FALSE),12)-VLOOKUP(Tabla1[[#This Row],[MES DE BAJA ]],$AT$6:$AU$17,2,FALSE),0)</f>
        <v>0</v>
      </c>
      <c r="Y41" s="69">
        <f>SUM(Tabla1[[#This Row],[MES ADEUDO DE AÑOS PASADOS ]:[MESES DE ADEUDO DEL AÑO EN CURSO ]])</f>
        <v>0</v>
      </c>
      <c r="Z41" s="15">
        <f>IF(Tabla1[[#This Row],[TIPO DE CONSUMIDOR]]="COMPLETO",W41*$T$2,W41*($T$2/2))</f>
        <v>0</v>
      </c>
      <c r="AA41" s="15">
        <f>IF(Tabla1[[#This Row],[TIPO DE CONSUMIDOR]]="COMPLETO",Tabla1[[#This Row],[MESES DE ADEUDO DEL AÑO EN CURSO ]]*$T$2,Tabla1[[#This Row],[MESES DE ADEUDO DEL AÑO EN CURSO ]]*($T$2/2))</f>
        <v>0</v>
      </c>
      <c r="AB41" s="70">
        <f>SUM(Tabla1[[#This Row],[DEUDA DE LOS MESES PASADOS EN $$]:[DEUDA DEL AÑO 2013 $$ ]])</f>
        <v>0</v>
      </c>
      <c r="AE41" s="103">
        <f>IF(Tabla1[[#This Row],[TIPO DE CONSUMIDOR]]="MEDIO",IF(Tabla1[[#This Row],[ENERO ]]&gt;22.5,Tabla1[[#This Row],[ENERO ]]/22.5-1,0),IF(Tabla1[[#This Row],[ENERO ]]&gt;45,Tabla1[[#This Row],[ENERO ]]/45-1,0))</f>
        <v>0</v>
      </c>
      <c r="AF4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" s="103">
        <f>IF(Tabla1[[#This Row],[TIPO DE CONSUMIDOR]]="MEDIO",IF(Tabla1[[#This Row],[MARZO]]&gt;22.5,Tabla1[[#This Row],[MARZO]]/22.5-1,0),IF(Tabla1[[#This Row],[MARZO]]&gt;45,Tabla1[[#This Row],[MARZO]]/45-1,0))</f>
        <v>0</v>
      </c>
      <c r="AH41" s="103">
        <f>IF(Tabla1[[#This Row],[TIPO DE CONSUMIDOR]]="MEDIO",IF(Tabla1[[#This Row],[ABRIL]]&gt;22.5,Tabla1[[#This Row],[ABRIL]]/22.5-1,0),IF(Tabla1[[#This Row],[ABRIL]]&gt;45,Tabla1[[#This Row],[ABRIL]]/45-1,0))</f>
        <v>0</v>
      </c>
      <c r="AI41" s="103">
        <f>IF(Tabla1[[#This Row],[TIPO DE CONSUMIDOR]]="MEDIO",IF(Tabla1[[#This Row],[MAYO ]]&gt;22.5,Tabla1[[#This Row],[MAYO ]]/22.5-1,0),IF(Tabla1[[#This Row],[MAYO ]]&gt;45,Tabla1[[#This Row],[MAYO ]]/45-1,0))</f>
        <v>0</v>
      </c>
      <c r="AJ41" s="103">
        <f>IF(Tabla1[[#This Row],[TIPO DE CONSUMIDOR]]="MEDIO",IF(Tabla1[[#This Row],[JUNIO ]]&gt;22.5,Tabla1[[#This Row],[JUNIO ]]/22.5-1,0),IF(Tabla1[[#This Row],[JUNIO ]]&gt;45,Tabla1[[#This Row],[JUNIO ]]/45-1,0))</f>
        <v>0</v>
      </c>
      <c r="AK41" s="103">
        <f>IF(Tabla1[[#This Row],[TIPO DE CONSUMIDOR]]="MEDIO",IF(Tabla1[[#This Row],[JULIO ]]&gt;22.5,Tabla1[[#This Row],[JULIO ]]/22.5-1,0),IF(Tabla1[[#This Row],[JULIO ]]&gt;45,Tabla1[[#This Row],[JULIO ]]/45-1,0))</f>
        <v>0</v>
      </c>
      <c r="AL41" s="103">
        <f>IF(Tabla1[[#This Row],[TIPO DE CONSUMIDOR]]="MEDIO",IF(Tabla1[[#This Row],[AGOSTO]]&gt;22.5,Tabla1[[#This Row],[AGOSTO]]/22.5-1,0),IF(Tabla1[[#This Row],[AGOSTO]]&gt;45,Tabla1[[#This Row],[AGOSTO]]/45-1,0))</f>
        <v>0</v>
      </c>
      <c r="AM4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" s="104">
        <f t="shared" si="2"/>
        <v>0</v>
      </c>
      <c r="AR41" s="9">
        <f t="shared" si="0"/>
        <v>0</v>
      </c>
      <c r="AS41" s="60">
        <f>IF(Tabla1[[#This Row],[MESES DE ADEUDO DEL AÑO EN CURSO ]]&gt;0,1,0)</f>
        <v>0</v>
      </c>
      <c r="AT41" s="42"/>
      <c r="AU41" s="42"/>
      <c r="AV41" s="42"/>
      <c r="AW41" s="43"/>
    </row>
    <row r="42" spans="1:49" ht="21.75" thickBot="1" x14ac:dyDescent="0.35">
      <c r="A42" s="109">
        <v>36</v>
      </c>
      <c r="B42" s="5" t="s">
        <v>84</v>
      </c>
      <c r="C42" s="2" t="s">
        <v>480</v>
      </c>
      <c r="D42" s="32"/>
      <c r="E42" s="35" t="s">
        <v>455</v>
      </c>
      <c r="F42" s="34">
        <v>45</v>
      </c>
      <c r="G42" s="34">
        <v>45</v>
      </c>
      <c r="H42" s="34">
        <v>45</v>
      </c>
      <c r="I42" s="34">
        <v>45</v>
      </c>
      <c r="J42" s="34">
        <v>45</v>
      </c>
      <c r="K42" s="34">
        <v>45</v>
      </c>
      <c r="L42" s="34">
        <v>45</v>
      </c>
      <c r="M42" s="34">
        <v>45</v>
      </c>
      <c r="N42" s="34">
        <v>45</v>
      </c>
      <c r="O42" s="34">
        <v>45</v>
      </c>
      <c r="P42" s="34">
        <v>45</v>
      </c>
      <c r="Q42" s="34">
        <v>45</v>
      </c>
      <c r="R42" s="24">
        <f>SUM(Tabla1[[#This Row],[ENERO ]:[DICIEMBRE]])</f>
        <v>540</v>
      </c>
      <c r="W42" s="65">
        <v>0</v>
      </c>
      <c r="X42" s="21">
        <f>COUNTIF(Tabla1[[#This Row],[ENERO ]:[DICIEMBRE]],0)-(AQ42)-IF(Tabla1[[#This Row],[BAJAS]]="BAJA",IF(Tabla1[[#This Row],[ALTAS]]="ALTA",VLOOKUP(Tabla1[[#This Row],[MES DE ALTA ]],$AT$6:$AU$17,2,FALSE),12)-VLOOKUP(Tabla1[[#This Row],[MES DE BAJA ]],$AT$6:$AU$17,2,FALSE),0)</f>
        <v>0</v>
      </c>
      <c r="Y42" s="69">
        <f>SUM(Tabla1[[#This Row],[MES ADEUDO DE AÑOS PASADOS ]:[MESES DE ADEUDO DEL AÑO EN CURSO ]])</f>
        <v>0</v>
      </c>
      <c r="Z42" s="15">
        <f>IF(Tabla1[[#This Row],[TIPO DE CONSUMIDOR]]="COMPLETO",W42*$T$2,W42*($T$2/2))</f>
        <v>0</v>
      </c>
      <c r="AA42" s="15">
        <f>IF(Tabla1[[#This Row],[TIPO DE CONSUMIDOR]]="COMPLETO",Tabla1[[#This Row],[MESES DE ADEUDO DEL AÑO EN CURSO ]]*$T$2,Tabla1[[#This Row],[MESES DE ADEUDO DEL AÑO EN CURSO ]]*($T$2/2))</f>
        <v>0</v>
      </c>
      <c r="AB42" s="70">
        <f>SUM(Tabla1[[#This Row],[DEUDA DE LOS MESES PASADOS EN $$]:[DEUDA DEL AÑO 2013 $$ ]])</f>
        <v>0</v>
      </c>
      <c r="AE42" s="103">
        <f>IF(Tabla1[[#This Row],[TIPO DE CONSUMIDOR]]="MEDIO",IF(Tabla1[[#This Row],[ENERO ]]&gt;22.5,Tabla1[[#This Row],[ENERO ]]/22.5-1,0),IF(Tabla1[[#This Row],[ENERO ]]&gt;45,Tabla1[[#This Row],[ENERO ]]/45-1,0))</f>
        <v>0</v>
      </c>
      <c r="AF4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" s="103">
        <f>IF(Tabla1[[#This Row],[TIPO DE CONSUMIDOR]]="MEDIO",IF(Tabla1[[#This Row],[MARZO]]&gt;22.5,Tabla1[[#This Row],[MARZO]]/22.5-1,0),IF(Tabla1[[#This Row],[MARZO]]&gt;45,Tabla1[[#This Row],[MARZO]]/45-1,0))</f>
        <v>0</v>
      </c>
      <c r="AH42" s="103">
        <f>IF(Tabla1[[#This Row],[TIPO DE CONSUMIDOR]]="MEDIO",IF(Tabla1[[#This Row],[ABRIL]]&gt;22.5,Tabla1[[#This Row],[ABRIL]]/22.5-1,0),IF(Tabla1[[#This Row],[ABRIL]]&gt;45,Tabla1[[#This Row],[ABRIL]]/45-1,0))</f>
        <v>0</v>
      </c>
      <c r="AI42" s="103">
        <f>IF(Tabla1[[#This Row],[TIPO DE CONSUMIDOR]]="MEDIO",IF(Tabla1[[#This Row],[MAYO ]]&gt;22.5,Tabla1[[#This Row],[MAYO ]]/22.5-1,0),IF(Tabla1[[#This Row],[MAYO ]]&gt;45,Tabla1[[#This Row],[MAYO ]]/45-1,0))</f>
        <v>0</v>
      </c>
      <c r="AJ42" s="103">
        <f>IF(Tabla1[[#This Row],[TIPO DE CONSUMIDOR]]="MEDIO",IF(Tabla1[[#This Row],[JUNIO ]]&gt;22.5,Tabla1[[#This Row],[JUNIO ]]/22.5-1,0),IF(Tabla1[[#This Row],[JUNIO ]]&gt;45,Tabla1[[#This Row],[JUNIO ]]/45-1,0))</f>
        <v>0</v>
      </c>
      <c r="AK42" s="103">
        <f>IF(Tabla1[[#This Row],[TIPO DE CONSUMIDOR]]="MEDIO",IF(Tabla1[[#This Row],[JULIO ]]&gt;22.5,Tabla1[[#This Row],[JULIO ]]/22.5-1,0),IF(Tabla1[[#This Row],[JULIO ]]&gt;45,Tabla1[[#This Row],[JULIO ]]/45-1,0))</f>
        <v>0</v>
      </c>
      <c r="AL42" s="103">
        <f>IF(Tabla1[[#This Row],[TIPO DE CONSUMIDOR]]="MEDIO",IF(Tabla1[[#This Row],[AGOSTO]]&gt;22.5,Tabla1[[#This Row],[AGOSTO]]/22.5-1,0),IF(Tabla1[[#This Row],[AGOSTO]]&gt;45,Tabla1[[#This Row],[AGOSTO]]/45-1,0))</f>
        <v>0</v>
      </c>
      <c r="AM4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" s="104">
        <f t="shared" si="2"/>
        <v>0</v>
      </c>
      <c r="AR42" s="9">
        <f t="shared" si="0"/>
        <v>0</v>
      </c>
      <c r="AS42" s="60">
        <f>IF(Tabla1[[#This Row],[MESES DE ADEUDO DEL AÑO EN CURSO ]]&gt;0,1,0)</f>
        <v>0</v>
      </c>
      <c r="AT42" s="42"/>
      <c r="AU42" s="42"/>
      <c r="AV42" s="42"/>
      <c r="AW42" s="43"/>
    </row>
    <row r="43" spans="1:49" ht="21.75" thickBot="1" x14ac:dyDescent="0.35">
      <c r="A43" s="109">
        <v>37</v>
      </c>
      <c r="B43" s="5" t="s">
        <v>77</v>
      </c>
      <c r="C43" s="2" t="s">
        <v>480</v>
      </c>
      <c r="D43" s="32"/>
      <c r="E43" s="35" t="s">
        <v>455</v>
      </c>
      <c r="F43" s="34">
        <v>45</v>
      </c>
      <c r="G43" s="34">
        <v>45</v>
      </c>
      <c r="H43" s="34">
        <v>45</v>
      </c>
      <c r="I43" s="34">
        <v>45</v>
      </c>
      <c r="J43" s="34">
        <v>45</v>
      </c>
      <c r="K43" s="34">
        <v>45</v>
      </c>
      <c r="L43" s="34">
        <v>45</v>
      </c>
      <c r="M43" s="34">
        <v>45</v>
      </c>
      <c r="N43" s="34">
        <v>45</v>
      </c>
      <c r="O43" s="34">
        <v>45</v>
      </c>
      <c r="P43" s="34">
        <v>45</v>
      </c>
      <c r="Q43" s="34">
        <v>45</v>
      </c>
      <c r="R43" s="24">
        <f>SUM(Tabla1[[#This Row],[ENERO ]:[DICIEMBRE]])</f>
        <v>540</v>
      </c>
      <c r="W43" s="65">
        <v>0</v>
      </c>
      <c r="X43" s="21">
        <f>COUNTIF(Tabla1[[#This Row],[ENERO ]:[DICIEMBRE]],0)-(AQ43)-IF(Tabla1[[#This Row],[BAJAS]]="BAJA",IF(Tabla1[[#This Row],[ALTAS]]="ALTA",VLOOKUP(Tabla1[[#This Row],[MES DE ALTA ]],$AT$6:$AU$17,2,FALSE),12)-VLOOKUP(Tabla1[[#This Row],[MES DE BAJA ]],$AT$6:$AU$17,2,FALSE),0)</f>
        <v>0</v>
      </c>
      <c r="Y43" s="69">
        <f>SUM(Tabla1[[#This Row],[MES ADEUDO DE AÑOS PASADOS ]:[MESES DE ADEUDO DEL AÑO EN CURSO ]])</f>
        <v>0</v>
      </c>
      <c r="Z43" s="15">
        <f>IF(Tabla1[[#This Row],[TIPO DE CONSUMIDOR]]="COMPLETO",W43*$T$2,W43*($T$2/2))</f>
        <v>0</v>
      </c>
      <c r="AA43" s="15">
        <f>IF(Tabla1[[#This Row],[TIPO DE CONSUMIDOR]]="COMPLETO",Tabla1[[#This Row],[MESES DE ADEUDO DEL AÑO EN CURSO ]]*$T$2,Tabla1[[#This Row],[MESES DE ADEUDO DEL AÑO EN CURSO ]]*($T$2/2))</f>
        <v>0</v>
      </c>
      <c r="AB43" s="70">
        <f>SUM(Tabla1[[#This Row],[DEUDA DE LOS MESES PASADOS EN $$]:[DEUDA DEL AÑO 2013 $$ ]])</f>
        <v>0</v>
      </c>
      <c r="AE43" s="103">
        <f>IF(Tabla1[[#This Row],[TIPO DE CONSUMIDOR]]="MEDIO",IF(Tabla1[[#This Row],[ENERO ]]&gt;22.5,Tabla1[[#This Row],[ENERO ]]/22.5-1,0),IF(Tabla1[[#This Row],[ENERO ]]&gt;45,Tabla1[[#This Row],[ENERO ]]/45-1,0))</f>
        <v>0</v>
      </c>
      <c r="AF4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" s="103">
        <f>IF(Tabla1[[#This Row],[TIPO DE CONSUMIDOR]]="MEDIO",IF(Tabla1[[#This Row],[MARZO]]&gt;22.5,Tabla1[[#This Row],[MARZO]]/22.5-1,0),IF(Tabla1[[#This Row],[MARZO]]&gt;45,Tabla1[[#This Row],[MARZO]]/45-1,0))</f>
        <v>0</v>
      </c>
      <c r="AH43" s="103">
        <f>IF(Tabla1[[#This Row],[TIPO DE CONSUMIDOR]]="MEDIO",IF(Tabla1[[#This Row],[ABRIL]]&gt;22.5,Tabla1[[#This Row],[ABRIL]]/22.5-1,0),IF(Tabla1[[#This Row],[ABRIL]]&gt;45,Tabla1[[#This Row],[ABRIL]]/45-1,0))</f>
        <v>0</v>
      </c>
      <c r="AI43" s="103">
        <f>IF(Tabla1[[#This Row],[TIPO DE CONSUMIDOR]]="MEDIO",IF(Tabla1[[#This Row],[MAYO ]]&gt;22.5,Tabla1[[#This Row],[MAYO ]]/22.5-1,0),IF(Tabla1[[#This Row],[MAYO ]]&gt;45,Tabla1[[#This Row],[MAYO ]]/45-1,0))</f>
        <v>0</v>
      </c>
      <c r="AJ43" s="103">
        <f>IF(Tabla1[[#This Row],[TIPO DE CONSUMIDOR]]="MEDIO",IF(Tabla1[[#This Row],[JUNIO ]]&gt;22.5,Tabla1[[#This Row],[JUNIO ]]/22.5-1,0),IF(Tabla1[[#This Row],[JUNIO ]]&gt;45,Tabla1[[#This Row],[JUNIO ]]/45-1,0))</f>
        <v>0</v>
      </c>
      <c r="AK43" s="103">
        <f>IF(Tabla1[[#This Row],[TIPO DE CONSUMIDOR]]="MEDIO",IF(Tabla1[[#This Row],[JULIO ]]&gt;22.5,Tabla1[[#This Row],[JULIO ]]/22.5-1,0),IF(Tabla1[[#This Row],[JULIO ]]&gt;45,Tabla1[[#This Row],[JULIO ]]/45-1,0))</f>
        <v>0</v>
      </c>
      <c r="AL43" s="103">
        <f>IF(Tabla1[[#This Row],[TIPO DE CONSUMIDOR]]="MEDIO",IF(Tabla1[[#This Row],[AGOSTO]]&gt;22.5,Tabla1[[#This Row],[AGOSTO]]/22.5-1,0),IF(Tabla1[[#This Row],[AGOSTO]]&gt;45,Tabla1[[#This Row],[AGOSTO]]/45-1,0))</f>
        <v>0</v>
      </c>
      <c r="AM4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" s="104">
        <f t="shared" si="2"/>
        <v>0</v>
      </c>
      <c r="AR43" s="9">
        <f t="shared" si="0"/>
        <v>0</v>
      </c>
      <c r="AS43" s="60">
        <f>IF(Tabla1[[#This Row],[MESES DE ADEUDO DEL AÑO EN CURSO ]]&gt;0,1,0)</f>
        <v>0</v>
      </c>
      <c r="AT43" s="42"/>
      <c r="AU43" s="42"/>
      <c r="AV43" s="42"/>
      <c r="AW43" s="43"/>
    </row>
    <row r="44" spans="1:49" ht="21.75" thickBot="1" x14ac:dyDescent="0.35">
      <c r="A44" s="109">
        <v>38</v>
      </c>
      <c r="B44" s="5" t="s">
        <v>483</v>
      </c>
      <c r="C44" s="2" t="s">
        <v>480</v>
      </c>
      <c r="D44" s="46"/>
      <c r="E44" s="35" t="s">
        <v>455</v>
      </c>
      <c r="F44" s="34">
        <v>45</v>
      </c>
      <c r="G44" s="34">
        <v>45</v>
      </c>
      <c r="H44" s="34">
        <v>45</v>
      </c>
      <c r="I44" s="34">
        <v>45</v>
      </c>
      <c r="J44" s="34">
        <v>45</v>
      </c>
      <c r="K44" s="34">
        <v>45</v>
      </c>
      <c r="L44" s="34">
        <v>45</v>
      </c>
      <c r="M44" s="34">
        <v>45</v>
      </c>
      <c r="N44" s="34">
        <v>45</v>
      </c>
      <c r="O44" s="34">
        <v>45</v>
      </c>
      <c r="P44" s="34">
        <v>45</v>
      </c>
      <c r="Q44" s="34">
        <v>45</v>
      </c>
      <c r="R44" s="24">
        <f>SUM(Tabla1[[#This Row],[ENERO ]:[DICIEMBRE]])</f>
        <v>540</v>
      </c>
      <c r="W44" s="65">
        <v>0</v>
      </c>
      <c r="X44" s="21">
        <f>COUNTIF(Tabla1[[#This Row],[ENERO ]:[DICIEMBRE]],0)-(AQ44)-IF(Tabla1[[#This Row],[BAJAS]]="BAJA",IF(Tabla1[[#This Row],[ALTAS]]="ALTA",VLOOKUP(Tabla1[[#This Row],[MES DE ALTA ]],$AT$6:$AU$17,2,FALSE),12)-VLOOKUP(Tabla1[[#This Row],[MES DE BAJA ]],$AT$6:$AU$17,2,FALSE),0)</f>
        <v>0</v>
      </c>
      <c r="Y44" s="69">
        <f>SUM(Tabla1[[#This Row],[MES ADEUDO DE AÑOS PASADOS ]:[MESES DE ADEUDO DEL AÑO EN CURSO ]])</f>
        <v>0</v>
      </c>
      <c r="Z44" s="15">
        <f>IF(Tabla1[[#This Row],[TIPO DE CONSUMIDOR]]="COMPLETO",W44*$T$2,W44*($T$2/2))</f>
        <v>0</v>
      </c>
      <c r="AA44" s="15">
        <f>IF(Tabla1[[#This Row],[TIPO DE CONSUMIDOR]]="COMPLETO",Tabla1[[#This Row],[MESES DE ADEUDO DEL AÑO EN CURSO ]]*$T$2,Tabla1[[#This Row],[MESES DE ADEUDO DEL AÑO EN CURSO ]]*($T$2/2))</f>
        <v>0</v>
      </c>
      <c r="AB44" s="70">
        <f>SUM(Tabla1[[#This Row],[DEUDA DE LOS MESES PASADOS EN $$]:[DEUDA DEL AÑO 2013 $$ ]])</f>
        <v>0</v>
      </c>
      <c r="AE44" s="103">
        <f>IF(Tabla1[[#This Row],[TIPO DE CONSUMIDOR]]="MEDIO",IF(Tabla1[[#This Row],[ENERO ]]&gt;22.5,Tabla1[[#This Row],[ENERO ]]/22.5-1,0),IF(Tabla1[[#This Row],[ENERO ]]&gt;45,Tabla1[[#This Row],[ENERO ]]/45-1,0))</f>
        <v>0</v>
      </c>
      <c r="AF4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" s="103">
        <f>IF(Tabla1[[#This Row],[TIPO DE CONSUMIDOR]]="MEDIO",IF(Tabla1[[#This Row],[MARZO]]&gt;22.5,Tabla1[[#This Row],[MARZO]]/22.5-1,0),IF(Tabla1[[#This Row],[MARZO]]&gt;45,Tabla1[[#This Row],[MARZO]]/45-1,0))</f>
        <v>0</v>
      </c>
      <c r="AH44" s="103">
        <f>IF(Tabla1[[#This Row],[TIPO DE CONSUMIDOR]]="MEDIO",IF(Tabla1[[#This Row],[ABRIL]]&gt;22.5,Tabla1[[#This Row],[ABRIL]]/22.5-1,0),IF(Tabla1[[#This Row],[ABRIL]]&gt;45,Tabla1[[#This Row],[ABRIL]]/45-1,0))</f>
        <v>0</v>
      </c>
      <c r="AI44" s="103">
        <f>IF(Tabla1[[#This Row],[TIPO DE CONSUMIDOR]]="MEDIO",IF(Tabla1[[#This Row],[MAYO ]]&gt;22.5,Tabla1[[#This Row],[MAYO ]]/22.5-1,0),IF(Tabla1[[#This Row],[MAYO ]]&gt;45,Tabla1[[#This Row],[MAYO ]]/45-1,0))</f>
        <v>0</v>
      </c>
      <c r="AJ44" s="103">
        <f>IF(Tabla1[[#This Row],[TIPO DE CONSUMIDOR]]="MEDIO",IF(Tabla1[[#This Row],[JUNIO ]]&gt;22.5,Tabla1[[#This Row],[JUNIO ]]/22.5-1,0),IF(Tabla1[[#This Row],[JUNIO ]]&gt;45,Tabla1[[#This Row],[JUNIO ]]/45-1,0))</f>
        <v>0</v>
      </c>
      <c r="AK44" s="103">
        <f>IF(Tabla1[[#This Row],[TIPO DE CONSUMIDOR]]="MEDIO",IF(Tabla1[[#This Row],[JULIO ]]&gt;22.5,Tabla1[[#This Row],[JULIO ]]/22.5-1,0),IF(Tabla1[[#This Row],[JULIO ]]&gt;45,Tabla1[[#This Row],[JULIO ]]/45-1,0))</f>
        <v>0</v>
      </c>
      <c r="AL44" s="103">
        <f>IF(Tabla1[[#This Row],[TIPO DE CONSUMIDOR]]="MEDIO",IF(Tabla1[[#This Row],[AGOSTO]]&gt;22.5,Tabla1[[#This Row],[AGOSTO]]/22.5-1,0),IF(Tabla1[[#This Row],[AGOSTO]]&gt;45,Tabla1[[#This Row],[AGOSTO]]/45-1,0))</f>
        <v>0</v>
      </c>
      <c r="AM4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" s="104">
        <f t="shared" si="2"/>
        <v>0</v>
      </c>
      <c r="AR44" s="9">
        <f t="shared" si="0"/>
        <v>0</v>
      </c>
      <c r="AS44" s="60">
        <f>IF(Tabla1[[#This Row],[MESES DE ADEUDO DEL AÑO EN CURSO ]]&gt;0,1,0)</f>
        <v>0</v>
      </c>
      <c r="AT44" s="42"/>
      <c r="AU44" s="42"/>
      <c r="AV44" s="42"/>
      <c r="AW44" s="43"/>
    </row>
    <row r="45" spans="1:49" ht="21.75" thickBot="1" x14ac:dyDescent="0.35">
      <c r="A45" s="109">
        <v>39</v>
      </c>
      <c r="B45" s="5" t="s">
        <v>141</v>
      </c>
      <c r="C45" s="2" t="s">
        <v>480</v>
      </c>
      <c r="D45" s="32"/>
      <c r="E45" s="35" t="s">
        <v>455</v>
      </c>
      <c r="F45" s="34">
        <v>45</v>
      </c>
      <c r="G45" s="34">
        <v>45</v>
      </c>
      <c r="H45" s="34">
        <v>45</v>
      </c>
      <c r="I45" s="34">
        <v>45</v>
      </c>
      <c r="J45" s="34">
        <v>45</v>
      </c>
      <c r="K45" s="34">
        <v>45</v>
      </c>
      <c r="L45" s="34">
        <v>45</v>
      </c>
      <c r="M45" s="34">
        <v>45</v>
      </c>
      <c r="N45" s="34">
        <v>45</v>
      </c>
      <c r="O45" s="34">
        <v>45</v>
      </c>
      <c r="P45" s="34">
        <v>45</v>
      </c>
      <c r="Q45" s="34">
        <v>45</v>
      </c>
      <c r="R45" s="24">
        <f>SUM(Tabla1[[#This Row],[ENERO ]:[DICIEMBRE]])</f>
        <v>540</v>
      </c>
      <c r="W45" s="65">
        <v>0</v>
      </c>
      <c r="X45" s="21">
        <f>COUNTIF(Tabla1[[#This Row],[ENERO ]:[DICIEMBRE]],0)-(AQ45)-IF(Tabla1[[#This Row],[BAJAS]]="BAJA",IF(Tabla1[[#This Row],[ALTAS]]="ALTA",VLOOKUP(Tabla1[[#This Row],[MES DE ALTA ]],$AT$6:$AU$17,2,FALSE),12)-VLOOKUP(Tabla1[[#This Row],[MES DE BAJA ]],$AT$6:$AU$17,2,FALSE),0)</f>
        <v>0</v>
      </c>
      <c r="Y45" s="69">
        <f>SUM(Tabla1[[#This Row],[MES ADEUDO DE AÑOS PASADOS ]:[MESES DE ADEUDO DEL AÑO EN CURSO ]])</f>
        <v>0</v>
      </c>
      <c r="Z45" s="15">
        <f>IF(Tabla1[[#This Row],[TIPO DE CONSUMIDOR]]="COMPLETO",W45*$T$2,W45*($T$2/2))</f>
        <v>0</v>
      </c>
      <c r="AA45" s="15">
        <f>IF(Tabla1[[#This Row],[TIPO DE CONSUMIDOR]]="COMPLETO",Tabla1[[#This Row],[MESES DE ADEUDO DEL AÑO EN CURSO ]]*$T$2,Tabla1[[#This Row],[MESES DE ADEUDO DEL AÑO EN CURSO ]]*($T$2/2))</f>
        <v>0</v>
      </c>
      <c r="AB45" s="70">
        <f>SUM(Tabla1[[#This Row],[DEUDA DE LOS MESES PASADOS EN $$]:[DEUDA DEL AÑO 2013 $$ ]])</f>
        <v>0</v>
      </c>
      <c r="AE45" s="103">
        <f>IF(Tabla1[[#This Row],[TIPO DE CONSUMIDOR]]="MEDIO",IF(Tabla1[[#This Row],[ENERO ]]&gt;22.5,Tabla1[[#This Row],[ENERO ]]/22.5-1,0),IF(Tabla1[[#This Row],[ENERO ]]&gt;45,Tabla1[[#This Row],[ENERO ]]/45-1,0))</f>
        <v>0</v>
      </c>
      <c r="AF4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" s="103">
        <f>IF(Tabla1[[#This Row],[TIPO DE CONSUMIDOR]]="MEDIO",IF(Tabla1[[#This Row],[MARZO]]&gt;22.5,Tabla1[[#This Row],[MARZO]]/22.5-1,0),IF(Tabla1[[#This Row],[MARZO]]&gt;45,Tabla1[[#This Row],[MARZO]]/45-1,0))</f>
        <v>0</v>
      </c>
      <c r="AH45" s="103">
        <f>IF(Tabla1[[#This Row],[TIPO DE CONSUMIDOR]]="MEDIO",IF(Tabla1[[#This Row],[ABRIL]]&gt;22.5,Tabla1[[#This Row],[ABRIL]]/22.5-1,0),IF(Tabla1[[#This Row],[ABRIL]]&gt;45,Tabla1[[#This Row],[ABRIL]]/45-1,0))</f>
        <v>0</v>
      </c>
      <c r="AI45" s="103">
        <f>IF(Tabla1[[#This Row],[TIPO DE CONSUMIDOR]]="MEDIO",IF(Tabla1[[#This Row],[MAYO ]]&gt;22.5,Tabla1[[#This Row],[MAYO ]]/22.5-1,0),IF(Tabla1[[#This Row],[MAYO ]]&gt;45,Tabla1[[#This Row],[MAYO ]]/45-1,0))</f>
        <v>0</v>
      </c>
      <c r="AJ45" s="103">
        <f>IF(Tabla1[[#This Row],[TIPO DE CONSUMIDOR]]="MEDIO",IF(Tabla1[[#This Row],[JUNIO ]]&gt;22.5,Tabla1[[#This Row],[JUNIO ]]/22.5-1,0),IF(Tabla1[[#This Row],[JUNIO ]]&gt;45,Tabla1[[#This Row],[JUNIO ]]/45-1,0))</f>
        <v>0</v>
      </c>
      <c r="AK45" s="103">
        <f>IF(Tabla1[[#This Row],[TIPO DE CONSUMIDOR]]="MEDIO",IF(Tabla1[[#This Row],[JULIO ]]&gt;22.5,Tabla1[[#This Row],[JULIO ]]/22.5-1,0),IF(Tabla1[[#This Row],[JULIO ]]&gt;45,Tabla1[[#This Row],[JULIO ]]/45-1,0))</f>
        <v>0</v>
      </c>
      <c r="AL45" s="103">
        <f>IF(Tabla1[[#This Row],[TIPO DE CONSUMIDOR]]="MEDIO",IF(Tabla1[[#This Row],[AGOSTO]]&gt;22.5,Tabla1[[#This Row],[AGOSTO]]/22.5-1,0),IF(Tabla1[[#This Row],[AGOSTO]]&gt;45,Tabla1[[#This Row],[AGOSTO]]/45-1,0))</f>
        <v>0</v>
      </c>
      <c r="AM4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" s="104">
        <f t="shared" si="2"/>
        <v>0</v>
      </c>
      <c r="AR45" s="9">
        <f t="shared" si="0"/>
        <v>0</v>
      </c>
      <c r="AS45" s="60">
        <f>IF(Tabla1[[#This Row],[MESES DE ADEUDO DEL AÑO EN CURSO ]]&gt;0,1,0)</f>
        <v>0</v>
      </c>
      <c r="AT45" s="42"/>
      <c r="AU45" s="42"/>
      <c r="AV45" s="42"/>
      <c r="AW45" s="43"/>
    </row>
    <row r="46" spans="1:49" ht="21.75" thickBot="1" x14ac:dyDescent="0.35">
      <c r="A46" s="109">
        <v>40</v>
      </c>
      <c r="B46" s="5" t="s">
        <v>142</v>
      </c>
      <c r="C46" s="2" t="s">
        <v>480</v>
      </c>
      <c r="D46" s="32"/>
      <c r="E46" s="35" t="s">
        <v>455</v>
      </c>
      <c r="F46" s="34">
        <v>45</v>
      </c>
      <c r="G46" s="34">
        <v>45</v>
      </c>
      <c r="H46" s="34">
        <v>45</v>
      </c>
      <c r="I46" s="34">
        <v>45</v>
      </c>
      <c r="J46" s="34">
        <v>45</v>
      </c>
      <c r="K46" s="34">
        <v>45</v>
      </c>
      <c r="L46" s="34">
        <v>45</v>
      </c>
      <c r="M46" s="34">
        <v>45</v>
      </c>
      <c r="N46" s="34">
        <v>45</v>
      </c>
      <c r="O46" s="34">
        <v>45</v>
      </c>
      <c r="P46" s="34">
        <v>45</v>
      </c>
      <c r="Q46" s="34">
        <v>45</v>
      </c>
      <c r="R46" s="24">
        <f>SUM(Tabla1[[#This Row],[ENERO ]:[DICIEMBRE]])</f>
        <v>540</v>
      </c>
      <c r="W46" s="65">
        <v>0</v>
      </c>
      <c r="X46" s="21">
        <f>COUNTIF(Tabla1[[#This Row],[ENERO ]:[DICIEMBRE]],0)-(AQ46)-IF(Tabla1[[#This Row],[BAJAS]]="BAJA",IF(Tabla1[[#This Row],[ALTAS]]="ALTA",VLOOKUP(Tabla1[[#This Row],[MES DE ALTA ]],$AT$6:$AU$17,2,FALSE),12)-VLOOKUP(Tabla1[[#This Row],[MES DE BAJA ]],$AT$6:$AU$17,2,FALSE),0)</f>
        <v>0</v>
      </c>
      <c r="Y46" s="69">
        <f>SUM(Tabla1[[#This Row],[MES ADEUDO DE AÑOS PASADOS ]:[MESES DE ADEUDO DEL AÑO EN CURSO ]])</f>
        <v>0</v>
      </c>
      <c r="Z46" s="15">
        <f>IF(Tabla1[[#This Row],[TIPO DE CONSUMIDOR]]="COMPLETO",W46*$T$2,W46*($T$2/2))</f>
        <v>0</v>
      </c>
      <c r="AA46" s="15">
        <f>IF(Tabla1[[#This Row],[TIPO DE CONSUMIDOR]]="COMPLETO",Tabla1[[#This Row],[MESES DE ADEUDO DEL AÑO EN CURSO ]]*$T$2,Tabla1[[#This Row],[MESES DE ADEUDO DEL AÑO EN CURSO ]]*($T$2/2))</f>
        <v>0</v>
      </c>
      <c r="AB46" s="70">
        <f>SUM(Tabla1[[#This Row],[DEUDA DE LOS MESES PASADOS EN $$]:[DEUDA DEL AÑO 2013 $$ ]])</f>
        <v>0</v>
      </c>
      <c r="AE46" s="103">
        <f>IF(Tabla1[[#This Row],[TIPO DE CONSUMIDOR]]="MEDIO",IF(Tabla1[[#This Row],[ENERO ]]&gt;22.5,Tabla1[[#This Row],[ENERO ]]/22.5-1,0),IF(Tabla1[[#This Row],[ENERO ]]&gt;45,Tabla1[[#This Row],[ENERO ]]/45-1,0))</f>
        <v>0</v>
      </c>
      <c r="AF4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" s="103">
        <f>IF(Tabla1[[#This Row],[TIPO DE CONSUMIDOR]]="MEDIO",IF(Tabla1[[#This Row],[MARZO]]&gt;22.5,Tabla1[[#This Row],[MARZO]]/22.5-1,0),IF(Tabla1[[#This Row],[MARZO]]&gt;45,Tabla1[[#This Row],[MARZO]]/45-1,0))</f>
        <v>0</v>
      </c>
      <c r="AH46" s="103">
        <f>IF(Tabla1[[#This Row],[TIPO DE CONSUMIDOR]]="MEDIO",IF(Tabla1[[#This Row],[ABRIL]]&gt;22.5,Tabla1[[#This Row],[ABRIL]]/22.5-1,0),IF(Tabla1[[#This Row],[ABRIL]]&gt;45,Tabla1[[#This Row],[ABRIL]]/45-1,0))</f>
        <v>0</v>
      </c>
      <c r="AI46" s="103">
        <f>IF(Tabla1[[#This Row],[TIPO DE CONSUMIDOR]]="MEDIO",IF(Tabla1[[#This Row],[MAYO ]]&gt;22.5,Tabla1[[#This Row],[MAYO ]]/22.5-1,0),IF(Tabla1[[#This Row],[MAYO ]]&gt;45,Tabla1[[#This Row],[MAYO ]]/45-1,0))</f>
        <v>0</v>
      </c>
      <c r="AJ46" s="103">
        <f>IF(Tabla1[[#This Row],[TIPO DE CONSUMIDOR]]="MEDIO",IF(Tabla1[[#This Row],[JUNIO ]]&gt;22.5,Tabla1[[#This Row],[JUNIO ]]/22.5-1,0),IF(Tabla1[[#This Row],[JUNIO ]]&gt;45,Tabla1[[#This Row],[JUNIO ]]/45-1,0))</f>
        <v>0</v>
      </c>
      <c r="AK46" s="103">
        <f>IF(Tabla1[[#This Row],[TIPO DE CONSUMIDOR]]="MEDIO",IF(Tabla1[[#This Row],[JULIO ]]&gt;22.5,Tabla1[[#This Row],[JULIO ]]/22.5-1,0),IF(Tabla1[[#This Row],[JULIO ]]&gt;45,Tabla1[[#This Row],[JULIO ]]/45-1,0))</f>
        <v>0</v>
      </c>
      <c r="AL46" s="103">
        <f>IF(Tabla1[[#This Row],[TIPO DE CONSUMIDOR]]="MEDIO",IF(Tabla1[[#This Row],[AGOSTO]]&gt;22.5,Tabla1[[#This Row],[AGOSTO]]/22.5-1,0),IF(Tabla1[[#This Row],[AGOSTO]]&gt;45,Tabla1[[#This Row],[AGOSTO]]/45-1,0))</f>
        <v>0</v>
      </c>
      <c r="AM4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" s="104">
        <f t="shared" si="2"/>
        <v>0</v>
      </c>
      <c r="AR46" s="9">
        <f t="shared" si="0"/>
        <v>0</v>
      </c>
      <c r="AS46" s="60">
        <f>IF(Tabla1[[#This Row],[MESES DE ADEUDO DEL AÑO EN CURSO ]]&gt;0,1,0)</f>
        <v>0</v>
      </c>
      <c r="AT46" s="42"/>
      <c r="AU46" s="42"/>
      <c r="AV46" s="42"/>
      <c r="AW46" s="43"/>
    </row>
    <row r="47" spans="1:49" ht="21.75" thickBot="1" x14ac:dyDescent="0.35">
      <c r="A47" s="109">
        <v>41</v>
      </c>
      <c r="B47" s="5" t="s">
        <v>248</v>
      </c>
      <c r="C47" s="2" t="s">
        <v>480</v>
      </c>
      <c r="D47" s="32"/>
      <c r="E47" s="35" t="s">
        <v>455</v>
      </c>
      <c r="F47" s="34">
        <v>45</v>
      </c>
      <c r="G47" s="34">
        <v>45</v>
      </c>
      <c r="H47" s="34">
        <v>45</v>
      </c>
      <c r="I47" s="34">
        <v>45</v>
      </c>
      <c r="J47" s="34">
        <v>45</v>
      </c>
      <c r="K47" s="34">
        <v>45</v>
      </c>
      <c r="L47" s="34">
        <v>45</v>
      </c>
      <c r="M47" s="34">
        <v>45</v>
      </c>
      <c r="N47" s="34">
        <v>45</v>
      </c>
      <c r="O47" s="34">
        <v>45</v>
      </c>
      <c r="P47" s="34">
        <v>45</v>
      </c>
      <c r="Q47" s="34">
        <v>45</v>
      </c>
      <c r="R47" s="24">
        <f>SUM(Tabla1[[#This Row],[ENERO ]:[DICIEMBRE]])</f>
        <v>540</v>
      </c>
      <c r="W47" s="65">
        <v>0</v>
      </c>
      <c r="X47" s="21">
        <f>COUNTIF(Tabla1[[#This Row],[ENERO ]:[DICIEMBRE]],0)-(AQ47)-IF(Tabla1[[#This Row],[BAJAS]]="BAJA",IF(Tabla1[[#This Row],[ALTAS]]="ALTA",VLOOKUP(Tabla1[[#This Row],[MES DE ALTA ]],$AT$6:$AU$17,2,FALSE),12)-VLOOKUP(Tabla1[[#This Row],[MES DE BAJA ]],$AT$6:$AU$17,2,FALSE),0)</f>
        <v>0</v>
      </c>
      <c r="Y47" s="69">
        <f>SUM(Tabla1[[#This Row],[MES ADEUDO DE AÑOS PASADOS ]:[MESES DE ADEUDO DEL AÑO EN CURSO ]])</f>
        <v>0</v>
      </c>
      <c r="Z47" s="15">
        <f>IF(Tabla1[[#This Row],[TIPO DE CONSUMIDOR]]="COMPLETO",W47*$T$2,W47*($T$2/2))</f>
        <v>0</v>
      </c>
      <c r="AA47" s="15">
        <f>IF(Tabla1[[#This Row],[TIPO DE CONSUMIDOR]]="COMPLETO",Tabla1[[#This Row],[MESES DE ADEUDO DEL AÑO EN CURSO ]]*$T$2,Tabla1[[#This Row],[MESES DE ADEUDO DEL AÑO EN CURSO ]]*($T$2/2))</f>
        <v>0</v>
      </c>
      <c r="AB47" s="70">
        <f>SUM(Tabla1[[#This Row],[DEUDA DE LOS MESES PASADOS EN $$]:[DEUDA DEL AÑO 2013 $$ ]])</f>
        <v>0</v>
      </c>
      <c r="AE47" s="103">
        <f>IF(Tabla1[[#This Row],[TIPO DE CONSUMIDOR]]="MEDIO",IF(Tabla1[[#This Row],[ENERO ]]&gt;22.5,Tabla1[[#This Row],[ENERO ]]/22.5-1,0),IF(Tabla1[[#This Row],[ENERO ]]&gt;45,Tabla1[[#This Row],[ENERO ]]/45-1,0))</f>
        <v>0</v>
      </c>
      <c r="AF4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" s="103">
        <f>IF(Tabla1[[#This Row],[TIPO DE CONSUMIDOR]]="MEDIO",IF(Tabla1[[#This Row],[MARZO]]&gt;22.5,Tabla1[[#This Row],[MARZO]]/22.5-1,0),IF(Tabla1[[#This Row],[MARZO]]&gt;45,Tabla1[[#This Row],[MARZO]]/45-1,0))</f>
        <v>0</v>
      </c>
      <c r="AH47" s="103">
        <f>IF(Tabla1[[#This Row],[TIPO DE CONSUMIDOR]]="MEDIO",IF(Tabla1[[#This Row],[ABRIL]]&gt;22.5,Tabla1[[#This Row],[ABRIL]]/22.5-1,0),IF(Tabla1[[#This Row],[ABRIL]]&gt;45,Tabla1[[#This Row],[ABRIL]]/45-1,0))</f>
        <v>0</v>
      </c>
      <c r="AI47" s="103">
        <f>IF(Tabla1[[#This Row],[TIPO DE CONSUMIDOR]]="MEDIO",IF(Tabla1[[#This Row],[MAYO ]]&gt;22.5,Tabla1[[#This Row],[MAYO ]]/22.5-1,0),IF(Tabla1[[#This Row],[MAYO ]]&gt;45,Tabla1[[#This Row],[MAYO ]]/45-1,0))</f>
        <v>0</v>
      </c>
      <c r="AJ47" s="103">
        <f>IF(Tabla1[[#This Row],[TIPO DE CONSUMIDOR]]="MEDIO",IF(Tabla1[[#This Row],[JUNIO ]]&gt;22.5,Tabla1[[#This Row],[JUNIO ]]/22.5-1,0),IF(Tabla1[[#This Row],[JUNIO ]]&gt;45,Tabla1[[#This Row],[JUNIO ]]/45-1,0))</f>
        <v>0</v>
      </c>
      <c r="AK47" s="103">
        <f>IF(Tabla1[[#This Row],[TIPO DE CONSUMIDOR]]="MEDIO",IF(Tabla1[[#This Row],[JULIO ]]&gt;22.5,Tabla1[[#This Row],[JULIO ]]/22.5-1,0),IF(Tabla1[[#This Row],[JULIO ]]&gt;45,Tabla1[[#This Row],[JULIO ]]/45-1,0))</f>
        <v>0</v>
      </c>
      <c r="AL47" s="103">
        <f>IF(Tabla1[[#This Row],[TIPO DE CONSUMIDOR]]="MEDIO",IF(Tabla1[[#This Row],[AGOSTO]]&gt;22.5,Tabla1[[#This Row],[AGOSTO]]/22.5-1,0),IF(Tabla1[[#This Row],[AGOSTO]]&gt;45,Tabla1[[#This Row],[AGOSTO]]/45-1,0))</f>
        <v>0</v>
      </c>
      <c r="AM4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" s="104">
        <f t="shared" si="2"/>
        <v>0</v>
      </c>
      <c r="AR47" s="9">
        <f t="shared" si="0"/>
        <v>0</v>
      </c>
      <c r="AS47" s="60">
        <f>IF(Tabla1[[#This Row],[MESES DE ADEUDO DEL AÑO EN CURSO ]]&gt;0,1,0)</f>
        <v>0</v>
      </c>
      <c r="AT47" s="42"/>
      <c r="AU47" s="42"/>
      <c r="AV47" s="42"/>
      <c r="AW47" s="43"/>
    </row>
    <row r="48" spans="1:49" ht="21.75" thickBot="1" x14ac:dyDescent="0.35">
      <c r="A48" s="109">
        <v>42</v>
      </c>
      <c r="B48" s="5" t="s">
        <v>258</v>
      </c>
      <c r="C48" s="2" t="s">
        <v>480</v>
      </c>
      <c r="D48" s="32"/>
      <c r="E48" s="35" t="s">
        <v>489</v>
      </c>
      <c r="F48" s="34">
        <v>22.5</v>
      </c>
      <c r="G48" s="34">
        <v>22.5</v>
      </c>
      <c r="H48" s="34">
        <v>22.5</v>
      </c>
      <c r="I48" s="34">
        <v>22.5</v>
      </c>
      <c r="J48" s="34">
        <v>22.5</v>
      </c>
      <c r="K48" s="34">
        <v>22.5</v>
      </c>
      <c r="L48" s="34">
        <v>22.5</v>
      </c>
      <c r="M48" s="34">
        <v>22.5</v>
      </c>
      <c r="N48" s="34">
        <v>22.5</v>
      </c>
      <c r="O48" s="34">
        <v>22.5</v>
      </c>
      <c r="P48" s="34">
        <v>22.5</v>
      </c>
      <c r="Q48" s="34">
        <v>22.5</v>
      </c>
      <c r="R48" s="24">
        <f>SUM(Tabla1[[#This Row],[ENERO ]:[DICIEMBRE]])</f>
        <v>270</v>
      </c>
      <c r="W48" s="65">
        <v>0</v>
      </c>
      <c r="X48" s="21">
        <f>COUNTIF(Tabla1[[#This Row],[ENERO ]:[DICIEMBRE]],0)-(AQ48)-IF(Tabla1[[#This Row],[BAJAS]]="BAJA",IF(Tabla1[[#This Row],[ALTAS]]="ALTA",VLOOKUP(Tabla1[[#This Row],[MES DE ALTA ]],$AT$6:$AU$17,2,FALSE),12)-VLOOKUP(Tabla1[[#This Row],[MES DE BAJA ]],$AT$6:$AU$17,2,FALSE),0)</f>
        <v>0</v>
      </c>
      <c r="Y48" s="69">
        <f>SUM(Tabla1[[#This Row],[MES ADEUDO DE AÑOS PASADOS ]:[MESES DE ADEUDO DEL AÑO EN CURSO ]])</f>
        <v>0</v>
      </c>
      <c r="Z48" s="15">
        <f>IF(Tabla1[[#This Row],[TIPO DE CONSUMIDOR]]="COMPLETO",W48*$T$2,W48*($T$2/2))</f>
        <v>0</v>
      </c>
      <c r="AA48" s="15">
        <f>IF(Tabla1[[#This Row],[TIPO DE CONSUMIDOR]]="COMPLETO",Tabla1[[#This Row],[MESES DE ADEUDO DEL AÑO EN CURSO ]]*$T$2,Tabla1[[#This Row],[MESES DE ADEUDO DEL AÑO EN CURSO ]]*($T$2/2))</f>
        <v>0</v>
      </c>
      <c r="AB48" s="70">
        <f>SUM(Tabla1[[#This Row],[DEUDA DE LOS MESES PASADOS EN $$]:[DEUDA DEL AÑO 2013 $$ ]])</f>
        <v>0</v>
      </c>
      <c r="AE48" s="103">
        <f>IF(Tabla1[[#This Row],[TIPO DE CONSUMIDOR]]="MEDIO",IF(Tabla1[[#This Row],[ENERO ]]&gt;22.5,Tabla1[[#This Row],[ENERO ]]/22.5-1,0),IF(Tabla1[[#This Row],[ENERO ]]&gt;45,Tabla1[[#This Row],[ENERO ]]/45-1,0))</f>
        <v>0</v>
      </c>
      <c r="AF4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" s="103">
        <f>IF(Tabla1[[#This Row],[TIPO DE CONSUMIDOR]]="MEDIO",IF(Tabla1[[#This Row],[MARZO]]&gt;22.5,Tabla1[[#This Row],[MARZO]]/22.5-1,0),IF(Tabla1[[#This Row],[MARZO]]&gt;45,Tabla1[[#This Row],[MARZO]]/45-1,0))</f>
        <v>0</v>
      </c>
      <c r="AH48" s="103">
        <f>IF(Tabla1[[#This Row],[TIPO DE CONSUMIDOR]]="MEDIO",IF(Tabla1[[#This Row],[ABRIL]]&gt;22.5,Tabla1[[#This Row],[ABRIL]]/22.5-1,0),IF(Tabla1[[#This Row],[ABRIL]]&gt;45,Tabla1[[#This Row],[ABRIL]]/45-1,0))</f>
        <v>0</v>
      </c>
      <c r="AI48" s="103">
        <f>IF(Tabla1[[#This Row],[TIPO DE CONSUMIDOR]]="MEDIO",IF(Tabla1[[#This Row],[MAYO ]]&gt;22.5,Tabla1[[#This Row],[MAYO ]]/22.5-1,0),IF(Tabla1[[#This Row],[MAYO ]]&gt;45,Tabla1[[#This Row],[MAYO ]]/45-1,0))</f>
        <v>0</v>
      </c>
      <c r="AJ48" s="103">
        <f>IF(Tabla1[[#This Row],[TIPO DE CONSUMIDOR]]="MEDIO",IF(Tabla1[[#This Row],[JUNIO ]]&gt;22.5,Tabla1[[#This Row],[JUNIO ]]/22.5-1,0),IF(Tabla1[[#This Row],[JUNIO ]]&gt;45,Tabla1[[#This Row],[JUNIO ]]/45-1,0))</f>
        <v>0</v>
      </c>
      <c r="AK48" s="103">
        <f>IF(Tabla1[[#This Row],[TIPO DE CONSUMIDOR]]="MEDIO",IF(Tabla1[[#This Row],[JULIO ]]&gt;22.5,Tabla1[[#This Row],[JULIO ]]/22.5-1,0),IF(Tabla1[[#This Row],[JULIO ]]&gt;45,Tabla1[[#This Row],[JULIO ]]/45-1,0))</f>
        <v>0</v>
      </c>
      <c r="AL48" s="103">
        <f>IF(Tabla1[[#This Row],[TIPO DE CONSUMIDOR]]="MEDIO",IF(Tabla1[[#This Row],[AGOSTO]]&gt;22.5,Tabla1[[#This Row],[AGOSTO]]/22.5-1,0),IF(Tabla1[[#This Row],[AGOSTO]]&gt;45,Tabla1[[#This Row],[AGOSTO]]/45-1,0))</f>
        <v>0</v>
      </c>
      <c r="AM4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" s="104">
        <f t="shared" si="2"/>
        <v>0</v>
      </c>
      <c r="AR48" s="9">
        <f t="shared" si="0"/>
        <v>0</v>
      </c>
      <c r="AS48" s="60">
        <f>IF(Tabla1[[#This Row],[MESES DE ADEUDO DEL AÑO EN CURSO ]]&gt;0,1,0)</f>
        <v>0</v>
      </c>
      <c r="AT48" s="42"/>
      <c r="AU48" s="42"/>
      <c r="AV48" s="42"/>
      <c r="AW48" s="43"/>
    </row>
    <row r="49" spans="1:49" ht="21.75" thickBot="1" x14ac:dyDescent="0.35">
      <c r="A49" s="109">
        <v>43</v>
      </c>
      <c r="B49" s="5" t="s">
        <v>219</v>
      </c>
      <c r="C49" s="2" t="s">
        <v>480</v>
      </c>
      <c r="D49" s="32"/>
      <c r="E49" s="35" t="s">
        <v>455</v>
      </c>
      <c r="F49" s="34">
        <v>45</v>
      </c>
      <c r="G49" s="34">
        <v>45</v>
      </c>
      <c r="H49" s="34">
        <v>45</v>
      </c>
      <c r="I49" s="34">
        <v>45</v>
      </c>
      <c r="J49" s="34">
        <v>45</v>
      </c>
      <c r="K49" s="34">
        <v>45</v>
      </c>
      <c r="L49" s="34">
        <v>45</v>
      </c>
      <c r="M49" s="34">
        <v>45</v>
      </c>
      <c r="N49" s="34">
        <v>45</v>
      </c>
      <c r="O49" s="34">
        <v>45</v>
      </c>
      <c r="P49" s="34">
        <v>45</v>
      </c>
      <c r="Q49" s="34">
        <v>45</v>
      </c>
      <c r="R49" s="24">
        <f>SUM(Tabla1[[#This Row],[ENERO ]:[DICIEMBRE]])</f>
        <v>540</v>
      </c>
      <c r="W49" s="65">
        <v>0</v>
      </c>
      <c r="X49" s="21">
        <f>COUNTIF(Tabla1[[#This Row],[ENERO ]:[DICIEMBRE]],0)-(AQ49)-IF(Tabla1[[#This Row],[BAJAS]]="BAJA",IF(Tabla1[[#This Row],[ALTAS]]="ALTA",VLOOKUP(Tabla1[[#This Row],[MES DE ALTA ]],$AT$6:$AU$17,2,FALSE),12)-VLOOKUP(Tabla1[[#This Row],[MES DE BAJA ]],$AT$6:$AU$17,2,FALSE),0)</f>
        <v>0</v>
      </c>
      <c r="Y49" s="69">
        <f>SUM(Tabla1[[#This Row],[MES ADEUDO DE AÑOS PASADOS ]:[MESES DE ADEUDO DEL AÑO EN CURSO ]])</f>
        <v>0</v>
      </c>
      <c r="Z49" s="15">
        <f>IF(Tabla1[[#This Row],[TIPO DE CONSUMIDOR]]="COMPLETO",W49*$T$2,W49*($T$2/2))</f>
        <v>0</v>
      </c>
      <c r="AA49" s="15">
        <f>IF(Tabla1[[#This Row],[TIPO DE CONSUMIDOR]]="COMPLETO",Tabla1[[#This Row],[MESES DE ADEUDO DEL AÑO EN CURSO ]]*$T$2,Tabla1[[#This Row],[MESES DE ADEUDO DEL AÑO EN CURSO ]]*($T$2/2))</f>
        <v>0</v>
      </c>
      <c r="AB49" s="70">
        <f>SUM(Tabla1[[#This Row],[DEUDA DE LOS MESES PASADOS EN $$]:[DEUDA DEL AÑO 2013 $$ ]])</f>
        <v>0</v>
      </c>
      <c r="AE49" s="103">
        <f>IF(Tabla1[[#This Row],[TIPO DE CONSUMIDOR]]="MEDIO",IF(Tabla1[[#This Row],[ENERO ]]&gt;22.5,Tabla1[[#This Row],[ENERO ]]/22.5-1,0),IF(Tabla1[[#This Row],[ENERO ]]&gt;45,Tabla1[[#This Row],[ENERO ]]/45-1,0))</f>
        <v>0</v>
      </c>
      <c r="AF4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" s="103">
        <f>IF(Tabla1[[#This Row],[TIPO DE CONSUMIDOR]]="MEDIO",IF(Tabla1[[#This Row],[MARZO]]&gt;22.5,Tabla1[[#This Row],[MARZO]]/22.5-1,0),IF(Tabla1[[#This Row],[MARZO]]&gt;45,Tabla1[[#This Row],[MARZO]]/45-1,0))</f>
        <v>0</v>
      </c>
      <c r="AH49" s="103">
        <f>IF(Tabla1[[#This Row],[TIPO DE CONSUMIDOR]]="MEDIO",IF(Tabla1[[#This Row],[ABRIL]]&gt;22.5,Tabla1[[#This Row],[ABRIL]]/22.5-1,0),IF(Tabla1[[#This Row],[ABRIL]]&gt;45,Tabla1[[#This Row],[ABRIL]]/45-1,0))</f>
        <v>0</v>
      </c>
      <c r="AI49" s="103">
        <f>IF(Tabla1[[#This Row],[TIPO DE CONSUMIDOR]]="MEDIO",IF(Tabla1[[#This Row],[MAYO ]]&gt;22.5,Tabla1[[#This Row],[MAYO ]]/22.5-1,0),IF(Tabla1[[#This Row],[MAYO ]]&gt;45,Tabla1[[#This Row],[MAYO ]]/45-1,0))</f>
        <v>0</v>
      </c>
      <c r="AJ49" s="103">
        <f>IF(Tabla1[[#This Row],[TIPO DE CONSUMIDOR]]="MEDIO",IF(Tabla1[[#This Row],[JUNIO ]]&gt;22.5,Tabla1[[#This Row],[JUNIO ]]/22.5-1,0),IF(Tabla1[[#This Row],[JUNIO ]]&gt;45,Tabla1[[#This Row],[JUNIO ]]/45-1,0))</f>
        <v>0</v>
      </c>
      <c r="AK49" s="103">
        <f>IF(Tabla1[[#This Row],[TIPO DE CONSUMIDOR]]="MEDIO",IF(Tabla1[[#This Row],[JULIO ]]&gt;22.5,Tabla1[[#This Row],[JULIO ]]/22.5-1,0),IF(Tabla1[[#This Row],[JULIO ]]&gt;45,Tabla1[[#This Row],[JULIO ]]/45-1,0))</f>
        <v>0</v>
      </c>
      <c r="AL49" s="103">
        <f>IF(Tabla1[[#This Row],[TIPO DE CONSUMIDOR]]="MEDIO",IF(Tabla1[[#This Row],[AGOSTO]]&gt;22.5,Tabla1[[#This Row],[AGOSTO]]/22.5-1,0),IF(Tabla1[[#This Row],[AGOSTO]]&gt;45,Tabla1[[#This Row],[AGOSTO]]/45-1,0))</f>
        <v>0</v>
      </c>
      <c r="AM4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" s="104">
        <f t="shared" si="2"/>
        <v>0</v>
      </c>
      <c r="AR49" s="9">
        <f t="shared" si="0"/>
        <v>0</v>
      </c>
      <c r="AS49" s="60">
        <f>IF(Tabla1[[#This Row],[MESES DE ADEUDO DEL AÑO EN CURSO ]]&gt;0,1,0)</f>
        <v>0</v>
      </c>
      <c r="AT49" s="42"/>
      <c r="AU49" s="42"/>
      <c r="AV49" s="42"/>
      <c r="AW49" s="43"/>
    </row>
    <row r="50" spans="1:49" ht="21.75" thickBot="1" x14ac:dyDescent="0.35">
      <c r="A50" s="109">
        <v>44</v>
      </c>
      <c r="B50" s="5" t="s">
        <v>271</v>
      </c>
      <c r="C50" s="2" t="s">
        <v>480</v>
      </c>
      <c r="D50" s="32"/>
      <c r="E50" s="35" t="s">
        <v>455</v>
      </c>
      <c r="F50" s="34">
        <v>45</v>
      </c>
      <c r="G50" s="34">
        <v>45</v>
      </c>
      <c r="H50" s="34">
        <v>45</v>
      </c>
      <c r="I50" s="34">
        <v>45</v>
      </c>
      <c r="J50" s="34">
        <v>45</v>
      </c>
      <c r="K50" s="34">
        <v>45</v>
      </c>
      <c r="L50" s="34">
        <v>45</v>
      </c>
      <c r="M50" s="34">
        <v>45</v>
      </c>
      <c r="N50" s="34">
        <v>45</v>
      </c>
      <c r="O50" s="34">
        <v>45</v>
      </c>
      <c r="P50" s="34">
        <v>45</v>
      </c>
      <c r="Q50" s="34">
        <v>45</v>
      </c>
      <c r="R50" s="24">
        <f>SUM(Tabla1[[#This Row],[ENERO ]:[DICIEMBRE]])</f>
        <v>540</v>
      </c>
      <c r="W50" s="65">
        <v>0</v>
      </c>
      <c r="X50" s="21">
        <f>COUNTIF(Tabla1[[#This Row],[ENERO ]:[DICIEMBRE]],0)-(AQ50)-IF(Tabla1[[#This Row],[BAJAS]]="BAJA",IF(Tabla1[[#This Row],[ALTAS]]="ALTA",VLOOKUP(Tabla1[[#This Row],[MES DE ALTA ]],$AT$6:$AU$17,2,FALSE),12)-VLOOKUP(Tabla1[[#This Row],[MES DE BAJA ]],$AT$6:$AU$17,2,FALSE),0)</f>
        <v>0</v>
      </c>
      <c r="Y50" s="69">
        <f>SUM(Tabla1[[#This Row],[MES ADEUDO DE AÑOS PASADOS ]:[MESES DE ADEUDO DEL AÑO EN CURSO ]])</f>
        <v>0</v>
      </c>
      <c r="Z50" s="15">
        <f>IF(Tabla1[[#This Row],[TIPO DE CONSUMIDOR]]="COMPLETO",W50*$T$2,W50*($T$2/2))</f>
        <v>0</v>
      </c>
      <c r="AA50" s="15">
        <f>IF(Tabla1[[#This Row],[TIPO DE CONSUMIDOR]]="COMPLETO",Tabla1[[#This Row],[MESES DE ADEUDO DEL AÑO EN CURSO ]]*$T$2,Tabla1[[#This Row],[MESES DE ADEUDO DEL AÑO EN CURSO ]]*($T$2/2))</f>
        <v>0</v>
      </c>
      <c r="AB50" s="70">
        <f>SUM(Tabla1[[#This Row],[DEUDA DE LOS MESES PASADOS EN $$]:[DEUDA DEL AÑO 2013 $$ ]])</f>
        <v>0</v>
      </c>
      <c r="AE50" s="103">
        <f>IF(Tabla1[[#This Row],[TIPO DE CONSUMIDOR]]="MEDIO",IF(Tabla1[[#This Row],[ENERO ]]&gt;22.5,Tabla1[[#This Row],[ENERO ]]/22.5-1,0),IF(Tabla1[[#This Row],[ENERO ]]&gt;45,Tabla1[[#This Row],[ENERO ]]/45-1,0))</f>
        <v>0</v>
      </c>
      <c r="AF5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" s="103">
        <f>IF(Tabla1[[#This Row],[TIPO DE CONSUMIDOR]]="MEDIO",IF(Tabla1[[#This Row],[MARZO]]&gt;22.5,Tabla1[[#This Row],[MARZO]]/22.5-1,0),IF(Tabla1[[#This Row],[MARZO]]&gt;45,Tabla1[[#This Row],[MARZO]]/45-1,0))</f>
        <v>0</v>
      </c>
      <c r="AH50" s="103">
        <f>IF(Tabla1[[#This Row],[TIPO DE CONSUMIDOR]]="MEDIO",IF(Tabla1[[#This Row],[ABRIL]]&gt;22.5,Tabla1[[#This Row],[ABRIL]]/22.5-1,0),IF(Tabla1[[#This Row],[ABRIL]]&gt;45,Tabla1[[#This Row],[ABRIL]]/45-1,0))</f>
        <v>0</v>
      </c>
      <c r="AI50" s="103">
        <f>IF(Tabla1[[#This Row],[TIPO DE CONSUMIDOR]]="MEDIO",IF(Tabla1[[#This Row],[MAYO ]]&gt;22.5,Tabla1[[#This Row],[MAYO ]]/22.5-1,0),IF(Tabla1[[#This Row],[MAYO ]]&gt;45,Tabla1[[#This Row],[MAYO ]]/45-1,0))</f>
        <v>0</v>
      </c>
      <c r="AJ50" s="103">
        <f>IF(Tabla1[[#This Row],[TIPO DE CONSUMIDOR]]="MEDIO",IF(Tabla1[[#This Row],[JUNIO ]]&gt;22.5,Tabla1[[#This Row],[JUNIO ]]/22.5-1,0),IF(Tabla1[[#This Row],[JUNIO ]]&gt;45,Tabla1[[#This Row],[JUNIO ]]/45-1,0))</f>
        <v>0</v>
      </c>
      <c r="AK50" s="103">
        <f>IF(Tabla1[[#This Row],[TIPO DE CONSUMIDOR]]="MEDIO",IF(Tabla1[[#This Row],[JULIO ]]&gt;22.5,Tabla1[[#This Row],[JULIO ]]/22.5-1,0),IF(Tabla1[[#This Row],[JULIO ]]&gt;45,Tabla1[[#This Row],[JULIO ]]/45-1,0))</f>
        <v>0</v>
      </c>
      <c r="AL50" s="103">
        <f>IF(Tabla1[[#This Row],[TIPO DE CONSUMIDOR]]="MEDIO",IF(Tabla1[[#This Row],[AGOSTO]]&gt;22.5,Tabla1[[#This Row],[AGOSTO]]/22.5-1,0),IF(Tabla1[[#This Row],[AGOSTO]]&gt;45,Tabla1[[#This Row],[AGOSTO]]/45-1,0))</f>
        <v>0</v>
      </c>
      <c r="AM5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" s="104">
        <f t="shared" si="2"/>
        <v>0</v>
      </c>
      <c r="AR50" s="9">
        <f t="shared" si="0"/>
        <v>0</v>
      </c>
      <c r="AS50" s="60">
        <f>IF(Tabla1[[#This Row],[MESES DE ADEUDO DEL AÑO EN CURSO ]]&gt;0,1,0)</f>
        <v>0</v>
      </c>
      <c r="AT50" s="42"/>
      <c r="AU50" s="42"/>
      <c r="AV50" s="42"/>
      <c r="AW50" s="43"/>
    </row>
    <row r="51" spans="1:49" ht="21.75" thickBot="1" x14ac:dyDescent="0.35">
      <c r="A51" s="109">
        <v>45</v>
      </c>
      <c r="B51" s="5" t="s">
        <v>484</v>
      </c>
      <c r="C51" s="2" t="s">
        <v>480</v>
      </c>
      <c r="D51" s="32"/>
      <c r="E51" s="35" t="s">
        <v>455</v>
      </c>
      <c r="F51" s="34">
        <v>45</v>
      </c>
      <c r="G51" s="34">
        <v>45</v>
      </c>
      <c r="H51" s="34">
        <v>45</v>
      </c>
      <c r="I51" s="34">
        <v>45</v>
      </c>
      <c r="J51" s="34">
        <v>45</v>
      </c>
      <c r="K51" s="34">
        <v>45</v>
      </c>
      <c r="L51" s="34">
        <v>45</v>
      </c>
      <c r="M51" s="34">
        <v>45</v>
      </c>
      <c r="N51" s="34">
        <v>45</v>
      </c>
      <c r="O51" s="34">
        <v>45</v>
      </c>
      <c r="P51" s="34">
        <v>45</v>
      </c>
      <c r="Q51" s="34">
        <v>45</v>
      </c>
      <c r="R51" s="24">
        <f>SUM(Tabla1[[#This Row],[ENERO ]:[DICIEMBRE]])</f>
        <v>540</v>
      </c>
      <c r="W51" s="65">
        <v>0</v>
      </c>
      <c r="X51" s="21">
        <f>COUNTIF(Tabla1[[#This Row],[ENERO ]:[DICIEMBRE]],0)-(AQ51)-IF(Tabla1[[#This Row],[BAJAS]]="BAJA",IF(Tabla1[[#This Row],[ALTAS]]="ALTA",VLOOKUP(Tabla1[[#This Row],[MES DE ALTA ]],$AT$6:$AU$17,2,FALSE),12)-VLOOKUP(Tabla1[[#This Row],[MES DE BAJA ]],$AT$6:$AU$17,2,FALSE),0)</f>
        <v>0</v>
      </c>
      <c r="Y51" s="69">
        <f>SUM(Tabla1[[#This Row],[MES ADEUDO DE AÑOS PASADOS ]:[MESES DE ADEUDO DEL AÑO EN CURSO ]])</f>
        <v>0</v>
      </c>
      <c r="Z51" s="15">
        <f>IF(Tabla1[[#This Row],[TIPO DE CONSUMIDOR]]="COMPLETO",W51*$T$2,W51*($T$2/2))</f>
        <v>0</v>
      </c>
      <c r="AA51" s="15">
        <f>IF(Tabla1[[#This Row],[TIPO DE CONSUMIDOR]]="COMPLETO",Tabla1[[#This Row],[MESES DE ADEUDO DEL AÑO EN CURSO ]]*$T$2,Tabla1[[#This Row],[MESES DE ADEUDO DEL AÑO EN CURSO ]]*($T$2/2))</f>
        <v>0</v>
      </c>
      <c r="AB51" s="70">
        <f>SUM(Tabla1[[#This Row],[DEUDA DE LOS MESES PASADOS EN $$]:[DEUDA DEL AÑO 2013 $$ ]])</f>
        <v>0</v>
      </c>
      <c r="AE51" s="103">
        <f>IF(Tabla1[[#This Row],[TIPO DE CONSUMIDOR]]="MEDIO",IF(Tabla1[[#This Row],[ENERO ]]&gt;22.5,Tabla1[[#This Row],[ENERO ]]/22.5-1,0),IF(Tabla1[[#This Row],[ENERO ]]&gt;45,Tabla1[[#This Row],[ENERO ]]/45-1,0))</f>
        <v>0</v>
      </c>
      <c r="AF5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" s="103">
        <f>IF(Tabla1[[#This Row],[TIPO DE CONSUMIDOR]]="MEDIO",IF(Tabla1[[#This Row],[MARZO]]&gt;22.5,Tabla1[[#This Row],[MARZO]]/22.5-1,0),IF(Tabla1[[#This Row],[MARZO]]&gt;45,Tabla1[[#This Row],[MARZO]]/45-1,0))</f>
        <v>0</v>
      </c>
      <c r="AH51" s="103">
        <f>IF(Tabla1[[#This Row],[TIPO DE CONSUMIDOR]]="MEDIO",IF(Tabla1[[#This Row],[ABRIL]]&gt;22.5,Tabla1[[#This Row],[ABRIL]]/22.5-1,0),IF(Tabla1[[#This Row],[ABRIL]]&gt;45,Tabla1[[#This Row],[ABRIL]]/45-1,0))</f>
        <v>0</v>
      </c>
      <c r="AI51" s="103">
        <f>IF(Tabla1[[#This Row],[TIPO DE CONSUMIDOR]]="MEDIO",IF(Tabla1[[#This Row],[MAYO ]]&gt;22.5,Tabla1[[#This Row],[MAYO ]]/22.5-1,0),IF(Tabla1[[#This Row],[MAYO ]]&gt;45,Tabla1[[#This Row],[MAYO ]]/45-1,0))</f>
        <v>0</v>
      </c>
      <c r="AJ51" s="103">
        <f>IF(Tabla1[[#This Row],[TIPO DE CONSUMIDOR]]="MEDIO",IF(Tabla1[[#This Row],[JUNIO ]]&gt;22.5,Tabla1[[#This Row],[JUNIO ]]/22.5-1,0),IF(Tabla1[[#This Row],[JUNIO ]]&gt;45,Tabla1[[#This Row],[JUNIO ]]/45-1,0))</f>
        <v>0</v>
      </c>
      <c r="AK51" s="103">
        <f>IF(Tabla1[[#This Row],[TIPO DE CONSUMIDOR]]="MEDIO",IF(Tabla1[[#This Row],[JULIO ]]&gt;22.5,Tabla1[[#This Row],[JULIO ]]/22.5-1,0),IF(Tabla1[[#This Row],[JULIO ]]&gt;45,Tabla1[[#This Row],[JULIO ]]/45-1,0))</f>
        <v>0</v>
      </c>
      <c r="AL51" s="103">
        <f>IF(Tabla1[[#This Row],[TIPO DE CONSUMIDOR]]="MEDIO",IF(Tabla1[[#This Row],[AGOSTO]]&gt;22.5,Tabla1[[#This Row],[AGOSTO]]/22.5-1,0),IF(Tabla1[[#This Row],[AGOSTO]]&gt;45,Tabla1[[#This Row],[AGOSTO]]/45-1,0))</f>
        <v>0</v>
      </c>
      <c r="AM5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" s="104">
        <f t="shared" si="2"/>
        <v>0</v>
      </c>
      <c r="AR51" s="9">
        <f t="shared" si="0"/>
        <v>0</v>
      </c>
      <c r="AS51" s="60">
        <f>IF(Tabla1[[#This Row],[MESES DE ADEUDO DEL AÑO EN CURSO ]]&gt;0,1,0)</f>
        <v>0</v>
      </c>
      <c r="AT51" s="42"/>
      <c r="AU51" s="42"/>
      <c r="AV51" s="42"/>
      <c r="AW51" s="43"/>
    </row>
    <row r="52" spans="1:49" ht="21.75" thickBot="1" x14ac:dyDescent="0.35">
      <c r="A52" s="109">
        <v>46</v>
      </c>
      <c r="B52" s="5" t="s">
        <v>399</v>
      </c>
      <c r="C52" s="2" t="s">
        <v>480</v>
      </c>
      <c r="D52" s="32"/>
      <c r="E52" s="35" t="s">
        <v>455</v>
      </c>
      <c r="F52" s="34">
        <v>45</v>
      </c>
      <c r="G52" s="34">
        <v>45</v>
      </c>
      <c r="H52" s="34">
        <v>45</v>
      </c>
      <c r="I52" s="34">
        <v>45</v>
      </c>
      <c r="J52" s="34">
        <v>45</v>
      </c>
      <c r="K52" s="34">
        <v>45</v>
      </c>
      <c r="L52" s="34">
        <v>45</v>
      </c>
      <c r="M52" s="34">
        <v>45</v>
      </c>
      <c r="N52" s="34">
        <v>45</v>
      </c>
      <c r="O52" s="34">
        <v>45</v>
      </c>
      <c r="P52" s="34">
        <v>45</v>
      </c>
      <c r="Q52" s="34">
        <v>45</v>
      </c>
      <c r="R52" s="24">
        <f>SUM(Tabla1[[#This Row],[ENERO ]:[DICIEMBRE]])</f>
        <v>540</v>
      </c>
      <c r="W52" s="65">
        <v>0</v>
      </c>
      <c r="X52" s="21">
        <f>COUNTIF(Tabla1[[#This Row],[ENERO ]:[DICIEMBRE]],0)-(AQ52)-IF(Tabla1[[#This Row],[BAJAS]]="BAJA",IF(Tabla1[[#This Row],[ALTAS]]="ALTA",VLOOKUP(Tabla1[[#This Row],[MES DE ALTA ]],$AT$6:$AU$17,2,FALSE),12)-VLOOKUP(Tabla1[[#This Row],[MES DE BAJA ]],$AT$6:$AU$17,2,FALSE),0)</f>
        <v>0</v>
      </c>
      <c r="Y52" s="69">
        <f>SUM(Tabla1[[#This Row],[MES ADEUDO DE AÑOS PASADOS ]:[MESES DE ADEUDO DEL AÑO EN CURSO ]])</f>
        <v>0</v>
      </c>
      <c r="Z52" s="15">
        <f>IF(Tabla1[[#This Row],[TIPO DE CONSUMIDOR]]="COMPLETO",W52*$T$2,W52*($T$2/2))</f>
        <v>0</v>
      </c>
      <c r="AA52" s="15">
        <f>IF(Tabla1[[#This Row],[TIPO DE CONSUMIDOR]]="COMPLETO",Tabla1[[#This Row],[MESES DE ADEUDO DEL AÑO EN CURSO ]]*$T$2,Tabla1[[#This Row],[MESES DE ADEUDO DEL AÑO EN CURSO ]]*($T$2/2))</f>
        <v>0</v>
      </c>
      <c r="AB52" s="70">
        <f>SUM(Tabla1[[#This Row],[DEUDA DE LOS MESES PASADOS EN $$]:[DEUDA DEL AÑO 2013 $$ ]])</f>
        <v>0</v>
      </c>
      <c r="AE52" s="103">
        <f>IF(Tabla1[[#This Row],[TIPO DE CONSUMIDOR]]="MEDIO",IF(Tabla1[[#This Row],[ENERO ]]&gt;22.5,Tabla1[[#This Row],[ENERO ]]/22.5-1,0),IF(Tabla1[[#This Row],[ENERO ]]&gt;45,Tabla1[[#This Row],[ENERO ]]/45-1,0))</f>
        <v>0</v>
      </c>
      <c r="AF5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" s="103">
        <f>IF(Tabla1[[#This Row],[TIPO DE CONSUMIDOR]]="MEDIO",IF(Tabla1[[#This Row],[MARZO]]&gt;22.5,Tabla1[[#This Row],[MARZO]]/22.5-1,0),IF(Tabla1[[#This Row],[MARZO]]&gt;45,Tabla1[[#This Row],[MARZO]]/45-1,0))</f>
        <v>0</v>
      </c>
      <c r="AH52" s="103">
        <f>IF(Tabla1[[#This Row],[TIPO DE CONSUMIDOR]]="MEDIO",IF(Tabla1[[#This Row],[ABRIL]]&gt;22.5,Tabla1[[#This Row],[ABRIL]]/22.5-1,0),IF(Tabla1[[#This Row],[ABRIL]]&gt;45,Tabla1[[#This Row],[ABRIL]]/45-1,0))</f>
        <v>0</v>
      </c>
      <c r="AI52" s="103">
        <f>IF(Tabla1[[#This Row],[TIPO DE CONSUMIDOR]]="MEDIO",IF(Tabla1[[#This Row],[MAYO ]]&gt;22.5,Tabla1[[#This Row],[MAYO ]]/22.5-1,0),IF(Tabla1[[#This Row],[MAYO ]]&gt;45,Tabla1[[#This Row],[MAYO ]]/45-1,0))</f>
        <v>0</v>
      </c>
      <c r="AJ52" s="103">
        <f>IF(Tabla1[[#This Row],[TIPO DE CONSUMIDOR]]="MEDIO",IF(Tabla1[[#This Row],[JUNIO ]]&gt;22.5,Tabla1[[#This Row],[JUNIO ]]/22.5-1,0),IF(Tabla1[[#This Row],[JUNIO ]]&gt;45,Tabla1[[#This Row],[JUNIO ]]/45-1,0))</f>
        <v>0</v>
      </c>
      <c r="AK52" s="103">
        <f>IF(Tabla1[[#This Row],[TIPO DE CONSUMIDOR]]="MEDIO",IF(Tabla1[[#This Row],[JULIO ]]&gt;22.5,Tabla1[[#This Row],[JULIO ]]/22.5-1,0),IF(Tabla1[[#This Row],[JULIO ]]&gt;45,Tabla1[[#This Row],[JULIO ]]/45-1,0))</f>
        <v>0</v>
      </c>
      <c r="AL52" s="103">
        <f>IF(Tabla1[[#This Row],[TIPO DE CONSUMIDOR]]="MEDIO",IF(Tabla1[[#This Row],[AGOSTO]]&gt;22.5,Tabla1[[#This Row],[AGOSTO]]/22.5-1,0),IF(Tabla1[[#This Row],[AGOSTO]]&gt;45,Tabla1[[#This Row],[AGOSTO]]/45-1,0))</f>
        <v>0</v>
      </c>
      <c r="AM5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" s="104">
        <f t="shared" si="2"/>
        <v>0</v>
      </c>
      <c r="AR52" s="9">
        <f t="shared" si="0"/>
        <v>0</v>
      </c>
      <c r="AS52" s="60">
        <f>IF(Tabla1[[#This Row],[MESES DE ADEUDO DEL AÑO EN CURSO ]]&gt;0,1,0)</f>
        <v>0</v>
      </c>
      <c r="AT52" s="42"/>
      <c r="AU52" s="42"/>
      <c r="AV52" s="42"/>
      <c r="AW52" s="43"/>
    </row>
    <row r="53" spans="1:49" ht="21.75" thickBot="1" x14ac:dyDescent="0.35">
      <c r="A53" s="109">
        <v>47</v>
      </c>
      <c r="B53" s="5" t="s">
        <v>486</v>
      </c>
      <c r="C53" s="2" t="s">
        <v>487</v>
      </c>
      <c r="D53" s="46"/>
      <c r="E53" s="36" t="s">
        <v>455</v>
      </c>
      <c r="F53" s="34">
        <v>0</v>
      </c>
      <c r="G53" s="34">
        <v>0</v>
      </c>
      <c r="H53" s="34">
        <v>45</v>
      </c>
      <c r="I53" s="34">
        <v>45</v>
      </c>
      <c r="J53" s="34">
        <v>45</v>
      </c>
      <c r="K53" s="34">
        <v>45</v>
      </c>
      <c r="L53" s="34">
        <v>45</v>
      </c>
      <c r="M53" s="34">
        <v>45</v>
      </c>
      <c r="N53" s="34">
        <v>45</v>
      </c>
      <c r="O53" s="34">
        <v>45</v>
      </c>
      <c r="P53" s="34">
        <v>45</v>
      </c>
      <c r="Q53" s="34">
        <v>45</v>
      </c>
      <c r="R53" s="24">
        <f>SUM(Tabla1[[#This Row],[ENERO ]:[DICIEMBRE]])</f>
        <v>450</v>
      </c>
      <c r="S53" t="s">
        <v>626</v>
      </c>
      <c r="T53" t="s">
        <v>434</v>
      </c>
      <c r="U53" t="s">
        <v>625</v>
      </c>
      <c r="V53" t="s">
        <v>2</v>
      </c>
      <c r="W53" s="65">
        <v>0</v>
      </c>
      <c r="X53" s="21">
        <f>COUNTIF(Tabla1[[#This Row],[ENERO ]:[DICIEMBRE]],0)-(AQ53)-IF(Tabla1[[#This Row],[BAJAS]]="BAJA",IF(Tabla1[[#This Row],[ALTAS]]="ALTA",VLOOKUP(Tabla1[[#This Row],[MES DE ALTA ]],$AT$6:$AU$17,2,FALSE),12)-VLOOKUP(Tabla1[[#This Row],[MES DE BAJA ]],$AT$6:$AU$17,2,FALSE),0)</f>
        <v>0</v>
      </c>
      <c r="Y53" s="69">
        <f>SUM(Tabla1[[#This Row],[MES ADEUDO DE AÑOS PASADOS ]:[MESES DE ADEUDO DEL AÑO EN CURSO ]])</f>
        <v>0</v>
      </c>
      <c r="Z53" s="15">
        <f>IF(Tabla1[[#This Row],[TIPO DE CONSUMIDOR]]="COMPLETO",W53*$T$2,W53*($T$2/2))</f>
        <v>0</v>
      </c>
      <c r="AA53" s="15">
        <f>IF(Tabla1[[#This Row],[TIPO DE CONSUMIDOR]]="COMPLETO",Tabla1[[#This Row],[MESES DE ADEUDO DEL AÑO EN CURSO ]]*$T$2,Tabla1[[#This Row],[MESES DE ADEUDO DEL AÑO EN CURSO ]]*($T$2/2))</f>
        <v>0</v>
      </c>
      <c r="AB53" s="70">
        <f>SUM(Tabla1[[#This Row],[DEUDA DE LOS MESES PASADOS EN $$]:[DEUDA DEL AÑO 2013 $$ ]])</f>
        <v>0</v>
      </c>
      <c r="AE53" s="103">
        <f>IF(Tabla1[[#This Row],[TIPO DE CONSUMIDOR]]="MEDIO",IF(Tabla1[[#This Row],[ENERO ]]&gt;22.5,Tabla1[[#This Row],[ENERO ]]/22.5-1,0),IF(Tabla1[[#This Row],[ENERO ]]&gt;45,Tabla1[[#This Row],[ENERO ]]/45-1,0))</f>
        <v>0</v>
      </c>
      <c r="AF5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" s="103">
        <f>IF(Tabla1[[#This Row],[TIPO DE CONSUMIDOR]]="MEDIO",IF(Tabla1[[#This Row],[MARZO]]&gt;22.5,Tabla1[[#This Row],[MARZO]]/22.5-1,0),IF(Tabla1[[#This Row],[MARZO]]&gt;45,Tabla1[[#This Row],[MARZO]]/45-1,0))</f>
        <v>0</v>
      </c>
      <c r="AH53" s="103">
        <f>IF(Tabla1[[#This Row],[TIPO DE CONSUMIDOR]]="MEDIO",IF(Tabla1[[#This Row],[ABRIL]]&gt;22.5,Tabla1[[#This Row],[ABRIL]]/22.5-1,0),IF(Tabla1[[#This Row],[ABRIL]]&gt;45,Tabla1[[#This Row],[ABRIL]]/45-1,0))</f>
        <v>0</v>
      </c>
      <c r="AI53" s="103">
        <f>IF(Tabla1[[#This Row],[TIPO DE CONSUMIDOR]]="MEDIO",IF(Tabla1[[#This Row],[MAYO ]]&gt;22.5,Tabla1[[#This Row],[MAYO ]]/22.5-1,0),IF(Tabla1[[#This Row],[MAYO ]]&gt;45,Tabla1[[#This Row],[MAYO ]]/45-1,0))</f>
        <v>0</v>
      </c>
      <c r="AJ53" s="103">
        <f>IF(Tabla1[[#This Row],[TIPO DE CONSUMIDOR]]="MEDIO",IF(Tabla1[[#This Row],[JUNIO ]]&gt;22.5,Tabla1[[#This Row],[JUNIO ]]/22.5-1,0),IF(Tabla1[[#This Row],[JUNIO ]]&gt;45,Tabla1[[#This Row],[JUNIO ]]/45-1,0))</f>
        <v>0</v>
      </c>
      <c r="AK53" s="103">
        <f>IF(Tabla1[[#This Row],[TIPO DE CONSUMIDOR]]="MEDIO",IF(Tabla1[[#This Row],[JULIO ]]&gt;22.5,Tabla1[[#This Row],[JULIO ]]/22.5-1,0),IF(Tabla1[[#This Row],[JULIO ]]&gt;45,Tabla1[[#This Row],[JULIO ]]/45-1,0))</f>
        <v>0</v>
      </c>
      <c r="AL53" s="103">
        <f>IF(Tabla1[[#This Row],[TIPO DE CONSUMIDOR]]="MEDIO",IF(Tabla1[[#This Row],[AGOSTO]]&gt;22.5,Tabla1[[#This Row],[AGOSTO]]/22.5-1,0),IF(Tabla1[[#This Row],[AGOSTO]]&gt;45,Tabla1[[#This Row],[AGOSTO]]/45-1,0))</f>
        <v>0</v>
      </c>
      <c r="AM5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" s="104">
        <f t="shared" si="2"/>
        <v>0</v>
      </c>
      <c r="AR53" s="9">
        <f t="shared" si="0"/>
        <v>0</v>
      </c>
      <c r="AS53" s="60">
        <f>IF(Tabla1[[#This Row],[MESES DE ADEUDO DEL AÑO EN CURSO ]]&gt;0,1,0)</f>
        <v>0</v>
      </c>
      <c r="AT53" s="42"/>
      <c r="AU53" s="42"/>
      <c r="AV53" s="42"/>
      <c r="AW53" s="43"/>
    </row>
    <row r="54" spans="1:49" ht="21.75" thickBot="1" x14ac:dyDescent="0.35">
      <c r="A54" s="109">
        <v>48</v>
      </c>
      <c r="B54" s="5" t="s">
        <v>51</v>
      </c>
      <c r="C54" s="2" t="s">
        <v>488</v>
      </c>
      <c r="D54" s="32"/>
      <c r="E54" s="35" t="s">
        <v>455</v>
      </c>
      <c r="F54" s="34">
        <v>45</v>
      </c>
      <c r="G54" s="34">
        <v>45</v>
      </c>
      <c r="H54" s="34">
        <v>45</v>
      </c>
      <c r="I54" s="34">
        <v>45</v>
      </c>
      <c r="J54" s="34">
        <v>45</v>
      </c>
      <c r="K54" s="34">
        <v>45</v>
      </c>
      <c r="L54" s="34">
        <v>45</v>
      </c>
      <c r="M54" s="34">
        <v>45</v>
      </c>
      <c r="N54" s="34">
        <v>45</v>
      </c>
      <c r="O54" s="34">
        <v>45</v>
      </c>
      <c r="P54" s="34">
        <v>45</v>
      </c>
      <c r="Q54" s="34">
        <v>45</v>
      </c>
      <c r="R54" s="24">
        <f>SUM(Tabla1[[#This Row],[ENERO ]:[DICIEMBRE]])</f>
        <v>540</v>
      </c>
      <c r="W54" s="65">
        <v>0</v>
      </c>
      <c r="X54" s="21">
        <f>COUNTIF(Tabla1[[#This Row],[ENERO ]:[DICIEMBRE]],0)-(AQ54)-IF(Tabla1[[#This Row],[BAJAS]]="BAJA",IF(Tabla1[[#This Row],[ALTAS]]="ALTA",VLOOKUP(Tabla1[[#This Row],[MES DE ALTA ]],$AT$6:$AU$17,2,FALSE),12)-VLOOKUP(Tabla1[[#This Row],[MES DE BAJA ]],$AT$6:$AU$17,2,FALSE),0)</f>
        <v>0</v>
      </c>
      <c r="Y54" s="69">
        <f>SUM(Tabla1[[#This Row],[MES ADEUDO DE AÑOS PASADOS ]:[MESES DE ADEUDO DEL AÑO EN CURSO ]])</f>
        <v>0</v>
      </c>
      <c r="Z54" s="15">
        <f>IF(Tabla1[[#This Row],[TIPO DE CONSUMIDOR]]="COMPLETO",W54*$T$2,W54*($T$2/2))</f>
        <v>0</v>
      </c>
      <c r="AA54" s="15">
        <f>IF(Tabla1[[#This Row],[TIPO DE CONSUMIDOR]]="COMPLETO",Tabla1[[#This Row],[MESES DE ADEUDO DEL AÑO EN CURSO ]]*$T$2,Tabla1[[#This Row],[MESES DE ADEUDO DEL AÑO EN CURSO ]]*($T$2/2))</f>
        <v>0</v>
      </c>
      <c r="AB54" s="70">
        <f>SUM(Tabla1[[#This Row],[DEUDA DE LOS MESES PASADOS EN $$]:[DEUDA DEL AÑO 2013 $$ ]])</f>
        <v>0</v>
      </c>
      <c r="AE54" s="103">
        <f>IF(Tabla1[[#This Row],[TIPO DE CONSUMIDOR]]="MEDIO",IF(Tabla1[[#This Row],[ENERO ]]&gt;22.5,Tabla1[[#This Row],[ENERO ]]/22.5-1,0),IF(Tabla1[[#This Row],[ENERO ]]&gt;45,Tabla1[[#This Row],[ENERO ]]/45-1,0))</f>
        <v>0</v>
      </c>
      <c r="AF5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" s="103">
        <f>IF(Tabla1[[#This Row],[TIPO DE CONSUMIDOR]]="MEDIO",IF(Tabla1[[#This Row],[MARZO]]&gt;22.5,Tabla1[[#This Row],[MARZO]]/22.5-1,0),IF(Tabla1[[#This Row],[MARZO]]&gt;45,Tabla1[[#This Row],[MARZO]]/45-1,0))</f>
        <v>0</v>
      </c>
      <c r="AH54" s="103">
        <f>IF(Tabla1[[#This Row],[TIPO DE CONSUMIDOR]]="MEDIO",IF(Tabla1[[#This Row],[ABRIL]]&gt;22.5,Tabla1[[#This Row],[ABRIL]]/22.5-1,0),IF(Tabla1[[#This Row],[ABRIL]]&gt;45,Tabla1[[#This Row],[ABRIL]]/45-1,0))</f>
        <v>0</v>
      </c>
      <c r="AI54" s="103">
        <f>IF(Tabla1[[#This Row],[TIPO DE CONSUMIDOR]]="MEDIO",IF(Tabla1[[#This Row],[MAYO ]]&gt;22.5,Tabla1[[#This Row],[MAYO ]]/22.5-1,0),IF(Tabla1[[#This Row],[MAYO ]]&gt;45,Tabla1[[#This Row],[MAYO ]]/45-1,0))</f>
        <v>0</v>
      </c>
      <c r="AJ54" s="103">
        <f>IF(Tabla1[[#This Row],[TIPO DE CONSUMIDOR]]="MEDIO",IF(Tabla1[[#This Row],[JUNIO ]]&gt;22.5,Tabla1[[#This Row],[JUNIO ]]/22.5-1,0),IF(Tabla1[[#This Row],[JUNIO ]]&gt;45,Tabla1[[#This Row],[JUNIO ]]/45-1,0))</f>
        <v>0</v>
      </c>
      <c r="AK54" s="103">
        <f>IF(Tabla1[[#This Row],[TIPO DE CONSUMIDOR]]="MEDIO",IF(Tabla1[[#This Row],[JULIO ]]&gt;22.5,Tabla1[[#This Row],[JULIO ]]/22.5-1,0),IF(Tabla1[[#This Row],[JULIO ]]&gt;45,Tabla1[[#This Row],[JULIO ]]/45-1,0))</f>
        <v>0</v>
      </c>
      <c r="AL54" s="103">
        <f>IF(Tabla1[[#This Row],[TIPO DE CONSUMIDOR]]="MEDIO",IF(Tabla1[[#This Row],[AGOSTO]]&gt;22.5,Tabla1[[#This Row],[AGOSTO]]/22.5-1,0),IF(Tabla1[[#This Row],[AGOSTO]]&gt;45,Tabla1[[#This Row],[AGOSTO]]/45-1,0))</f>
        <v>0</v>
      </c>
      <c r="AM5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" s="104">
        <f t="shared" si="2"/>
        <v>0</v>
      </c>
      <c r="AR54" s="9">
        <f t="shared" si="0"/>
        <v>0</v>
      </c>
      <c r="AS54" s="60">
        <f>IF(Tabla1[[#This Row],[MESES DE ADEUDO DEL AÑO EN CURSO ]]&gt;0,1,0)</f>
        <v>0</v>
      </c>
      <c r="AT54" s="42"/>
      <c r="AU54" s="42"/>
      <c r="AV54" s="42"/>
      <c r="AW54" s="43"/>
    </row>
    <row r="55" spans="1:49" ht="21.75" thickBot="1" x14ac:dyDescent="0.35">
      <c r="A55" s="109">
        <v>49</v>
      </c>
      <c r="B55" s="5" t="s">
        <v>138</v>
      </c>
      <c r="C55" s="2" t="s">
        <v>488</v>
      </c>
      <c r="D55" s="32"/>
      <c r="E55" s="35" t="s">
        <v>455</v>
      </c>
      <c r="F55" s="34">
        <v>45</v>
      </c>
      <c r="G55" s="34">
        <v>45</v>
      </c>
      <c r="H55" s="34">
        <v>45</v>
      </c>
      <c r="I55" s="34">
        <v>45</v>
      </c>
      <c r="J55" s="34">
        <v>45</v>
      </c>
      <c r="K55" s="34">
        <v>45</v>
      </c>
      <c r="L55" s="34">
        <v>45</v>
      </c>
      <c r="M55" s="34">
        <v>45</v>
      </c>
      <c r="N55" s="34">
        <v>0</v>
      </c>
      <c r="O55" s="34">
        <v>0</v>
      </c>
      <c r="P55" s="34">
        <v>0</v>
      </c>
      <c r="Q55" s="34">
        <v>0</v>
      </c>
      <c r="R55" s="24">
        <f>SUM(Tabla1[[#This Row],[ENERO ]:[DICIEMBRE]])</f>
        <v>360</v>
      </c>
      <c r="S55" t="s">
        <v>626</v>
      </c>
      <c r="T55" t="s">
        <v>8</v>
      </c>
      <c r="W55" s="65">
        <v>0</v>
      </c>
      <c r="X55" s="21">
        <f>COUNTIF(Tabla1[[#This Row],[ENERO ]:[DICIEMBRE]],0)-(AQ55)-IF(Tabla1[[#This Row],[BAJAS]]="BAJA",IF(Tabla1[[#This Row],[ALTAS]]="ALTA",VLOOKUP(Tabla1[[#This Row],[MES DE ALTA ]],$AT$6:$AU$17,2,FALSE),12)-VLOOKUP(Tabla1[[#This Row],[MES DE BAJA ]],$AT$6:$AU$17,2,FALSE),0)</f>
        <v>0</v>
      </c>
      <c r="Y55" s="69">
        <f>SUM(Tabla1[[#This Row],[MES ADEUDO DE AÑOS PASADOS ]:[MESES DE ADEUDO DEL AÑO EN CURSO ]])</f>
        <v>0</v>
      </c>
      <c r="Z55" s="15">
        <f>IF(Tabla1[[#This Row],[TIPO DE CONSUMIDOR]]="COMPLETO",W55*$T$2,W55*($T$2/2))</f>
        <v>0</v>
      </c>
      <c r="AA55" s="15">
        <f>IF(Tabla1[[#This Row],[TIPO DE CONSUMIDOR]]="COMPLETO",Tabla1[[#This Row],[MESES DE ADEUDO DEL AÑO EN CURSO ]]*$T$2,Tabla1[[#This Row],[MESES DE ADEUDO DEL AÑO EN CURSO ]]*($T$2/2))</f>
        <v>0</v>
      </c>
      <c r="AB55" s="70">
        <f>SUM(Tabla1[[#This Row],[DEUDA DE LOS MESES PASADOS EN $$]:[DEUDA DEL AÑO 2013 $$ ]])</f>
        <v>0</v>
      </c>
      <c r="AE55" s="103">
        <f>IF(Tabla1[[#This Row],[TIPO DE CONSUMIDOR]]="MEDIO",IF(Tabla1[[#This Row],[ENERO ]]&gt;22.5,Tabla1[[#This Row],[ENERO ]]/22.5-1,0),IF(Tabla1[[#This Row],[ENERO ]]&gt;45,Tabla1[[#This Row],[ENERO ]]/45-1,0))</f>
        <v>0</v>
      </c>
      <c r="AF5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" s="103">
        <f>IF(Tabla1[[#This Row],[TIPO DE CONSUMIDOR]]="MEDIO",IF(Tabla1[[#This Row],[MARZO]]&gt;22.5,Tabla1[[#This Row],[MARZO]]/22.5-1,0),IF(Tabla1[[#This Row],[MARZO]]&gt;45,Tabla1[[#This Row],[MARZO]]/45-1,0))</f>
        <v>0</v>
      </c>
      <c r="AH55" s="103">
        <f>IF(Tabla1[[#This Row],[TIPO DE CONSUMIDOR]]="MEDIO",IF(Tabla1[[#This Row],[ABRIL]]&gt;22.5,Tabla1[[#This Row],[ABRIL]]/22.5-1,0),IF(Tabla1[[#This Row],[ABRIL]]&gt;45,Tabla1[[#This Row],[ABRIL]]/45-1,0))</f>
        <v>0</v>
      </c>
      <c r="AI55" s="103">
        <f>IF(Tabla1[[#This Row],[TIPO DE CONSUMIDOR]]="MEDIO",IF(Tabla1[[#This Row],[MAYO ]]&gt;22.5,Tabla1[[#This Row],[MAYO ]]/22.5-1,0),IF(Tabla1[[#This Row],[MAYO ]]&gt;45,Tabla1[[#This Row],[MAYO ]]/45-1,0))</f>
        <v>0</v>
      </c>
      <c r="AJ55" s="103">
        <f>IF(Tabla1[[#This Row],[TIPO DE CONSUMIDOR]]="MEDIO",IF(Tabla1[[#This Row],[JUNIO ]]&gt;22.5,Tabla1[[#This Row],[JUNIO ]]/22.5-1,0),IF(Tabla1[[#This Row],[JUNIO ]]&gt;45,Tabla1[[#This Row],[JUNIO ]]/45-1,0))</f>
        <v>0</v>
      </c>
      <c r="AK55" s="103">
        <f>IF(Tabla1[[#This Row],[TIPO DE CONSUMIDOR]]="MEDIO",IF(Tabla1[[#This Row],[JULIO ]]&gt;22.5,Tabla1[[#This Row],[JULIO ]]/22.5-1,0),IF(Tabla1[[#This Row],[JULIO ]]&gt;45,Tabla1[[#This Row],[JULIO ]]/45-1,0))</f>
        <v>0</v>
      </c>
      <c r="AL55" s="103">
        <f>IF(Tabla1[[#This Row],[TIPO DE CONSUMIDOR]]="MEDIO",IF(Tabla1[[#This Row],[AGOSTO]]&gt;22.5,Tabla1[[#This Row],[AGOSTO]]/22.5-1,0),IF(Tabla1[[#This Row],[AGOSTO]]&gt;45,Tabla1[[#This Row],[AGOSTO]]/45-1,0))</f>
        <v>0</v>
      </c>
      <c r="AM5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" s="104">
        <f t="shared" si="2"/>
        <v>0</v>
      </c>
      <c r="AR55" s="9">
        <f t="shared" si="0"/>
        <v>0</v>
      </c>
      <c r="AS55" s="60">
        <f>IF(Tabla1[[#This Row],[MESES DE ADEUDO DEL AÑO EN CURSO ]]&gt;0,1,0)</f>
        <v>0</v>
      </c>
      <c r="AT55" s="42"/>
      <c r="AU55" s="42"/>
      <c r="AV55" s="42"/>
      <c r="AW55" s="43"/>
    </row>
    <row r="56" spans="1:49" ht="21.75" thickBot="1" x14ac:dyDescent="0.35">
      <c r="A56" s="109">
        <v>50</v>
      </c>
      <c r="B56" s="5" t="s">
        <v>168</v>
      </c>
      <c r="C56" s="2" t="s">
        <v>488</v>
      </c>
      <c r="D56" s="32"/>
      <c r="E56" s="35" t="s">
        <v>455</v>
      </c>
      <c r="F56" s="34">
        <v>45</v>
      </c>
      <c r="G56" s="34">
        <v>45</v>
      </c>
      <c r="H56" s="34">
        <v>45</v>
      </c>
      <c r="I56" s="34">
        <v>45</v>
      </c>
      <c r="J56" s="34">
        <v>45</v>
      </c>
      <c r="K56" s="34">
        <v>45</v>
      </c>
      <c r="L56" s="34">
        <v>45</v>
      </c>
      <c r="M56" s="34">
        <v>45</v>
      </c>
      <c r="N56" s="34">
        <v>45</v>
      </c>
      <c r="O56" s="34">
        <v>45</v>
      </c>
      <c r="P56" s="34">
        <v>45</v>
      </c>
      <c r="Q56" s="34">
        <v>45</v>
      </c>
      <c r="R56" s="24">
        <f>SUM(Tabla1[[#This Row],[ENERO ]:[DICIEMBRE]])</f>
        <v>540</v>
      </c>
      <c r="W56" s="65">
        <v>0</v>
      </c>
      <c r="X56" s="21">
        <f>COUNTIF(Tabla1[[#This Row],[ENERO ]:[DICIEMBRE]],0)-(AQ56)-IF(Tabla1[[#This Row],[BAJAS]]="BAJA",IF(Tabla1[[#This Row],[ALTAS]]="ALTA",VLOOKUP(Tabla1[[#This Row],[MES DE ALTA ]],$AT$6:$AU$17,2,FALSE),12)-VLOOKUP(Tabla1[[#This Row],[MES DE BAJA ]],$AT$6:$AU$17,2,FALSE),0)</f>
        <v>0</v>
      </c>
      <c r="Y56" s="69">
        <f>SUM(Tabla1[[#This Row],[MES ADEUDO DE AÑOS PASADOS ]:[MESES DE ADEUDO DEL AÑO EN CURSO ]])</f>
        <v>0</v>
      </c>
      <c r="Z56" s="15">
        <f>IF(Tabla1[[#This Row],[TIPO DE CONSUMIDOR]]="COMPLETO",W56*$T$2,W56*($T$2/2))</f>
        <v>0</v>
      </c>
      <c r="AA56" s="15">
        <f>IF(Tabla1[[#This Row],[TIPO DE CONSUMIDOR]]="COMPLETO",Tabla1[[#This Row],[MESES DE ADEUDO DEL AÑO EN CURSO ]]*$T$2,Tabla1[[#This Row],[MESES DE ADEUDO DEL AÑO EN CURSO ]]*($T$2/2))</f>
        <v>0</v>
      </c>
      <c r="AB56" s="70">
        <f>SUM(Tabla1[[#This Row],[DEUDA DE LOS MESES PASADOS EN $$]:[DEUDA DEL AÑO 2013 $$ ]])</f>
        <v>0</v>
      </c>
      <c r="AE56" s="103">
        <f>IF(Tabla1[[#This Row],[TIPO DE CONSUMIDOR]]="MEDIO",IF(Tabla1[[#This Row],[ENERO ]]&gt;22.5,Tabla1[[#This Row],[ENERO ]]/22.5-1,0),IF(Tabla1[[#This Row],[ENERO ]]&gt;45,Tabla1[[#This Row],[ENERO ]]/45-1,0))</f>
        <v>0</v>
      </c>
      <c r="AF5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" s="103">
        <f>IF(Tabla1[[#This Row],[TIPO DE CONSUMIDOR]]="MEDIO",IF(Tabla1[[#This Row],[MARZO]]&gt;22.5,Tabla1[[#This Row],[MARZO]]/22.5-1,0),IF(Tabla1[[#This Row],[MARZO]]&gt;45,Tabla1[[#This Row],[MARZO]]/45-1,0))</f>
        <v>0</v>
      </c>
      <c r="AH56" s="103">
        <f>IF(Tabla1[[#This Row],[TIPO DE CONSUMIDOR]]="MEDIO",IF(Tabla1[[#This Row],[ABRIL]]&gt;22.5,Tabla1[[#This Row],[ABRIL]]/22.5-1,0),IF(Tabla1[[#This Row],[ABRIL]]&gt;45,Tabla1[[#This Row],[ABRIL]]/45-1,0))</f>
        <v>0</v>
      </c>
      <c r="AI56" s="103">
        <f>IF(Tabla1[[#This Row],[TIPO DE CONSUMIDOR]]="MEDIO",IF(Tabla1[[#This Row],[MAYO ]]&gt;22.5,Tabla1[[#This Row],[MAYO ]]/22.5-1,0),IF(Tabla1[[#This Row],[MAYO ]]&gt;45,Tabla1[[#This Row],[MAYO ]]/45-1,0))</f>
        <v>0</v>
      </c>
      <c r="AJ56" s="103">
        <f>IF(Tabla1[[#This Row],[TIPO DE CONSUMIDOR]]="MEDIO",IF(Tabla1[[#This Row],[JUNIO ]]&gt;22.5,Tabla1[[#This Row],[JUNIO ]]/22.5-1,0),IF(Tabla1[[#This Row],[JUNIO ]]&gt;45,Tabla1[[#This Row],[JUNIO ]]/45-1,0))</f>
        <v>0</v>
      </c>
      <c r="AK56" s="103">
        <f>IF(Tabla1[[#This Row],[TIPO DE CONSUMIDOR]]="MEDIO",IF(Tabla1[[#This Row],[JULIO ]]&gt;22.5,Tabla1[[#This Row],[JULIO ]]/22.5-1,0),IF(Tabla1[[#This Row],[JULIO ]]&gt;45,Tabla1[[#This Row],[JULIO ]]/45-1,0))</f>
        <v>0</v>
      </c>
      <c r="AL56" s="103">
        <f>IF(Tabla1[[#This Row],[TIPO DE CONSUMIDOR]]="MEDIO",IF(Tabla1[[#This Row],[AGOSTO]]&gt;22.5,Tabla1[[#This Row],[AGOSTO]]/22.5-1,0),IF(Tabla1[[#This Row],[AGOSTO]]&gt;45,Tabla1[[#This Row],[AGOSTO]]/45-1,0))</f>
        <v>0</v>
      </c>
      <c r="AM5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" s="104">
        <f t="shared" si="2"/>
        <v>0</v>
      </c>
      <c r="AR56" s="9">
        <f t="shared" si="0"/>
        <v>0</v>
      </c>
      <c r="AS56" s="60">
        <f>IF(Tabla1[[#This Row],[MESES DE ADEUDO DEL AÑO EN CURSO ]]&gt;0,1,0)</f>
        <v>0</v>
      </c>
      <c r="AT56" s="42"/>
      <c r="AU56" s="42"/>
      <c r="AV56" s="42"/>
      <c r="AW56" s="43"/>
    </row>
    <row r="57" spans="1:49" ht="21.75" thickBot="1" x14ac:dyDescent="0.35">
      <c r="A57" s="109">
        <v>51</v>
      </c>
      <c r="B57" s="5" t="s">
        <v>162</v>
      </c>
      <c r="C57" s="2" t="s">
        <v>488</v>
      </c>
      <c r="D57" s="32"/>
      <c r="E57" s="35" t="s">
        <v>455</v>
      </c>
      <c r="F57" s="34">
        <v>45</v>
      </c>
      <c r="G57" s="34">
        <v>45</v>
      </c>
      <c r="H57" s="34">
        <v>45</v>
      </c>
      <c r="I57" s="34">
        <v>45</v>
      </c>
      <c r="J57" s="34">
        <v>45</v>
      </c>
      <c r="K57" s="34">
        <v>45</v>
      </c>
      <c r="L57" s="34">
        <v>45</v>
      </c>
      <c r="M57" s="34">
        <v>45</v>
      </c>
      <c r="N57" s="34">
        <v>45</v>
      </c>
      <c r="O57" s="34">
        <v>45</v>
      </c>
      <c r="P57" s="34">
        <v>45</v>
      </c>
      <c r="Q57" s="34">
        <v>45</v>
      </c>
      <c r="R57" s="24">
        <f>SUM(Tabla1[[#This Row],[ENERO ]:[DICIEMBRE]])</f>
        <v>540</v>
      </c>
      <c r="W57" s="65">
        <v>0</v>
      </c>
      <c r="X57" s="21">
        <f>COUNTIF(Tabla1[[#This Row],[ENERO ]:[DICIEMBRE]],0)-(AQ57)-IF(Tabla1[[#This Row],[BAJAS]]="BAJA",IF(Tabla1[[#This Row],[ALTAS]]="ALTA",VLOOKUP(Tabla1[[#This Row],[MES DE ALTA ]],$AT$6:$AU$17,2,FALSE),12)-VLOOKUP(Tabla1[[#This Row],[MES DE BAJA ]],$AT$6:$AU$17,2,FALSE),0)</f>
        <v>0</v>
      </c>
      <c r="Y57" s="69">
        <f>SUM(Tabla1[[#This Row],[MES ADEUDO DE AÑOS PASADOS ]:[MESES DE ADEUDO DEL AÑO EN CURSO ]])</f>
        <v>0</v>
      </c>
      <c r="Z57" s="15">
        <f>IF(Tabla1[[#This Row],[TIPO DE CONSUMIDOR]]="COMPLETO",W57*$T$2,W57*($T$2/2))</f>
        <v>0</v>
      </c>
      <c r="AA57" s="15">
        <f>IF(Tabla1[[#This Row],[TIPO DE CONSUMIDOR]]="COMPLETO",Tabla1[[#This Row],[MESES DE ADEUDO DEL AÑO EN CURSO ]]*$T$2,Tabla1[[#This Row],[MESES DE ADEUDO DEL AÑO EN CURSO ]]*($T$2/2))</f>
        <v>0</v>
      </c>
      <c r="AB57" s="70">
        <f>SUM(Tabla1[[#This Row],[DEUDA DE LOS MESES PASADOS EN $$]:[DEUDA DEL AÑO 2013 $$ ]])</f>
        <v>0</v>
      </c>
      <c r="AE57" s="103">
        <f>IF(Tabla1[[#This Row],[TIPO DE CONSUMIDOR]]="MEDIO",IF(Tabla1[[#This Row],[ENERO ]]&gt;22.5,Tabla1[[#This Row],[ENERO ]]/22.5-1,0),IF(Tabla1[[#This Row],[ENERO ]]&gt;45,Tabla1[[#This Row],[ENERO ]]/45-1,0))</f>
        <v>0</v>
      </c>
      <c r="AF5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" s="103">
        <f>IF(Tabla1[[#This Row],[TIPO DE CONSUMIDOR]]="MEDIO",IF(Tabla1[[#This Row],[MARZO]]&gt;22.5,Tabla1[[#This Row],[MARZO]]/22.5-1,0),IF(Tabla1[[#This Row],[MARZO]]&gt;45,Tabla1[[#This Row],[MARZO]]/45-1,0))</f>
        <v>0</v>
      </c>
      <c r="AH57" s="103">
        <f>IF(Tabla1[[#This Row],[TIPO DE CONSUMIDOR]]="MEDIO",IF(Tabla1[[#This Row],[ABRIL]]&gt;22.5,Tabla1[[#This Row],[ABRIL]]/22.5-1,0),IF(Tabla1[[#This Row],[ABRIL]]&gt;45,Tabla1[[#This Row],[ABRIL]]/45-1,0))</f>
        <v>0</v>
      </c>
      <c r="AI57" s="103">
        <f>IF(Tabla1[[#This Row],[TIPO DE CONSUMIDOR]]="MEDIO",IF(Tabla1[[#This Row],[MAYO ]]&gt;22.5,Tabla1[[#This Row],[MAYO ]]/22.5-1,0),IF(Tabla1[[#This Row],[MAYO ]]&gt;45,Tabla1[[#This Row],[MAYO ]]/45-1,0))</f>
        <v>0</v>
      </c>
      <c r="AJ57" s="103">
        <f>IF(Tabla1[[#This Row],[TIPO DE CONSUMIDOR]]="MEDIO",IF(Tabla1[[#This Row],[JUNIO ]]&gt;22.5,Tabla1[[#This Row],[JUNIO ]]/22.5-1,0),IF(Tabla1[[#This Row],[JUNIO ]]&gt;45,Tabla1[[#This Row],[JUNIO ]]/45-1,0))</f>
        <v>0</v>
      </c>
      <c r="AK57" s="103">
        <f>IF(Tabla1[[#This Row],[TIPO DE CONSUMIDOR]]="MEDIO",IF(Tabla1[[#This Row],[JULIO ]]&gt;22.5,Tabla1[[#This Row],[JULIO ]]/22.5-1,0),IF(Tabla1[[#This Row],[JULIO ]]&gt;45,Tabla1[[#This Row],[JULIO ]]/45-1,0))</f>
        <v>0</v>
      </c>
      <c r="AL57" s="103">
        <f>IF(Tabla1[[#This Row],[TIPO DE CONSUMIDOR]]="MEDIO",IF(Tabla1[[#This Row],[AGOSTO]]&gt;22.5,Tabla1[[#This Row],[AGOSTO]]/22.5-1,0),IF(Tabla1[[#This Row],[AGOSTO]]&gt;45,Tabla1[[#This Row],[AGOSTO]]/45-1,0))</f>
        <v>0</v>
      </c>
      <c r="AM5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" s="104">
        <f t="shared" si="2"/>
        <v>0</v>
      </c>
      <c r="AR57" s="9">
        <f t="shared" si="0"/>
        <v>0</v>
      </c>
      <c r="AS57" s="60">
        <f>IF(Tabla1[[#This Row],[MESES DE ADEUDO DEL AÑO EN CURSO ]]&gt;0,1,0)</f>
        <v>0</v>
      </c>
      <c r="AT57" s="42"/>
      <c r="AU57" s="42"/>
      <c r="AV57" s="42"/>
      <c r="AW57" s="43"/>
    </row>
    <row r="58" spans="1:49" ht="21.75" thickBot="1" x14ac:dyDescent="0.35">
      <c r="A58" s="109">
        <v>52</v>
      </c>
      <c r="B58" s="5" t="s">
        <v>254</v>
      </c>
      <c r="C58" s="2" t="s">
        <v>488</v>
      </c>
      <c r="D58" s="32"/>
      <c r="E58" s="35" t="s">
        <v>455</v>
      </c>
      <c r="F58" s="34">
        <v>45</v>
      </c>
      <c r="G58" s="34">
        <v>45</v>
      </c>
      <c r="H58" s="34">
        <v>45</v>
      </c>
      <c r="I58" s="34">
        <v>45</v>
      </c>
      <c r="J58" s="34">
        <v>45</v>
      </c>
      <c r="K58" s="34">
        <v>45</v>
      </c>
      <c r="L58" s="34">
        <v>45</v>
      </c>
      <c r="M58" s="34">
        <v>45</v>
      </c>
      <c r="N58" s="34">
        <v>45</v>
      </c>
      <c r="O58" s="34">
        <v>45</v>
      </c>
      <c r="P58" s="34">
        <v>45</v>
      </c>
      <c r="Q58" s="34">
        <v>45</v>
      </c>
      <c r="R58" s="24">
        <f>SUM(Tabla1[[#This Row],[ENERO ]:[DICIEMBRE]])</f>
        <v>540</v>
      </c>
      <c r="W58" s="65">
        <v>0</v>
      </c>
      <c r="X58" s="21">
        <f>COUNTIF(Tabla1[[#This Row],[ENERO ]:[DICIEMBRE]],0)-(AQ58)-IF(Tabla1[[#This Row],[BAJAS]]="BAJA",IF(Tabla1[[#This Row],[ALTAS]]="ALTA",VLOOKUP(Tabla1[[#This Row],[MES DE ALTA ]],$AT$6:$AU$17,2,FALSE),12)-VLOOKUP(Tabla1[[#This Row],[MES DE BAJA ]],$AT$6:$AU$17,2,FALSE),0)</f>
        <v>0</v>
      </c>
      <c r="Y58" s="69">
        <f>SUM(Tabla1[[#This Row],[MES ADEUDO DE AÑOS PASADOS ]:[MESES DE ADEUDO DEL AÑO EN CURSO ]])</f>
        <v>0</v>
      </c>
      <c r="Z58" s="15">
        <f>IF(Tabla1[[#This Row],[TIPO DE CONSUMIDOR]]="COMPLETO",W58*$T$2,W58*($T$2/2))</f>
        <v>0</v>
      </c>
      <c r="AA58" s="15">
        <f>IF(Tabla1[[#This Row],[TIPO DE CONSUMIDOR]]="COMPLETO",Tabla1[[#This Row],[MESES DE ADEUDO DEL AÑO EN CURSO ]]*$T$2,Tabla1[[#This Row],[MESES DE ADEUDO DEL AÑO EN CURSO ]]*($T$2/2))</f>
        <v>0</v>
      </c>
      <c r="AB58" s="70">
        <f>SUM(Tabla1[[#This Row],[DEUDA DE LOS MESES PASADOS EN $$]:[DEUDA DEL AÑO 2013 $$ ]])</f>
        <v>0</v>
      </c>
      <c r="AE58" s="103">
        <f>IF(Tabla1[[#This Row],[TIPO DE CONSUMIDOR]]="MEDIO",IF(Tabla1[[#This Row],[ENERO ]]&gt;22.5,Tabla1[[#This Row],[ENERO ]]/22.5-1,0),IF(Tabla1[[#This Row],[ENERO ]]&gt;45,Tabla1[[#This Row],[ENERO ]]/45-1,0))</f>
        <v>0</v>
      </c>
      <c r="AF5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8" s="103">
        <f>IF(Tabla1[[#This Row],[TIPO DE CONSUMIDOR]]="MEDIO",IF(Tabla1[[#This Row],[MARZO]]&gt;22.5,Tabla1[[#This Row],[MARZO]]/22.5-1,0),IF(Tabla1[[#This Row],[MARZO]]&gt;45,Tabla1[[#This Row],[MARZO]]/45-1,0))</f>
        <v>0</v>
      </c>
      <c r="AH58" s="103">
        <f>IF(Tabla1[[#This Row],[TIPO DE CONSUMIDOR]]="MEDIO",IF(Tabla1[[#This Row],[ABRIL]]&gt;22.5,Tabla1[[#This Row],[ABRIL]]/22.5-1,0),IF(Tabla1[[#This Row],[ABRIL]]&gt;45,Tabla1[[#This Row],[ABRIL]]/45-1,0))</f>
        <v>0</v>
      </c>
      <c r="AI58" s="103">
        <f>IF(Tabla1[[#This Row],[TIPO DE CONSUMIDOR]]="MEDIO",IF(Tabla1[[#This Row],[MAYO ]]&gt;22.5,Tabla1[[#This Row],[MAYO ]]/22.5-1,0),IF(Tabla1[[#This Row],[MAYO ]]&gt;45,Tabla1[[#This Row],[MAYO ]]/45-1,0))</f>
        <v>0</v>
      </c>
      <c r="AJ58" s="103">
        <f>IF(Tabla1[[#This Row],[TIPO DE CONSUMIDOR]]="MEDIO",IF(Tabla1[[#This Row],[JUNIO ]]&gt;22.5,Tabla1[[#This Row],[JUNIO ]]/22.5-1,0),IF(Tabla1[[#This Row],[JUNIO ]]&gt;45,Tabla1[[#This Row],[JUNIO ]]/45-1,0))</f>
        <v>0</v>
      </c>
      <c r="AK58" s="103">
        <f>IF(Tabla1[[#This Row],[TIPO DE CONSUMIDOR]]="MEDIO",IF(Tabla1[[#This Row],[JULIO ]]&gt;22.5,Tabla1[[#This Row],[JULIO ]]/22.5-1,0),IF(Tabla1[[#This Row],[JULIO ]]&gt;45,Tabla1[[#This Row],[JULIO ]]/45-1,0))</f>
        <v>0</v>
      </c>
      <c r="AL58" s="103">
        <f>IF(Tabla1[[#This Row],[TIPO DE CONSUMIDOR]]="MEDIO",IF(Tabla1[[#This Row],[AGOSTO]]&gt;22.5,Tabla1[[#This Row],[AGOSTO]]/22.5-1,0),IF(Tabla1[[#This Row],[AGOSTO]]&gt;45,Tabla1[[#This Row],[AGOSTO]]/45-1,0))</f>
        <v>0</v>
      </c>
      <c r="AM5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8" s="104">
        <f t="shared" si="2"/>
        <v>0</v>
      </c>
      <c r="AR58" s="9">
        <f t="shared" si="0"/>
        <v>0</v>
      </c>
      <c r="AS58" s="60">
        <f>IF(Tabla1[[#This Row],[MESES DE ADEUDO DEL AÑO EN CURSO ]]&gt;0,1,0)</f>
        <v>0</v>
      </c>
      <c r="AT58" s="42"/>
      <c r="AU58" s="42"/>
      <c r="AV58" s="42"/>
      <c r="AW58" s="43"/>
    </row>
    <row r="59" spans="1:49" ht="21.75" thickBot="1" x14ac:dyDescent="0.35">
      <c r="A59" s="109">
        <v>53</v>
      </c>
      <c r="B59" s="5" t="s">
        <v>270</v>
      </c>
      <c r="C59" s="2" t="s">
        <v>488</v>
      </c>
      <c r="D59" s="32"/>
      <c r="E59" s="35" t="s">
        <v>455</v>
      </c>
      <c r="F59" s="34">
        <v>45</v>
      </c>
      <c r="G59" s="34">
        <v>45</v>
      </c>
      <c r="H59" s="34">
        <v>45</v>
      </c>
      <c r="I59" s="34">
        <v>45</v>
      </c>
      <c r="J59" s="34">
        <v>45</v>
      </c>
      <c r="K59" s="34">
        <v>45</v>
      </c>
      <c r="L59" s="34">
        <v>45</v>
      </c>
      <c r="M59" s="34">
        <v>45</v>
      </c>
      <c r="N59" s="34">
        <v>45</v>
      </c>
      <c r="O59" s="34">
        <v>45</v>
      </c>
      <c r="P59" s="34">
        <v>45</v>
      </c>
      <c r="Q59" s="34">
        <v>45</v>
      </c>
      <c r="R59" s="24">
        <f>SUM(Tabla1[[#This Row],[ENERO ]:[DICIEMBRE]])</f>
        <v>540</v>
      </c>
      <c r="W59" s="65">
        <v>0</v>
      </c>
      <c r="X59" s="21">
        <f>COUNTIF(Tabla1[[#This Row],[ENERO ]:[DICIEMBRE]],0)-(AQ59)-IF(Tabla1[[#This Row],[BAJAS]]="BAJA",IF(Tabla1[[#This Row],[ALTAS]]="ALTA",VLOOKUP(Tabla1[[#This Row],[MES DE ALTA ]],$AT$6:$AU$17,2,FALSE),12)-VLOOKUP(Tabla1[[#This Row],[MES DE BAJA ]],$AT$6:$AU$17,2,FALSE),0)</f>
        <v>0</v>
      </c>
      <c r="Y59" s="69">
        <f>SUM(Tabla1[[#This Row],[MES ADEUDO DE AÑOS PASADOS ]:[MESES DE ADEUDO DEL AÑO EN CURSO ]])</f>
        <v>0</v>
      </c>
      <c r="Z59" s="15">
        <f>IF(Tabla1[[#This Row],[TIPO DE CONSUMIDOR]]="COMPLETO",W59*$T$2,W59*($T$2/2))</f>
        <v>0</v>
      </c>
      <c r="AA59" s="15">
        <f>IF(Tabla1[[#This Row],[TIPO DE CONSUMIDOR]]="COMPLETO",Tabla1[[#This Row],[MESES DE ADEUDO DEL AÑO EN CURSO ]]*$T$2,Tabla1[[#This Row],[MESES DE ADEUDO DEL AÑO EN CURSO ]]*($T$2/2))</f>
        <v>0</v>
      </c>
      <c r="AB59" s="70">
        <f>SUM(Tabla1[[#This Row],[DEUDA DE LOS MESES PASADOS EN $$]:[DEUDA DEL AÑO 2013 $$ ]])</f>
        <v>0</v>
      </c>
      <c r="AE59" s="103">
        <f>IF(Tabla1[[#This Row],[TIPO DE CONSUMIDOR]]="MEDIO",IF(Tabla1[[#This Row],[ENERO ]]&gt;22.5,Tabla1[[#This Row],[ENERO ]]/22.5-1,0),IF(Tabla1[[#This Row],[ENERO ]]&gt;45,Tabla1[[#This Row],[ENERO ]]/45-1,0))</f>
        <v>0</v>
      </c>
      <c r="AF5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9" s="103">
        <f>IF(Tabla1[[#This Row],[TIPO DE CONSUMIDOR]]="MEDIO",IF(Tabla1[[#This Row],[MARZO]]&gt;22.5,Tabla1[[#This Row],[MARZO]]/22.5-1,0),IF(Tabla1[[#This Row],[MARZO]]&gt;45,Tabla1[[#This Row],[MARZO]]/45-1,0))</f>
        <v>0</v>
      </c>
      <c r="AH59" s="103">
        <f>IF(Tabla1[[#This Row],[TIPO DE CONSUMIDOR]]="MEDIO",IF(Tabla1[[#This Row],[ABRIL]]&gt;22.5,Tabla1[[#This Row],[ABRIL]]/22.5-1,0),IF(Tabla1[[#This Row],[ABRIL]]&gt;45,Tabla1[[#This Row],[ABRIL]]/45-1,0))</f>
        <v>0</v>
      </c>
      <c r="AI59" s="103">
        <f>IF(Tabla1[[#This Row],[TIPO DE CONSUMIDOR]]="MEDIO",IF(Tabla1[[#This Row],[MAYO ]]&gt;22.5,Tabla1[[#This Row],[MAYO ]]/22.5-1,0),IF(Tabla1[[#This Row],[MAYO ]]&gt;45,Tabla1[[#This Row],[MAYO ]]/45-1,0))</f>
        <v>0</v>
      </c>
      <c r="AJ59" s="103">
        <f>IF(Tabla1[[#This Row],[TIPO DE CONSUMIDOR]]="MEDIO",IF(Tabla1[[#This Row],[JUNIO ]]&gt;22.5,Tabla1[[#This Row],[JUNIO ]]/22.5-1,0),IF(Tabla1[[#This Row],[JUNIO ]]&gt;45,Tabla1[[#This Row],[JUNIO ]]/45-1,0))</f>
        <v>0</v>
      </c>
      <c r="AK59" s="103">
        <f>IF(Tabla1[[#This Row],[TIPO DE CONSUMIDOR]]="MEDIO",IF(Tabla1[[#This Row],[JULIO ]]&gt;22.5,Tabla1[[#This Row],[JULIO ]]/22.5-1,0),IF(Tabla1[[#This Row],[JULIO ]]&gt;45,Tabla1[[#This Row],[JULIO ]]/45-1,0))</f>
        <v>0</v>
      </c>
      <c r="AL59" s="103">
        <f>IF(Tabla1[[#This Row],[TIPO DE CONSUMIDOR]]="MEDIO",IF(Tabla1[[#This Row],[AGOSTO]]&gt;22.5,Tabla1[[#This Row],[AGOSTO]]/22.5-1,0),IF(Tabla1[[#This Row],[AGOSTO]]&gt;45,Tabla1[[#This Row],[AGOSTO]]/45-1,0))</f>
        <v>0</v>
      </c>
      <c r="AM5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9" s="104">
        <f t="shared" si="2"/>
        <v>0</v>
      </c>
      <c r="AR59" s="9">
        <f t="shared" si="0"/>
        <v>0</v>
      </c>
      <c r="AS59" s="60">
        <f>IF(Tabla1[[#This Row],[MESES DE ADEUDO DEL AÑO EN CURSO ]]&gt;0,1,0)</f>
        <v>0</v>
      </c>
      <c r="AT59" s="42"/>
      <c r="AU59" s="42"/>
      <c r="AV59" s="42"/>
      <c r="AW59" s="43"/>
    </row>
    <row r="60" spans="1:49" ht="21.75" thickBot="1" x14ac:dyDescent="0.35">
      <c r="A60" s="109">
        <v>54</v>
      </c>
      <c r="B60" s="5" t="s">
        <v>273</v>
      </c>
      <c r="C60" s="2" t="s">
        <v>488</v>
      </c>
      <c r="D60" s="32"/>
      <c r="E60" s="35" t="s">
        <v>455</v>
      </c>
      <c r="F60" s="34">
        <v>45</v>
      </c>
      <c r="G60" s="34">
        <v>45</v>
      </c>
      <c r="H60" s="34">
        <v>45</v>
      </c>
      <c r="I60" s="34">
        <v>45</v>
      </c>
      <c r="J60" s="34">
        <v>45</v>
      </c>
      <c r="K60" s="34">
        <v>45</v>
      </c>
      <c r="L60" s="34">
        <v>45</v>
      </c>
      <c r="M60" s="34">
        <v>45</v>
      </c>
      <c r="N60" s="34">
        <v>45</v>
      </c>
      <c r="O60" s="34">
        <v>45</v>
      </c>
      <c r="P60" s="34">
        <v>45</v>
      </c>
      <c r="Q60" s="34">
        <v>45</v>
      </c>
      <c r="R60" s="24">
        <f>SUM(Tabla1[[#This Row],[ENERO ]:[DICIEMBRE]])</f>
        <v>540</v>
      </c>
      <c r="W60" s="65">
        <v>0</v>
      </c>
      <c r="X60" s="21">
        <f>COUNTIF(Tabla1[[#This Row],[ENERO ]:[DICIEMBRE]],0)-(AQ60)-IF(Tabla1[[#This Row],[BAJAS]]="BAJA",IF(Tabla1[[#This Row],[ALTAS]]="ALTA",VLOOKUP(Tabla1[[#This Row],[MES DE ALTA ]],$AT$6:$AU$17,2,FALSE),12)-VLOOKUP(Tabla1[[#This Row],[MES DE BAJA ]],$AT$6:$AU$17,2,FALSE),0)</f>
        <v>0</v>
      </c>
      <c r="Y60" s="69">
        <f>SUM(Tabla1[[#This Row],[MES ADEUDO DE AÑOS PASADOS ]:[MESES DE ADEUDO DEL AÑO EN CURSO ]])</f>
        <v>0</v>
      </c>
      <c r="Z60" s="15">
        <f>IF(Tabla1[[#This Row],[TIPO DE CONSUMIDOR]]="COMPLETO",W60*$T$2,W60*($T$2/2))</f>
        <v>0</v>
      </c>
      <c r="AA60" s="15">
        <f>IF(Tabla1[[#This Row],[TIPO DE CONSUMIDOR]]="COMPLETO",Tabla1[[#This Row],[MESES DE ADEUDO DEL AÑO EN CURSO ]]*$T$2,Tabla1[[#This Row],[MESES DE ADEUDO DEL AÑO EN CURSO ]]*($T$2/2))</f>
        <v>0</v>
      </c>
      <c r="AB60" s="70">
        <f>SUM(Tabla1[[#This Row],[DEUDA DE LOS MESES PASADOS EN $$]:[DEUDA DEL AÑO 2013 $$ ]])</f>
        <v>0</v>
      </c>
      <c r="AE60" s="103">
        <f>IF(Tabla1[[#This Row],[TIPO DE CONSUMIDOR]]="MEDIO",IF(Tabla1[[#This Row],[ENERO ]]&gt;22.5,Tabla1[[#This Row],[ENERO ]]/22.5-1,0),IF(Tabla1[[#This Row],[ENERO ]]&gt;45,Tabla1[[#This Row],[ENERO ]]/45-1,0))</f>
        <v>0</v>
      </c>
      <c r="AF6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60" s="103">
        <f>IF(Tabla1[[#This Row],[TIPO DE CONSUMIDOR]]="MEDIO",IF(Tabla1[[#This Row],[MARZO]]&gt;22.5,Tabla1[[#This Row],[MARZO]]/22.5-1,0),IF(Tabla1[[#This Row],[MARZO]]&gt;45,Tabla1[[#This Row],[MARZO]]/45-1,0))</f>
        <v>0</v>
      </c>
      <c r="AH60" s="103">
        <f>IF(Tabla1[[#This Row],[TIPO DE CONSUMIDOR]]="MEDIO",IF(Tabla1[[#This Row],[ABRIL]]&gt;22.5,Tabla1[[#This Row],[ABRIL]]/22.5-1,0),IF(Tabla1[[#This Row],[ABRIL]]&gt;45,Tabla1[[#This Row],[ABRIL]]/45-1,0))</f>
        <v>0</v>
      </c>
      <c r="AI60" s="103">
        <f>IF(Tabla1[[#This Row],[TIPO DE CONSUMIDOR]]="MEDIO",IF(Tabla1[[#This Row],[MAYO ]]&gt;22.5,Tabla1[[#This Row],[MAYO ]]/22.5-1,0),IF(Tabla1[[#This Row],[MAYO ]]&gt;45,Tabla1[[#This Row],[MAYO ]]/45-1,0))</f>
        <v>0</v>
      </c>
      <c r="AJ60" s="103">
        <f>IF(Tabla1[[#This Row],[TIPO DE CONSUMIDOR]]="MEDIO",IF(Tabla1[[#This Row],[JUNIO ]]&gt;22.5,Tabla1[[#This Row],[JUNIO ]]/22.5-1,0),IF(Tabla1[[#This Row],[JUNIO ]]&gt;45,Tabla1[[#This Row],[JUNIO ]]/45-1,0))</f>
        <v>0</v>
      </c>
      <c r="AK60" s="103">
        <f>IF(Tabla1[[#This Row],[TIPO DE CONSUMIDOR]]="MEDIO",IF(Tabla1[[#This Row],[JULIO ]]&gt;22.5,Tabla1[[#This Row],[JULIO ]]/22.5-1,0),IF(Tabla1[[#This Row],[JULIO ]]&gt;45,Tabla1[[#This Row],[JULIO ]]/45-1,0))</f>
        <v>0</v>
      </c>
      <c r="AL60" s="103">
        <f>IF(Tabla1[[#This Row],[TIPO DE CONSUMIDOR]]="MEDIO",IF(Tabla1[[#This Row],[AGOSTO]]&gt;22.5,Tabla1[[#This Row],[AGOSTO]]/22.5-1,0),IF(Tabla1[[#This Row],[AGOSTO]]&gt;45,Tabla1[[#This Row],[AGOSTO]]/45-1,0))</f>
        <v>0</v>
      </c>
      <c r="AM6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6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6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6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60" s="104">
        <f t="shared" si="2"/>
        <v>0</v>
      </c>
      <c r="AR60" s="9">
        <f t="shared" si="0"/>
        <v>0</v>
      </c>
      <c r="AS60" s="60">
        <f>IF(Tabla1[[#This Row],[MESES DE ADEUDO DEL AÑO EN CURSO ]]&gt;0,1,0)</f>
        <v>0</v>
      </c>
      <c r="AT60" s="42"/>
      <c r="AU60" s="42"/>
      <c r="AV60" s="42"/>
      <c r="AW60" s="43"/>
    </row>
    <row r="61" spans="1:49" ht="21.75" thickBot="1" x14ac:dyDescent="0.35">
      <c r="A61" s="109">
        <v>55</v>
      </c>
      <c r="B61" s="5" t="s">
        <v>600</v>
      </c>
      <c r="C61" s="2" t="s">
        <v>488</v>
      </c>
      <c r="D61" s="32"/>
      <c r="E61" s="35" t="s">
        <v>489</v>
      </c>
      <c r="F61" s="34">
        <v>22.5</v>
      </c>
      <c r="G61" s="34">
        <v>22.5</v>
      </c>
      <c r="H61" s="34">
        <v>22.5</v>
      </c>
      <c r="I61" s="34">
        <v>22.5</v>
      </c>
      <c r="J61" s="34">
        <v>22.5</v>
      </c>
      <c r="K61" s="34">
        <v>22.5</v>
      </c>
      <c r="L61" s="34">
        <v>22.5</v>
      </c>
      <c r="M61" s="34">
        <v>22.5</v>
      </c>
      <c r="N61" s="34">
        <v>22.5</v>
      </c>
      <c r="O61" s="34">
        <v>22.5</v>
      </c>
      <c r="P61" s="34">
        <v>22.5</v>
      </c>
      <c r="Q61" s="34">
        <v>22.5</v>
      </c>
      <c r="R61" s="24">
        <f>SUM(Tabla1[[#This Row],[ENERO ]:[DICIEMBRE]])</f>
        <v>270</v>
      </c>
      <c r="W61" s="65">
        <v>0</v>
      </c>
      <c r="X61" s="21">
        <f>COUNTIF(Tabla1[[#This Row],[ENERO ]:[DICIEMBRE]],0)-(AQ61)-IF(Tabla1[[#This Row],[BAJAS]]="BAJA",IF(Tabla1[[#This Row],[ALTAS]]="ALTA",VLOOKUP(Tabla1[[#This Row],[MES DE ALTA ]],$AT$6:$AU$17,2,FALSE),12)-VLOOKUP(Tabla1[[#This Row],[MES DE BAJA ]],$AT$6:$AU$17,2,FALSE),0)</f>
        <v>0</v>
      </c>
      <c r="Y61" s="69">
        <f>SUM(Tabla1[[#This Row],[MES ADEUDO DE AÑOS PASADOS ]:[MESES DE ADEUDO DEL AÑO EN CURSO ]])</f>
        <v>0</v>
      </c>
      <c r="Z61" s="15">
        <f>IF(Tabla1[[#This Row],[TIPO DE CONSUMIDOR]]="COMPLETO",W61*$T$2,W61*($T$2/2))</f>
        <v>0</v>
      </c>
      <c r="AA61" s="15">
        <f>IF(Tabla1[[#This Row],[TIPO DE CONSUMIDOR]]="COMPLETO",Tabla1[[#This Row],[MESES DE ADEUDO DEL AÑO EN CURSO ]]*$T$2,Tabla1[[#This Row],[MESES DE ADEUDO DEL AÑO EN CURSO ]]*($T$2/2))</f>
        <v>0</v>
      </c>
      <c r="AB61" s="70">
        <f>SUM(Tabla1[[#This Row],[DEUDA DE LOS MESES PASADOS EN $$]:[DEUDA DEL AÑO 2013 $$ ]])</f>
        <v>0</v>
      </c>
      <c r="AE61" s="103">
        <f>IF(Tabla1[[#This Row],[TIPO DE CONSUMIDOR]]="MEDIO",IF(Tabla1[[#This Row],[ENERO ]]&gt;22.5,Tabla1[[#This Row],[ENERO ]]/22.5-1,0),IF(Tabla1[[#This Row],[ENERO ]]&gt;45,Tabla1[[#This Row],[ENERO ]]/45-1,0))</f>
        <v>0</v>
      </c>
      <c r="AF6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61" s="103">
        <f>IF(Tabla1[[#This Row],[TIPO DE CONSUMIDOR]]="MEDIO",IF(Tabla1[[#This Row],[MARZO]]&gt;22.5,Tabla1[[#This Row],[MARZO]]/22.5-1,0),IF(Tabla1[[#This Row],[MARZO]]&gt;45,Tabla1[[#This Row],[MARZO]]/45-1,0))</f>
        <v>0</v>
      </c>
      <c r="AH61" s="103">
        <f>IF(Tabla1[[#This Row],[TIPO DE CONSUMIDOR]]="MEDIO",IF(Tabla1[[#This Row],[ABRIL]]&gt;22.5,Tabla1[[#This Row],[ABRIL]]/22.5-1,0),IF(Tabla1[[#This Row],[ABRIL]]&gt;45,Tabla1[[#This Row],[ABRIL]]/45-1,0))</f>
        <v>0</v>
      </c>
      <c r="AI61" s="103">
        <f>IF(Tabla1[[#This Row],[TIPO DE CONSUMIDOR]]="MEDIO",IF(Tabla1[[#This Row],[MAYO ]]&gt;22.5,Tabla1[[#This Row],[MAYO ]]/22.5-1,0),IF(Tabla1[[#This Row],[MAYO ]]&gt;45,Tabla1[[#This Row],[MAYO ]]/45-1,0))</f>
        <v>0</v>
      </c>
      <c r="AJ61" s="103">
        <f>IF(Tabla1[[#This Row],[TIPO DE CONSUMIDOR]]="MEDIO",IF(Tabla1[[#This Row],[JUNIO ]]&gt;22.5,Tabla1[[#This Row],[JUNIO ]]/22.5-1,0),IF(Tabla1[[#This Row],[JUNIO ]]&gt;45,Tabla1[[#This Row],[JUNIO ]]/45-1,0))</f>
        <v>0</v>
      </c>
      <c r="AK61" s="103">
        <f>IF(Tabla1[[#This Row],[TIPO DE CONSUMIDOR]]="MEDIO",IF(Tabla1[[#This Row],[JULIO ]]&gt;22.5,Tabla1[[#This Row],[JULIO ]]/22.5-1,0),IF(Tabla1[[#This Row],[JULIO ]]&gt;45,Tabla1[[#This Row],[JULIO ]]/45-1,0))</f>
        <v>0</v>
      </c>
      <c r="AL61" s="103">
        <f>IF(Tabla1[[#This Row],[TIPO DE CONSUMIDOR]]="MEDIO",IF(Tabla1[[#This Row],[AGOSTO]]&gt;22.5,Tabla1[[#This Row],[AGOSTO]]/22.5-1,0),IF(Tabla1[[#This Row],[AGOSTO]]&gt;45,Tabla1[[#This Row],[AGOSTO]]/45-1,0))</f>
        <v>0</v>
      </c>
      <c r="AM6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6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6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6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61" s="104">
        <f t="shared" si="2"/>
        <v>0</v>
      </c>
      <c r="AR61" s="9">
        <f t="shared" si="0"/>
        <v>0</v>
      </c>
      <c r="AS61" s="60">
        <f>IF(Tabla1[[#This Row],[MESES DE ADEUDO DEL AÑO EN CURSO ]]&gt;0,1,0)</f>
        <v>0</v>
      </c>
      <c r="AT61" s="42"/>
      <c r="AU61" s="42"/>
      <c r="AV61" s="42"/>
      <c r="AW61" s="43"/>
    </row>
    <row r="62" spans="1:49" ht="21.75" thickBot="1" x14ac:dyDescent="0.35">
      <c r="A62" s="109">
        <v>56</v>
      </c>
      <c r="B62" s="5" t="s">
        <v>313</v>
      </c>
      <c r="C62" s="2" t="s">
        <v>488</v>
      </c>
      <c r="D62" s="32"/>
      <c r="E62" s="35" t="s">
        <v>455</v>
      </c>
      <c r="F62" s="34">
        <v>45</v>
      </c>
      <c r="G62" s="34">
        <v>45</v>
      </c>
      <c r="H62" s="34">
        <v>45</v>
      </c>
      <c r="I62" s="34">
        <v>45</v>
      </c>
      <c r="J62" s="34">
        <v>45</v>
      </c>
      <c r="K62" s="34">
        <v>45</v>
      </c>
      <c r="L62" s="34">
        <v>45</v>
      </c>
      <c r="M62" s="34">
        <v>45</v>
      </c>
      <c r="N62" s="34">
        <v>45</v>
      </c>
      <c r="O62" s="34">
        <v>45</v>
      </c>
      <c r="P62" s="34">
        <v>45</v>
      </c>
      <c r="Q62" s="34">
        <v>45</v>
      </c>
      <c r="R62" s="24">
        <f>SUM(Tabla1[[#This Row],[ENERO ]:[DICIEMBRE]])</f>
        <v>540</v>
      </c>
      <c r="W62" s="65">
        <v>0</v>
      </c>
      <c r="X62" s="21">
        <f>COUNTIF(Tabla1[[#This Row],[ENERO ]:[DICIEMBRE]],0)-(AQ62)-IF(Tabla1[[#This Row],[BAJAS]]="BAJA",IF(Tabla1[[#This Row],[ALTAS]]="ALTA",VLOOKUP(Tabla1[[#This Row],[MES DE ALTA ]],$AT$6:$AU$17,2,FALSE),12)-VLOOKUP(Tabla1[[#This Row],[MES DE BAJA ]],$AT$6:$AU$17,2,FALSE),0)</f>
        <v>0</v>
      </c>
      <c r="Y62" s="69">
        <f>SUM(Tabla1[[#This Row],[MES ADEUDO DE AÑOS PASADOS ]:[MESES DE ADEUDO DEL AÑO EN CURSO ]])</f>
        <v>0</v>
      </c>
      <c r="Z62" s="15">
        <f>IF(Tabla1[[#This Row],[TIPO DE CONSUMIDOR]]="COMPLETO",W62*$T$2,W62*($T$2/2))</f>
        <v>0</v>
      </c>
      <c r="AA62" s="15">
        <f>IF(Tabla1[[#This Row],[TIPO DE CONSUMIDOR]]="COMPLETO",Tabla1[[#This Row],[MESES DE ADEUDO DEL AÑO EN CURSO ]]*$T$2,Tabla1[[#This Row],[MESES DE ADEUDO DEL AÑO EN CURSO ]]*($T$2/2))</f>
        <v>0</v>
      </c>
      <c r="AB62" s="70">
        <f>SUM(Tabla1[[#This Row],[DEUDA DE LOS MESES PASADOS EN $$]:[DEUDA DEL AÑO 2013 $$ ]])</f>
        <v>0</v>
      </c>
      <c r="AE62" s="103">
        <f>IF(Tabla1[[#This Row],[TIPO DE CONSUMIDOR]]="MEDIO",IF(Tabla1[[#This Row],[ENERO ]]&gt;22.5,Tabla1[[#This Row],[ENERO ]]/22.5-1,0),IF(Tabla1[[#This Row],[ENERO ]]&gt;45,Tabla1[[#This Row],[ENERO ]]/45-1,0))</f>
        <v>0</v>
      </c>
      <c r="AF6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62" s="103">
        <f>IF(Tabla1[[#This Row],[TIPO DE CONSUMIDOR]]="MEDIO",IF(Tabla1[[#This Row],[MARZO]]&gt;22.5,Tabla1[[#This Row],[MARZO]]/22.5-1,0),IF(Tabla1[[#This Row],[MARZO]]&gt;45,Tabla1[[#This Row],[MARZO]]/45-1,0))</f>
        <v>0</v>
      </c>
      <c r="AH62" s="103">
        <f>IF(Tabla1[[#This Row],[TIPO DE CONSUMIDOR]]="MEDIO",IF(Tabla1[[#This Row],[ABRIL]]&gt;22.5,Tabla1[[#This Row],[ABRIL]]/22.5-1,0),IF(Tabla1[[#This Row],[ABRIL]]&gt;45,Tabla1[[#This Row],[ABRIL]]/45-1,0))</f>
        <v>0</v>
      </c>
      <c r="AI62" s="103">
        <f>IF(Tabla1[[#This Row],[TIPO DE CONSUMIDOR]]="MEDIO",IF(Tabla1[[#This Row],[MAYO ]]&gt;22.5,Tabla1[[#This Row],[MAYO ]]/22.5-1,0),IF(Tabla1[[#This Row],[MAYO ]]&gt;45,Tabla1[[#This Row],[MAYO ]]/45-1,0))</f>
        <v>0</v>
      </c>
      <c r="AJ62" s="103">
        <f>IF(Tabla1[[#This Row],[TIPO DE CONSUMIDOR]]="MEDIO",IF(Tabla1[[#This Row],[JUNIO ]]&gt;22.5,Tabla1[[#This Row],[JUNIO ]]/22.5-1,0),IF(Tabla1[[#This Row],[JUNIO ]]&gt;45,Tabla1[[#This Row],[JUNIO ]]/45-1,0))</f>
        <v>0</v>
      </c>
      <c r="AK62" s="103">
        <f>IF(Tabla1[[#This Row],[TIPO DE CONSUMIDOR]]="MEDIO",IF(Tabla1[[#This Row],[JULIO ]]&gt;22.5,Tabla1[[#This Row],[JULIO ]]/22.5-1,0),IF(Tabla1[[#This Row],[JULIO ]]&gt;45,Tabla1[[#This Row],[JULIO ]]/45-1,0))</f>
        <v>0</v>
      </c>
      <c r="AL62" s="103">
        <f>IF(Tabla1[[#This Row],[TIPO DE CONSUMIDOR]]="MEDIO",IF(Tabla1[[#This Row],[AGOSTO]]&gt;22.5,Tabla1[[#This Row],[AGOSTO]]/22.5-1,0),IF(Tabla1[[#This Row],[AGOSTO]]&gt;45,Tabla1[[#This Row],[AGOSTO]]/45-1,0))</f>
        <v>0</v>
      </c>
      <c r="AM6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6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6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6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62" s="104">
        <f t="shared" si="2"/>
        <v>0</v>
      </c>
      <c r="AR62" s="9">
        <f t="shared" si="0"/>
        <v>0</v>
      </c>
      <c r="AS62" s="60">
        <f>IF(Tabla1[[#This Row],[MESES DE ADEUDO DEL AÑO EN CURSO ]]&gt;0,1,0)</f>
        <v>0</v>
      </c>
      <c r="AT62" s="42"/>
      <c r="AU62" s="42"/>
      <c r="AV62" s="42"/>
      <c r="AW62" s="43"/>
    </row>
    <row r="63" spans="1:49" ht="21.75" thickBot="1" x14ac:dyDescent="0.35">
      <c r="A63" s="109">
        <v>57</v>
      </c>
      <c r="B63" s="5" t="s">
        <v>346</v>
      </c>
      <c r="C63" s="2" t="s">
        <v>488</v>
      </c>
      <c r="D63" s="46"/>
      <c r="E63" s="36" t="s">
        <v>455</v>
      </c>
      <c r="F63" s="34">
        <v>45</v>
      </c>
      <c r="G63" s="34">
        <v>45</v>
      </c>
      <c r="H63" s="34">
        <v>45</v>
      </c>
      <c r="I63" s="34">
        <v>45</v>
      </c>
      <c r="J63" s="34">
        <v>45</v>
      </c>
      <c r="K63" s="34">
        <v>45</v>
      </c>
      <c r="L63" s="34">
        <v>45</v>
      </c>
      <c r="M63" s="34">
        <v>45</v>
      </c>
      <c r="N63" s="34">
        <v>45</v>
      </c>
      <c r="O63" s="34">
        <v>45</v>
      </c>
      <c r="P63" s="34">
        <v>45</v>
      </c>
      <c r="Q63" s="34">
        <v>45</v>
      </c>
      <c r="R63" s="24">
        <f>SUM(Tabla1[[#This Row],[ENERO ]:[DICIEMBRE]])</f>
        <v>540</v>
      </c>
      <c r="W63" s="65">
        <v>0</v>
      </c>
      <c r="X63" s="21">
        <f>COUNTIF(Tabla1[[#This Row],[ENERO ]:[DICIEMBRE]],0)-(AQ63)-IF(Tabla1[[#This Row],[BAJAS]]="BAJA",IF(Tabla1[[#This Row],[ALTAS]]="ALTA",VLOOKUP(Tabla1[[#This Row],[MES DE ALTA ]],$AT$6:$AU$17,2,FALSE),12)-VLOOKUP(Tabla1[[#This Row],[MES DE BAJA ]],$AT$6:$AU$17,2,FALSE),0)</f>
        <v>0</v>
      </c>
      <c r="Y63" s="69">
        <f>SUM(Tabla1[[#This Row],[MES ADEUDO DE AÑOS PASADOS ]:[MESES DE ADEUDO DEL AÑO EN CURSO ]])</f>
        <v>0</v>
      </c>
      <c r="Z63" s="15">
        <f>IF(Tabla1[[#This Row],[TIPO DE CONSUMIDOR]]="COMPLETO",W63*$T$2,W63*($T$2/2))</f>
        <v>0</v>
      </c>
      <c r="AA63" s="15">
        <f>IF(Tabla1[[#This Row],[TIPO DE CONSUMIDOR]]="COMPLETO",Tabla1[[#This Row],[MESES DE ADEUDO DEL AÑO EN CURSO ]]*$T$2,Tabla1[[#This Row],[MESES DE ADEUDO DEL AÑO EN CURSO ]]*($T$2/2))</f>
        <v>0</v>
      </c>
      <c r="AB63" s="70">
        <f>SUM(Tabla1[[#This Row],[DEUDA DE LOS MESES PASADOS EN $$]:[DEUDA DEL AÑO 2013 $$ ]])</f>
        <v>0</v>
      </c>
      <c r="AE63" s="103">
        <f>IF(Tabla1[[#This Row],[TIPO DE CONSUMIDOR]]="MEDIO",IF(Tabla1[[#This Row],[ENERO ]]&gt;22.5,Tabla1[[#This Row],[ENERO ]]/22.5-1,0),IF(Tabla1[[#This Row],[ENERO ]]&gt;45,Tabla1[[#This Row],[ENERO ]]/45-1,0))</f>
        <v>0</v>
      </c>
      <c r="AF6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63" s="103">
        <f>IF(Tabla1[[#This Row],[TIPO DE CONSUMIDOR]]="MEDIO",IF(Tabla1[[#This Row],[MARZO]]&gt;22.5,Tabla1[[#This Row],[MARZO]]/22.5-1,0),IF(Tabla1[[#This Row],[MARZO]]&gt;45,Tabla1[[#This Row],[MARZO]]/45-1,0))</f>
        <v>0</v>
      </c>
      <c r="AH63" s="103">
        <f>IF(Tabla1[[#This Row],[TIPO DE CONSUMIDOR]]="MEDIO",IF(Tabla1[[#This Row],[ABRIL]]&gt;22.5,Tabla1[[#This Row],[ABRIL]]/22.5-1,0),IF(Tabla1[[#This Row],[ABRIL]]&gt;45,Tabla1[[#This Row],[ABRIL]]/45-1,0))</f>
        <v>0</v>
      </c>
      <c r="AI63" s="103">
        <f>IF(Tabla1[[#This Row],[TIPO DE CONSUMIDOR]]="MEDIO",IF(Tabla1[[#This Row],[MAYO ]]&gt;22.5,Tabla1[[#This Row],[MAYO ]]/22.5-1,0),IF(Tabla1[[#This Row],[MAYO ]]&gt;45,Tabla1[[#This Row],[MAYO ]]/45-1,0))</f>
        <v>0</v>
      </c>
      <c r="AJ63" s="103">
        <f>IF(Tabla1[[#This Row],[TIPO DE CONSUMIDOR]]="MEDIO",IF(Tabla1[[#This Row],[JUNIO ]]&gt;22.5,Tabla1[[#This Row],[JUNIO ]]/22.5-1,0),IF(Tabla1[[#This Row],[JUNIO ]]&gt;45,Tabla1[[#This Row],[JUNIO ]]/45-1,0))</f>
        <v>0</v>
      </c>
      <c r="AK63" s="103">
        <f>IF(Tabla1[[#This Row],[TIPO DE CONSUMIDOR]]="MEDIO",IF(Tabla1[[#This Row],[JULIO ]]&gt;22.5,Tabla1[[#This Row],[JULIO ]]/22.5-1,0),IF(Tabla1[[#This Row],[JULIO ]]&gt;45,Tabla1[[#This Row],[JULIO ]]/45-1,0))</f>
        <v>0</v>
      </c>
      <c r="AL63" s="103">
        <f>IF(Tabla1[[#This Row],[TIPO DE CONSUMIDOR]]="MEDIO",IF(Tabla1[[#This Row],[AGOSTO]]&gt;22.5,Tabla1[[#This Row],[AGOSTO]]/22.5-1,0),IF(Tabla1[[#This Row],[AGOSTO]]&gt;45,Tabla1[[#This Row],[AGOSTO]]/45-1,0))</f>
        <v>0</v>
      </c>
      <c r="AM6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6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6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6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63" s="104">
        <f t="shared" si="2"/>
        <v>0</v>
      </c>
      <c r="AR63" s="9">
        <f t="shared" si="0"/>
        <v>0</v>
      </c>
      <c r="AS63" s="60">
        <f>IF(Tabla1[[#This Row],[MESES DE ADEUDO DEL AÑO EN CURSO ]]&gt;0,1,0)</f>
        <v>0</v>
      </c>
      <c r="AT63" s="42"/>
      <c r="AU63" s="42"/>
      <c r="AV63" s="42"/>
      <c r="AW63" s="43"/>
    </row>
    <row r="64" spans="1:49" ht="21.75" thickBot="1" x14ac:dyDescent="0.35">
      <c r="A64" s="109">
        <v>58</v>
      </c>
      <c r="B64" s="5" t="s">
        <v>390</v>
      </c>
      <c r="C64" s="2" t="s">
        <v>488</v>
      </c>
      <c r="D64" s="32"/>
      <c r="E64" s="35" t="s">
        <v>455</v>
      </c>
      <c r="F64" s="34">
        <v>45</v>
      </c>
      <c r="G64" s="34">
        <v>45</v>
      </c>
      <c r="H64" s="34">
        <v>45</v>
      </c>
      <c r="I64" s="34">
        <v>45</v>
      </c>
      <c r="J64" s="34">
        <v>45</v>
      </c>
      <c r="K64" s="34">
        <v>45</v>
      </c>
      <c r="L64" s="34">
        <v>45</v>
      </c>
      <c r="M64" s="34">
        <v>45</v>
      </c>
      <c r="N64" s="34">
        <v>45</v>
      </c>
      <c r="O64" s="34">
        <v>45</v>
      </c>
      <c r="P64" s="34">
        <v>45</v>
      </c>
      <c r="Q64" s="34">
        <v>45</v>
      </c>
      <c r="R64" s="24">
        <f>SUM(Tabla1[[#This Row],[ENERO ]:[DICIEMBRE]])</f>
        <v>540</v>
      </c>
      <c r="W64" s="65">
        <v>0</v>
      </c>
      <c r="X64" s="21">
        <f>COUNTIF(Tabla1[[#This Row],[ENERO ]:[DICIEMBRE]],0)-(AQ64)-IF(Tabla1[[#This Row],[BAJAS]]="BAJA",IF(Tabla1[[#This Row],[ALTAS]]="ALTA",VLOOKUP(Tabla1[[#This Row],[MES DE ALTA ]],$AT$6:$AU$17,2,FALSE),12)-VLOOKUP(Tabla1[[#This Row],[MES DE BAJA ]],$AT$6:$AU$17,2,FALSE),0)</f>
        <v>0</v>
      </c>
      <c r="Y64" s="69">
        <f>SUM(Tabla1[[#This Row],[MES ADEUDO DE AÑOS PASADOS ]:[MESES DE ADEUDO DEL AÑO EN CURSO ]])</f>
        <v>0</v>
      </c>
      <c r="Z64" s="15">
        <f>IF(Tabla1[[#This Row],[TIPO DE CONSUMIDOR]]="COMPLETO",W64*$T$2,W64*($T$2/2))</f>
        <v>0</v>
      </c>
      <c r="AA64" s="15">
        <f>IF(Tabla1[[#This Row],[TIPO DE CONSUMIDOR]]="COMPLETO",Tabla1[[#This Row],[MESES DE ADEUDO DEL AÑO EN CURSO ]]*$T$2,Tabla1[[#This Row],[MESES DE ADEUDO DEL AÑO EN CURSO ]]*($T$2/2))</f>
        <v>0</v>
      </c>
      <c r="AB64" s="70">
        <f>SUM(Tabla1[[#This Row],[DEUDA DE LOS MESES PASADOS EN $$]:[DEUDA DEL AÑO 2013 $$ ]])</f>
        <v>0</v>
      </c>
      <c r="AE64" s="103">
        <f>IF(Tabla1[[#This Row],[TIPO DE CONSUMIDOR]]="MEDIO",IF(Tabla1[[#This Row],[ENERO ]]&gt;22.5,Tabla1[[#This Row],[ENERO ]]/22.5-1,0),IF(Tabla1[[#This Row],[ENERO ]]&gt;45,Tabla1[[#This Row],[ENERO ]]/45-1,0))</f>
        <v>0</v>
      </c>
      <c r="AF6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64" s="103">
        <f>IF(Tabla1[[#This Row],[TIPO DE CONSUMIDOR]]="MEDIO",IF(Tabla1[[#This Row],[MARZO]]&gt;22.5,Tabla1[[#This Row],[MARZO]]/22.5-1,0),IF(Tabla1[[#This Row],[MARZO]]&gt;45,Tabla1[[#This Row],[MARZO]]/45-1,0))</f>
        <v>0</v>
      </c>
      <c r="AH64" s="103">
        <f>IF(Tabla1[[#This Row],[TIPO DE CONSUMIDOR]]="MEDIO",IF(Tabla1[[#This Row],[ABRIL]]&gt;22.5,Tabla1[[#This Row],[ABRIL]]/22.5-1,0),IF(Tabla1[[#This Row],[ABRIL]]&gt;45,Tabla1[[#This Row],[ABRIL]]/45-1,0))</f>
        <v>0</v>
      </c>
      <c r="AI64" s="103">
        <f>IF(Tabla1[[#This Row],[TIPO DE CONSUMIDOR]]="MEDIO",IF(Tabla1[[#This Row],[MAYO ]]&gt;22.5,Tabla1[[#This Row],[MAYO ]]/22.5-1,0),IF(Tabla1[[#This Row],[MAYO ]]&gt;45,Tabla1[[#This Row],[MAYO ]]/45-1,0))</f>
        <v>0</v>
      </c>
      <c r="AJ64" s="103">
        <f>IF(Tabla1[[#This Row],[TIPO DE CONSUMIDOR]]="MEDIO",IF(Tabla1[[#This Row],[JUNIO ]]&gt;22.5,Tabla1[[#This Row],[JUNIO ]]/22.5-1,0),IF(Tabla1[[#This Row],[JUNIO ]]&gt;45,Tabla1[[#This Row],[JUNIO ]]/45-1,0))</f>
        <v>0</v>
      </c>
      <c r="AK64" s="103">
        <f>IF(Tabla1[[#This Row],[TIPO DE CONSUMIDOR]]="MEDIO",IF(Tabla1[[#This Row],[JULIO ]]&gt;22.5,Tabla1[[#This Row],[JULIO ]]/22.5-1,0),IF(Tabla1[[#This Row],[JULIO ]]&gt;45,Tabla1[[#This Row],[JULIO ]]/45-1,0))</f>
        <v>0</v>
      </c>
      <c r="AL64" s="103">
        <f>IF(Tabla1[[#This Row],[TIPO DE CONSUMIDOR]]="MEDIO",IF(Tabla1[[#This Row],[AGOSTO]]&gt;22.5,Tabla1[[#This Row],[AGOSTO]]/22.5-1,0),IF(Tabla1[[#This Row],[AGOSTO]]&gt;45,Tabla1[[#This Row],[AGOSTO]]/45-1,0))</f>
        <v>0</v>
      </c>
      <c r="AM6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6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6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6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64" s="104">
        <f t="shared" si="2"/>
        <v>0</v>
      </c>
      <c r="AR64" s="9">
        <f t="shared" si="0"/>
        <v>0</v>
      </c>
      <c r="AS64" s="60">
        <f>IF(Tabla1[[#This Row],[MESES DE ADEUDO DEL AÑO EN CURSO ]]&gt;0,1,0)</f>
        <v>0</v>
      </c>
      <c r="AT64" s="42"/>
      <c r="AU64" s="42"/>
      <c r="AV64" s="42"/>
      <c r="AW64" s="43"/>
    </row>
    <row r="65" spans="1:49" ht="21.75" thickBot="1" x14ac:dyDescent="0.35">
      <c r="A65" s="109">
        <v>59</v>
      </c>
      <c r="B65" s="5" t="s">
        <v>410</v>
      </c>
      <c r="C65" s="2" t="s">
        <v>488</v>
      </c>
      <c r="D65" s="32"/>
      <c r="E65" s="35" t="s">
        <v>455</v>
      </c>
      <c r="F65" s="34">
        <v>45</v>
      </c>
      <c r="G65" s="34">
        <v>45</v>
      </c>
      <c r="H65" s="34">
        <v>45</v>
      </c>
      <c r="I65" s="34">
        <v>45</v>
      </c>
      <c r="J65" s="34">
        <v>45</v>
      </c>
      <c r="K65" s="34">
        <v>45</v>
      </c>
      <c r="L65" s="34">
        <v>45</v>
      </c>
      <c r="M65" s="34">
        <v>45</v>
      </c>
      <c r="N65" s="34">
        <v>45</v>
      </c>
      <c r="O65" s="34">
        <v>45</v>
      </c>
      <c r="P65" s="34">
        <v>45</v>
      </c>
      <c r="Q65" s="34">
        <v>45</v>
      </c>
      <c r="R65" s="24">
        <f>SUM(Tabla1[[#This Row],[ENERO ]:[DICIEMBRE]])</f>
        <v>540</v>
      </c>
      <c r="W65" s="65">
        <v>0</v>
      </c>
      <c r="X65" s="21">
        <f>COUNTIF(Tabla1[[#This Row],[ENERO ]:[DICIEMBRE]],0)-(AQ65)-IF(Tabla1[[#This Row],[BAJAS]]="BAJA",IF(Tabla1[[#This Row],[ALTAS]]="ALTA",VLOOKUP(Tabla1[[#This Row],[MES DE ALTA ]],$AT$6:$AU$17,2,FALSE),12)-VLOOKUP(Tabla1[[#This Row],[MES DE BAJA ]],$AT$6:$AU$17,2,FALSE),0)</f>
        <v>0</v>
      </c>
      <c r="Y65" s="69">
        <f>SUM(Tabla1[[#This Row],[MES ADEUDO DE AÑOS PASADOS ]:[MESES DE ADEUDO DEL AÑO EN CURSO ]])</f>
        <v>0</v>
      </c>
      <c r="Z65" s="15">
        <f>IF(Tabla1[[#This Row],[TIPO DE CONSUMIDOR]]="COMPLETO",W65*$T$2,W65*($T$2/2))</f>
        <v>0</v>
      </c>
      <c r="AA65" s="15">
        <f>IF(Tabla1[[#This Row],[TIPO DE CONSUMIDOR]]="COMPLETO",Tabla1[[#This Row],[MESES DE ADEUDO DEL AÑO EN CURSO ]]*$T$2,Tabla1[[#This Row],[MESES DE ADEUDO DEL AÑO EN CURSO ]]*($T$2/2))</f>
        <v>0</v>
      </c>
      <c r="AB65" s="70">
        <f>SUM(Tabla1[[#This Row],[DEUDA DE LOS MESES PASADOS EN $$]:[DEUDA DEL AÑO 2013 $$ ]])</f>
        <v>0</v>
      </c>
      <c r="AE65" s="103">
        <f>IF(Tabla1[[#This Row],[TIPO DE CONSUMIDOR]]="MEDIO",IF(Tabla1[[#This Row],[ENERO ]]&gt;22.5,Tabla1[[#This Row],[ENERO ]]/22.5-1,0),IF(Tabla1[[#This Row],[ENERO ]]&gt;45,Tabla1[[#This Row],[ENERO ]]/45-1,0))</f>
        <v>0</v>
      </c>
      <c r="AF6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65" s="103">
        <f>IF(Tabla1[[#This Row],[TIPO DE CONSUMIDOR]]="MEDIO",IF(Tabla1[[#This Row],[MARZO]]&gt;22.5,Tabla1[[#This Row],[MARZO]]/22.5-1,0),IF(Tabla1[[#This Row],[MARZO]]&gt;45,Tabla1[[#This Row],[MARZO]]/45-1,0))</f>
        <v>0</v>
      </c>
      <c r="AH65" s="103">
        <f>IF(Tabla1[[#This Row],[TIPO DE CONSUMIDOR]]="MEDIO",IF(Tabla1[[#This Row],[ABRIL]]&gt;22.5,Tabla1[[#This Row],[ABRIL]]/22.5-1,0),IF(Tabla1[[#This Row],[ABRIL]]&gt;45,Tabla1[[#This Row],[ABRIL]]/45-1,0))</f>
        <v>0</v>
      </c>
      <c r="AI65" s="103">
        <f>IF(Tabla1[[#This Row],[TIPO DE CONSUMIDOR]]="MEDIO",IF(Tabla1[[#This Row],[MAYO ]]&gt;22.5,Tabla1[[#This Row],[MAYO ]]/22.5-1,0),IF(Tabla1[[#This Row],[MAYO ]]&gt;45,Tabla1[[#This Row],[MAYO ]]/45-1,0))</f>
        <v>0</v>
      </c>
      <c r="AJ65" s="103">
        <f>IF(Tabla1[[#This Row],[TIPO DE CONSUMIDOR]]="MEDIO",IF(Tabla1[[#This Row],[JUNIO ]]&gt;22.5,Tabla1[[#This Row],[JUNIO ]]/22.5-1,0),IF(Tabla1[[#This Row],[JUNIO ]]&gt;45,Tabla1[[#This Row],[JUNIO ]]/45-1,0))</f>
        <v>0</v>
      </c>
      <c r="AK65" s="103">
        <f>IF(Tabla1[[#This Row],[TIPO DE CONSUMIDOR]]="MEDIO",IF(Tabla1[[#This Row],[JULIO ]]&gt;22.5,Tabla1[[#This Row],[JULIO ]]/22.5-1,0),IF(Tabla1[[#This Row],[JULIO ]]&gt;45,Tabla1[[#This Row],[JULIO ]]/45-1,0))</f>
        <v>0</v>
      </c>
      <c r="AL65" s="103">
        <f>IF(Tabla1[[#This Row],[TIPO DE CONSUMIDOR]]="MEDIO",IF(Tabla1[[#This Row],[AGOSTO]]&gt;22.5,Tabla1[[#This Row],[AGOSTO]]/22.5-1,0),IF(Tabla1[[#This Row],[AGOSTO]]&gt;45,Tabla1[[#This Row],[AGOSTO]]/45-1,0))</f>
        <v>0</v>
      </c>
      <c r="AM6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6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6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6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65" s="104">
        <f t="shared" si="2"/>
        <v>0</v>
      </c>
      <c r="AR65" s="9">
        <f t="shared" si="0"/>
        <v>0</v>
      </c>
      <c r="AS65" s="60">
        <f>IF(Tabla1[[#This Row],[MESES DE ADEUDO DEL AÑO EN CURSO ]]&gt;0,1,0)</f>
        <v>0</v>
      </c>
      <c r="AT65" s="42"/>
      <c r="AU65" s="42"/>
      <c r="AV65" s="42"/>
      <c r="AW65" s="43"/>
    </row>
    <row r="66" spans="1:49" ht="21.75" thickBot="1" x14ac:dyDescent="0.35">
      <c r="A66" s="109">
        <v>60</v>
      </c>
      <c r="B66" s="5" t="s">
        <v>31</v>
      </c>
      <c r="C66" s="2" t="s">
        <v>488</v>
      </c>
      <c r="D66" s="32"/>
      <c r="E66" s="35" t="s">
        <v>455</v>
      </c>
      <c r="F66" s="34">
        <v>45</v>
      </c>
      <c r="G66" s="34">
        <v>45</v>
      </c>
      <c r="H66" s="34">
        <v>45</v>
      </c>
      <c r="I66" s="34">
        <v>45</v>
      </c>
      <c r="J66" s="34">
        <v>45</v>
      </c>
      <c r="K66" s="34">
        <v>45</v>
      </c>
      <c r="L66" s="34">
        <v>45</v>
      </c>
      <c r="M66" s="34">
        <v>45</v>
      </c>
      <c r="N66" s="34">
        <v>45</v>
      </c>
      <c r="O66" s="34">
        <v>45</v>
      </c>
      <c r="P66" s="34">
        <v>45</v>
      </c>
      <c r="Q66" s="34">
        <v>45</v>
      </c>
      <c r="R66" s="24">
        <f>SUM(Tabla1[[#This Row],[ENERO ]:[DICIEMBRE]])</f>
        <v>540</v>
      </c>
      <c r="W66" s="65">
        <v>0</v>
      </c>
      <c r="X66" s="21">
        <f>COUNTIF(Tabla1[[#This Row],[ENERO ]:[DICIEMBRE]],0)-(AQ66)-IF(Tabla1[[#This Row],[BAJAS]]="BAJA",IF(Tabla1[[#This Row],[ALTAS]]="ALTA",VLOOKUP(Tabla1[[#This Row],[MES DE ALTA ]],$AT$6:$AU$17,2,FALSE),12)-VLOOKUP(Tabla1[[#This Row],[MES DE BAJA ]],$AT$6:$AU$17,2,FALSE),0)</f>
        <v>0</v>
      </c>
      <c r="Y66" s="69">
        <f>SUM(Tabla1[[#This Row],[MES ADEUDO DE AÑOS PASADOS ]:[MESES DE ADEUDO DEL AÑO EN CURSO ]])</f>
        <v>0</v>
      </c>
      <c r="Z66" s="15">
        <f>IF(Tabla1[[#This Row],[TIPO DE CONSUMIDOR]]="COMPLETO",W66*$T$2,W66*($T$2/2))</f>
        <v>0</v>
      </c>
      <c r="AA66" s="15">
        <f>IF(Tabla1[[#This Row],[TIPO DE CONSUMIDOR]]="COMPLETO",Tabla1[[#This Row],[MESES DE ADEUDO DEL AÑO EN CURSO ]]*$T$2,Tabla1[[#This Row],[MESES DE ADEUDO DEL AÑO EN CURSO ]]*($T$2/2))</f>
        <v>0</v>
      </c>
      <c r="AB66" s="70">
        <f>SUM(Tabla1[[#This Row],[DEUDA DE LOS MESES PASADOS EN $$]:[DEUDA DEL AÑO 2013 $$ ]])</f>
        <v>0</v>
      </c>
      <c r="AE66" s="103">
        <f>IF(Tabla1[[#This Row],[TIPO DE CONSUMIDOR]]="MEDIO",IF(Tabla1[[#This Row],[ENERO ]]&gt;22.5,Tabla1[[#This Row],[ENERO ]]/22.5-1,0),IF(Tabla1[[#This Row],[ENERO ]]&gt;45,Tabla1[[#This Row],[ENERO ]]/45-1,0))</f>
        <v>0</v>
      </c>
      <c r="AF6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66" s="103">
        <f>IF(Tabla1[[#This Row],[TIPO DE CONSUMIDOR]]="MEDIO",IF(Tabla1[[#This Row],[MARZO]]&gt;22.5,Tabla1[[#This Row],[MARZO]]/22.5-1,0),IF(Tabla1[[#This Row],[MARZO]]&gt;45,Tabla1[[#This Row],[MARZO]]/45-1,0))</f>
        <v>0</v>
      </c>
      <c r="AH66" s="103">
        <f>IF(Tabla1[[#This Row],[TIPO DE CONSUMIDOR]]="MEDIO",IF(Tabla1[[#This Row],[ABRIL]]&gt;22.5,Tabla1[[#This Row],[ABRIL]]/22.5-1,0),IF(Tabla1[[#This Row],[ABRIL]]&gt;45,Tabla1[[#This Row],[ABRIL]]/45-1,0))</f>
        <v>0</v>
      </c>
      <c r="AI66" s="103">
        <f>IF(Tabla1[[#This Row],[TIPO DE CONSUMIDOR]]="MEDIO",IF(Tabla1[[#This Row],[MAYO ]]&gt;22.5,Tabla1[[#This Row],[MAYO ]]/22.5-1,0),IF(Tabla1[[#This Row],[MAYO ]]&gt;45,Tabla1[[#This Row],[MAYO ]]/45-1,0))</f>
        <v>0</v>
      </c>
      <c r="AJ66" s="103">
        <f>IF(Tabla1[[#This Row],[TIPO DE CONSUMIDOR]]="MEDIO",IF(Tabla1[[#This Row],[JUNIO ]]&gt;22.5,Tabla1[[#This Row],[JUNIO ]]/22.5-1,0),IF(Tabla1[[#This Row],[JUNIO ]]&gt;45,Tabla1[[#This Row],[JUNIO ]]/45-1,0))</f>
        <v>0</v>
      </c>
      <c r="AK66" s="103">
        <f>IF(Tabla1[[#This Row],[TIPO DE CONSUMIDOR]]="MEDIO",IF(Tabla1[[#This Row],[JULIO ]]&gt;22.5,Tabla1[[#This Row],[JULIO ]]/22.5-1,0),IF(Tabla1[[#This Row],[JULIO ]]&gt;45,Tabla1[[#This Row],[JULIO ]]/45-1,0))</f>
        <v>0</v>
      </c>
      <c r="AL66" s="103">
        <f>IF(Tabla1[[#This Row],[TIPO DE CONSUMIDOR]]="MEDIO",IF(Tabla1[[#This Row],[AGOSTO]]&gt;22.5,Tabla1[[#This Row],[AGOSTO]]/22.5-1,0),IF(Tabla1[[#This Row],[AGOSTO]]&gt;45,Tabla1[[#This Row],[AGOSTO]]/45-1,0))</f>
        <v>0</v>
      </c>
      <c r="AM6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6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6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6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66" s="104">
        <f t="shared" si="2"/>
        <v>0</v>
      </c>
      <c r="AR66" s="9">
        <f t="shared" si="0"/>
        <v>0</v>
      </c>
      <c r="AS66" s="60">
        <f>IF(Tabla1[[#This Row],[MESES DE ADEUDO DEL AÑO EN CURSO ]]&gt;0,1,0)</f>
        <v>0</v>
      </c>
      <c r="AT66" s="42"/>
      <c r="AU66" s="42"/>
      <c r="AV66" s="42"/>
      <c r="AW66" s="43"/>
    </row>
    <row r="67" spans="1:49" ht="21.75" thickBot="1" x14ac:dyDescent="0.35">
      <c r="A67" s="109">
        <v>61</v>
      </c>
      <c r="B67" s="5" t="s">
        <v>490</v>
      </c>
      <c r="C67" s="2" t="s">
        <v>488</v>
      </c>
      <c r="D67" s="32"/>
      <c r="E67" s="35" t="s">
        <v>455</v>
      </c>
      <c r="F67" s="34">
        <v>45</v>
      </c>
      <c r="G67" s="34">
        <v>45</v>
      </c>
      <c r="H67" s="34">
        <v>45</v>
      </c>
      <c r="I67" s="34">
        <v>45</v>
      </c>
      <c r="J67" s="34">
        <v>45</v>
      </c>
      <c r="K67" s="34">
        <v>45</v>
      </c>
      <c r="L67" s="34">
        <v>45</v>
      </c>
      <c r="M67" s="34">
        <v>45</v>
      </c>
      <c r="N67" s="34">
        <v>45</v>
      </c>
      <c r="O67" s="34">
        <v>45</v>
      </c>
      <c r="P67" s="34">
        <v>45</v>
      </c>
      <c r="Q67" s="34">
        <v>45</v>
      </c>
      <c r="R67" s="24">
        <f>SUM(Tabla1[[#This Row],[ENERO ]:[DICIEMBRE]])</f>
        <v>540</v>
      </c>
      <c r="W67" s="65">
        <v>0</v>
      </c>
      <c r="X67" s="21">
        <f>COUNTIF(Tabla1[[#This Row],[ENERO ]:[DICIEMBRE]],0)-(AQ67)-IF(Tabla1[[#This Row],[BAJAS]]="BAJA",IF(Tabla1[[#This Row],[ALTAS]]="ALTA",VLOOKUP(Tabla1[[#This Row],[MES DE ALTA ]],$AT$6:$AU$17,2,FALSE),12)-VLOOKUP(Tabla1[[#This Row],[MES DE BAJA ]],$AT$6:$AU$17,2,FALSE),0)</f>
        <v>0</v>
      </c>
      <c r="Y67" s="69">
        <f>SUM(Tabla1[[#This Row],[MES ADEUDO DE AÑOS PASADOS ]:[MESES DE ADEUDO DEL AÑO EN CURSO ]])</f>
        <v>0</v>
      </c>
      <c r="Z67" s="15">
        <f>IF(Tabla1[[#This Row],[TIPO DE CONSUMIDOR]]="COMPLETO",W67*$T$2,W67*($T$2/2))</f>
        <v>0</v>
      </c>
      <c r="AA67" s="15">
        <f>IF(Tabla1[[#This Row],[TIPO DE CONSUMIDOR]]="COMPLETO",Tabla1[[#This Row],[MESES DE ADEUDO DEL AÑO EN CURSO ]]*$T$2,Tabla1[[#This Row],[MESES DE ADEUDO DEL AÑO EN CURSO ]]*($T$2/2))</f>
        <v>0</v>
      </c>
      <c r="AB67" s="70">
        <f>SUM(Tabla1[[#This Row],[DEUDA DE LOS MESES PASADOS EN $$]:[DEUDA DEL AÑO 2013 $$ ]])</f>
        <v>0</v>
      </c>
      <c r="AE67" s="103">
        <f>IF(Tabla1[[#This Row],[TIPO DE CONSUMIDOR]]="MEDIO",IF(Tabla1[[#This Row],[ENERO ]]&gt;22.5,Tabla1[[#This Row],[ENERO ]]/22.5-1,0),IF(Tabla1[[#This Row],[ENERO ]]&gt;45,Tabla1[[#This Row],[ENERO ]]/45-1,0))</f>
        <v>0</v>
      </c>
      <c r="AF6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67" s="103">
        <f>IF(Tabla1[[#This Row],[TIPO DE CONSUMIDOR]]="MEDIO",IF(Tabla1[[#This Row],[MARZO]]&gt;22.5,Tabla1[[#This Row],[MARZO]]/22.5-1,0),IF(Tabla1[[#This Row],[MARZO]]&gt;45,Tabla1[[#This Row],[MARZO]]/45-1,0))</f>
        <v>0</v>
      </c>
      <c r="AH67" s="103">
        <f>IF(Tabla1[[#This Row],[TIPO DE CONSUMIDOR]]="MEDIO",IF(Tabla1[[#This Row],[ABRIL]]&gt;22.5,Tabla1[[#This Row],[ABRIL]]/22.5-1,0),IF(Tabla1[[#This Row],[ABRIL]]&gt;45,Tabla1[[#This Row],[ABRIL]]/45-1,0))</f>
        <v>0</v>
      </c>
      <c r="AI67" s="103">
        <f>IF(Tabla1[[#This Row],[TIPO DE CONSUMIDOR]]="MEDIO",IF(Tabla1[[#This Row],[MAYO ]]&gt;22.5,Tabla1[[#This Row],[MAYO ]]/22.5-1,0),IF(Tabla1[[#This Row],[MAYO ]]&gt;45,Tabla1[[#This Row],[MAYO ]]/45-1,0))</f>
        <v>0</v>
      </c>
      <c r="AJ67" s="103">
        <f>IF(Tabla1[[#This Row],[TIPO DE CONSUMIDOR]]="MEDIO",IF(Tabla1[[#This Row],[JUNIO ]]&gt;22.5,Tabla1[[#This Row],[JUNIO ]]/22.5-1,0),IF(Tabla1[[#This Row],[JUNIO ]]&gt;45,Tabla1[[#This Row],[JUNIO ]]/45-1,0))</f>
        <v>0</v>
      </c>
      <c r="AK67" s="103">
        <f>IF(Tabla1[[#This Row],[TIPO DE CONSUMIDOR]]="MEDIO",IF(Tabla1[[#This Row],[JULIO ]]&gt;22.5,Tabla1[[#This Row],[JULIO ]]/22.5-1,0),IF(Tabla1[[#This Row],[JULIO ]]&gt;45,Tabla1[[#This Row],[JULIO ]]/45-1,0))</f>
        <v>0</v>
      </c>
      <c r="AL67" s="103">
        <f>IF(Tabla1[[#This Row],[TIPO DE CONSUMIDOR]]="MEDIO",IF(Tabla1[[#This Row],[AGOSTO]]&gt;22.5,Tabla1[[#This Row],[AGOSTO]]/22.5-1,0),IF(Tabla1[[#This Row],[AGOSTO]]&gt;45,Tabla1[[#This Row],[AGOSTO]]/45-1,0))</f>
        <v>0</v>
      </c>
      <c r="AM6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6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6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6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67" s="104">
        <f t="shared" si="2"/>
        <v>0</v>
      </c>
      <c r="AR67" s="9">
        <f t="shared" si="0"/>
        <v>0</v>
      </c>
      <c r="AS67" s="60">
        <f>IF(Tabla1[[#This Row],[MESES DE ADEUDO DEL AÑO EN CURSO ]]&gt;0,1,0)</f>
        <v>0</v>
      </c>
      <c r="AT67" s="42"/>
      <c r="AU67" s="42"/>
      <c r="AV67" s="42"/>
      <c r="AW67" s="43"/>
    </row>
    <row r="68" spans="1:49" ht="21.75" thickBot="1" x14ac:dyDescent="0.35">
      <c r="A68" s="109">
        <v>62</v>
      </c>
      <c r="B68" s="5" t="s">
        <v>494</v>
      </c>
      <c r="C68" s="2" t="s">
        <v>493</v>
      </c>
      <c r="D68" s="32"/>
      <c r="E68" s="35" t="s">
        <v>455</v>
      </c>
      <c r="F68" s="34">
        <v>45</v>
      </c>
      <c r="G68" s="34">
        <v>45</v>
      </c>
      <c r="H68" s="34">
        <v>45</v>
      </c>
      <c r="I68" s="34">
        <v>45</v>
      </c>
      <c r="J68" s="34">
        <v>45</v>
      </c>
      <c r="K68" s="34">
        <v>45</v>
      </c>
      <c r="L68" s="34">
        <v>45</v>
      </c>
      <c r="M68" s="34">
        <v>45</v>
      </c>
      <c r="N68" s="34">
        <v>45</v>
      </c>
      <c r="O68" s="34">
        <v>45</v>
      </c>
      <c r="P68" s="34">
        <v>45</v>
      </c>
      <c r="Q68" s="34">
        <v>45</v>
      </c>
      <c r="R68" s="24">
        <f>SUM(Tabla1[[#This Row],[ENERO ]:[DICIEMBRE]])</f>
        <v>540</v>
      </c>
      <c r="W68" s="65">
        <v>0</v>
      </c>
      <c r="X68" s="21">
        <f>COUNTIF(Tabla1[[#This Row],[ENERO ]:[DICIEMBRE]],0)-(AQ68)-IF(Tabla1[[#This Row],[BAJAS]]="BAJA",IF(Tabla1[[#This Row],[ALTAS]]="ALTA",VLOOKUP(Tabla1[[#This Row],[MES DE ALTA ]],$AT$6:$AU$17,2,FALSE),12)-VLOOKUP(Tabla1[[#This Row],[MES DE BAJA ]],$AT$6:$AU$17,2,FALSE),0)</f>
        <v>0</v>
      </c>
      <c r="Y68" s="69">
        <f>SUM(Tabla1[[#This Row],[MES ADEUDO DE AÑOS PASADOS ]:[MESES DE ADEUDO DEL AÑO EN CURSO ]])</f>
        <v>0</v>
      </c>
      <c r="Z68" s="15">
        <f>IF(Tabla1[[#This Row],[TIPO DE CONSUMIDOR]]="COMPLETO",W68*$T$2,W68*($T$2/2))</f>
        <v>0</v>
      </c>
      <c r="AA68" s="15">
        <f>IF(Tabla1[[#This Row],[TIPO DE CONSUMIDOR]]="COMPLETO",Tabla1[[#This Row],[MESES DE ADEUDO DEL AÑO EN CURSO ]]*$T$2,Tabla1[[#This Row],[MESES DE ADEUDO DEL AÑO EN CURSO ]]*($T$2/2))</f>
        <v>0</v>
      </c>
      <c r="AB68" s="70">
        <f>SUM(Tabla1[[#This Row],[DEUDA DE LOS MESES PASADOS EN $$]:[DEUDA DEL AÑO 2013 $$ ]])</f>
        <v>0</v>
      </c>
      <c r="AE68" s="103">
        <f>IF(Tabla1[[#This Row],[TIPO DE CONSUMIDOR]]="MEDIO",IF(Tabla1[[#This Row],[ENERO ]]&gt;22.5,Tabla1[[#This Row],[ENERO ]]/22.5-1,0),IF(Tabla1[[#This Row],[ENERO ]]&gt;45,Tabla1[[#This Row],[ENERO ]]/45-1,0))</f>
        <v>0</v>
      </c>
      <c r="AF6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68" s="103">
        <f>IF(Tabla1[[#This Row],[TIPO DE CONSUMIDOR]]="MEDIO",IF(Tabla1[[#This Row],[MARZO]]&gt;22.5,Tabla1[[#This Row],[MARZO]]/22.5-1,0),IF(Tabla1[[#This Row],[MARZO]]&gt;45,Tabla1[[#This Row],[MARZO]]/45-1,0))</f>
        <v>0</v>
      </c>
      <c r="AH68" s="103">
        <f>IF(Tabla1[[#This Row],[TIPO DE CONSUMIDOR]]="MEDIO",IF(Tabla1[[#This Row],[ABRIL]]&gt;22.5,Tabla1[[#This Row],[ABRIL]]/22.5-1,0),IF(Tabla1[[#This Row],[ABRIL]]&gt;45,Tabla1[[#This Row],[ABRIL]]/45-1,0))</f>
        <v>0</v>
      </c>
      <c r="AI68" s="103">
        <f>IF(Tabla1[[#This Row],[TIPO DE CONSUMIDOR]]="MEDIO",IF(Tabla1[[#This Row],[MAYO ]]&gt;22.5,Tabla1[[#This Row],[MAYO ]]/22.5-1,0),IF(Tabla1[[#This Row],[MAYO ]]&gt;45,Tabla1[[#This Row],[MAYO ]]/45-1,0))</f>
        <v>0</v>
      </c>
      <c r="AJ68" s="103">
        <f>IF(Tabla1[[#This Row],[TIPO DE CONSUMIDOR]]="MEDIO",IF(Tabla1[[#This Row],[JUNIO ]]&gt;22.5,Tabla1[[#This Row],[JUNIO ]]/22.5-1,0),IF(Tabla1[[#This Row],[JUNIO ]]&gt;45,Tabla1[[#This Row],[JUNIO ]]/45-1,0))</f>
        <v>0</v>
      </c>
      <c r="AK68" s="103">
        <f>IF(Tabla1[[#This Row],[TIPO DE CONSUMIDOR]]="MEDIO",IF(Tabla1[[#This Row],[JULIO ]]&gt;22.5,Tabla1[[#This Row],[JULIO ]]/22.5-1,0),IF(Tabla1[[#This Row],[JULIO ]]&gt;45,Tabla1[[#This Row],[JULIO ]]/45-1,0))</f>
        <v>0</v>
      </c>
      <c r="AL68" s="103">
        <f>IF(Tabla1[[#This Row],[TIPO DE CONSUMIDOR]]="MEDIO",IF(Tabla1[[#This Row],[AGOSTO]]&gt;22.5,Tabla1[[#This Row],[AGOSTO]]/22.5-1,0),IF(Tabla1[[#This Row],[AGOSTO]]&gt;45,Tabla1[[#This Row],[AGOSTO]]/45-1,0))</f>
        <v>0</v>
      </c>
      <c r="AM6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6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6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6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68" s="104">
        <f t="shared" si="2"/>
        <v>0</v>
      </c>
      <c r="AR68" s="9">
        <f t="shared" si="0"/>
        <v>0</v>
      </c>
      <c r="AS68" s="60">
        <f>IF(Tabla1[[#This Row],[MESES DE ADEUDO DEL AÑO EN CURSO ]]&gt;0,1,0)</f>
        <v>0</v>
      </c>
      <c r="AT68" s="42"/>
      <c r="AU68" s="42"/>
      <c r="AV68" s="42"/>
      <c r="AW68" s="43"/>
    </row>
    <row r="69" spans="1:49" ht="21.75" thickBot="1" x14ac:dyDescent="0.35">
      <c r="A69" s="109">
        <v>63</v>
      </c>
      <c r="B69" s="5" t="s">
        <v>187</v>
      </c>
      <c r="C69" s="2" t="s">
        <v>493</v>
      </c>
      <c r="D69" s="32"/>
      <c r="E69" s="35" t="s">
        <v>455</v>
      </c>
      <c r="F69" s="34">
        <v>45</v>
      </c>
      <c r="G69" s="34">
        <v>45</v>
      </c>
      <c r="H69" s="34">
        <v>45</v>
      </c>
      <c r="I69" s="34">
        <v>45</v>
      </c>
      <c r="J69" s="34">
        <v>45</v>
      </c>
      <c r="K69" s="34">
        <v>45</v>
      </c>
      <c r="L69" s="34">
        <v>45</v>
      </c>
      <c r="M69" s="34">
        <v>45</v>
      </c>
      <c r="N69" s="34">
        <v>45</v>
      </c>
      <c r="O69" s="34">
        <v>45</v>
      </c>
      <c r="P69" s="34">
        <v>45</v>
      </c>
      <c r="Q69" s="34">
        <v>45</v>
      </c>
      <c r="R69" s="24">
        <f>SUM(Tabla1[[#This Row],[ENERO ]:[DICIEMBRE]])</f>
        <v>540</v>
      </c>
      <c r="W69" s="65">
        <v>0</v>
      </c>
      <c r="X69" s="21">
        <f>COUNTIF(Tabla1[[#This Row],[ENERO ]:[DICIEMBRE]],0)-(AQ69)-IF(Tabla1[[#This Row],[BAJAS]]="BAJA",IF(Tabla1[[#This Row],[ALTAS]]="ALTA",VLOOKUP(Tabla1[[#This Row],[MES DE ALTA ]],$AT$6:$AU$17,2,FALSE),12)-VLOOKUP(Tabla1[[#This Row],[MES DE BAJA ]],$AT$6:$AU$17,2,FALSE),0)</f>
        <v>0</v>
      </c>
      <c r="Y69" s="69">
        <f>SUM(Tabla1[[#This Row],[MES ADEUDO DE AÑOS PASADOS ]:[MESES DE ADEUDO DEL AÑO EN CURSO ]])</f>
        <v>0</v>
      </c>
      <c r="Z69" s="15">
        <f>IF(Tabla1[[#This Row],[TIPO DE CONSUMIDOR]]="COMPLETO",W69*$T$2,W69*($T$2/2))</f>
        <v>0</v>
      </c>
      <c r="AA69" s="15">
        <f>IF(Tabla1[[#This Row],[TIPO DE CONSUMIDOR]]="COMPLETO",Tabla1[[#This Row],[MESES DE ADEUDO DEL AÑO EN CURSO ]]*$T$2,Tabla1[[#This Row],[MESES DE ADEUDO DEL AÑO EN CURSO ]]*($T$2/2))</f>
        <v>0</v>
      </c>
      <c r="AB69" s="70">
        <f>SUM(Tabla1[[#This Row],[DEUDA DE LOS MESES PASADOS EN $$]:[DEUDA DEL AÑO 2013 $$ ]])</f>
        <v>0</v>
      </c>
      <c r="AE69" s="103">
        <f>IF(Tabla1[[#This Row],[TIPO DE CONSUMIDOR]]="MEDIO",IF(Tabla1[[#This Row],[ENERO ]]&gt;22.5,Tabla1[[#This Row],[ENERO ]]/22.5-1,0),IF(Tabla1[[#This Row],[ENERO ]]&gt;45,Tabla1[[#This Row],[ENERO ]]/45-1,0))</f>
        <v>0</v>
      </c>
      <c r="AF6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69" s="103">
        <f>IF(Tabla1[[#This Row],[TIPO DE CONSUMIDOR]]="MEDIO",IF(Tabla1[[#This Row],[MARZO]]&gt;22.5,Tabla1[[#This Row],[MARZO]]/22.5-1,0),IF(Tabla1[[#This Row],[MARZO]]&gt;45,Tabla1[[#This Row],[MARZO]]/45-1,0))</f>
        <v>0</v>
      </c>
      <c r="AH69" s="103">
        <f>IF(Tabla1[[#This Row],[TIPO DE CONSUMIDOR]]="MEDIO",IF(Tabla1[[#This Row],[ABRIL]]&gt;22.5,Tabla1[[#This Row],[ABRIL]]/22.5-1,0),IF(Tabla1[[#This Row],[ABRIL]]&gt;45,Tabla1[[#This Row],[ABRIL]]/45-1,0))</f>
        <v>0</v>
      </c>
      <c r="AI69" s="103">
        <f>IF(Tabla1[[#This Row],[TIPO DE CONSUMIDOR]]="MEDIO",IF(Tabla1[[#This Row],[MAYO ]]&gt;22.5,Tabla1[[#This Row],[MAYO ]]/22.5-1,0),IF(Tabla1[[#This Row],[MAYO ]]&gt;45,Tabla1[[#This Row],[MAYO ]]/45-1,0))</f>
        <v>0</v>
      </c>
      <c r="AJ69" s="103">
        <f>IF(Tabla1[[#This Row],[TIPO DE CONSUMIDOR]]="MEDIO",IF(Tabla1[[#This Row],[JUNIO ]]&gt;22.5,Tabla1[[#This Row],[JUNIO ]]/22.5-1,0),IF(Tabla1[[#This Row],[JUNIO ]]&gt;45,Tabla1[[#This Row],[JUNIO ]]/45-1,0))</f>
        <v>0</v>
      </c>
      <c r="AK69" s="103">
        <f>IF(Tabla1[[#This Row],[TIPO DE CONSUMIDOR]]="MEDIO",IF(Tabla1[[#This Row],[JULIO ]]&gt;22.5,Tabla1[[#This Row],[JULIO ]]/22.5-1,0),IF(Tabla1[[#This Row],[JULIO ]]&gt;45,Tabla1[[#This Row],[JULIO ]]/45-1,0))</f>
        <v>0</v>
      </c>
      <c r="AL69" s="103">
        <f>IF(Tabla1[[#This Row],[TIPO DE CONSUMIDOR]]="MEDIO",IF(Tabla1[[#This Row],[AGOSTO]]&gt;22.5,Tabla1[[#This Row],[AGOSTO]]/22.5-1,0),IF(Tabla1[[#This Row],[AGOSTO]]&gt;45,Tabla1[[#This Row],[AGOSTO]]/45-1,0))</f>
        <v>0</v>
      </c>
      <c r="AM6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6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6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6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69" s="104">
        <f t="shared" si="2"/>
        <v>0</v>
      </c>
      <c r="AR69" s="9">
        <f t="shared" si="0"/>
        <v>0</v>
      </c>
      <c r="AS69" s="60">
        <f>IF(Tabla1[[#This Row],[MESES DE ADEUDO DEL AÑO EN CURSO ]]&gt;0,1,0)</f>
        <v>0</v>
      </c>
      <c r="AT69" s="42"/>
      <c r="AU69" s="42"/>
      <c r="AV69" s="42"/>
      <c r="AW69" s="43"/>
    </row>
    <row r="70" spans="1:49" ht="21.75" thickBot="1" x14ac:dyDescent="0.35">
      <c r="A70" s="109">
        <v>64</v>
      </c>
      <c r="B70" s="5" t="s">
        <v>172</v>
      </c>
      <c r="C70" s="2" t="s">
        <v>493</v>
      </c>
      <c r="D70" s="32"/>
      <c r="E70" s="35" t="s">
        <v>455</v>
      </c>
      <c r="F70" s="34">
        <v>45</v>
      </c>
      <c r="G70" s="34">
        <v>45</v>
      </c>
      <c r="H70" s="34">
        <v>45</v>
      </c>
      <c r="I70" s="34">
        <v>45</v>
      </c>
      <c r="J70" s="34">
        <v>45</v>
      </c>
      <c r="K70" s="34">
        <v>45</v>
      </c>
      <c r="L70" s="34">
        <v>45</v>
      </c>
      <c r="M70" s="34">
        <v>45</v>
      </c>
      <c r="N70" s="34">
        <v>45</v>
      </c>
      <c r="O70" s="34">
        <v>45</v>
      </c>
      <c r="P70" s="34">
        <v>45</v>
      </c>
      <c r="Q70" s="34">
        <v>45</v>
      </c>
      <c r="R70" s="24">
        <f>SUM(Tabla1[[#This Row],[ENERO ]:[DICIEMBRE]])</f>
        <v>540</v>
      </c>
      <c r="W70" s="65">
        <v>0</v>
      </c>
      <c r="X70" s="21">
        <f>COUNTIF(Tabla1[[#This Row],[ENERO ]:[DICIEMBRE]],0)-(AQ70)-IF(Tabla1[[#This Row],[BAJAS]]="BAJA",IF(Tabla1[[#This Row],[ALTAS]]="ALTA",VLOOKUP(Tabla1[[#This Row],[MES DE ALTA ]],$AT$6:$AU$17,2,FALSE),12)-VLOOKUP(Tabla1[[#This Row],[MES DE BAJA ]],$AT$6:$AU$17,2,FALSE),0)</f>
        <v>0</v>
      </c>
      <c r="Y70" s="69">
        <f>SUM(Tabla1[[#This Row],[MES ADEUDO DE AÑOS PASADOS ]:[MESES DE ADEUDO DEL AÑO EN CURSO ]])</f>
        <v>0</v>
      </c>
      <c r="Z70" s="15">
        <f>IF(Tabla1[[#This Row],[TIPO DE CONSUMIDOR]]="COMPLETO",W70*$T$2,W70*($T$2/2))</f>
        <v>0</v>
      </c>
      <c r="AA70" s="15">
        <f>IF(Tabla1[[#This Row],[TIPO DE CONSUMIDOR]]="COMPLETO",Tabla1[[#This Row],[MESES DE ADEUDO DEL AÑO EN CURSO ]]*$T$2,Tabla1[[#This Row],[MESES DE ADEUDO DEL AÑO EN CURSO ]]*($T$2/2))</f>
        <v>0</v>
      </c>
      <c r="AB70" s="70">
        <f>SUM(Tabla1[[#This Row],[DEUDA DE LOS MESES PASADOS EN $$]:[DEUDA DEL AÑO 2013 $$ ]])</f>
        <v>0</v>
      </c>
      <c r="AE70" s="103">
        <f>IF(Tabla1[[#This Row],[TIPO DE CONSUMIDOR]]="MEDIO",IF(Tabla1[[#This Row],[ENERO ]]&gt;22.5,Tabla1[[#This Row],[ENERO ]]/22.5-1,0),IF(Tabla1[[#This Row],[ENERO ]]&gt;45,Tabla1[[#This Row],[ENERO ]]/45-1,0))</f>
        <v>0</v>
      </c>
      <c r="AF7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0" s="103">
        <f>IF(Tabla1[[#This Row],[TIPO DE CONSUMIDOR]]="MEDIO",IF(Tabla1[[#This Row],[MARZO]]&gt;22.5,Tabla1[[#This Row],[MARZO]]/22.5-1,0),IF(Tabla1[[#This Row],[MARZO]]&gt;45,Tabla1[[#This Row],[MARZO]]/45-1,0))</f>
        <v>0</v>
      </c>
      <c r="AH70" s="103">
        <f>IF(Tabla1[[#This Row],[TIPO DE CONSUMIDOR]]="MEDIO",IF(Tabla1[[#This Row],[ABRIL]]&gt;22.5,Tabla1[[#This Row],[ABRIL]]/22.5-1,0),IF(Tabla1[[#This Row],[ABRIL]]&gt;45,Tabla1[[#This Row],[ABRIL]]/45-1,0))</f>
        <v>0</v>
      </c>
      <c r="AI70" s="103">
        <f>IF(Tabla1[[#This Row],[TIPO DE CONSUMIDOR]]="MEDIO",IF(Tabla1[[#This Row],[MAYO ]]&gt;22.5,Tabla1[[#This Row],[MAYO ]]/22.5-1,0),IF(Tabla1[[#This Row],[MAYO ]]&gt;45,Tabla1[[#This Row],[MAYO ]]/45-1,0))</f>
        <v>0</v>
      </c>
      <c r="AJ70" s="103">
        <f>IF(Tabla1[[#This Row],[TIPO DE CONSUMIDOR]]="MEDIO",IF(Tabla1[[#This Row],[JUNIO ]]&gt;22.5,Tabla1[[#This Row],[JUNIO ]]/22.5-1,0),IF(Tabla1[[#This Row],[JUNIO ]]&gt;45,Tabla1[[#This Row],[JUNIO ]]/45-1,0))</f>
        <v>0</v>
      </c>
      <c r="AK70" s="103">
        <f>IF(Tabla1[[#This Row],[TIPO DE CONSUMIDOR]]="MEDIO",IF(Tabla1[[#This Row],[JULIO ]]&gt;22.5,Tabla1[[#This Row],[JULIO ]]/22.5-1,0),IF(Tabla1[[#This Row],[JULIO ]]&gt;45,Tabla1[[#This Row],[JULIO ]]/45-1,0))</f>
        <v>0</v>
      </c>
      <c r="AL70" s="103">
        <f>IF(Tabla1[[#This Row],[TIPO DE CONSUMIDOR]]="MEDIO",IF(Tabla1[[#This Row],[AGOSTO]]&gt;22.5,Tabla1[[#This Row],[AGOSTO]]/22.5-1,0),IF(Tabla1[[#This Row],[AGOSTO]]&gt;45,Tabla1[[#This Row],[AGOSTO]]/45-1,0))</f>
        <v>0</v>
      </c>
      <c r="AM7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0" s="104">
        <f t="shared" si="2"/>
        <v>0</v>
      </c>
      <c r="AR70" s="9">
        <f t="shared" si="0"/>
        <v>0</v>
      </c>
      <c r="AS70" s="60">
        <f>IF(Tabla1[[#This Row],[MESES DE ADEUDO DEL AÑO EN CURSO ]]&gt;0,1,0)</f>
        <v>0</v>
      </c>
      <c r="AT70" s="42"/>
      <c r="AU70" s="42"/>
      <c r="AV70" s="42"/>
      <c r="AW70" s="43"/>
    </row>
    <row r="71" spans="1:49" ht="21.75" thickBot="1" x14ac:dyDescent="0.35">
      <c r="A71" s="109">
        <v>65</v>
      </c>
      <c r="B71" s="5" t="s">
        <v>602</v>
      </c>
      <c r="C71" s="2" t="s">
        <v>493</v>
      </c>
      <c r="D71" s="32"/>
      <c r="E71" s="35" t="s">
        <v>455</v>
      </c>
      <c r="F71" s="34">
        <v>45</v>
      </c>
      <c r="G71" s="34">
        <v>45</v>
      </c>
      <c r="H71" s="34">
        <v>45</v>
      </c>
      <c r="I71" s="34">
        <v>45</v>
      </c>
      <c r="J71" s="34">
        <v>45</v>
      </c>
      <c r="K71" s="34">
        <v>45</v>
      </c>
      <c r="L71" s="34">
        <v>45</v>
      </c>
      <c r="M71" s="34">
        <v>45</v>
      </c>
      <c r="N71" s="34">
        <v>45</v>
      </c>
      <c r="O71" s="34">
        <v>45</v>
      </c>
      <c r="P71" s="34">
        <v>45</v>
      </c>
      <c r="Q71" s="34">
        <v>45</v>
      </c>
      <c r="R71" s="24">
        <f>SUM(Tabla1[[#This Row],[ENERO ]:[DICIEMBRE]])</f>
        <v>540</v>
      </c>
      <c r="W71" s="65">
        <v>0</v>
      </c>
      <c r="X71" s="21">
        <f>COUNTIF(Tabla1[[#This Row],[ENERO ]:[DICIEMBRE]],0)-(AQ71)-IF(Tabla1[[#This Row],[BAJAS]]="BAJA",IF(Tabla1[[#This Row],[ALTAS]]="ALTA",VLOOKUP(Tabla1[[#This Row],[MES DE ALTA ]],$AT$6:$AU$17,2,FALSE),12)-VLOOKUP(Tabla1[[#This Row],[MES DE BAJA ]],$AT$6:$AU$17,2,FALSE),0)</f>
        <v>0</v>
      </c>
      <c r="Y71" s="69">
        <f>SUM(Tabla1[[#This Row],[MES ADEUDO DE AÑOS PASADOS ]:[MESES DE ADEUDO DEL AÑO EN CURSO ]])</f>
        <v>0</v>
      </c>
      <c r="Z71" s="15">
        <f>IF(Tabla1[[#This Row],[TIPO DE CONSUMIDOR]]="COMPLETO",W71*$T$2,W71*($T$2/2))</f>
        <v>0</v>
      </c>
      <c r="AA71" s="15">
        <f>IF(Tabla1[[#This Row],[TIPO DE CONSUMIDOR]]="COMPLETO",Tabla1[[#This Row],[MESES DE ADEUDO DEL AÑO EN CURSO ]]*$T$2,Tabla1[[#This Row],[MESES DE ADEUDO DEL AÑO EN CURSO ]]*($T$2/2))</f>
        <v>0</v>
      </c>
      <c r="AB71" s="70">
        <f>SUM(Tabla1[[#This Row],[DEUDA DE LOS MESES PASADOS EN $$]:[DEUDA DEL AÑO 2013 $$ ]])</f>
        <v>0</v>
      </c>
      <c r="AE71" s="103">
        <f>IF(Tabla1[[#This Row],[TIPO DE CONSUMIDOR]]="MEDIO",IF(Tabla1[[#This Row],[ENERO ]]&gt;22.5,Tabla1[[#This Row],[ENERO ]]/22.5-1,0),IF(Tabla1[[#This Row],[ENERO ]]&gt;45,Tabla1[[#This Row],[ENERO ]]/45-1,0))</f>
        <v>0</v>
      </c>
      <c r="AF7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1" s="103">
        <f>IF(Tabla1[[#This Row],[TIPO DE CONSUMIDOR]]="MEDIO",IF(Tabla1[[#This Row],[MARZO]]&gt;22.5,Tabla1[[#This Row],[MARZO]]/22.5-1,0),IF(Tabla1[[#This Row],[MARZO]]&gt;45,Tabla1[[#This Row],[MARZO]]/45-1,0))</f>
        <v>0</v>
      </c>
      <c r="AH71" s="103">
        <f>IF(Tabla1[[#This Row],[TIPO DE CONSUMIDOR]]="MEDIO",IF(Tabla1[[#This Row],[ABRIL]]&gt;22.5,Tabla1[[#This Row],[ABRIL]]/22.5-1,0),IF(Tabla1[[#This Row],[ABRIL]]&gt;45,Tabla1[[#This Row],[ABRIL]]/45-1,0))</f>
        <v>0</v>
      </c>
      <c r="AI71" s="103">
        <f>IF(Tabla1[[#This Row],[TIPO DE CONSUMIDOR]]="MEDIO",IF(Tabla1[[#This Row],[MAYO ]]&gt;22.5,Tabla1[[#This Row],[MAYO ]]/22.5-1,0),IF(Tabla1[[#This Row],[MAYO ]]&gt;45,Tabla1[[#This Row],[MAYO ]]/45-1,0))</f>
        <v>0</v>
      </c>
      <c r="AJ71" s="103">
        <f>IF(Tabla1[[#This Row],[TIPO DE CONSUMIDOR]]="MEDIO",IF(Tabla1[[#This Row],[JUNIO ]]&gt;22.5,Tabla1[[#This Row],[JUNIO ]]/22.5-1,0),IF(Tabla1[[#This Row],[JUNIO ]]&gt;45,Tabla1[[#This Row],[JUNIO ]]/45-1,0))</f>
        <v>0</v>
      </c>
      <c r="AK71" s="103">
        <f>IF(Tabla1[[#This Row],[TIPO DE CONSUMIDOR]]="MEDIO",IF(Tabla1[[#This Row],[JULIO ]]&gt;22.5,Tabla1[[#This Row],[JULIO ]]/22.5-1,0),IF(Tabla1[[#This Row],[JULIO ]]&gt;45,Tabla1[[#This Row],[JULIO ]]/45-1,0))</f>
        <v>0</v>
      </c>
      <c r="AL71" s="103">
        <f>IF(Tabla1[[#This Row],[TIPO DE CONSUMIDOR]]="MEDIO",IF(Tabla1[[#This Row],[AGOSTO]]&gt;22.5,Tabla1[[#This Row],[AGOSTO]]/22.5-1,0),IF(Tabla1[[#This Row],[AGOSTO]]&gt;45,Tabla1[[#This Row],[AGOSTO]]/45-1,0))</f>
        <v>0</v>
      </c>
      <c r="AM7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1" s="104">
        <f t="shared" si="2"/>
        <v>0</v>
      </c>
      <c r="AR71" s="9">
        <f t="shared" ref="AR71:AR134" si="3">IF(Y71&gt;0,1,0)</f>
        <v>0</v>
      </c>
      <c r="AS71" s="60">
        <f>IF(Tabla1[[#This Row],[MESES DE ADEUDO DEL AÑO EN CURSO ]]&gt;0,1,0)</f>
        <v>0</v>
      </c>
      <c r="AT71" s="42"/>
      <c r="AU71" s="42"/>
      <c r="AV71" s="42"/>
      <c r="AW71" s="43"/>
    </row>
    <row r="72" spans="1:49" ht="21.75" thickBot="1" x14ac:dyDescent="0.35">
      <c r="A72" s="109">
        <v>66</v>
      </c>
      <c r="B72" s="5" t="s">
        <v>230</v>
      </c>
      <c r="C72" s="2" t="s">
        <v>493</v>
      </c>
      <c r="D72" s="32"/>
      <c r="E72" s="35" t="s">
        <v>455</v>
      </c>
      <c r="F72" s="34">
        <v>45</v>
      </c>
      <c r="G72" s="34">
        <v>45</v>
      </c>
      <c r="H72" s="34">
        <v>45</v>
      </c>
      <c r="I72" s="34">
        <v>45</v>
      </c>
      <c r="J72" s="34">
        <v>45</v>
      </c>
      <c r="K72" s="34">
        <v>45</v>
      </c>
      <c r="L72" s="34">
        <v>45</v>
      </c>
      <c r="M72" s="34">
        <v>45</v>
      </c>
      <c r="N72" s="34">
        <v>45</v>
      </c>
      <c r="O72" s="34">
        <v>45</v>
      </c>
      <c r="P72" s="34">
        <v>45</v>
      </c>
      <c r="Q72" s="34">
        <v>45</v>
      </c>
      <c r="R72" s="24">
        <f>SUM(Tabla1[[#This Row],[ENERO ]:[DICIEMBRE]])</f>
        <v>540</v>
      </c>
      <c r="W72" s="65">
        <v>0</v>
      </c>
      <c r="X72" s="21">
        <f>COUNTIF(Tabla1[[#This Row],[ENERO ]:[DICIEMBRE]],0)-(AQ72)-IF(Tabla1[[#This Row],[BAJAS]]="BAJA",IF(Tabla1[[#This Row],[ALTAS]]="ALTA",VLOOKUP(Tabla1[[#This Row],[MES DE ALTA ]],$AT$6:$AU$17,2,FALSE),12)-VLOOKUP(Tabla1[[#This Row],[MES DE BAJA ]],$AT$6:$AU$17,2,FALSE),0)</f>
        <v>0</v>
      </c>
      <c r="Y72" s="69">
        <f>SUM(Tabla1[[#This Row],[MES ADEUDO DE AÑOS PASADOS ]:[MESES DE ADEUDO DEL AÑO EN CURSO ]])</f>
        <v>0</v>
      </c>
      <c r="Z72" s="15">
        <f>IF(Tabla1[[#This Row],[TIPO DE CONSUMIDOR]]="COMPLETO",W72*$T$2,W72*($T$2/2))</f>
        <v>0</v>
      </c>
      <c r="AA72" s="15">
        <f>IF(Tabla1[[#This Row],[TIPO DE CONSUMIDOR]]="COMPLETO",Tabla1[[#This Row],[MESES DE ADEUDO DEL AÑO EN CURSO ]]*$T$2,Tabla1[[#This Row],[MESES DE ADEUDO DEL AÑO EN CURSO ]]*($T$2/2))</f>
        <v>0</v>
      </c>
      <c r="AB72" s="70">
        <f>SUM(Tabla1[[#This Row],[DEUDA DE LOS MESES PASADOS EN $$]:[DEUDA DEL AÑO 2013 $$ ]])</f>
        <v>0</v>
      </c>
      <c r="AE72" s="103">
        <f>IF(Tabla1[[#This Row],[TIPO DE CONSUMIDOR]]="MEDIO",IF(Tabla1[[#This Row],[ENERO ]]&gt;22.5,Tabla1[[#This Row],[ENERO ]]/22.5-1,0),IF(Tabla1[[#This Row],[ENERO ]]&gt;45,Tabla1[[#This Row],[ENERO ]]/45-1,0))</f>
        <v>0</v>
      </c>
      <c r="AF7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2" s="103">
        <f>IF(Tabla1[[#This Row],[TIPO DE CONSUMIDOR]]="MEDIO",IF(Tabla1[[#This Row],[MARZO]]&gt;22.5,Tabla1[[#This Row],[MARZO]]/22.5-1,0),IF(Tabla1[[#This Row],[MARZO]]&gt;45,Tabla1[[#This Row],[MARZO]]/45-1,0))</f>
        <v>0</v>
      </c>
      <c r="AH72" s="103">
        <f>IF(Tabla1[[#This Row],[TIPO DE CONSUMIDOR]]="MEDIO",IF(Tabla1[[#This Row],[ABRIL]]&gt;22.5,Tabla1[[#This Row],[ABRIL]]/22.5-1,0),IF(Tabla1[[#This Row],[ABRIL]]&gt;45,Tabla1[[#This Row],[ABRIL]]/45-1,0))</f>
        <v>0</v>
      </c>
      <c r="AI72" s="103">
        <f>IF(Tabla1[[#This Row],[TIPO DE CONSUMIDOR]]="MEDIO",IF(Tabla1[[#This Row],[MAYO ]]&gt;22.5,Tabla1[[#This Row],[MAYO ]]/22.5-1,0),IF(Tabla1[[#This Row],[MAYO ]]&gt;45,Tabla1[[#This Row],[MAYO ]]/45-1,0))</f>
        <v>0</v>
      </c>
      <c r="AJ72" s="103">
        <f>IF(Tabla1[[#This Row],[TIPO DE CONSUMIDOR]]="MEDIO",IF(Tabla1[[#This Row],[JUNIO ]]&gt;22.5,Tabla1[[#This Row],[JUNIO ]]/22.5-1,0),IF(Tabla1[[#This Row],[JUNIO ]]&gt;45,Tabla1[[#This Row],[JUNIO ]]/45-1,0))</f>
        <v>0</v>
      </c>
      <c r="AK72" s="103">
        <f>IF(Tabla1[[#This Row],[TIPO DE CONSUMIDOR]]="MEDIO",IF(Tabla1[[#This Row],[JULIO ]]&gt;22.5,Tabla1[[#This Row],[JULIO ]]/22.5-1,0),IF(Tabla1[[#This Row],[JULIO ]]&gt;45,Tabla1[[#This Row],[JULIO ]]/45-1,0))</f>
        <v>0</v>
      </c>
      <c r="AL72" s="103">
        <f>IF(Tabla1[[#This Row],[TIPO DE CONSUMIDOR]]="MEDIO",IF(Tabla1[[#This Row],[AGOSTO]]&gt;22.5,Tabla1[[#This Row],[AGOSTO]]/22.5-1,0),IF(Tabla1[[#This Row],[AGOSTO]]&gt;45,Tabla1[[#This Row],[AGOSTO]]/45-1,0))</f>
        <v>0</v>
      </c>
      <c r="AM7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2" s="104">
        <f t="shared" ref="AQ72:AQ135" si="4">SUM(AE72:AP72)</f>
        <v>0</v>
      </c>
      <c r="AR72" s="9">
        <f t="shared" si="3"/>
        <v>0</v>
      </c>
      <c r="AS72" s="60">
        <f>IF(Tabla1[[#This Row],[MESES DE ADEUDO DEL AÑO EN CURSO ]]&gt;0,1,0)</f>
        <v>0</v>
      </c>
      <c r="AT72" s="42"/>
      <c r="AU72" s="42"/>
      <c r="AV72" s="42"/>
      <c r="AW72" s="43"/>
    </row>
    <row r="73" spans="1:49" ht="21.75" thickBot="1" x14ac:dyDescent="0.35">
      <c r="A73" s="109">
        <v>67</v>
      </c>
      <c r="B73" s="5" t="s">
        <v>232</v>
      </c>
      <c r="C73" s="2" t="s">
        <v>493</v>
      </c>
      <c r="D73" s="32"/>
      <c r="E73" s="35" t="s">
        <v>455</v>
      </c>
      <c r="F73" s="34">
        <v>45</v>
      </c>
      <c r="G73" s="34">
        <v>45</v>
      </c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24">
        <f>SUM(Tabla1[[#This Row],[ENERO ]:[DICIEMBRE]])</f>
        <v>90</v>
      </c>
      <c r="W73" s="65">
        <v>0</v>
      </c>
      <c r="X73" s="21">
        <f>COUNTIF(Tabla1[[#This Row],[ENERO ]:[DICIEMBRE]],0)-(AQ73)-IF(Tabla1[[#This Row],[BAJAS]]="BAJA",IF(Tabla1[[#This Row],[ALTAS]]="ALTA",VLOOKUP(Tabla1[[#This Row],[MES DE ALTA ]],$AT$6:$AU$17,2,FALSE),12)-VLOOKUP(Tabla1[[#This Row],[MES DE BAJA ]],$AT$6:$AU$17,2,FALSE),0)</f>
        <v>0</v>
      </c>
      <c r="Y73" s="69">
        <f>SUM(Tabla1[[#This Row],[MES ADEUDO DE AÑOS PASADOS ]:[MESES DE ADEUDO DEL AÑO EN CURSO ]])</f>
        <v>0</v>
      </c>
      <c r="Z73" s="15">
        <f>IF(Tabla1[[#This Row],[TIPO DE CONSUMIDOR]]="COMPLETO",W73*$T$2,W73*($T$2/2))</f>
        <v>0</v>
      </c>
      <c r="AA73" s="15">
        <f>IF(Tabla1[[#This Row],[TIPO DE CONSUMIDOR]]="COMPLETO",Tabla1[[#This Row],[MESES DE ADEUDO DEL AÑO EN CURSO ]]*$T$2,Tabla1[[#This Row],[MESES DE ADEUDO DEL AÑO EN CURSO ]]*($T$2/2))</f>
        <v>0</v>
      </c>
      <c r="AB73" s="70">
        <f>SUM(Tabla1[[#This Row],[DEUDA DE LOS MESES PASADOS EN $$]:[DEUDA DEL AÑO 2013 $$ ]])</f>
        <v>0</v>
      </c>
      <c r="AE73" s="103">
        <f>IF(Tabla1[[#This Row],[TIPO DE CONSUMIDOR]]="MEDIO",IF(Tabla1[[#This Row],[ENERO ]]&gt;22.5,Tabla1[[#This Row],[ENERO ]]/22.5-1,0),IF(Tabla1[[#This Row],[ENERO ]]&gt;45,Tabla1[[#This Row],[ENERO ]]/45-1,0))</f>
        <v>0</v>
      </c>
      <c r="AF7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3" s="103">
        <f>IF(Tabla1[[#This Row],[TIPO DE CONSUMIDOR]]="MEDIO",IF(Tabla1[[#This Row],[MARZO]]&gt;22.5,Tabla1[[#This Row],[MARZO]]/22.5-1,0),IF(Tabla1[[#This Row],[MARZO]]&gt;45,Tabla1[[#This Row],[MARZO]]/45-1,0))</f>
        <v>0</v>
      </c>
      <c r="AH73" s="103">
        <f>IF(Tabla1[[#This Row],[TIPO DE CONSUMIDOR]]="MEDIO",IF(Tabla1[[#This Row],[ABRIL]]&gt;22.5,Tabla1[[#This Row],[ABRIL]]/22.5-1,0),IF(Tabla1[[#This Row],[ABRIL]]&gt;45,Tabla1[[#This Row],[ABRIL]]/45-1,0))</f>
        <v>0</v>
      </c>
      <c r="AI73" s="103">
        <f>IF(Tabla1[[#This Row],[TIPO DE CONSUMIDOR]]="MEDIO",IF(Tabla1[[#This Row],[MAYO ]]&gt;22.5,Tabla1[[#This Row],[MAYO ]]/22.5-1,0),IF(Tabla1[[#This Row],[MAYO ]]&gt;45,Tabla1[[#This Row],[MAYO ]]/45-1,0))</f>
        <v>0</v>
      </c>
      <c r="AJ73" s="103">
        <f>IF(Tabla1[[#This Row],[TIPO DE CONSUMIDOR]]="MEDIO",IF(Tabla1[[#This Row],[JUNIO ]]&gt;22.5,Tabla1[[#This Row],[JUNIO ]]/22.5-1,0),IF(Tabla1[[#This Row],[JUNIO ]]&gt;45,Tabla1[[#This Row],[JUNIO ]]/45-1,0))</f>
        <v>0</v>
      </c>
      <c r="AK73" s="103">
        <f>IF(Tabla1[[#This Row],[TIPO DE CONSUMIDOR]]="MEDIO",IF(Tabla1[[#This Row],[JULIO ]]&gt;22.5,Tabla1[[#This Row],[JULIO ]]/22.5-1,0),IF(Tabla1[[#This Row],[JULIO ]]&gt;45,Tabla1[[#This Row],[JULIO ]]/45-1,0))</f>
        <v>0</v>
      </c>
      <c r="AL73" s="103">
        <f>IF(Tabla1[[#This Row],[TIPO DE CONSUMIDOR]]="MEDIO",IF(Tabla1[[#This Row],[AGOSTO]]&gt;22.5,Tabla1[[#This Row],[AGOSTO]]/22.5-1,0),IF(Tabla1[[#This Row],[AGOSTO]]&gt;45,Tabla1[[#This Row],[AGOSTO]]/45-1,0))</f>
        <v>0</v>
      </c>
      <c r="AM7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3" s="104">
        <f t="shared" si="4"/>
        <v>0</v>
      </c>
      <c r="AR73" s="9">
        <f t="shared" si="3"/>
        <v>0</v>
      </c>
      <c r="AS73" s="60">
        <f>IF(Tabla1[[#This Row],[MESES DE ADEUDO DEL AÑO EN CURSO ]]&gt;0,1,0)</f>
        <v>0</v>
      </c>
      <c r="AT73" s="42"/>
      <c r="AU73" s="42"/>
      <c r="AV73" s="42"/>
      <c r="AW73" s="43"/>
    </row>
    <row r="74" spans="1:49" ht="21.75" thickBot="1" x14ac:dyDescent="0.35">
      <c r="A74" s="109">
        <v>68</v>
      </c>
      <c r="B74" s="5" t="s">
        <v>370</v>
      </c>
      <c r="C74" s="2" t="s">
        <v>493</v>
      </c>
      <c r="D74" s="32"/>
      <c r="E74" s="35" t="s">
        <v>455</v>
      </c>
      <c r="F74" s="34">
        <v>45</v>
      </c>
      <c r="G74" s="34">
        <v>45</v>
      </c>
      <c r="H74" s="34">
        <v>45</v>
      </c>
      <c r="I74" s="34">
        <v>45</v>
      </c>
      <c r="J74" s="34">
        <v>45</v>
      </c>
      <c r="K74" s="34">
        <v>45</v>
      </c>
      <c r="L74" s="34">
        <v>45</v>
      </c>
      <c r="M74" s="34">
        <v>45</v>
      </c>
      <c r="N74" s="34">
        <v>45</v>
      </c>
      <c r="O74" s="34">
        <v>45</v>
      </c>
      <c r="P74" s="34">
        <v>45</v>
      </c>
      <c r="Q74" s="34">
        <v>45</v>
      </c>
      <c r="R74" s="24">
        <f>SUM(Tabla1[[#This Row],[ENERO ]:[DICIEMBRE]])</f>
        <v>540</v>
      </c>
      <c r="W74" s="65">
        <v>0</v>
      </c>
      <c r="X74" s="21">
        <f>COUNTIF(Tabla1[[#This Row],[ENERO ]:[DICIEMBRE]],0)-(AQ74)-IF(Tabla1[[#This Row],[BAJAS]]="BAJA",IF(Tabla1[[#This Row],[ALTAS]]="ALTA",VLOOKUP(Tabla1[[#This Row],[MES DE ALTA ]],$AT$6:$AU$17,2,FALSE),12)-VLOOKUP(Tabla1[[#This Row],[MES DE BAJA ]],$AT$6:$AU$17,2,FALSE),0)</f>
        <v>0</v>
      </c>
      <c r="Y74" s="69">
        <f>SUM(Tabla1[[#This Row],[MES ADEUDO DE AÑOS PASADOS ]:[MESES DE ADEUDO DEL AÑO EN CURSO ]])</f>
        <v>0</v>
      </c>
      <c r="Z74" s="15">
        <f>IF(Tabla1[[#This Row],[TIPO DE CONSUMIDOR]]="COMPLETO",W74*$T$2,W74*($T$2/2))</f>
        <v>0</v>
      </c>
      <c r="AA74" s="15">
        <f>IF(Tabla1[[#This Row],[TIPO DE CONSUMIDOR]]="COMPLETO",Tabla1[[#This Row],[MESES DE ADEUDO DEL AÑO EN CURSO ]]*$T$2,Tabla1[[#This Row],[MESES DE ADEUDO DEL AÑO EN CURSO ]]*($T$2/2))</f>
        <v>0</v>
      </c>
      <c r="AB74" s="70">
        <f>SUM(Tabla1[[#This Row],[DEUDA DE LOS MESES PASADOS EN $$]:[DEUDA DEL AÑO 2013 $$ ]])</f>
        <v>0</v>
      </c>
      <c r="AE74" s="103">
        <f>IF(Tabla1[[#This Row],[TIPO DE CONSUMIDOR]]="MEDIO",IF(Tabla1[[#This Row],[ENERO ]]&gt;22.5,Tabla1[[#This Row],[ENERO ]]/22.5-1,0),IF(Tabla1[[#This Row],[ENERO ]]&gt;45,Tabla1[[#This Row],[ENERO ]]/45-1,0))</f>
        <v>0</v>
      </c>
      <c r="AF7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4" s="103">
        <f>IF(Tabla1[[#This Row],[TIPO DE CONSUMIDOR]]="MEDIO",IF(Tabla1[[#This Row],[MARZO]]&gt;22.5,Tabla1[[#This Row],[MARZO]]/22.5-1,0),IF(Tabla1[[#This Row],[MARZO]]&gt;45,Tabla1[[#This Row],[MARZO]]/45-1,0))</f>
        <v>0</v>
      </c>
      <c r="AH74" s="103">
        <f>IF(Tabla1[[#This Row],[TIPO DE CONSUMIDOR]]="MEDIO",IF(Tabla1[[#This Row],[ABRIL]]&gt;22.5,Tabla1[[#This Row],[ABRIL]]/22.5-1,0),IF(Tabla1[[#This Row],[ABRIL]]&gt;45,Tabla1[[#This Row],[ABRIL]]/45-1,0))</f>
        <v>0</v>
      </c>
      <c r="AI74" s="103">
        <f>IF(Tabla1[[#This Row],[TIPO DE CONSUMIDOR]]="MEDIO",IF(Tabla1[[#This Row],[MAYO ]]&gt;22.5,Tabla1[[#This Row],[MAYO ]]/22.5-1,0),IF(Tabla1[[#This Row],[MAYO ]]&gt;45,Tabla1[[#This Row],[MAYO ]]/45-1,0))</f>
        <v>0</v>
      </c>
      <c r="AJ74" s="103">
        <f>IF(Tabla1[[#This Row],[TIPO DE CONSUMIDOR]]="MEDIO",IF(Tabla1[[#This Row],[JUNIO ]]&gt;22.5,Tabla1[[#This Row],[JUNIO ]]/22.5-1,0),IF(Tabla1[[#This Row],[JUNIO ]]&gt;45,Tabla1[[#This Row],[JUNIO ]]/45-1,0))</f>
        <v>0</v>
      </c>
      <c r="AK74" s="103">
        <f>IF(Tabla1[[#This Row],[TIPO DE CONSUMIDOR]]="MEDIO",IF(Tabla1[[#This Row],[JULIO ]]&gt;22.5,Tabla1[[#This Row],[JULIO ]]/22.5-1,0),IF(Tabla1[[#This Row],[JULIO ]]&gt;45,Tabla1[[#This Row],[JULIO ]]/45-1,0))</f>
        <v>0</v>
      </c>
      <c r="AL74" s="103">
        <f>IF(Tabla1[[#This Row],[TIPO DE CONSUMIDOR]]="MEDIO",IF(Tabla1[[#This Row],[AGOSTO]]&gt;22.5,Tabla1[[#This Row],[AGOSTO]]/22.5-1,0),IF(Tabla1[[#This Row],[AGOSTO]]&gt;45,Tabla1[[#This Row],[AGOSTO]]/45-1,0))</f>
        <v>0</v>
      </c>
      <c r="AM7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4" s="104">
        <f t="shared" si="4"/>
        <v>0</v>
      </c>
      <c r="AR74" s="9">
        <f t="shared" si="3"/>
        <v>0</v>
      </c>
      <c r="AS74" s="60">
        <f>IF(Tabla1[[#This Row],[MESES DE ADEUDO DEL AÑO EN CURSO ]]&gt;0,1,0)</f>
        <v>0</v>
      </c>
      <c r="AT74" s="42"/>
      <c r="AU74" s="42"/>
      <c r="AV74" s="42"/>
      <c r="AW74" s="43"/>
    </row>
    <row r="75" spans="1:49" ht="21.75" thickBot="1" x14ac:dyDescent="0.35">
      <c r="A75" s="109">
        <v>69</v>
      </c>
      <c r="B75" s="5" t="s">
        <v>603</v>
      </c>
      <c r="C75" s="2" t="s">
        <v>493</v>
      </c>
      <c r="D75" s="32"/>
      <c r="E75" s="35" t="s">
        <v>455</v>
      </c>
      <c r="F75" s="34">
        <v>45</v>
      </c>
      <c r="G75" s="34">
        <v>45</v>
      </c>
      <c r="H75" s="34">
        <v>45</v>
      </c>
      <c r="I75" s="34">
        <v>45</v>
      </c>
      <c r="J75" s="34">
        <v>45</v>
      </c>
      <c r="K75" s="34">
        <v>45</v>
      </c>
      <c r="L75" s="34">
        <v>45</v>
      </c>
      <c r="M75" s="34">
        <v>45</v>
      </c>
      <c r="N75" s="34">
        <v>45</v>
      </c>
      <c r="O75" s="34">
        <v>45</v>
      </c>
      <c r="P75" s="34">
        <v>45</v>
      </c>
      <c r="Q75" s="34">
        <v>45</v>
      </c>
      <c r="R75" s="24">
        <f>SUM(Tabla1[[#This Row],[ENERO ]:[DICIEMBRE]])</f>
        <v>540</v>
      </c>
      <c r="W75" s="65">
        <v>0</v>
      </c>
      <c r="X75" s="21">
        <f>COUNTIF(Tabla1[[#This Row],[ENERO ]:[DICIEMBRE]],0)-(AQ75)-IF(Tabla1[[#This Row],[BAJAS]]="BAJA",IF(Tabla1[[#This Row],[ALTAS]]="ALTA",VLOOKUP(Tabla1[[#This Row],[MES DE ALTA ]],$AT$6:$AU$17,2,FALSE),12)-VLOOKUP(Tabla1[[#This Row],[MES DE BAJA ]],$AT$6:$AU$17,2,FALSE),0)</f>
        <v>0</v>
      </c>
      <c r="Y75" s="69">
        <f>SUM(Tabla1[[#This Row],[MES ADEUDO DE AÑOS PASADOS ]:[MESES DE ADEUDO DEL AÑO EN CURSO ]])</f>
        <v>0</v>
      </c>
      <c r="Z75" s="15">
        <f>IF(Tabla1[[#This Row],[TIPO DE CONSUMIDOR]]="COMPLETO",W75*$T$2,W75*($T$2/2))</f>
        <v>0</v>
      </c>
      <c r="AA75" s="15">
        <f>IF(Tabla1[[#This Row],[TIPO DE CONSUMIDOR]]="COMPLETO",Tabla1[[#This Row],[MESES DE ADEUDO DEL AÑO EN CURSO ]]*$T$2,Tabla1[[#This Row],[MESES DE ADEUDO DEL AÑO EN CURSO ]]*($T$2/2))</f>
        <v>0</v>
      </c>
      <c r="AB75" s="70">
        <f>SUM(Tabla1[[#This Row],[DEUDA DE LOS MESES PASADOS EN $$]:[DEUDA DEL AÑO 2013 $$ ]])</f>
        <v>0</v>
      </c>
      <c r="AE75" s="103">
        <f>IF(Tabla1[[#This Row],[TIPO DE CONSUMIDOR]]="MEDIO",IF(Tabla1[[#This Row],[ENERO ]]&gt;22.5,Tabla1[[#This Row],[ENERO ]]/22.5-1,0),IF(Tabla1[[#This Row],[ENERO ]]&gt;45,Tabla1[[#This Row],[ENERO ]]/45-1,0))</f>
        <v>0</v>
      </c>
      <c r="AF7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5" s="103">
        <f>IF(Tabla1[[#This Row],[TIPO DE CONSUMIDOR]]="MEDIO",IF(Tabla1[[#This Row],[MARZO]]&gt;22.5,Tabla1[[#This Row],[MARZO]]/22.5-1,0),IF(Tabla1[[#This Row],[MARZO]]&gt;45,Tabla1[[#This Row],[MARZO]]/45-1,0))</f>
        <v>0</v>
      </c>
      <c r="AH75" s="103">
        <f>IF(Tabla1[[#This Row],[TIPO DE CONSUMIDOR]]="MEDIO",IF(Tabla1[[#This Row],[ABRIL]]&gt;22.5,Tabla1[[#This Row],[ABRIL]]/22.5-1,0),IF(Tabla1[[#This Row],[ABRIL]]&gt;45,Tabla1[[#This Row],[ABRIL]]/45-1,0))</f>
        <v>0</v>
      </c>
      <c r="AI75" s="103">
        <f>IF(Tabla1[[#This Row],[TIPO DE CONSUMIDOR]]="MEDIO",IF(Tabla1[[#This Row],[MAYO ]]&gt;22.5,Tabla1[[#This Row],[MAYO ]]/22.5-1,0),IF(Tabla1[[#This Row],[MAYO ]]&gt;45,Tabla1[[#This Row],[MAYO ]]/45-1,0))</f>
        <v>0</v>
      </c>
      <c r="AJ75" s="103">
        <f>IF(Tabla1[[#This Row],[TIPO DE CONSUMIDOR]]="MEDIO",IF(Tabla1[[#This Row],[JUNIO ]]&gt;22.5,Tabla1[[#This Row],[JUNIO ]]/22.5-1,0),IF(Tabla1[[#This Row],[JUNIO ]]&gt;45,Tabla1[[#This Row],[JUNIO ]]/45-1,0))</f>
        <v>0</v>
      </c>
      <c r="AK75" s="103">
        <f>IF(Tabla1[[#This Row],[TIPO DE CONSUMIDOR]]="MEDIO",IF(Tabla1[[#This Row],[JULIO ]]&gt;22.5,Tabla1[[#This Row],[JULIO ]]/22.5-1,0),IF(Tabla1[[#This Row],[JULIO ]]&gt;45,Tabla1[[#This Row],[JULIO ]]/45-1,0))</f>
        <v>0</v>
      </c>
      <c r="AL75" s="103">
        <f>IF(Tabla1[[#This Row],[TIPO DE CONSUMIDOR]]="MEDIO",IF(Tabla1[[#This Row],[AGOSTO]]&gt;22.5,Tabla1[[#This Row],[AGOSTO]]/22.5-1,0),IF(Tabla1[[#This Row],[AGOSTO]]&gt;45,Tabla1[[#This Row],[AGOSTO]]/45-1,0))</f>
        <v>0</v>
      </c>
      <c r="AM7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5" s="104">
        <f t="shared" si="4"/>
        <v>0</v>
      </c>
      <c r="AR75" s="9">
        <f t="shared" si="3"/>
        <v>0</v>
      </c>
      <c r="AS75" s="60">
        <f>IF(Tabla1[[#This Row],[MESES DE ADEUDO DEL AÑO EN CURSO ]]&gt;0,1,0)</f>
        <v>0</v>
      </c>
      <c r="AT75" s="42"/>
      <c r="AU75" s="42"/>
      <c r="AV75" s="42"/>
      <c r="AW75" s="43"/>
    </row>
    <row r="76" spans="1:49" ht="21.75" thickBot="1" x14ac:dyDescent="0.35">
      <c r="A76" s="109">
        <v>70</v>
      </c>
      <c r="B76" s="5" t="s">
        <v>497</v>
      </c>
      <c r="C76" s="2" t="s">
        <v>493</v>
      </c>
      <c r="D76" s="32"/>
      <c r="E76" s="35" t="s">
        <v>455</v>
      </c>
      <c r="F76" s="34">
        <v>45</v>
      </c>
      <c r="G76" s="34">
        <v>45</v>
      </c>
      <c r="H76" s="34">
        <v>45</v>
      </c>
      <c r="I76" s="34">
        <v>45</v>
      </c>
      <c r="J76" s="34">
        <v>45</v>
      </c>
      <c r="K76" s="34">
        <v>45</v>
      </c>
      <c r="L76" s="34">
        <v>45</v>
      </c>
      <c r="M76" s="34">
        <v>45</v>
      </c>
      <c r="N76" s="34">
        <v>45</v>
      </c>
      <c r="O76" s="34">
        <v>45</v>
      </c>
      <c r="P76" s="34">
        <v>45</v>
      </c>
      <c r="Q76" s="34">
        <v>45</v>
      </c>
      <c r="R76" s="24">
        <f>SUM(Tabla1[[#This Row],[ENERO ]:[DICIEMBRE]])</f>
        <v>540</v>
      </c>
      <c r="W76" s="65">
        <v>0</v>
      </c>
      <c r="X76" s="21">
        <f>COUNTIF(Tabla1[[#This Row],[ENERO ]:[DICIEMBRE]],0)-(AQ76)-IF(Tabla1[[#This Row],[BAJAS]]="BAJA",IF(Tabla1[[#This Row],[ALTAS]]="ALTA",VLOOKUP(Tabla1[[#This Row],[MES DE ALTA ]],$AT$6:$AU$17,2,FALSE),12)-VLOOKUP(Tabla1[[#This Row],[MES DE BAJA ]],$AT$6:$AU$17,2,FALSE),0)</f>
        <v>0</v>
      </c>
      <c r="Y76" s="69">
        <f>SUM(Tabla1[[#This Row],[MES ADEUDO DE AÑOS PASADOS ]:[MESES DE ADEUDO DEL AÑO EN CURSO ]])</f>
        <v>0</v>
      </c>
      <c r="Z76" s="15">
        <f>IF(Tabla1[[#This Row],[TIPO DE CONSUMIDOR]]="COMPLETO",W76*$T$2,W76*($T$2/2))</f>
        <v>0</v>
      </c>
      <c r="AA76" s="15">
        <f>IF(Tabla1[[#This Row],[TIPO DE CONSUMIDOR]]="COMPLETO",Tabla1[[#This Row],[MESES DE ADEUDO DEL AÑO EN CURSO ]]*$T$2,Tabla1[[#This Row],[MESES DE ADEUDO DEL AÑO EN CURSO ]]*($T$2/2))</f>
        <v>0</v>
      </c>
      <c r="AB76" s="70">
        <f>SUM(Tabla1[[#This Row],[DEUDA DE LOS MESES PASADOS EN $$]:[DEUDA DEL AÑO 2013 $$ ]])</f>
        <v>0</v>
      </c>
      <c r="AE76" s="103">
        <f>IF(Tabla1[[#This Row],[TIPO DE CONSUMIDOR]]="MEDIO",IF(Tabla1[[#This Row],[ENERO ]]&gt;22.5,Tabla1[[#This Row],[ENERO ]]/22.5-1,0),IF(Tabla1[[#This Row],[ENERO ]]&gt;45,Tabla1[[#This Row],[ENERO ]]/45-1,0))</f>
        <v>0</v>
      </c>
      <c r="AF7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6" s="103">
        <f>IF(Tabla1[[#This Row],[TIPO DE CONSUMIDOR]]="MEDIO",IF(Tabla1[[#This Row],[MARZO]]&gt;22.5,Tabla1[[#This Row],[MARZO]]/22.5-1,0),IF(Tabla1[[#This Row],[MARZO]]&gt;45,Tabla1[[#This Row],[MARZO]]/45-1,0))</f>
        <v>0</v>
      </c>
      <c r="AH76" s="103">
        <f>IF(Tabla1[[#This Row],[TIPO DE CONSUMIDOR]]="MEDIO",IF(Tabla1[[#This Row],[ABRIL]]&gt;22.5,Tabla1[[#This Row],[ABRIL]]/22.5-1,0),IF(Tabla1[[#This Row],[ABRIL]]&gt;45,Tabla1[[#This Row],[ABRIL]]/45-1,0))</f>
        <v>0</v>
      </c>
      <c r="AI76" s="103">
        <f>IF(Tabla1[[#This Row],[TIPO DE CONSUMIDOR]]="MEDIO",IF(Tabla1[[#This Row],[MAYO ]]&gt;22.5,Tabla1[[#This Row],[MAYO ]]/22.5-1,0),IF(Tabla1[[#This Row],[MAYO ]]&gt;45,Tabla1[[#This Row],[MAYO ]]/45-1,0))</f>
        <v>0</v>
      </c>
      <c r="AJ76" s="103">
        <f>IF(Tabla1[[#This Row],[TIPO DE CONSUMIDOR]]="MEDIO",IF(Tabla1[[#This Row],[JUNIO ]]&gt;22.5,Tabla1[[#This Row],[JUNIO ]]/22.5-1,0),IF(Tabla1[[#This Row],[JUNIO ]]&gt;45,Tabla1[[#This Row],[JUNIO ]]/45-1,0))</f>
        <v>0</v>
      </c>
      <c r="AK76" s="103">
        <f>IF(Tabla1[[#This Row],[TIPO DE CONSUMIDOR]]="MEDIO",IF(Tabla1[[#This Row],[JULIO ]]&gt;22.5,Tabla1[[#This Row],[JULIO ]]/22.5-1,0),IF(Tabla1[[#This Row],[JULIO ]]&gt;45,Tabla1[[#This Row],[JULIO ]]/45-1,0))</f>
        <v>0</v>
      </c>
      <c r="AL76" s="103">
        <f>IF(Tabla1[[#This Row],[TIPO DE CONSUMIDOR]]="MEDIO",IF(Tabla1[[#This Row],[AGOSTO]]&gt;22.5,Tabla1[[#This Row],[AGOSTO]]/22.5-1,0),IF(Tabla1[[#This Row],[AGOSTO]]&gt;45,Tabla1[[#This Row],[AGOSTO]]/45-1,0))</f>
        <v>0</v>
      </c>
      <c r="AM7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6" s="104">
        <f t="shared" si="4"/>
        <v>0</v>
      </c>
      <c r="AR76" s="9">
        <f t="shared" si="3"/>
        <v>0</v>
      </c>
      <c r="AS76" s="60">
        <f>IF(Tabla1[[#This Row],[MESES DE ADEUDO DEL AÑO EN CURSO ]]&gt;0,1,0)</f>
        <v>0</v>
      </c>
      <c r="AT76" s="42"/>
      <c r="AU76" s="42"/>
      <c r="AV76" s="42"/>
      <c r="AW76" s="43"/>
    </row>
    <row r="77" spans="1:49" ht="21.75" thickBot="1" x14ac:dyDescent="0.35">
      <c r="A77" s="109">
        <v>71</v>
      </c>
      <c r="B77" s="5" t="s">
        <v>280</v>
      </c>
      <c r="C77" s="2" t="s">
        <v>499</v>
      </c>
      <c r="D77" s="32"/>
      <c r="E77" s="35" t="s">
        <v>489</v>
      </c>
      <c r="F77" s="34">
        <v>22.5</v>
      </c>
      <c r="G77" s="34">
        <v>22.5</v>
      </c>
      <c r="H77" s="34">
        <v>22.5</v>
      </c>
      <c r="I77" s="34">
        <v>22.5</v>
      </c>
      <c r="J77" s="34">
        <v>22.5</v>
      </c>
      <c r="K77" s="34">
        <v>22.5</v>
      </c>
      <c r="L77" s="34">
        <v>22.5</v>
      </c>
      <c r="M77" s="34">
        <v>22.5</v>
      </c>
      <c r="N77" s="34">
        <v>22.5</v>
      </c>
      <c r="O77" s="34">
        <v>22.5</v>
      </c>
      <c r="P77" s="34">
        <v>22.5</v>
      </c>
      <c r="Q77" s="34">
        <v>22.5</v>
      </c>
      <c r="R77" s="24">
        <f>SUM(Tabla1[[#This Row],[ENERO ]:[DICIEMBRE]])</f>
        <v>270</v>
      </c>
      <c r="W77" s="65">
        <v>0</v>
      </c>
      <c r="X77" s="21">
        <f>COUNTIF(Tabla1[[#This Row],[ENERO ]:[DICIEMBRE]],0)-(AQ77)-IF(Tabla1[[#This Row],[BAJAS]]="BAJA",IF(Tabla1[[#This Row],[ALTAS]]="ALTA",VLOOKUP(Tabla1[[#This Row],[MES DE ALTA ]],$AT$6:$AU$17,2,FALSE),12)-VLOOKUP(Tabla1[[#This Row],[MES DE BAJA ]],$AT$6:$AU$17,2,FALSE),0)</f>
        <v>0</v>
      </c>
      <c r="Y77" s="69">
        <f>SUM(Tabla1[[#This Row],[MES ADEUDO DE AÑOS PASADOS ]:[MESES DE ADEUDO DEL AÑO EN CURSO ]])</f>
        <v>0</v>
      </c>
      <c r="Z77" s="15">
        <f>IF(Tabla1[[#This Row],[TIPO DE CONSUMIDOR]]="COMPLETO",W77*$T$2,W77*($T$2/2))</f>
        <v>0</v>
      </c>
      <c r="AA77" s="15">
        <f>IF(Tabla1[[#This Row],[TIPO DE CONSUMIDOR]]="COMPLETO",Tabla1[[#This Row],[MESES DE ADEUDO DEL AÑO EN CURSO ]]*$T$2,Tabla1[[#This Row],[MESES DE ADEUDO DEL AÑO EN CURSO ]]*($T$2/2))</f>
        <v>0</v>
      </c>
      <c r="AB77" s="70">
        <f>SUM(Tabla1[[#This Row],[DEUDA DE LOS MESES PASADOS EN $$]:[DEUDA DEL AÑO 2013 $$ ]])</f>
        <v>0</v>
      </c>
      <c r="AE77" s="103">
        <f>IF(Tabla1[[#This Row],[TIPO DE CONSUMIDOR]]="MEDIO",IF(Tabla1[[#This Row],[ENERO ]]&gt;22.5,Tabla1[[#This Row],[ENERO ]]/22.5-1,0),IF(Tabla1[[#This Row],[ENERO ]]&gt;45,Tabla1[[#This Row],[ENERO ]]/45-1,0))</f>
        <v>0</v>
      </c>
      <c r="AF7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7" s="103">
        <f>IF(Tabla1[[#This Row],[TIPO DE CONSUMIDOR]]="MEDIO",IF(Tabla1[[#This Row],[MARZO]]&gt;22.5,Tabla1[[#This Row],[MARZO]]/22.5-1,0),IF(Tabla1[[#This Row],[MARZO]]&gt;45,Tabla1[[#This Row],[MARZO]]/45-1,0))</f>
        <v>0</v>
      </c>
      <c r="AH77" s="103">
        <f>IF(Tabla1[[#This Row],[TIPO DE CONSUMIDOR]]="MEDIO",IF(Tabla1[[#This Row],[ABRIL]]&gt;22.5,Tabla1[[#This Row],[ABRIL]]/22.5-1,0),IF(Tabla1[[#This Row],[ABRIL]]&gt;45,Tabla1[[#This Row],[ABRIL]]/45-1,0))</f>
        <v>0</v>
      </c>
      <c r="AI77" s="103">
        <f>IF(Tabla1[[#This Row],[TIPO DE CONSUMIDOR]]="MEDIO",IF(Tabla1[[#This Row],[MAYO ]]&gt;22.5,Tabla1[[#This Row],[MAYO ]]/22.5-1,0),IF(Tabla1[[#This Row],[MAYO ]]&gt;45,Tabla1[[#This Row],[MAYO ]]/45-1,0))</f>
        <v>0</v>
      </c>
      <c r="AJ77" s="103">
        <f>IF(Tabla1[[#This Row],[TIPO DE CONSUMIDOR]]="MEDIO",IF(Tabla1[[#This Row],[JUNIO ]]&gt;22.5,Tabla1[[#This Row],[JUNIO ]]/22.5-1,0),IF(Tabla1[[#This Row],[JUNIO ]]&gt;45,Tabla1[[#This Row],[JUNIO ]]/45-1,0))</f>
        <v>0</v>
      </c>
      <c r="AK77" s="103">
        <f>IF(Tabla1[[#This Row],[TIPO DE CONSUMIDOR]]="MEDIO",IF(Tabla1[[#This Row],[JULIO ]]&gt;22.5,Tabla1[[#This Row],[JULIO ]]/22.5-1,0),IF(Tabla1[[#This Row],[JULIO ]]&gt;45,Tabla1[[#This Row],[JULIO ]]/45-1,0))</f>
        <v>0</v>
      </c>
      <c r="AL77" s="103">
        <f>IF(Tabla1[[#This Row],[TIPO DE CONSUMIDOR]]="MEDIO",IF(Tabla1[[#This Row],[AGOSTO]]&gt;22.5,Tabla1[[#This Row],[AGOSTO]]/22.5-1,0),IF(Tabla1[[#This Row],[AGOSTO]]&gt;45,Tabla1[[#This Row],[AGOSTO]]/45-1,0))</f>
        <v>0</v>
      </c>
      <c r="AM7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7" s="104">
        <f t="shared" si="4"/>
        <v>0</v>
      </c>
      <c r="AR77" s="9">
        <f t="shared" si="3"/>
        <v>0</v>
      </c>
      <c r="AS77" s="60">
        <f>IF(Tabla1[[#This Row],[MESES DE ADEUDO DEL AÑO EN CURSO ]]&gt;0,1,0)</f>
        <v>0</v>
      </c>
      <c r="AT77" s="42"/>
      <c r="AU77" s="42"/>
      <c r="AV77" s="42"/>
      <c r="AW77" s="43"/>
    </row>
    <row r="78" spans="1:49" ht="21.75" thickBot="1" x14ac:dyDescent="0.35">
      <c r="A78" s="109">
        <v>72</v>
      </c>
      <c r="B78" s="5" t="s">
        <v>500</v>
      </c>
      <c r="C78" s="2" t="s">
        <v>501</v>
      </c>
      <c r="D78" s="32"/>
      <c r="E78" s="35" t="s">
        <v>455</v>
      </c>
      <c r="F78" s="34">
        <v>45</v>
      </c>
      <c r="G78" s="34">
        <v>45</v>
      </c>
      <c r="H78" s="34">
        <v>45</v>
      </c>
      <c r="I78" s="34">
        <v>45</v>
      </c>
      <c r="J78" s="34">
        <v>45</v>
      </c>
      <c r="K78" s="34">
        <v>45</v>
      </c>
      <c r="L78" s="34">
        <v>45</v>
      </c>
      <c r="M78" s="34">
        <v>45</v>
      </c>
      <c r="N78" s="34">
        <v>45</v>
      </c>
      <c r="O78" s="34">
        <v>45</v>
      </c>
      <c r="P78" s="34">
        <v>45</v>
      </c>
      <c r="Q78" s="34">
        <v>45</v>
      </c>
      <c r="R78" s="24">
        <f>SUM(Tabla1[[#This Row],[ENERO ]:[DICIEMBRE]])</f>
        <v>540</v>
      </c>
      <c r="W78" s="65">
        <v>0</v>
      </c>
      <c r="X78" s="21">
        <f>COUNTIF(Tabla1[[#This Row],[ENERO ]:[DICIEMBRE]],0)-(AQ78)-IF(Tabla1[[#This Row],[BAJAS]]="BAJA",IF(Tabla1[[#This Row],[ALTAS]]="ALTA",VLOOKUP(Tabla1[[#This Row],[MES DE ALTA ]],$AT$6:$AU$17,2,FALSE),12)-VLOOKUP(Tabla1[[#This Row],[MES DE BAJA ]],$AT$6:$AU$17,2,FALSE),0)</f>
        <v>0</v>
      </c>
      <c r="Y78" s="69">
        <f>SUM(Tabla1[[#This Row],[MES ADEUDO DE AÑOS PASADOS ]:[MESES DE ADEUDO DEL AÑO EN CURSO ]])</f>
        <v>0</v>
      </c>
      <c r="Z78" s="15">
        <f>IF(Tabla1[[#This Row],[TIPO DE CONSUMIDOR]]="COMPLETO",W78*$T$2,W78*($T$2/2))</f>
        <v>0</v>
      </c>
      <c r="AA78" s="15">
        <f>IF(Tabla1[[#This Row],[TIPO DE CONSUMIDOR]]="COMPLETO",Tabla1[[#This Row],[MESES DE ADEUDO DEL AÑO EN CURSO ]]*$T$2,Tabla1[[#This Row],[MESES DE ADEUDO DEL AÑO EN CURSO ]]*($T$2/2))</f>
        <v>0</v>
      </c>
      <c r="AB78" s="70">
        <f>SUM(Tabla1[[#This Row],[DEUDA DE LOS MESES PASADOS EN $$]:[DEUDA DEL AÑO 2013 $$ ]])</f>
        <v>0</v>
      </c>
      <c r="AE78" s="103">
        <f>IF(Tabla1[[#This Row],[TIPO DE CONSUMIDOR]]="MEDIO",IF(Tabla1[[#This Row],[ENERO ]]&gt;22.5,Tabla1[[#This Row],[ENERO ]]/22.5-1,0),IF(Tabla1[[#This Row],[ENERO ]]&gt;45,Tabla1[[#This Row],[ENERO ]]/45-1,0))</f>
        <v>0</v>
      </c>
      <c r="AF7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8" s="103">
        <f>IF(Tabla1[[#This Row],[TIPO DE CONSUMIDOR]]="MEDIO",IF(Tabla1[[#This Row],[MARZO]]&gt;22.5,Tabla1[[#This Row],[MARZO]]/22.5-1,0),IF(Tabla1[[#This Row],[MARZO]]&gt;45,Tabla1[[#This Row],[MARZO]]/45-1,0))</f>
        <v>0</v>
      </c>
      <c r="AH78" s="103">
        <f>IF(Tabla1[[#This Row],[TIPO DE CONSUMIDOR]]="MEDIO",IF(Tabla1[[#This Row],[ABRIL]]&gt;22.5,Tabla1[[#This Row],[ABRIL]]/22.5-1,0),IF(Tabla1[[#This Row],[ABRIL]]&gt;45,Tabla1[[#This Row],[ABRIL]]/45-1,0))</f>
        <v>0</v>
      </c>
      <c r="AI78" s="103">
        <f>IF(Tabla1[[#This Row],[TIPO DE CONSUMIDOR]]="MEDIO",IF(Tabla1[[#This Row],[MAYO ]]&gt;22.5,Tabla1[[#This Row],[MAYO ]]/22.5-1,0),IF(Tabla1[[#This Row],[MAYO ]]&gt;45,Tabla1[[#This Row],[MAYO ]]/45-1,0))</f>
        <v>0</v>
      </c>
      <c r="AJ78" s="103">
        <f>IF(Tabla1[[#This Row],[TIPO DE CONSUMIDOR]]="MEDIO",IF(Tabla1[[#This Row],[JUNIO ]]&gt;22.5,Tabla1[[#This Row],[JUNIO ]]/22.5-1,0),IF(Tabla1[[#This Row],[JUNIO ]]&gt;45,Tabla1[[#This Row],[JUNIO ]]/45-1,0))</f>
        <v>0</v>
      </c>
      <c r="AK78" s="103">
        <f>IF(Tabla1[[#This Row],[TIPO DE CONSUMIDOR]]="MEDIO",IF(Tabla1[[#This Row],[JULIO ]]&gt;22.5,Tabla1[[#This Row],[JULIO ]]/22.5-1,0),IF(Tabla1[[#This Row],[JULIO ]]&gt;45,Tabla1[[#This Row],[JULIO ]]/45-1,0))</f>
        <v>0</v>
      </c>
      <c r="AL78" s="103">
        <f>IF(Tabla1[[#This Row],[TIPO DE CONSUMIDOR]]="MEDIO",IF(Tabla1[[#This Row],[AGOSTO]]&gt;22.5,Tabla1[[#This Row],[AGOSTO]]/22.5-1,0),IF(Tabla1[[#This Row],[AGOSTO]]&gt;45,Tabla1[[#This Row],[AGOSTO]]/45-1,0))</f>
        <v>0</v>
      </c>
      <c r="AM7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8" s="104">
        <f t="shared" si="4"/>
        <v>0</v>
      </c>
      <c r="AR78" s="9">
        <f t="shared" si="3"/>
        <v>0</v>
      </c>
      <c r="AS78" s="60">
        <f>IF(Tabla1[[#This Row],[MESES DE ADEUDO DEL AÑO EN CURSO ]]&gt;0,1,0)</f>
        <v>0</v>
      </c>
      <c r="AT78" s="42"/>
      <c r="AU78" s="42"/>
      <c r="AV78" s="42"/>
      <c r="AW78" s="43"/>
    </row>
    <row r="79" spans="1:49" ht="21.75" thickBot="1" x14ac:dyDescent="0.35">
      <c r="A79" s="109">
        <v>73</v>
      </c>
      <c r="B79" s="5" t="s">
        <v>502</v>
      </c>
      <c r="C79" s="2" t="s">
        <v>501</v>
      </c>
      <c r="D79" s="32"/>
      <c r="E79" s="35" t="s">
        <v>455</v>
      </c>
      <c r="F79" s="34">
        <v>45</v>
      </c>
      <c r="G79" s="34">
        <v>45</v>
      </c>
      <c r="H79" s="34">
        <v>45</v>
      </c>
      <c r="I79" s="34">
        <v>45</v>
      </c>
      <c r="J79" s="34">
        <v>45</v>
      </c>
      <c r="K79" s="34">
        <v>45</v>
      </c>
      <c r="L79" s="34">
        <v>45</v>
      </c>
      <c r="M79" s="34">
        <v>45</v>
      </c>
      <c r="N79" s="34">
        <v>45</v>
      </c>
      <c r="O79" s="34">
        <v>45</v>
      </c>
      <c r="P79" s="34">
        <v>45</v>
      </c>
      <c r="Q79" s="34">
        <v>45</v>
      </c>
      <c r="R79" s="24">
        <f>SUM(Tabla1[[#This Row],[ENERO ]:[DICIEMBRE]])</f>
        <v>540</v>
      </c>
      <c r="W79" s="65">
        <v>0</v>
      </c>
      <c r="X79" s="21">
        <f>COUNTIF(Tabla1[[#This Row],[ENERO ]:[DICIEMBRE]],0)-(AQ79)-IF(Tabla1[[#This Row],[BAJAS]]="BAJA",IF(Tabla1[[#This Row],[ALTAS]]="ALTA",VLOOKUP(Tabla1[[#This Row],[MES DE ALTA ]],$AT$6:$AU$17,2,FALSE),12)-VLOOKUP(Tabla1[[#This Row],[MES DE BAJA ]],$AT$6:$AU$17,2,FALSE),0)</f>
        <v>0</v>
      </c>
      <c r="Y79" s="69">
        <f>SUM(Tabla1[[#This Row],[MES ADEUDO DE AÑOS PASADOS ]:[MESES DE ADEUDO DEL AÑO EN CURSO ]])</f>
        <v>0</v>
      </c>
      <c r="Z79" s="15">
        <f>IF(Tabla1[[#This Row],[TIPO DE CONSUMIDOR]]="COMPLETO",W79*$T$2,W79*($T$2/2))</f>
        <v>0</v>
      </c>
      <c r="AA79" s="15">
        <f>IF(Tabla1[[#This Row],[TIPO DE CONSUMIDOR]]="COMPLETO",Tabla1[[#This Row],[MESES DE ADEUDO DEL AÑO EN CURSO ]]*$T$2,Tabla1[[#This Row],[MESES DE ADEUDO DEL AÑO EN CURSO ]]*($T$2/2))</f>
        <v>0</v>
      </c>
      <c r="AB79" s="70">
        <f>SUM(Tabla1[[#This Row],[DEUDA DE LOS MESES PASADOS EN $$]:[DEUDA DEL AÑO 2013 $$ ]])</f>
        <v>0</v>
      </c>
      <c r="AE79" s="103">
        <f>IF(Tabla1[[#This Row],[TIPO DE CONSUMIDOR]]="MEDIO",IF(Tabla1[[#This Row],[ENERO ]]&gt;22.5,Tabla1[[#This Row],[ENERO ]]/22.5-1,0),IF(Tabla1[[#This Row],[ENERO ]]&gt;45,Tabla1[[#This Row],[ENERO ]]/45-1,0))</f>
        <v>0</v>
      </c>
      <c r="AF7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79" s="103">
        <f>IF(Tabla1[[#This Row],[TIPO DE CONSUMIDOR]]="MEDIO",IF(Tabla1[[#This Row],[MARZO]]&gt;22.5,Tabla1[[#This Row],[MARZO]]/22.5-1,0),IF(Tabla1[[#This Row],[MARZO]]&gt;45,Tabla1[[#This Row],[MARZO]]/45-1,0))</f>
        <v>0</v>
      </c>
      <c r="AH79" s="103">
        <f>IF(Tabla1[[#This Row],[TIPO DE CONSUMIDOR]]="MEDIO",IF(Tabla1[[#This Row],[ABRIL]]&gt;22.5,Tabla1[[#This Row],[ABRIL]]/22.5-1,0),IF(Tabla1[[#This Row],[ABRIL]]&gt;45,Tabla1[[#This Row],[ABRIL]]/45-1,0))</f>
        <v>0</v>
      </c>
      <c r="AI79" s="103">
        <f>IF(Tabla1[[#This Row],[TIPO DE CONSUMIDOR]]="MEDIO",IF(Tabla1[[#This Row],[MAYO ]]&gt;22.5,Tabla1[[#This Row],[MAYO ]]/22.5-1,0),IF(Tabla1[[#This Row],[MAYO ]]&gt;45,Tabla1[[#This Row],[MAYO ]]/45-1,0))</f>
        <v>0</v>
      </c>
      <c r="AJ79" s="103">
        <f>IF(Tabla1[[#This Row],[TIPO DE CONSUMIDOR]]="MEDIO",IF(Tabla1[[#This Row],[JUNIO ]]&gt;22.5,Tabla1[[#This Row],[JUNIO ]]/22.5-1,0),IF(Tabla1[[#This Row],[JUNIO ]]&gt;45,Tabla1[[#This Row],[JUNIO ]]/45-1,0))</f>
        <v>0</v>
      </c>
      <c r="AK79" s="103">
        <f>IF(Tabla1[[#This Row],[TIPO DE CONSUMIDOR]]="MEDIO",IF(Tabla1[[#This Row],[JULIO ]]&gt;22.5,Tabla1[[#This Row],[JULIO ]]/22.5-1,0),IF(Tabla1[[#This Row],[JULIO ]]&gt;45,Tabla1[[#This Row],[JULIO ]]/45-1,0))</f>
        <v>0</v>
      </c>
      <c r="AL79" s="103">
        <f>IF(Tabla1[[#This Row],[TIPO DE CONSUMIDOR]]="MEDIO",IF(Tabla1[[#This Row],[AGOSTO]]&gt;22.5,Tabla1[[#This Row],[AGOSTO]]/22.5-1,0),IF(Tabla1[[#This Row],[AGOSTO]]&gt;45,Tabla1[[#This Row],[AGOSTO]]/45-1,0))</f>
        <v>0</v>
      </c>
      <c r="AM7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7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7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7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79" s="104">
        <f t="shared" si="4"/>
        <v>0</v>
      </c>
      <c r="AR79" s="9">
        <f t="shared" si="3"/>
        <v>0</v>
      </c>
      <c r="AS79" s="60">
        <f>IF(Tabla1[[#This Row],[MESES DE ADEUDO DEL AÑO EN CURSO ]]&gt;0,1,0)</f>
        <v>0</v>
      </c>
      <c r="AT79" s="42"/>
      <c r="AU79" s="42"/>
      <c r="AV79" s="42"/>
      <c r="AW79" s="43"/>
    </row>
    <row r="80" spans="1:49" ht="21.75" thickBot="1" x14ac:dyDescent="0.35">
      <c r="A80" s="109">
        <v>74</v>
      </c>
      <c r="B80" s="5" t="s">
        <v>90</v>
      </c>
      <c r="C80" s="2" t="s">
        <v>501</v>
      </c>
      <c r="D80" s="32"/>
      <c r="E80" s="35" t="s">
        <v>455</v>
      </c>
      <c r="F80" s="34">
        <v>45</v>
      </c>
      <c r="G80" s="34">
        <v>45</v>
      </c>
      <c r="H80" s="34">
        <v>45</v>
      </c>
      <c r="I80" s="34">
        <v>45</v>
      </c>
      <c r="J80" s="34">
        <v>45</v>
      </c>
      <c r="K80" s="34">
        <v>45</v>
      </c>
      <c r="L80" s="34">
        <v>45</v>
      </c>
      <c r="M80" s="34">
        <v>45</v>
      </c>
      <c r="N80" s="34">
        <v>45</v>
      </c>
      <c r="O80" s="34">
        <v>45</v>
      </c>
      <c r="P80" s="34">
        <v>45</v>
      </c>
      <c r="Q80" s="34">
        <v>45</v>
      </c>
      <c r="R80" s="24">
        <f>SUM(Tabla1[[#This Row],[ENERO ]:[DICIEMBRE]])</f>
        <v>540</v>
      </c>
      <c r="W80" s="65">
        <v>0</v>
      </c>
      <c r="X80" s="21">
        <f>COUNTIF(Tabla1[[#This Row],[ENERO ]:[DICIEMBRE]],0)-(AQ80)-IF(Tabla1[[#This Row],[BAJAS]]="BAJA",IF(Tabla1[[#This Row],[ALTAS]]="ALTA",VLOOKUP(Tabla1[[#This Row],[MES DE ALTA ]],$AT$6:$AU$17,2,FALSE),12)-VLOOKUP(Tabla1[[#This Row],[MES DE BAJA ]],$AT$6:$AU$17,2,FALSE),0)</f>
        <v>0</v>
      </c>
      <c r="Y80" s="69">
        <f>SUM(Tabla1[[#This Row],[MES ADEUDO DE AÑOS PASADOS ]:[MESES DE ADEUDO DEL AÑO EN CURSO ]])</f>
        <v>0</v>
      </c>
      <c r="Z80" s="15">
        <f>IF(Tabla1[[#This Row],[TIPO DE CONSUMIDOR]]="COMPLETO",W80*$T$2,W80*($T$2/2))</f>
        <v>0</v>
      </c>
      <c r="AA80" s="15">
        <f>IF(Tabla1[[#This Row],[TIPO DE CONSUMIDOR]]="COMPLETO",Tabla1[[#This Row],[MESES DE ADEUDO DEL AÑO EN CURSO ]]*$T$2,Tabla1[[#This Row],[MESES DE ADEUDO DEL AÑO EN CURSO ]]*($T$2/2))</f>
        <v>0</v>
      </c>
      <c r="AB80" s="70">
        <f>SUM(Tabla1[[#This Row],[DEUDA DE LOS MESES PASADOS EN $$]:[DEUDA DEL AÑO 2013 $$ ]])</f>
        <v>0</v>
      </c>
      <c r="AE80" s="103">
        <f>IF(Tabla1[[#This Row],[TIPO DE CONSUMIDOR]]="MEDIO",IF(Tabla1[[#This Row],[ENERO ]]&gt;22.5,Tabla1[[#This Row],[ENERO ]]/22.5-1,0),IF(Tabla1[[#This Row],[ENERO ]]&gt;45,Tabla1[[#This Row],[ENERO ]]/45-1,0))</f>
        <v>0</v>
      </c>
      <c r="AF8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0" s="103">
        <f>IF(Tabla1[[#This Row],[TIPO DE CONSUMIDOR]]="MEDIO",IF(Tabla1[[#This Row],[MARZO]]&gt;22.5,Tabla1[[#This Row],[MARZO]]/22.5-1,0),IF(Tabla1[[#This Row],[MARZO]]&gt;45,Tabla1[[#This Row],[MARZO]]/45-1,0))</f>
        <v>0</v>
      </c>
      <c r="AH80" s="103">
        <f>IF(Tabla1[[#This Row],[TIPO DE CONSUMIDOR]]="MEDIO",IF(Tabla1[[#This Row],[ABRIL]]&gt;22.5,Tabla1[[#This Row],[ABRIL]]/22.5-1,0),IF(Tabla1[[#This Row],[ABRIL]]&gt;45,Tabla1[[#This Row],[ABRIL]]/45-1,0))</f>
        <v>0</v>
      </c>
      <c r="AI80" s="103">
        <f>IF(Tabla1[[#This Row],[TIPO DE CONSUMIDOR]]="MEDIO",IF(Tabla1[[#This Row],[MAYO ]]&gt;22.5,Tabla1[[#This Row],[MAYO ]]/22.5-1,0),IF(Tabla1[[#This Row],[MAYO ]]&gt;45,Tabla1[[#This Row],[MAYO ]]/45-1,0))</f>
        <v>0</v>
      </c>
      <c r="AJ80" s="103">
        <f>IF(Tabla1[[#This Row],[TIPO DE CONSUMIDOR]]="MEDIO",IF(Tabla1[[#This Row],[JUNIO ]]&gt;22.5,Tabla1[[#This Row],[JUNIO ]]/22.5-1,0),IF(Tabla1[[#This Row],[JUNIO ]]&gt;45,Tabla1[[#This Row],[JUNIO ]]/45-1,0))</f>
        <v>0</v>
      </c>
      <c r="AK80" s="103">
        <f>IF(Tabla1[[#This Row],[TIPO DE CONSUMIDOR]]="MEDIO",IF(Tabla1[[#This Row],[JULIO ]]&gt;22.5,Tabla1[[#This Row],[JULIO ]]/22.5-1,0),IF(Tabla1[[#This Row],[JULIO ]]&gt;45,Tabla1[[#This Row],[JULIO ]]/45-1,0))</f>
        <v>0</v>
      </c>
      <c r="AL80" s="103">
        <f>IF(Tabla1[[#This Row],[TIPO DE CONSUMIDOR]]="MEDIO",IF(Tabla1[[#This Row],[AGOSTO]]&gt;22.5,Tabla1[[#This Row],[AGOSTO]]/22.5-1,0),IF(Tabla1[[#This Row],[AGOSTO]]&gt;45,Tabla1[[#This Row],[AGOSTO]]/45-1,0))</f>
        <v>0</v>
      </c>
      <c r="AM8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0" s="104">
        <f t="shared" si="4"/>
        <v>0</v>
      </c>
      <c r="AR80" s="9">
        <f t="shared" si="3"/>
        <v>0</v>
      </c>
      <c r="AS80" s="60">
        <f>IF(Tabla1[[#This Row],[MESES DE ADEUDO DEL AÑO EN CURSO ]]&gt;0,1,0)</f>
        <v>0</v>
      </c>
      <c r="AT80" s="42"/>
      <c r="AU80" s="42"/>
      <c r="AV80" s="42"/>
      <c r="AW80" s="43"/>
    </row>
    <row r="81" spans="1:49" ht="21.75" thickBot="1" x14ac:dyDescent="0.35">
      <c r="A81" s="109">
        <v>75</v>
      </c>
      <c r="B81" s="5" t="s">
        <v>244</v>
      </c>
      <c r="C81" s="2" t="s">
        <v>501</v>
      </c>
      <c r="D81" s="32"/>
      <c r="E81" s="35" t="s">
        <v>455</v>
      </c>
      <c r="F81" s="34">
        <v>45</v>
      </c>
      <c r="G81" s="34">
        <v>45</v>
      </c>
      <c r="H81" s="34">
        <v>45</v>
      </c>
      <c r="I81" s="34">
        <v>45</v>
      </c>
      <c r="J81" s="34">
        <v>45</v>
      </c>
      <c r="K81" s="34">
        <v>45</v>
      </c>
      <c r="L81" s="34">
        <v>45</v>
      </c>
      <c r="M81" s="34">
        <v>45</v>
      </c>
      <c r="N81" s="34">
        <v>45</v>
      </c>
      <c r="O81" s="34">
        <v>45</v>
      </c>
      <c r="P81" s="34">
        <v>45</v>
      </c>
      <c r="Q81" s="34">
        <v>45</v>
      </c>
      <c r="R81" s="24">
        <f>SUM(Tabla1[[#This Row],[ENERO ]:[DICIEMBRE]])</f>
        <v>540</v>
      </c>
      <c r="W81" s="65">
        <v>0</v>
      </c>
      <c r="X81" s="21">
        <f>COUNTIF(Tabla1[[#This Row],[ENERO ]:[DICIEMBRE]],0)-(AQ81)-IF(Tabla1[[#This Row],[BAJAS]]="BAJA",IF(Tabla1[[#This Row],[ALTAS]]="ALTA",VLOOKUP(Tabla1[[#This Row],[MES DE ALTA ]],$AT$6:$AU$17,2,FALSE),12)-VLOOKUP(Tabla1[[#This Row],[MES DE BAJA ]],$AT$6:$AU$17,2,FALSE),0)</f>
        <v>0</v>
      </c>
      <c r="Y81" s="69">
        <f>SUM(Tabla1[[#This Row],[MES ADEUDO DE AÑOS PASADOS ]:[MESES DE ADEUDO DEL AÑO EN CURSO ]])</f>
        <v>0</v>
      </c>
      <c r="Z81" s="15">
        <f>IF(Tabla1[[#This Row],[TIPO DE CONSUMIDOR]]="COMPLETO",W81*$T$2,W81*($T$2/2))</f>
        <v>0</v>
      </c>
      <c r="AA81" s="15">
        <f>IF(Tabla1[[#This Row],[TIPO DE CONSUMIDOR]]="COMPLETO",Tabla1[[#This Row],[MESES DE ADEUDO DEL AÑO EN CURSO ]]*$T$2,Tabla1[[#This Row],[MESES DE ADEUDO DEL AÑO EN CURSO ]]*($T$2/2))</f>
        <v>0</v>
      </c>
      <c r="AB81" s="70">
        <f>SUM(Tabla1[[#This Row],[DEUDA DE LOS MESES PASADOS EN $$]:[DEUDA DEL AÑO 2013 $$ ]])</f>
        <v>0</v>
      </c>
      <c r="AE81" s="103">
        <f>IF(Tabla1[[#This Row],[TIPO DE CONSUMIDOR]]="MEDIO",IF(Tabla1[[#This Row],[ENERO ]]&gt;22.5,Tabla1[[#This Row],[ENERO ]]/22.5-1,0),IF(Tabla1[[#This Row],[ENERO ]]&gt;45,Tabla1[[#This Row],[ENERO ]]/45-1,0))</f>
        <v>0</v>
      </c>
      <c r="AF8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1" s="103">
        <f>IF(Tabla1[[#This Row],[TIPO DE CONSUMIDOR]]="MEDIO",IF(Tabla1[[#This Row],[MARZO]]&gt;22.5,Tabla1[[#This Row],[MARZO]]/22.5-1,0),IF(Tabla1[[#This Row],[MARZO]]&gt;45,Tabla1[[#This Row],[MARZO]]/45-1,0))</f>
        <v>0</v>
      </c>
      <c r="AH81" s="103">
        <f>IF(Tabla1[[#This Row],[TIPO DE CONSUMIDOR]]="MEDIO",IF(Tabla1[[#This Row],[ABRIL]]&gt;22.5,Tabla1[[#This Row],[ABRIL]]/22.5-1,0),IF(Tabla1[[#This Row],[ABRIL]]&gt;45,Tabla1[[#This Row],[ABRIL]]/45-1,0))</f>
        <v>0</v>
      </c>
      <c r="AI81" s="103">
        <f>IF(Tabla1[[#This Row],[TIPO DE CONSUMIDOR]]="MEDIO",IF(Tabla1[[#This Row],[MAYO ]]&gt;22.5,Tabla1[[#This Row],[MAYO ]]/22.5-1,0),IF(Tabla1[[#This Row],[MAYO ]]&gt;45,Tabla1[[#This Row],[MAYO ]]/45-1,0))</f>
        <v>0</v>
      </c>
      <c r="AJ81" s="103">
        <f>IF(Tabla1[[#This Row],[TIPO DE CONSUMIDOR]]="MEDIO",IF(Tabla1[[#This Row],[JUNIO ]]&gt;22.5,Tabla1[[#This Row],[JUNIO ]]/22.5-1,0),IF(Tabla1[[#This Row],[JUNIO ]]&gt;45,Tabla1[[#This Row],[JUNIO ]]/45-1,0))</f>
        <v>0</v>
      </c>
      <c r="AK81" s="103">
        <f>IF(Tabla1[[#This Row],[TIPO DE CONSUMIDOR]]="MEDIO",IF(Tabla1[[#This Row],[JULIO ]]&gt;22.5,Tabla1[[#This Row],[JULIO ]]/22.5-1,0),IF(Tabla1[[#This Row],[JULIO ]]&gt;45,Tabla1[[#This Row],[JULIO ]]/45-1,0))</f>
        <v>0</v>
      </c>
      <c r="AL81" s="103">
        <f>IF(Tabla1[[#This Row],[TIPO DE CONSUMIDOR]]="MEDIO",IF(Tabla1[[#This Row],[AGOSTO]]&gt;22.5,Tabla1[[#This Row],[AGOSTO]]/22.5-1,0),IF(Tabla1[[#This Row],[AGOSTO]]&gt;45,Tabla1[[#This Row],[AGOSTO]]/45-1,0))</f>
        <v>0</v>
      </c>
      <c r="AM8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1" s="104">
        <f t="shared" si="4"/>
        <v>0</v>
      </c>
      <c r="AR81" s="9">
        <f t="shared" si="3"/>
        <v>0</v>
      </c>
      <c r="AS81" s="60">
        <f>IF(Tabla1[[#This Row],[MESES DE ADEUDO DEL AÑO EN CURSO ]]&gt;0,1,0)</f>
        <v>0</v>
      </c>
      <c r="AT81" s="42"/>
      <c r="AU81" s="42"/>
      <c r="AV81" s="42"/>
      <c r="AW81" s="43"/>
    </row>
    <row r="82" spans="1:49" ht="21.75" thickBot="1" x14ac:dyDescent="0.35">
      <c r="A82" s="109">
        <v>76</v>
      </c>
      <c r="B82" s="5" t="s">
        <v>353</v>
      </c>
      <c r="C82" s="2" t="s">
        <v>501</v>
      </c>
      <c r="D82" s="32"/>
      <c r="E82" s="35" t="s">
        <v>455</v>
      </c>
      <c r="F82" s="34">
        <v>45</v>
      </c>
      <c r="G82" s="34">
        <v>45</v>
      </c>
      <c r="H82" s="34">
        <v>45</v>
      </c>
      <c r="I82" s="34">
        <v>45</v>
      </c>
      <c r="J82" s="34">
        <v>45</v>
      </c>
      <c r="K82" s="34">
        <v>45</v>
      </c>
      <c r="L82" s="34">
        <v>45</v>
      </c>
      <c r="M82" s="34">
        <v>45</v>
      </c>
      <c r="N82" s="34">
        <v>45</v>
      </c>
      <c r="O82" s="34">
        <v>45</v>
      </c>
      <c r="P82" s="34">
        <v>45</v>
      </c>
      <c r="Q82" s="34">
        <v>45</v>
      </c>
      <c r="R82" s="24">
        <f>SUM(Tabla1[[#This Row],[ENERO ]:[DICIEMBRE]])</f>
        <v>540</v>
      </c>
      <c r="W82" s="65">
        <v>0</v>
      </c>
      <c r="X82" s="21">
        <f>COUNTIF(Tabla1[[#This Row],[ENERO ]:[DICIEMBRE]],0)-(AQ82)-IF(Tabla1[[#This Row],[BAJAS]]="BAJA",IF(Tabla1[[#This Row],[ALTAS]]="ALTA",VLOOKUP(Tabla1[[#This Row],[MES DE ALTA ]],$AT$6:$AU$17,2,FALSE),12)-VLOOKUP(Tabla1[[#This Row],[MES DE BAJA ]],$AT$6:$AU$17,2,FALSE),0)</f>
        <v>0</v>
      </c>
      <c r="Y82" s="69">
        <f>SUM(Tabla1[[#This Row],[MES ADEUDO DE AÑOS PASADOS ]:[MESES DE ADEUDO DEL AÑO EN CURSO ]])</f>
        <v>0</v>
      </c>
      <c r="Z82" s="15">
        <f>IF(Tabla1[[#This Row],[TIPO DE CONSUMIDOR]]="COMPLETO",W82*$T$2,W82*($T$2/2))</f>
        <v>0</v>
      </c>
      <c r="AA82" s="15">
        <f>IF(Tabla1[[#This Row],[TIPO DE CONSUMIDOR]]="COMPLETO",Tabla1[[#This Row],[MESES DE ADEUDO DEL AÑO EN CURSO ]]*$T$2,Tabla1[[#This Row],[MESES DE ADEUDO DEL AÑO EN CURSO ]]*($T$2/2))</f>
        <v>0</v>
      </c>
      <c r="AB82" s="70">
        <f>SUM(Tabla1[[#This Row],[DEUDA DE LOS MESES PASADOS EN $$]:[DEUDA DEL AÑO 2013 $$ ]])</f>
        <v>0</v>
      </c>
      <c r="AE82" s="103">
        <f>IF(Tabla1[[#This Row],[TIPO DE CONSUMIDOR]]="MEDIO",IF(Tabla1[[#This Row],[ENERO ]]&gt;22.5,Tabla1[[#This Row],[ENERO ]]/22.5-1,0),IF(Tabla1[[#This Row],[ENERO ]]&gt;45,Tabla1[[#This Row],[ENERO ]]/45-1,0))</f>
        <v>0</v>
      </c>
      <c r="AF8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2" s="103">
        <f>IF(Tabla1[[#This Row],[TIPO DE CONSUMIDOR]]="MEDIO",IF(Tabla1[[#This Row],[MARZO]]&gt;22.5,Tabla1[[#This Row],[MARZO]]/22.5-1,0),IF(Tabla1[[#This Row],[MARZO]]&gt;45,Tabla1[[#This Row],[MARZO]]/45-1,0))</f>
        <v>0</v>
      </c>
      <c r="AH82" s="103">
        <f>IF(Tabla1[[#This Row],[TIPO DE CONSUMIDOR]]="MEDIO",IF(Tabla1[[#This Row],[ABRIL]]&gt;22.5,Tabla1[[#This Row],[ABRIL]]/22.5-1,0),IF(Tabla1[[#This Row],[ABRIL]]&gt;45,Tabla1[[#This Row],[ABRIL]]/45-1,0))</f>
        <v>0</v>
      </c>
      <c r="AI82" s="103">
        <f>IF(Tabla1[[#This Row],[TIPO DE CONSUMIDOR]]="MEDIO",IF(Tabla1[[#This Row],[MAYO ]]&gt;22.5,Tabla1[[#This Row],[MAYO ]]/22.5-1,0),IF(Tabla1[[#This Row],[MAYO ]]&gt;45,Tabla1[[#This Row],[MAYO ]]/45-1,0))</f>
        <v>0</v>
      </c>
      <c r="AJ82" s="103">
        <f>IF(Tabla1[[#This Row],[TIPO DE CONSUMIDOR]]="MEDIO",IF(Tabla1[[#This Row],[JUNIO ]]&gt;22.5,Tabla1[[#This Row],[JUNIO ]]/22.5-1,0),IF(Tabla1[[#This Row],[JUNIO ]]&gt;45,Tabla1[[#This Row],[JUNIO ]]/45-1,0))</f>
        <v>0</v>
      </c>
      <c r="AK82" s="103">
        <f>IF(Tabla1[[#This Row],[TIPO DE CONSUMIDOR]]="MEDIO",IF(Tabla1[[#This Row],[JULIO ]]&gt;22.5,Tabla1[[#This Row],[JULIO ]]/22.5-1,0),IF(Tabla1[[#This Row],[JULIO ]]&gt;45,Tabla1[[#This Row],[JULIO ]]/45-1,0))</f>
        <v>0</v>
      </c>
      <c r="AL82" s="103">
        <f>IF(Tabla1[[#This Row],[TIPO DE CONSUMIDOR]]="MEDIO",IF(Tabla1[[#This Row],[AGOSTO]]&gt;22.5,Tabla1[[#This Row],[AGOSTO]]/22.5-1,0),IF(Tabla1[[#This Row],[AGOSTO]]&gt;45,Tabla1[[#This Row],[AGOSTO]]/45-1,0))</f>
        <v>0</v>
      </c>
      <c r="AM8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2" s="104">
        <f t="shared" si="4"/>
        <v>0</v>
      </c>
      <c r="AR82" s="9">
        <f t="shared" si="3"/>
        <v>0</v>
      </c>
      <c r="AS82" s="60">
        <f>IF(Tabla1[[#This Row],[MESES DE ADEUDO DEL AÑO EN CURSO ]]&gt;0,1,0)</f>
        <v>0</v>
      </c>
      <c r="AT82" s="42"/>
      <c r="AU82" s="42"/>
      <c r="AV82" s="42"/>
      <c r="AW82" s="43"/>
    </row>
    <row r="83" spans="1:49" ht="21.75" thickBot="1" x14ac:dyDescent="0.35">
      <c r="A83" s="109">
        <v>77</v>
      </c>
      <c r="B83" s="5" t="s">
        <v>505</v>
      </c>
      <c r="C83" s="2" t="s">
        <v>504</v>
      </c>
      <c r="D83" s="32"/>
      <c r="E83" s="35" t="s">
        <v>455</v>
      </c>
      <c r="F83" s="34">
        <v>45</v>
      </c>
      <c r="G83" s="34">
        <v>45</v>
      </c>
      <c r="H83" s="34">
        <v>45</v>
      </c>
      <c r="I83" s="34">
        <v>45</v>
      </c>
      <c r="J83" s="34">
        <v>45</v>
      </c>
      <c r="K83" s="34">
        <v>45</v>
      </c>
      <c r="L83" s="34">
        <v>45</v>
      </c>
      <c r="M83" s="34">
        <v>45</v>
      </c>
      <c r="N83" s="34">
        <v>45</v>
      </c>
      <c r="O83" s="34">
        <v>45</v>
      </c>
      <c r="P83" s="34">
        <v>45</v>
      </c>
      <c r="Q83" s="34">
        <v>45</v>
      </c>
      <c r="R83" s="24">
        <f>SUM(Tabla1[[#This Row],[ENERO ]:[DICIEMBRE]])</f>
        <v>540</v>
      </c>
      <c r="W83" s="65">
        <v>0</v>
      </c>
      <c r="X83" s="21">
        <f>COUNTIF(Tabla1[[#This Row],[ENERO ]:[DICIEMBRE]],0)-(AQ83)-IF(Tabla1[[#This Row],[BAJAS]]="BAJA",IF(Tabla1[[#This Row],[ALTAS]]="ALTA",VLOOKUP(Tabla1[[#This Row],[MES DE ALTA ]],$AT$6:$AU$17,2,FALSE),12)-VLOOKUP(Tabla1[[#This Row],[MES DE BAJA ]],$AT$6:$AU$17,2,FALSE),0)</f>
        <v>0</v>
      </c>
      <c r="Y83" s="69">
        <f>SUM(Tabla1[[#This Row],[MES ADEUDO DE AÑOS PASADOS ]:[MESES DE ADEUDO DEL AÑO EN CURSO ]])</f>
        <v>0</v>
      </c>
      <c r="Z83" s="15">
        <f>IF(Tabla1[[#This Row],[TIPO DE CONSUMIDOR]]="COMPLETO",W83*$T$2,W83*($T$2/2))</f>
        <v>0</v>
      </c>
      <c r="AA83" s="15">
        <f>IF(Tabla1[[#This Row],[TIPO DE CONSUMIDOR]]="COMPLETO",Tabla1[[#This Row],[MESES DE ADEUDO DEL AÑO EN CURSO ]]*$T$2,Tabla1[[#This Row],[MESES DE ADEUDO DEL AÑO EN CURSO ]]*($T$2/2))</f>
        <v>0</v>
      </c>
      <c r="AB83" s="70">
        <f>SUM(Tabla1[[#This Row],[DEUDA DE LOS MESES PASADOS EN $$]:[DEUDA DEL AÑO 2013 $$ ]])</f>
        <v>0</v>
      </c>
      <c r="AE83" s="103">
        <f>IF(Tabla1[[#This Row],[TIPO DE CONSUMIDOR]]="MEDIO",IF(Tabla1[[#This Row],[ENERO ]]&gt;22.5,Tabla1[[#This Row],[ENERO ]]/22.5-1,0),IF(Tabla1[[#This Row],[ENERO ]]&gt;45,Tabla1[[#This Row],[ENERO ]]/45-1,0))</f>
        <v>0</v>
      </c>
      <c r="AF8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3" s="103">
        <f>IF(Tabla1[[#This Row],[TIPO DE CONSUMIDOR]]="MEDIO",IF(Tabla1[[#This Row],[MARZO]]&gt;22.5,Tabla1[[#This Row],[MARZO]]/22.5-1,0),IF(Tabla1[[#This Row],[MARZO]]&gt;45,Tabla1[[#This Row],[MARZO]]/45-1,0))</f>
        <v>0</v>
      </c>
      <c r="AH83" s="103">
        <f>IF(Tabla1[[#This Row],[TIPO DE CONSUMIDOR]]="MEDIO",IF(Tabla1[[#This Row],[ABRIL]]&gt;22.5,Tabla1[[#This Row],[ABRIL]]/22.5-1,0),IF(Tabla1[[#This Row],[ABRIL]]&gt;45,Tabla1[[#This Row],[ABRIL]]/45-1,0))</f>
        <v>0</v>
      </c>
      <c r="AI83" s="103">
        <f>IF(Tabla1[[#This Row],[TIPO DE CONSUMIDOR]]="MEDIO",IF(Tabla1[[#This Row],[MAYO ]]&gt;22.5,Tabla1[[#This Row],[MAYO ]]/22.5-1,0),IF(Tabla1[[#This Row],[MAYO ]]&gt;45,Tabla1[[#This Row],[MAYO ]]/45-1,0))</f>
        <v>0</v>
      </c>
      <c r="AJ83" s="103">
        <f>IF(Tabla1[[#This Row],[TIPO DE CONSUMIDOR]]="MEDIO",IF(Tabla1[[#This Row],[JUNIO ]]&gt;22.5,Tabla1[[#This Row],[JUNIO ]]/22.5-1,0),IF(Tabla1[[#This Row],[JUNIO ]]&gt;45,Tabla1[[#This Row],[JUNIO ]]/45-1,0))</f>
        <v>0</v>
      </c>
      <c r="AK83" s="103">
        <f>IF(Tabla1[[#This Row],[TIPO DE CONSUMIDOR]]="MEDIO",IF(Tabla1[[#This Row],[JULIO ]]&gt;22.5,Tabla1[[#This Row],[JULIO ]]/22.5-1,0),IF(Tabla1[[#This Row],[JULIO ]]&gt;45,Tabla1[[#This Row],[JULIO ]]/45-1,0))</f>
        <v>0</v>
      </c>
      <c r="AL83" s="103">
        <f>IF(Tabla1[[#This Row],[TIPO DE CONSUMIDOR]]="MEDIO",IF(Tabla1[[#This Row],[AGOSTO]]&gt;22.5,Tabla1[[#This Row],[AGOSTO]]/22.5-1,0),IF(Tabla1[[#This Row],[AGOSTO]]&gt;45,Tabla1[[#This Row],[AGOSTO]]/45-1,0))</f>
        <v>0</v>
      </c>
      <c r="AM8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3" s="104">
        <f t="shared" si="4"/>
        <v>0</v>
      </c>
      <c r="AR83" s="9">
        <f t="shared" si="3"/>
        <v>0</v>
      </c>
      <c r="AS83" s="60">
        <f>IF(Tabla1[[#This Row],[MESES DE ADEUDO DEL AÑO EN CURSO ]]&gt;0,1,0)</f>
        <v>0</v>
      </c>
      <c r="AT83" s="42"/>
      <c r="AU83" s="42"/>
      <c r="AV83" s="42"/>
      <c r="AW83" s="43"/>
    </row>
    <row r="84" spans="1:49" ht="21.75" thickBot="1" x14ac:dyDescent="0.35">
      <c r="A84" s="109">
        <v>78</v>
      </c>
      <c r="B84" s="5" t="s">
        <v>506</v>
      </c>
      <c r="C84" s="2" t="s">
        <v>504</v>
      </c>
      <c r="D84" s="32"/>
      <c r="E84" s="35" t="s">
        <v>455</v>
      </c>
      <c r="F84" s="34">
        <v>45</v>
      </c>
      <c r="G84" s="34">
        <v>45</v>
      </c>
      <c r="H84" s="34">
        <v>45</v>
      </c>
      <c r="I84" s="34">
        <v>45</v>
      </c>
      <c r="J84" s="34">
        <v>45</v>
      </c>
      <c r="K84" s="34">
        <v>45</v>
      </c>
      <c r="L84" s="34">
        <v>45</v>
      </c>
      <c r="M84" s="34">
        <v>45</v>
      </c>
      <c r="N84" s="34">
        <v>45</v>
      </c>
      <c r="O84" s="34">
        <v>45</v>
      </c>
      <c r="P84" s="34">
        <v>45</v>
      </c>
      <c r="Q84" s="34">
        <v>45</v>
      </c>
      <c r="R84" s="24">
        <f>SUM(Tabla1[[#This Row],[ENERO ]:[DICIEMBRE]])</f>
        <v>540</v>
      </c>
      <c r="W84" s="65">
        <v>0</v>
      </c>
      <c r="X84" s="21">
        <f>COUNTIF(Tabla1[[#This Row],[ENERO ]:[DICIEMBRE]],0)-(AQ84)-IF(Tabla1[[#This Row],[BAJAS]]="BAJA",IF(Tabla1[[#This Row],[ALTAS]]="ALTA",VLOOKUP(Tabla1[[#This Row],[MES DE ALTA ]],$AT$6:$AU$17,2,FALSE),12)-VLOOKUP(Tabla1[[#This Row],[MES DE BAJA ]],$AT$6:$AU$17,2,FALSE),0)</f>
        <v>0</v>
      </c>
      <c r="Y84" s="69">
        <f>SUM(Tabla1[[#This Row],[MES ADEUDO DE AÑOS PASADOS ]:[MESES DE ADEUDO DEL AÑO EN CURSO ]])</f>
        <v>0</v>
      </c>
      <c r="Z84" s="15">
        <f>IF(Tabla1[[#This Row],[TIPO DE CONSUMIDOR]]="COMPLETO",W84*$T$2,W84*($T$2/2))</f>
        <v>0</v>
      </c>
      <c r="AA84" s="15">
        <f>IF(Tabla1[[#This Row],[TIPO DE CONSUMIDOR]]="COMPLETO",Tabla1[[#This Row],[MESES DE ADEUDO DEL AÑO EN CURSO ]]*$T$2,Tabla1[[#This Row],[MESES DE ADEUDO DEL AÑO EN CURSO ]]*($T$2/2))</f>
        <v>0</v>
      </c>
      <c r="AB84" s="70">
        <f>SUM(Tabla1[[#This Row],[DEUDA DE LOS MESES PASADOS EN $$]:[DEUDA DEL AÑO 2013 $$ ]])</f>
        <v>0</v>
      </c>
      <c r="AE84" s="103">
        <f>IF(Tabla1[[#This Row],[TIPO DE CONSUMIDOR]]="MEDIO",IF(Tabla1[[#This Row],[ENERO ]]&gt;22.5,Tabla1[[#This Row],[ENERO ]]/22.5-1,0),IF(Tabla1[[#This Row],[ENERO ]]&gt;45,Tabla1[[#This Row],[ENERO ]]/45-1,0))</f>
        <v>0</v>
      </c>
      <c r="AF8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4" s="103">
        <f>IF(Tabla1[[#This Row],[TIPO DE CONSUMIDOR]]="MEDIO",IF(Tabla1[[#This Row],[MARZO]]&gt;22.5,Tabla1[[#This Row],[MARZO]]/22.5-1,0),IF(Tabla1[[#This Row],[MARZO]]&gt;45,Tabla1[[#This Row],[MARZO]]/45-1,0))</f>
        <v>0</v>
      </c>
      <c r="AH84" s="103">
        <f>IF(Tabla1[[#This Row],[TIPO DE CONSUMIDOR]]="MEDIO",IF(Tabla1[[#This Row],[ABRIL]]&gt;22.5,Tabla1[[#This Row],[ABRIL]]/22.5-1,0),IF(Tabla1[[#This Row],[ABRIL]]&gt;45,Tabla1[[#This Row],[ABRIL]]/45-1,0))</f>
        <v>0</v>
      </c>
      <c r="AI84" s="103">
        <f>IF(Tabla1[[#This Row],[TIPO DE CONSUMIDOR]]="MEDIO",IF(Tabla1[[#This Row],[MAYO ]]&gt;22.5,Tabla1[[#This Row],[MAYO ]]/22.5-1,0),IF(Tabla1[[#This Row],[MAYO ]]&gt;45,Tabla1[[#This Row],[MAYO ]]/45-1,0))</f>
        <v>0</v>
      </c>
      <c r="AJ84" s="103">
        <f>IF(Tabla1[[#This Row],[TIPO DE CONSUMIDOR]]="MEDIO",IF(Tabla1[[#This Row],[JUNIO ]]&gt;22.5,Tabla1[[#This Row],[JUNIO ]]/22.5-1,0),IF(Tabla1[[#This Row],[JUNIO ]]&gt;45,Tabla1[[#This Row],[JUNIO ]]/45-1,0))</f>
        <v>0</v>
      </c>
      <c r="AK84" s="103">
        <f>IF(Tabla1[[#This Row],[TIPO DE CONSUMIDOR]]="MEDIO",IF(Tabla1[[#This Row],[JULIO ]]&gt;22.5,Tabla1[[#This Row],[JULIO ]]/22.5-1,0),IF(Tabla1[[#This Row],[JULIO ]]&gt;45,Tabla1[[#This Row],[JULIO ]]/45-1,0))</f>
        <v>0</v>
      </c>
      <c r="AL84" s="103">
        <f>IF(Tabla1[[#This Row],[TIPO DE CONSUMIDOR]]="MEDIO",IF(Tabla1[[#This Row],[AGOSTO]]&gt;22.5,Tabla1[[#This Row],[AGOSTO]]/22.5-1,0),IF(Tabla1[[#This Row],[AGOSTO]]&gt;45,Tabla1[[#This Row],[AGOSTO]]/45-1,0))</f>
        <v>0</v>
      </c>
      <c r="AM8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4" s="104">
        <f t="shared" si="4"/>
        <v>0</v>
      </c>
      <c r="AR84" s="9">
        <f t="shared" si="3"/>
        <v>0</v>
      </c>
      <c r="AS84" s="60">
        <f>IF(Tabla1[[#This Row],[MESES DE ADEUDO DEL AÑO EN CURSO ]]&gt;0,1,0)</f>
        <v>0</v>
      </c>
      <c r="AT84" s="42"/>
      <c r="AU84" s="42"/>
      <c r="AV84" s="42"/>
      <c r="AW84" s="43"/>
    </row>
    <row r="85" spans="1:49" ht="21.75" thickBot="1" x14ac:dyDescent="0.35">
      <c r="A85" s="109">
        <v>79</v>
      </c>
      <c r="B85" s="5" t="s">
        <v>176</v>
      </c>
      <c r="C85" s="2" t="s">
        <v>504</v>
      </c>
      <c r="D85" s="32"/>
      <c r="E85" s="35" t="s">
        <v>455</v>
      </c>
      <c r="F85" s="34">
        <v>45</v>
      </c>
      <c r="G85" s="34">
        <v>45</v>
      </c>
      <c r="H85" s="34">
        <v>45</v>
      </c>
      <c r="I85" s="34">
        <v>45</v>
      </c>
      <c r="J85" s="34">
        <v>45</v>
      </c>
      <c r="K85" s="34">
        <v>45</v>
      </c>
      <c r="L85" s="34">
        <v>45</v>
      </c>
      <c r="M85" s="34">
        <v>45</v>
      </c>
      <c r="N85" s="34">
        <v>45</v>
      </c>
      <c r="O85" s="34">
        <v>45</v>
      </c>
      <c r="P85" s="34">
        <v>45</v>
      </c>
      <c r="Q85" s="34">
        <v>45</v>
      </c>
      <c r="R85" s="24">
        <f>SUM(Tabla1[[#This Row],[ENERO ]:[DICIEMBRE]])</f>
        <v>540</v>
      </c>
      <c r="W85" s="65">
        <v>0</v>
      </c>
      <c r="X85" s="21">
        <f>COUNTIF(Tabla1[[#This Row],[ENERO ]:[DICIEMBRE]],0)-(AQ85)-IF(Tabla1[[#This Row],[BAJAS]]="BAJA",IF(Tabla1[[#This Row],[ALTAS]]="ALTA",VLOOKUP(Tabla1[[#This Row],[MES DE ALTA ]],$AT$6:$AU$17,2,FALSE),12)-VLOOKUP(Tabla1[[#This Row],[MES DE BAJA ]],$AT$6:$AU$17,2,FALSE),0)</f>
        <v>0</v>
      </c>
      <c r="Y85" s="69">
        <f>SUM(Tabla1[[#This Row],[MES ADEUDO DE AÑOS PASADOS ]:[MESES DE ADEUDO DEL AÑO EN CURSO ]])</f>
        <v>0</v>
      </c>
      <c r="Z85" s="15">
        <f>IF(Tabla1[[#This Row],[TIPO DE CONSUMIDOR]]="COMPLETO",W85*$T$2,W85*($T$2/2))</f>
        <v>0</v>
      </c>
      <c r="AA85" s="15">
        <f>IF(Tabla1[[#This Row],[TIPO DE CONSUMIDOR]]="COMPLETO",Tabla1[[#This Row],[MESES DE ADEUDO DEL AÑO EN CURSO ]]*$T$2,Tabla1[[#This Row],[MESES DE ADEUDO DEL AÑO EN CURSO ]]*($T$2/2))</f>
        <v>0</v>
      </c>
      <c r="AB85" s="70">
        <f>SUM(Tabla1[[#This Row],[DEUDA DE LOS MESES PASADOS EN $$]:[DEUDA DEL AÑO 2013 $$ ]])</f>
        <v>0</v>
      </c>
      <c r="AE85" s="103">
        <f>IF(Tabla1[[#This Row],[TIPO DE CONSUMIDOR]]="MEDIO",IF(Tabla1[[#This Row],[ENERO ]]&gt;22.5,Tabla1[[#This Row],[ENERO ]]/22.5-1,0),IF(Tabla1[[#This Row],[ENERO ]]&gt;45,Tabla1[[#This Row],[ENERO ]]/45-1,0))</f>
        <v>0</v>
      </c>
      <c r="AF8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5" s="103">
        <f>IF(Tabla1[[#This Row],[TIPO DE CONSUMIDOR]]="MEDIO",IF(Tabla1[[#This Row],[MARZO]]&gt;22.5,Tabla1[[#This Row],[MARZO]]/22.5-1,0),IF(Tabla1[[#This Row],[MARZO]]&gt;45,Tabla1[[#This Row],[MARZO]]/45-1,0))</f>
        <v>0</v>
      </c>
      <c r="AH85" s="103">
        <f>IF(Tabla1[[#This Row],[TIPO DE CONSUMIDOR]]="MEDIO",IF(Tabla1[[#This Row],[ABRIL]]&gt;22.5,Tabla1[[#This Row],[ABRIL]]/22.5-1,0),IF(Tabla1[[#This Row],[ABRIL]]&gt;45,Tabla1[[#This Row],[ABRIL]]/45-1,0))</f>
        <v>0</v>
      </c>
      <c r="AI85" s="103">
        <f>IF(Tabla1[[#This Row],[TIPO DE CONSUMIDOR]]="MEDIO",IF(Tabla1[[#This Row],[MAYO ]]&gt;22.5,Tabla1[[#This Row],[MAYO ]]/22.5-1,0),IF(Tabla1[[#This Row],[MAYO ]]&gt;45,Tabla1[[#This Row],[MAYO ]]/45-1,0))</f>
        <v>0</v>
      </c>
      <c r="AJ85" s="103">
        <f>IF(Tabla1[[#This Row],[TIPO DE CONSUMIDOR]]="MEDIO",IF(Tabla1[[#This Row],[JUNIO ]]&gt;22.5,Tabla1[[#This Row],[JUNIO ]]/22.5-1,0),IF(Tabla1[[#This Row],[JUNIO ]]&gt;45,Tabla1[[#This Row],[JUNIO ]]/45-1,0))</f>
        <v>0</v>
      </c>
      <c r="AK85" s="103">
        <f>IF(Tabla1[[#This Row],[TIPO DE CONSUMIDOR]]="MEDIO",IF(Tabla1[[#This Row],[JULIO ]]&gt;22.5,Tabla1[[#This Row],[JULIO ]]/22.5-1,0),IF(Tabla1[[#This Row],[JULIO ]]&gt;45,Tabla1[[#This Row],[JULIO ]]/45-1,0))</f>
        <v>0</v>
      </c>
      <c r="AL85" s="103">
        <f>IF(Tabla1[[#This Row],[TIPO DE CONSUMIDOR]]="MEDIO",IF(Tabla1[[#This Row],[AGOSTO]]&gt;22.5,Tabla1[[#This Row],[AGOSTO]]/22.5-1,0),IF(Tabla1[[#This Row],[AGOSTO]]&gt;45,Tabla1[[#This Row],[AGOSTO]]/45-1,0))</f>
        <v>0</v>
      </c>
      <c r="AM8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5" s="104">
        <f t="shared" si="4"/>
        <v>0</v>
      </c>
      <c r="AR85" s="9">
        <f t="shared" si="3"/>
        <v>0</v>
      </c>
      <c r="AS85" s="60">
        <f>IF(Tabla1[[#This Row],[MESES DE ADEUDO DEL AÑO EN CURSO ]]&gt;0,1,0)</f>
        <v>0</v>
      </c>
      <c r="AT85" s="42"/>
      <c r="AU85" s="42"/>
      <c r="AV85" s="42"/>
      <c r="AW85" s="43"/>
    </row>
    <row r="86" spans="1:49" ht="21.75" thickBot="1" x14ac:dyDescent="0.35">
      <c r="A86" s="109">
        <v>80</v>
      </c>
      <c r="B86" s="5" t="s">
        <v>173</v>
      </c>
      <c r="C86" s="2" t="s">
        <v>504</v>
      </c>
      <c r="D86" s="32"/>
      <c r="E86" s="35" t="s">
        <v>455</v>
      </c>
      <c r="F86" s="34">
        <v>45</v>
      </c>
      <c r="G86" s="34">
        <v>45</v>
      </c>
      <c r="H86" s="34">
        <v>45</v>
      </c>
      <c r="I86" s="34">
        <v>45</v>
      </c>
      <c r="J86" s="34">
        <v>45</v>
      </c>
      <c r="K86" s="34">
        <v>45</v>
      </c>
      <c r="L86" s="34">
        <v>45</v>
      </c>
      <c r="M86" s="34">
        <v>45</v>
      </c>
      <c r="N86" s="34">
        <v>45</v>
      </c>
      <c r="O86" s="34">
        <v>45</v>
      </c>
      <c r="P86" s="34">
        <v>45</v>
      </c>
      <c r="Q86" s="34">
        <v>45</v>
      </c>
      <c r="R86" s="24">
        <f>SUM(Tabla1[[#This Row],[ENERO ]:[DICIEMBRE]])</f>
        <v>540</v>
      </c>
      <c r="W86" s="65">
        <v>0</v>
      </c>
      <c r="X86" s="21">
        <f>COUNTIF(Tabla1[[#This Row],[ENERO ]:[DICIEMBRE]],0)-(AQ86)-IF(Tabla1[[#This Row],[BAJAS]]="BAJA",IF(Tabla1[[#This Row],[ALTAS]]="ALTA",VLOOKUP(Tabla1[[#This Row],[MES DE ALTA ]],$AT$6:$AU$17,2,FALSE),12)-VLOOKUP(Tabla1[[#This Row],[MES DE BAJA ]],$AT$6:$AU$17,2,FALSE),0)</f>
        <v>0</v>
      </c>
      <c r="Y86" s="69">
        <f>SUM(Tabla1[[#This Row],[MES ADEUDO DE AÑOS PASADOS ]:[MESES DE ADEUDO DEL AÑO EN CURSO ]])</f>
        <v>0</v>
      </c>
      <c r="Z86" s="15">
        <f>IF(Tabla1[[#This Row],[TIPO DE CONSUMIDOR]]="COMPLETO",W86*$T$2,W86*($T$2/2))</f>
        <v>0</v>
      </c>
      <c r="AA86" s="15">
        <f>IF(Tabla1[[#This Row],[TIPO DE CONSUMIDOR]]="COMPLETO",Tabla1[[#This Row],[MESES DE ADEUDO DEL AÑO EN CURSO ]]*$T$2,Tabla1[[#This Row],[MESES DE ADEUDO DEL AÑO EN CURSO ]]*($T$2/2))</f>
        <v>0</v>
      </c>
      <c r="AB86" s="70">
        <f>SUM(Tabla1[[#This Row],[DEUDA DE LOS MESES PASADOS EN $$]:[DEUDA DEL AÑO 2013 $$ ]])</f>
        <v>0</v>
      </c>
      <c r="AE86" s="103">
        <f>IF(Tabla1[[#This Row],[TIPO DE CONSUMIDOR]]="MEDIO",IF(Tabla1[[#This Row],[ENERO ]]&gt;22.5,Tabla1[[#This Row],[ENERO ]]/22.5-1,0),IF(Tabla1[[#This Row],[ENERO ]]&gt;45,Tabla1[[#This Row],[ENERO ]]/45-1,0))</f>
        <v>0</v>
      </c>
      <c r="AF8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6" s="103">
        <f>IF(Tabla1[[#This Row],[TIPO DE CONSUMIDOR]]="MEDIO",IF(Tabla1[[#This Row],[MARZO]]&gt;22.5,Tabla1[[#This Row],[MARZO]]/22.5-1,0),IF(Tabla1[[#This Row],[MARZO]]&gt;45,Tabla1[[#This Row],[MARZO]]/45-1,0))</f>
        <v>0</v>
      </c>
      <c r="AH86" s="103">
        <f>IF(Tabla1[[#This Row],[TIPO DE CONSUMIDOR]]="MEDIO",IF(Tabla1[[#This Row],[ABRIL]]&gt;22.5,Tabla1[[#This Row],[ABRIL]]/22.5-1,0),IF(Tabla1[[#This Row],[ABRIL]]&gt;45,Tabla1[[#This Row],[ABRIL]]/45-1,0))</f>
        <v>0</v>
      </c>
      <c r="AI86" s="103">
        <f>IF(Tabla1[[#This Row],[TIPO DE CONSUMIDOR]]="MEDIO",IF(Tabla1[[#This Row],[MAYO ]]&gt;22.5,Tabla1[[#This Row],[MAYO ]]/22.5-1,0),IF(Tabla1[[#This Row],[MAYO ]]&gt;45,Tabla1[[#This Row],[MAYO ]]/45-1,0))</f>
        <v>0</v>
      </c>
      <c r="AJ86" s="103">
        <f>IF(Tabla1[[#This Row],[TIPO DE CONSUMIDOR]]="MEDIO",IF(Tabla1[[#This Row],[JUNIO ]]&gt;22.5,Tabla1[[#This Row],[JUNIO ]]/22.5-1,0),IF(Tabla1[[#This Row],[JUNIO ]]&gt;45,Tabla1[[#This Row],[JUNIO ]]/45-1,0))</f>
        <v>0</v>
      </c>
      <c r="AK86" s="103">
        <f>IF(Tabla1[[#This Row],[TIPO DE CONSUMIDOR]]="MEDIO",IF(Tabla1[[#This Row],[JULIO ]]&gt;22.5,Tabla1[[#This Row],[JULIO ]]/22.5-1,0),IF(Tabla1[[#This Row],[JULIO ]]&gt;45,Tabla1[[#This Row],[JULIO ]]/45-1,0))</f>
        <v>0</v>
      </c>
      <c r="AL86" s="103">
        <f>IF(Tabla1[[#This Row],[TIPO DE CONSUMIDOR]]="MEDIO",IF(Tabla1[[#This Row],[AGOSTO]]&gt;22.5,Tabla1[[#This Row],[AGOSTO]]/22.5-1,0),IF(Tabla1[[#This Row],[AGOSTO]]&gt;45,Tabla1[[#This Row],[AGOSTO]]/45-1,0))</f>
        <v>0</v>
      </c>
      <c r="AM8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6" s="104">
        <f t="shared" si="4"/>
        <v>0</v>
      </c>
      <c r="AR86" s="9">
        <f t="shared" si="3"/>
        <v>0</v>
      </c>
      <c r="AS86" s="60">
        <f>IF(Tabla1[[#This Row],[MESES DE ADEUDO DEL AÑO EN CURSO ]]&gt;0,1,0)</f>
        <v>0</v>
      </c>
      <c r="AT86" s="42"/>
      <c r="AU86" s="42"/>
      <c r="AV86" s="42"/>
      <c r="AW86" s="43"/>
    </row>
    <row r="87" spans="1:49" ht="21.75" thickBot="1" x14ac:dyDescent="0.35">
      <c r="A87" s="109">
        <v>81</v>
      </c>
      <c r="B87" s="5" t="s">
        <v>311</v>
      </c>
      <c r="C87" s="2" t="s">
        <v>504</v>
      </c>
      <c r="D87" s="32"/>
      <c r="E87" s="35" t="s">
        <v>455</v>
      </c>
      <c r="F87" s="34">
        <v>45</v>
      </c>
      <c r="G87" s="34">
        <v>45</v>
      </c>
      <c r="H87" s="34">
        <v>45</v>
      </c>
      <c r="I87" s="34">
        <v>45</v>
      </c>
      <c r="J87" s="34">
        <v>45</v>
      </c>
      <c r="K87" s="34">
        <v>45</v>
      </c>
      <c r="L87" s="34">
        <v>45</v>
      </c>
      <c r="M87" s="34">
        <v>45</v>
      </c>
      <c r="N87" s="34">
        <v>45</v>
      </c>
      <c r="O87" s="34">
        <v>45</v>
      </c>
      <c r="P87" s="34">
        <v>45</v>
      </c>
      <c r="Q87" s="34">
        <v>45</v>
      </c>
      <c r="R87" s="24">
        <f>SUM(Tabla1[[#This Row],[ENERO ]:[DICIEMBRE]])</f>
        <v>540</v>
      </c>
      <c r="W87" s="65">
        <v>0</v>
      </c>
      <c r="X87" s="21">
        <f>COUNTIF(Tabla1[[#This Row],[ENERO ]:[DICIEMBRE]],0)-(AQ87)-IF(Tabla1[[#This Row],[BAJAS]]="BAJA",IF(Tabla1[[#This Row],[ALTAS]]="ALTA",VLOOKUP(Tabla1[[#This Row],[MES DE ALTA ]],$AT$6:$AU$17,2,FALSE),12)-VLOOKUP(Tabla1[[#This Row],[MES DE BAJA ]],$AT$6:$AU$17,2,FALSE),0)</f>
        <v>0</v>
      </c>
      <c r="Y87" s="69">
        <f>SUM(Tabla1[[#This Row],[MES ADEUDO DE AÑOS PASADOS ]:[MESES DE ADEUDO DEL AÑO EN CURSO ]])</f>
        <v>0</v>
      </c>
      <c r="Z87" s="15">
        <f>IF(Tabla1[[#This Row],[TIPO DE CONSUMIDOR]]="COMPLETO",W87*$T$2,W87*($T$2/2))</f>
        <v>0</v>
      </c>
      <c r="AA87" s="15">
        <f>IF(Tabla1[[#This Row],[TIPO DE CONSUMIDOR]]="COMPLETO",Tabla1[[#This Row],[MESES DE ADEUDO DEL AÑO EN CURSO ]]*$T$2,Tabla1[[#This Row],[MESES DE ADEUDO DEL AÑO EN CURSO ]]*($T$2/2))</f>
        <v>0</v>
      </c>
      <c r="AB87" s="70">
        <f>SUM(Tabla1[[#This Row],[DEUDA DE LOS MESES PASADOS EN $$]:[DEUDA DEL AÑO 2013 $$ ]])</f>
        <v>0</v>
      </c>
      <c r="AE87" s="103">
        <f>IF(Tabla1[[#This Row],[TIPO DE CONSUMIDOR]]="MEDIO",IF(Tabla1[[#This Row],[ENERO ]]&gt;22.5,Tabla1[[#This Row],[ENERO ]]/22.5-1,0),IF(Tabla1[[#This Row],[ENERO ]]&gt;45,Tabla1[[#This Row],[ENERO ]]/45-1,0))</f>
        <v>0</v>
      </c>
      <c r="AF8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7" s="103">
        <f>IF(Tabla1[[#This Row],[TIPO DE CONSUMIDOR]]="MEDIO",IF(Tabla1[[#This Row],[MARZO]]&gt;22.5,Tabla1[[#This Row],[MARZO]]/22.5-1,0),IF(Tabla1[[#This Row],[MARZO]]&gt;45,Tabla1[[#This Row],[MARZO]]/45-1,0))</f>
        <v>0</v>
      </c>
      <c r="AH87" s="103">
        <f>IF(Tabla1[[#This Row],[TIPO DE CONSUMIDOR]]="MEDIO",IF(Tabla1[[#This Row],[ABRIL]]&gt;22.5,Tabla1[[#This Row],[ABRIL]]/22.5-1,0),IF(Tabla1[[#This Row],[ABRIL]]&gt;45,Tabla1[[#This Row],[ABRIL]]/45-1,0))</f>
        <v>0</v>
      </c>
      <c r="AI87" s="103">
        <f>IF(Tabla1[[#This Row],[TIPO DE CONSUMIDOR]]="MEDIO",IF(Tabla1[[#This Row],[MAYO ]]&gt;22.5,Tabla1[[#This Row],[MAYO ]]/22.5-1,0),IF(Tabla1[[#This Row],[MAYO ]]&gt;45,Tabla1[[#This Row],[MAYO ]]/45-1,0))</f>
        <v>0</v>
      </c>
      <c r="AJ87" s="103">
        <f>IF(Tabla1[[#This Row],[TIPO DE CONSUMIDOR]]="MEDIO",IF(Tabla1[[#This Row],[JUNIO ]]&gt;22.5,Tabla1[[#This Row],[JUNIO ]]/22.5-1,0),IF(Tabla1[[#This Row],[JUNIO ]]&gt;45,Tabla1[[#This Row],[JUNIO ]]/45-1,0))</f>
        <v>0</v>
      </c>
      <c r="AK87" s="103">
        <f>IF(Tabla1[[#This Row],[TIPO DE CONSUMIDOR]]="MEDIO",IF(Tabla1[[#This Row],[JULIO ]]&gt;22.5,Tabla1[[#This Row],[JULIO ]]/22.5-1,0),IF(Tabla1[[#This Row],[JULIO ]]&gt;45,Tabla1[[#This Row],[JULIO ]]/45-1,0))</f>
        <v>0</v>
      </c>
      <c r="AL87" s="103">
        <f>IF(Tabla1[[#This Row],[TIPO DE CONSUMIDOR]]="MEDIO",IF(Tabla1[[#This Row],[AGOSTO]]&gt;22.5,Tabla1[[#This Row],[AGOSTO]]/22.5-1,0),IF(Tabla1[[#This Row],[AGOSTO]]&gt;45,Tabla1[[#This Row],[AGOSTO]]/45-1,0))</f>
        <v>0</v>
      </c>
      <c r="AM8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7" s="104">
        <f t="shared" si="4"/>
        <v>0</v>
      </c>
      <c r="AR87" s="9">
        <f t="shared" si="3"/>
        <v>0</v>
      </c>
      <c r="AS87" s="60">
        <f>IF(Tabla1[[#This Row],[MESES DE ADEUDO DEL AÑO EN CURSO ]]&gt;0,1,0)</f>
        <v>0</v>
      </c>
      <c r="AT87" s="42"/>
      <c r="AU87" s="42"/>
      <c r="AV87" s="42"/>
      <c r="AW87" s="43"/>
    </row>
    <row r="88" spans="1:49" ht="21.75" thickBot="1" x14ac:dyDescent="0.35">
      <c r="A88" s="109">
        <v>82</v>
      </c>
      <c r="B88" s="5" t="s">
        <v>509</v>
      </c>
      <c r="C88" s="2" t="s">
        <v>504</v>
      </c>
      <c r="D88" s="32"/>
      <c r="E88" s="35" t="s">
        <v>455</v>
      </c>
      <c r="F88" s="34">
        <v>45</v>
      </c>
      <c r="G88" s="34">
        <v>45</v>
      </c>
      <c r="H88" s="34">
        <v>45</v>
      </c>
      <c r="I88" s="34">
        <v>45</v>
      </c>
      <c r="J88" s="34">
        <v>45</v>
      </c>
      <c r="K88" s="34">
        <v>45</v>
      </c>
      <c r="L88" s="34">
        <v>45</v>
      </c>
      <c r="M88" s="34">
        <v>45</v>
      </c>
      <c r="N88" s="34">
        <v>45</v>
      </c>
      <c r="O88" s="34">
        <v>45</v>
      </c>
      <c r="P88" s="34">
        <v>45</v>
      </c>
      <c r="Q88" s="34">
        <v>45</v>
      </c>
      <c r="R88" s="24">
        <f>SUM(Tabla1[[#This Row],[ENERO ]:[DICIEMBRE]])</f>
        <v>540</v>
      </c>
      <c r="W88" s="65">
        <v>0</v>
      </c>
      <c r="X88" s="21">
        <f>COUNTIF(Tabla1[[#This Row],[ENERO ]:[DICIEMBRE]],0)-(AQ88)-IF(Tabla1[[#This Row],[BAJAS]]="BAJA",IF(Tabla1[[#This Row],[ALTAS]]="ALTA",VLOOKUP(Tabla1[[#This Row],[MES DE ALTA ]],$AT$6:$AU$17,2,FALSE),12)-VLOOKUP(Tabla1[[#This Row],[MES DE BAJA ]],$AT$6:$AU$17,2,FALSE),0)</f>
        <v>0</v>
      </c>
      <c r="Y88" s="69">
        <f>SUM(Tabla1[[#This Row],[MES ADEUDO DE AÑOS PASADOS ]:[MESES DE ADEUDO DEL AÑO EN CURSO ]])</f>
        <v>0</v>
      </c>
      <c r="Z88" s="15">
        <f>IF(Tabla1[[#This Row],[TIPO DE CONSUMIDOR]]="COMPLETO",W88*$T$2,W88*($T$2/2))</f>
        <v>0</v>
      </c>
      <c r="AA88" s="15">
        <f>IF(Tabla1[[#This Row],[TIPO DE CONSUMIDOR]]="COMPLETO",Tabla1[[#This Row],[MESES DE ADEUDO DEL AÑO EN CURSO ]]*$T$2,Tabla1[[#This Row],[MESES DE ADEUDO DEL AÑO EN CURSO ]]*($T$2/2))</f>
        <v>0</v>
      </c>
      <c r="AB88" s="70">
        <f>SUM(Tabla1[[#This Row],[DEUDA DE LOS MESES PASADOS EN $$]:[DEUDA DEL AÑO 2013 $$ ]])</f>
        <v>0</v>
      </c>
      <c r="AE88" s="103">
        <f>IF(Tabla1[[#This Row],[TIPO DE CONSUMIDOR]]="MEDIO",IF(Tabla1[[#This Row],[ENERO ]]&gt;22.5,Tabla1[[#This Row],[ENERO ]]/22.5-1,0),IF(Tabla1[[#This Row],[ENERO ]]&gt;45,Tabla1[[#This Row],[ENERO ]]/45-1,0))</f>
        <v>0</v>
      </c>
      <c r="AF8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8" s="103">
        <f>IF(Tabla1[[#This Row],[TIPO DE CONSUMIDOR]]="MEDIO",IF(Tabla1[[#This Row],[MARZO]]&gt;22.5,Tabla1[[#This Row],[MARZO]]/22.5-1,0),IF(Tabla1[[#This Row],[MARZO]]&gt;45,Tabla1[[#This Row],[MARZO]]/45-1,0))</f>
        <v>0</v>
      </c>
      <c r="AH88" s="103">
        <f>IF(Tabla1[[#This Row],[TIPO DE CONSUMIDOR]]="MEDIO",IF(Tabla1[[#This Row],[ABRIL]]&gt;22.5,Tabla1[[#This Row],[ABRIL]]/22.5-1,0),IF(Tabla1[[#This Row],[ABRIL]]&gt;45,Tabla1[[#This Row],[ABRIL]]/45-1,0))</f>
        <v>0</v>
      </c>
      <c r="AI88" s="103">
        <f>IF(Tabla1[[#This Row],[TIPO DE CONSUMIDOR]]="MEDIO",IF(Tabla1[[#This Row],[MAYO ]]&gt;22.5,Tabla1[[#This Row],[MAYO ]]/22.5-1,0),IF(Tabla1[[#This Row],[MAYO ]]&gt;45,Tabla1[[#This Row],[MAYO ]]/45-1,0))</f>
        <v>0</v>
      </c>
      <c r="AJ88" s="103">
        <f>IF(Tabla1[[#This Row],[TIPO DE CONSUMIDOR]]="MEDIO",IF(Tabla1[[#This Row],[JUNIO ]]&gt;22.5,Tabla1[[#This Row],[JUNIO ]]/22.5-1,0),IF(Tabla1[[#This Row],[JUNIO ]]&gt;45,Tabla1[[#This Row],[JUNIO ]]/45-1,0))</f>
        <v>0</v>
      </c>
      <c r="AK88" s="103">
        <f>IF(Tabla1[[#This Row],[TIPO DE CONSUMIDOR]]="MEDIO",IF(Tabla1[[#This Row],[JULIO ]]&gt;22.5,Tabla1[[#This Row],[JULIO ]]/22.5-1,0),IF(Tabla1[[#This Row],[JULIO ]]&gt;45,Tabla1[[#This Row],[JULIO ]]/45-1,0))</f>
        <v>0</v>
      </c>
      <c r="AL88" s="103">
        <f>IF(Tabla1[[#This Row],[TIPO DE CONSUMIDOR]]="MEDIO",IF(Tabla1[[#This Row],[AGOSTO]]&gt;22.5,Tabla1[[#This Row],[AGOSTO]]/22.5-1,0),IF(Tabla1[[#This Row],[AGOSTO]]&gt;45,Tabla1[[#This Row],[AGOSTO]]/45-1,0))</f>
        <v>0</v>
      </c>
      <c r="AM8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8" s="104">
        <f t="shared" si="4"/>
        <v>0</v>
      </c>
      <c r="AR88" s="9">
        <f t="shared" si="3"/>
        <v>0</v>
      </c>
      <c r="AS88" s="60">
        <f>IF(Tabla1[[#This Row],[MESES DE ADEUDO DEL AÑO EN CURSO ]]&gt;0,1,0)</f>
        <v>0</v>
      </c>
      <c r="AT88" s="42"/>
      <c r="AU88" s="42"/>
      <c r="AV88" s="42"/>
      <c r="AW88" s="43"/>
    </row>
    <row r="89" spans="1:49" ht="21.75" thickBot="1" x14ac:dyDescent="0.35">
      <c r="A89" s="109">
        <v>83</v>
      </c>
      <c r="B89" s="5" t="s">
        <v>379</v>
      </c>
      <c r="C89" s="2" t="s">
        <v>504</v>
      </c>
      <c r="D89" s="32"/>
      <c r="E89" s="35" t="s">
        <v>455</v>
      </c>
      <c r="F89" s="34">
        <v>45</v>
      </c>
      <c r="G89" s="34">
        <v>45</v>
      </c>
      <c r="H89" s="34">
        <v>45</v>
      </c>
      <c r="I89" s="34">
        <v>45</v>
      </c>
      <c r="J89" s="34">
        <v>45</v>
      </c>
      <c r="K89" s="34">
        <v>45</v>
      </c>
      <c r="L89" s="34">
        <v>45</v>
      </c>
      <c r="M89" s="34">
        <v>45</v>
      </c>
      <c r="N89" s="34">
        <v>45</v>
      </c>
      <c r="O89" s="34">
        <v>45</v>
      </c>
      <c r="P89" s="34">
        <v>45</v>
      </c>
      <c r="Q89" s="34">
        <v>45</v>
      </c>
      <c r="R89" s="24">
        <f>SUM(Tabla1[[#This Row],[ENERO ]:[DICIEMBRE]])</f>
        <v>540</v>
      </c>
      <c r="W89" s="65">
        <v>0</v>
      </c>
      <c r="X89" s="21">
        <f>COUNTIF(Tabla1[[#This Row],[ENERO ]:[DICIEMBRE]],0)-(AQ89)-IF(Tabla1[[#This Row],[BAJAS]]="BAJA",IF(Tabla1[[#This Row],[ALTAS]]="ALTA",VLOOKUP(Tabla1[[#This Row],[MES DE ALTA ]],$AT$6:$AU$17,2,FALSE),12)-VLOOKUP(Tabla1[[#This Row],[MES DE BAJA ]],$AT$6:$AU$17,2,FALSE),0)</f>
        <v>0</v>
      </c>
      <c r="Y89" s="69">
        <f>SUM(Tabla1[[#This Row],[MES ADEUDO DE AÑOS PASADOS ]:[MESES DE ADEUDO DEL AÑO EN CURSO ]])</f>
        <v>0</v>
      </c>
      <c r="Z89" s="15">
        <f>IF(Tabla1[[#This Row],[TIPO DE CONSUMIDOR]]="COMPLETO",W89*$T$2,W89*($T$2/2))</f>
        <v>0</v>
      </c>
      <c r="AA89" s="15">
        <f>IF(Tabla1[[#This Row],[TIPO DE CONSUMIDOR]]="COMPLETO",Tabla1[[#This Row],[MESES DE ADEUDO DEL AÑO EN CURSO ]]*$T$2,Tabla1[[#This Row],[MESES DE ADEUDO DEL AÑO EN CURSO ]]*($T$2/2))</f>
        <v>0</v>
      </c>
      <c r="AB89" s="70">
        <f>SUM(Tabla1[[#This Row],[DEUDA DE LOS MESES PASADOS EN $$]:[DEUDA DEL AÑO 2013 $$ ]])</f>
        <v>0</v>
      </c>
      <c r="AE89" s="103">
        <f>IF(Tabla1[[#This Row],[TIPO DE CONSUMIDOR]]="MEDIO",IF(Tabla1[[#This Row],[ENERO ]]&gt;22.5,Tabla1[[#This Row],[ENERO ]]/22.5-1,0),IF(Tabla1[[#This Row],[ENERO ]]&gt;45,Tabla1[[#This Row],[ENERO ]]/45-1,0))</f>
        <v>0</v>
      </c>
      <c r="AF8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89" s="103">
        <f>IF(Tabla1[[#This Row],[TIPO DE CONSUMIDOR]]="MEDIO",IF(Tabla1[[#This Row],[MARZO]]&gt;22.5,Tabla1[[#This Row],[MARZO]]/22.5-1,0),IF(Tabla1[[#This Row],[MARZO]]&gt;45,Tabla1[[#This Row],[MARZO]]/45-1,0))</f>
        <v>0</v>
      </c>
      <c r="AH89" s="103">
        <f>IF(Tabla1[[#This Row],[TIPO DE CONSUMIDOR]]="MEDIO",IF(Tabla1[[#This Row],[ABRIL]]&gt;22.5,Tabla1[[#This Row],[ABRIL]]/22.5-1,0),IF(Tabla1[[#This Row],[ABRIL]]&gt;45,Tabla1[[#This Row],[ABRIL]]/45-1,0))</f>
        <v>0</v>
      </c>
      <c r="AI89" s="103">
        <f>IF(Tabla1[[#This Row],[TIPO DE CONSUMIDOR]]="MEDIO",IF(Tabla1[[#This Row],[MAYO ]]&gt;22.5,Tabla1[[#This Row],[MAYO ]]/22.5-1,0),IF(Tabla1[[#This Row],[MAYO ]]&gt;45,Tabla1[[#This Row],[MAYO ]]/45-1,0))</f>
        <v>0</v>
      </c>
      <c r="AJ89" s="103">
        <f>IF(Tabla1[[#This Row],[TIPO DE CONSUMIDOR]]="MEDIO",IF(Tabla1[[#This Row],[JUNIO ]]&gt;22.5,Tabla1[[#This Row],[JUNIO ]]/22.5-1,0),IF(Tabla1[[#This Row],[JUNIO ]]&gt;45,Tabla1[[#This Row],[JUNIO ]]/45-1,0))</f>
        <v>0</v>
      </c>
      <c r="AK89" s="103">
        <f>IF(Tabla1[[#This Row],[TIPO DE CONSUMIDOR]]="MEDIO",IF(Tabla1[[#This Row],[JULIO ]]&gt;22.5,Tabla1[[#This Row],[JULIO ]]/22.5-1,0),IF(Tabla1[[#This Row],[JULIO ]]&gt;45,Tabla1[[#This Row],[JULIO ]]/45-1,0))</f>
        <v>0</v>
      </c>
      <c r="AL89" s="103">
        <f>IF(Tabla1[[#This Row],[TIPO DE CONSUMIDOR]]="MEDIO",IF(Tabla1[[#This Row],[AGOSTO]]&gt;22.5,Tabla1[[#This Row],[AGOSTO]]/22.5-1,0),IF(Tabla1[[#This Row],[AGOSTO]]&gt;45,Tabla1[[#This Row],[AGOSTO]]/45-1,0))</f>
        <v>0</v>
      </c>
      <c r="AM8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8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8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8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89" s="104">
        <f t="shared" si="4"/>
        <v>0</v>
      </c>
      <c r="AR89" s="9">
        <f t="shared" si="3"/>
        <v>0</v>
      </c>
      <c r="AS89" s="60">
        <f>IF(Tabla1[[#This Row],[MESES DE ADEUDO DEL AÑO EN CURSO ]]&gt;0,1,0)</f>
        <v>0</v>
      </c>
      <c r="AT89" s="42"/>
      <c r="AU89" s="42"/>
      <c r="AV89" s="42"/>
      <c r="AW89" s="43"/>
    </row>
    <row r="90" spans="1:49" ht="21.75" thickBot="1" x14ac:dyDescent="0.35">
      <c r="A90" s="109">
        <v>84</v>
      </c>
      <c r="B90" s="5" t="s">
        <v>369</v>
      </c>
      <c r="C90" s="2" t="s">
        <v>504</v>
      </c>
      <c r="D90" s="32"/>
      <c r="E90" s="35" t="s">
        <v>455</v>
      </c>
      <c r="F90" s="34">
        <v>45</v>
      </c>
      <c r="G90" s="34">
        <v>45</v>
      </c>
      <c r="H90" s="34">
        <v>45</v>
      </c>
      <c r="I90" s="34">
        <v>45</v>
      </c>
      <c r="J90" s="34">
        <v>45</v>
      </c>
      <c r="K90" s="34">
        <v>45</v>
      </c>
      <c r="L90" s="34">
        <v>45</v>
      </c>
      <c r="M90" s="34">
        <v>45</v>
      </c>
      <c r="N90" s="34">
        <v>45</v>
      </c>
      <c r="O90" s="34">
        <v>45</v>
      </c>
      <c r="P90" s="34">
        <v>45</v>
      </c>
      <c r="Q90" s="34">
        <v>45</v>
      </c>
      <c r="R90" s="24">
        <f>SUM(Tabla1[[#This Row],[ENERO ]:[DICIEMBRE]])</f>
        <v>540</v>
      </c>
      <c r="W90" s="65">
        <v>0</v>
      </c>
      <c r="X90" s="21">
        <f>COUNTIF(Tabla1[[#This Row],[ENERO ]:[DICIEMBRE]],0)-(AQ90)-IF(Tabla1[[#This Row],[BAJAS]]="BAJA",IF(Tabla1[[#This Row],[ALTAS]]="ALTA",VLOOKUP(Tabla1[[#This Row],[MES DE ALTA ]],$AT$6:$AU$17,2,FALSE),12)-VLOOKUP(Tabla1[[#This Row],[MES DE BAJA ]],$AT$6:$AU$17,2,FALSE),0)</f>
        <v>0</v>
      </c>
      <c r="Y90" s="69">
        <f>SUM(Tabla1[[#This Row],[MES ADEUDO DE AÑOS PASADOS ]:[MESES DE ADEUDO DEL AÑO EN CURSO ]])</f>
        <v>0</v>
      </c>
      <c r="Z90" s="15">
        <f>IF(Tabla1[[#This Row],[TIPO DE CONSUMIDOR]]="COMPLETO",W90*$T$2,W90*($T$2/2))</f>
        <v>0</v>
      </c>
      <c r="AA90" s="15">
        <f>IF(Tabla1[[#This Row],[TIPO DE CONSUMIDOR]]="COMPLETO",Tabla1[[#This Row],[MESES DE ADEUDO DEL AÑO EN CURSO ]]*$T$2,Tabla1[[#This Row],[MESES DE ADEUDO DEL AÑO EN CURSO ]]*($T$2/2))</f>
        <v>0</v>
      </c>
      <c r="AB90" s="70">
        <f>SUM(Tabla1[[#This Row],[DEUDA DE LOS MESES PASADOS EN $$]:[DEUDA DEL AÑO 2013 $$ ]])</f>
        <v>0</v>
      </c>
      <c r="AE90" s="103">
        <f>IF(Tabla1[[#This Row],[TIPO DE CONSUMIDOR]]="MEDIO",IF(Tabla1[[#This Row],[ENERO ]]&gt;22.5,Tabla1[[#This Row],[ENERO ]]/22.5-1,0),IF(Tabla1[[#This Row],[ENERO ]]&gt;45,Tabla1[[#This Row],[ENERO ]]/45-1,0))</f>
        <v>0</v>
      </c>
      <c r="AF9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0" s="103">
        <f>IF(Tabla1[[#This Row],[TIPO DE CONSUMIDOR]]="MEDIO",IF(Tabla1[[#This Row],[MARZO]]&gt;22.5,Tabla1[[#This Row],[MARZO]]/22.5-1,0),IF(Tabla1[[#This Row],[MARZO]]&gt;45,Tabla1[[#This Row],[MARZO]]/45-1,0))</f>
        <v>0</v>
      </c>
      <c r="AH90" s="103">
        <f>IF(Tabla1[[#This Row],[TIPO DE CONSUMIDOR]]="MEDIO",IF(Tabla1[[#This Row],[ABRIL]]&gt;22.5,Tabla1[[#This Row],[ABRIL]]/22.5-1,0),IF(Tabla1[[#This Row],[ABRIL]]&gt;45,Tabla1[[#This Row],[ABRIL]]/45-1,0))</f>
        <v>0</v>
      </c>
      <c r="AI90" s="103">
        <f>IF(Tabla1[[#This Row],[TIPO DE CONSUMIDOR]]="MEDIO",IF(Tabla1[[#This Row],[MAYO ]]&gt;22.5,Tabla1[[#This Row],[MAYO ]]/22.5-1,0),IF(Tabla1[[#This Row],[MAYO ]]&gt;45,Tabla1[[#This Row],[MAYO ]]/45-1,0))</f>
        <v>0</v>
      </c>
      <c r="AJ90" s="103">
        <f>IF(Tabla1[[#This Row],[TIPO DE CONSUMIDOR]]="MEDIO",IF(Tabla1[[#This Row],[JUNIO ]]&gt;22.5,Tabla1[[#This Row],[JUNIO ]]/22.5-1,0),IF(Tabla1[[#This Row],[JUNIO ]]&gt;45,Tabla1[[#This Row],[JUNIO ]]/45-1,0))</f>
        <v>0</v>
      </c>
      <c r="AK90" s="103">
        <f>IF(Tabla1[[#This Row],[TIPO DE CONSUMIDOR]]="MEDIO",IF(Tabla1[[#This Row],[JULIO ]]&gt;22.5,Tabla1[[#This Row],[JULIO ]]/22.5-1,0),IF(Tabla1[[#This Row],[JULIO ]]&gt;45,Tabla1[[#This Row],[JULIO ]]/45-1,0))</f>
        <v>0</v>
      </c>
      <c r="AL90" s="103">
        <f>IF(Tabla1[[#This Row],[TIPO DE CONSUMIDOR]]="MEDIO",IF(Tabla1[[#This Row],[AGOSTO]]&gt;22.5,Tabla1[[#This Row],[AGOSTO]]/22.5-1,0),IF(Tabla1[[#This Row],[AGOSTO]]&gt;45,Tabla1[[#This Row],[AGOSTO]]/45-1,0))</f>
        <v>0</v>
      </c>
      <c r="AM9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0" s="104">
        <f t="shared" si="4"/>
        <v>0</v>
      </c>
      <c r="AR90" s="9">
        <f t="shared" si="3"/>
        <v>0</v>
      </c>
      <c r="AS90" s="60">
        <f>IF(Tabla1[[#This Row],[MESES DE ADEUDO DEL AÑO EN CURSO ]]&gt;0,1,0)</f>
        <v>0</v>
      </c>
      <c r="AT90" s="42"/>
      <c r="AU90" s="42"/>
      <c r="AV90" s="42"/>
      <c r="AW90" s="43"/>
    </row>
    <row r="91" spans="1:49" ht="21.75" thickBot="1" x14ac:dyDescent="0.35">
      <c r="A91" s="109">
        <v>85</v>
      </c>
      <c r="B91" s="5" t="s">
        <v>27</v>
      </c>
      <c r="C91" s="2" t="s">
        <v>511</v>
      </c>
      <c r="D91" s="46"/>
      <c r="E91" s="36" t="s">
        <v>455</v>
      </c>
      <c r="F91" s="34">
        <v>45</v>
      </c>
      <c r="G91" s="34">
        <v>45</v>
      </c>
      <c r="H91" s="34">
        <v>45</v>
      </c>
      <c r="I91" s="34">
        <v>45</v>
      </c>
      <c r="J91" s="34">
        <v>45</v>
      </c>
      <c r="K91" s="34">
        <v>45</v>
      </c>
      <c r="L91" s="34">
        <v>45</v>
      </c>
      <c r="M91" s="34">
        <v>45</v>
      </c>
      <c r="N91" s="34">
        <v>45</v>
      </c>
      <c r="O91" s="34">
        <v>45</v>
      </c>
      <c r="P91" s="34">
        <v>45</v>
      </c>
      <c r="Q91" s="34">
        <v>45</v>
      </c>
      <c r="R91" s="24">
        <f>SUM(Tabla1[[#This Row],[ENERO ]:[DICIEMBRE]])</f>
        <v>540</v>
      </c>
      <c r="W91" s="65">
        <v>0</v>
      </c>
      <c r="X91" s="21">
        <f>COUNTIF(Tabla1[[#This Row],[ENERO ]:[DICIEMBRE]],0)-(AQ91)-IF(Tabla1[[#This Row],[BAJAS]]="BAJA",IF(Tabla1[[#This Row],[ALTAS]]="ALTA",VLOOKUP(Tabla1[[#This Row],[MES DE ALTA ]],$AT$6:$AU$17,2,FALSE),12)-VLOOKUP(Tabla1[[#This Row],[MES DE BAJA ]],$AT$6:$AU$17,2,FALSE),0)</f>
        <v>0</v>
      </c>
      <c r="Y91" s="69">
        <f>SUM(Tabla1[[#This Row],[MES ADEUDO DE AÑOS PASADOS ]:[MESES DE ADEUDO DEL AÑO EN CURSO ]])</f>
        <v>0</v>
      </c>
      <c r="Z91" s="15">
        <f>IF(Tabla1[[#This Row],[TIPO DE CONSUMIDOR]]="COMPLETO",W91*$T$2,W91*($T$2/2))</f>
        <v>0</v>
      </c>
      <c r="AA91" s="15">
        <f>IF(Tabla1[[#This Row],[TIPO DE CONSUMIDOR]]="COMPLETO",Tabla1[[#This Row],[MESES DE ADEUDO DEL AÑO EN CURSO ]]*$T$2,Tabla1[[#This Row],[MESES DE ADEUDO DEL AÑO EN CURSO ]]*($T$2/2))</f>
        <v>0</v>
      </c>
      <c r="AB91" s="70">
        <f>SUM(Tabla1[[#This Row],[DEUDA DE LOS MESES PASADOS EN $$]:[DEUDA DEL AÑO 2013 $$ ]])</f>
        <v>0</v>
      </c>
      <c r="AE91" s="103">
        <f>IF(Tabla1[[#This Row],[TIPO DE CONSUMIDOR]]="MEDIO",IF(Tabla1[[#This Row],[ENERO ]]&gt;22.5,Tabla1[[#This Row],[ENERO ]]/22.5-1,0),IF(Tabla1[[#This Row],[ENERO ]]&gt;45,Tabla1[[#This Row],[ENERO ]]/45-1,0))</f>
        <v>0</v>
      </c>
      <c r="AF9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1" s="103">
        <f>IF(Tabla1[[#This Row],[TIPO DE CONSUMIDOR]]="MEDIO",IF(Tabla1[[#This Row],[MARZO]]&gt;22.5,Tabla1[[#This Row],[MARZO]]/22.5-1,0),IF(Tabla1[[#This Row],[MARZO]]&gt;45,Tabla1[[#This Row],[MARZO]]/45-1,0))</f>
        <v>0</v>
      </c>
      <c r="AH91" s="103">
        <f>IF(Tabla1[[#This Row],[TIPO DE CONSUMIDOR]]="MEDIO",IF(Tabla1[[#This Row],[ABRIL]]&gt;22.5,Tabla1[[#This Row],[ABRIL]]/22.5-1,0),IF(Tabla1[[#This Row],[ABRIL]]&gt;45,Tabla1[[#This Row],[ABRIL]]/45-1,0))</f>
        <v>0</v>
      </c>
      <c r="AI91" s="103">
        <f>IF(Tabla1[[#This Row],[TIPO DE CONSUMIDOR]]="MEDIO",IF(Tabla1[[#This Row],[MAYO ]]&gt;22.5,Tabla1[[#This Row],[MAYO ]]/22.5-1,0),IF(Tabla1[[#This Row],[MAYO ]]&gt;45,Tabla1[[#This Row],[MAYO ]]/45-1,0))</f>
        <v>0</v>
      </c>
      <c r="AJ91" s="103">
        <f>IF(Tabla1[[#This Row],[TIPO DE CONSUMIDOR]]="MEDIO",IF(Tabla1[[#This Row],[JUNIO ]]&gt;22.5,Tabla1[[#This Row],[JUNIO ]]/22.5-1,0),IF(Tabla1[[#This Row],[JUNIO ]]&gt;45,Tabla1[[#This Row],[JUNIO ]]/45-1,0))</f>
        <v>0</v>
      </c>
      <c r="AK91" s="103">
        <f>IF(Tabla1[[#This Row],[TIPO DE CONSUMIDOR]]="MEDIO",IF(Tabla1[[#This Row],[JULIO ]]&gt;22.5,Tabla1[[#This Row],[JULIO ]]/22.5-1,0),IF(Tabla1[[#This Row],[JULIO ]]&gt;45,Tabla1[[#This Row],[JULIO ]]/45-1,0))</f>
        <v>0</v>
      </c>
      <c r="AL91" s="103">
        <f>IF(Tabla1[[#This Row],[TIPO DE CONSUMIDOR]]="MEDIO",IF(Tabla1[[#This Row],[AGOSTO]]&gt;22.5,Tabla1[[#This Row],[AGOSTO]]/22.5-1,0),IF(Tabla1[[#This Row],[AGOSTO]]&gt;45,Tabla1[[#This Row],[AGOSTO]]/45-1,0))</f>
        <v>0</v>
      </c>
      <c r="AM9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1" s="104">
        <f t="shared" si="4"/>
        <v>0</v>
      </c>
      <c r="AR91" s="9">
        <f t="shared" si="3"/>
        <v>0</v>
      </c>
      <c r="AS91" s="60">
        <f>IF(Tabla1[[#This Row],[MESES DE ADEUDO DEL AÑO EN CURSO ]]&gt;0,1,0)</f>
        <v>0</v>
      </c>
      <c r="AT91" s="42"/>
      <c r="AU91" s="42"/>
      <c r="AV91" s="42"/>
      <c r="AW91" s="43"/>
    </row>
    <row r="92" spans="1:49" ht="21.75" thickBot="1" x14ac:dyDescent="0.35">
      <c r="A92" s="109">
        <v>86</v>
      </c>
      <c r="B92" s="5" t="s">
        <v>513</v>
      </c>
      <c r="C92" s="2" t="s">
        <v>511</v>
      </c>
      <c r="D92" s="46"/>
      <c r="E92" s="36" t="s">
        <v>455</v>
      </c>
      <c r="F92" s="34">
        <v>45</v>
      </c>
      <c r="G92" s="34">
        <v>45</v>
      </c>
      <c r="H92" s="34">
        <v>45</v>
      </c>
      <c r="I92" s="34">
        <v>45</v>
      </c>
      <c r="J92" s="34">
        <v>45</v>
      </c>
      <c r="K92" s="34">
        <v>45</v>
      </c>
      <c r="L92" s="34">
        <v>45</v>
      </c>
      <c r="M92" s="34">
        <v>45</v>
      </c>
      <c r="N92" s="34">
        <v>45</v>
      </c>
      <c r="O92" s="34">
        <v>45</v>
      </c>
      <c r="P92" s="34">
        <v>45</v>
      </c>
      <c r="Q92" s="34">
        <v>45</v>
      </c>
      <c r="R92" s="24">
        <f>SUM(Tabla1[[#This Row],[ENERO ]:[DICIEMBRE]])</f>
        <v>540</v>
      </c>
      <c r="W92" s="65">
        <v>0</v>
      </c>
      <c r="X92" s="21">
        <f>COUNTIF(Tabla1[[#This Row],[ENERO ]:[DICIEMBRE]],0)-(AQ92)-IF(Tabla1[[#This Row],[BAJAS]]="BAJA",IF(Tabla1[[#This Row],[ALTAS]]="ALTA",VLOOKUP(Tabla1[[#This Row],[MES DE ALTA ]],$AT$6:$AU$17,2,FALSE),12)-VLOOKUP(Tabla1[[#This Row],[MES DE BAJA ]],$AT$6:$AU$17,2,FALSE),0)</f>
        <v>0</v>
      </c>
      <c r="Y92" s="69">
        <f>SUM(Tabla1[[#This Row],[MES ADEUDO DE AÑOS PASADOS ]:[MESES DE ADEUDO DEL AÑO EN CURSO ]])</f>
        <v>0</v>
      </c>
      <c r="Z92" s="15">
        <f>IF(Tabla1[[#This Row],[TIPO DE CONSUMIDOR]]="COMPLETO",W92*$T$2,W92*($T$2/2))</f>
        <v>0</v>
      </c>
      <c r="AA92" s="15">
        <f>IF(Tabla1[[#This Row],[TIPO DE CONSUMIDOR]]="COMPLETO",Tabla1[[#This Row],[MESES DE ADEUDO DEL AÑO EN CURSO ]]*$T$2,Tabla1[[#This Row],[MESES DE ADEUDO DEL AÑO EN CURSO ]]*($T$2/2))</f>
        <v>0</v>
      </c>
      <c r="AB92" s="70">
        <f>SUM(Tabla1[[#This Row],[DEUDA DE LOS MESES PASADOS EN $$]:[DEUDA DEL AÑO 2013 $$ ]])</f>
        <v>0</v>
      </c>
      <c r="AE92" s="103">
        <f>IF(Tabla1[[#This Row],[TIPO DE CONSUMIDOR]]="MEDIO",IF(Tabla1[[#This Row],[ENERO ]]&gt;22.5,Tabla1[[#This Row],[ENERO ]]/22.5-1,0),IF(Tabla1[[#This Row],[ENERO ]]&gt;45,Tabla1[[#This Row],[ENERO ]]/45-1,0))</f>
        <v>0</v>
      </c>
      <c r="AF9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2" s="103">
        <f>IF(Tabla1[[#This Row],[TIPO DE CONSUMIDOR]]="MEDIO",IF(Tabla1[[#This Row],[MARZO]]&gt;22.5,Tabla1[[#This Row],[MARZO]]/22.5-1,0),IF(Tabla1[[#This Row],[MARZO]]&gt;45,Tabla1[[#This Row],[MARZO]]/45-1,0))</f>
        <v>0</v>
      </c>
      <c r="AH92" s="103">
        <f>IF(Tabla1[[#This Row],[TIPO DE CONSUMIDOR]]="MEDIO",IF(Tabla1[[#This Row],[ABRIL]]&gt;22.5,Tabla1[[#This Row],[ABRIL]]/22.5-1,0),IF(Tabla1[[#This Row],[ABRIL]]&gt;45,Tabla1[[#This Row],[ABRIL]]/45-1,0))</f>
        <v>0</v>
      </c>
      <c r="AI92" s="103">
        <f>IF(Tabla1[[#This Row],[TIPO DE CONSUMIDOR]]="MEDIO",IF(Tabla1[[#This Row],[MAYO ]]&gt;22.5,Tabla1[[#This Row],[MAYO ]]/22.5-1,0),IF(Tabla1[[#This Row],[MAYO ]]&gt;45,Tabla1[[#This Row],[MAYO ]]/45-1,0))</f>
        <v>0</v>
      </c>
      <c r="AJ92" s="103">
        <f>IF(Tabla1[[#This Row],[TIPO DE CONSUMIDOR]]="MEDIO",IF(Tabla1[[#This Row],[JUNIO ]]&gt;22.5,Tabla1[[#This Row],[JUNIO ]]/22.5-1,0),IF(Tabla1[[#This Row],[JUNIO ]]&gt;45,Tabla1[[#This Row],[JUNIO ]]/45-1,0))</f>
        <v>0</v>
      </c>
      <c r="AK92" s="103">
        <f>IF(Tabla1[[#This Row],[TIPO DE CONSUMIDOR]]="MEDIO",IF(Tabla1[[#This Row],[JULIO ]]&gt;22.5,Tabla1[[#This Row],[JULIO ]]/22.5-1,0),IF(Tabla1[[#This Row],[JULIO ]]&gt;45,Tabla1[[#This Row],[JULIO ]]/45-1,0))</f>
        <v>0</v>
      </c>
      <c r="AL92" s="103">
        <f>IF(Tabla1[[#This Row],[TIPO DE CONSUMIDOR]]="MEDIO",IF(Tabla1[[#This Row],[AGOSTO]]&gt;22.5,Tabla1[[#This Row],[AGOSTO]]/22.5-1,0),IF(Tabla1[[#This Row],[AGOSTO]]&gt;45,Tabla1[[#This Row],[AGOSTO]]/45-1,0))</f>
        <v>0</v>
      </c>
      <c r="AM9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2" s="104">
        <f t="shared" si="4"/>
        <v>0</v>
      </c>
      <c r="AR92" s="9">
        <f t="shared" si="3"/>
        <v>0</v>
      </c>
      <c r="AS92" s="60">
        <f>IF(Tabla1[[#This Row],[MESES DE ADEUDO DEL AÑO EN CURSO ]]&gt;0,1,0)</f>
        <v>0</v>
      </c>
      <c r="AT92" s="42"/>
      <c r="AU92" s="42"/>
      <c r="AV92" s="42"/>
      <c r="AW92" s="43"/>
    </row>
    <row r="93" spans="1:49" ht="21.75" thickBot="1" x14ac:dyDescent="0.35">
      <c r="A93" s="109">
        <v>87</v>
      </c>
      <c r="B93" s="5" t="s">
        <v>512</v>
      </c>
      <c r="C93" s="2" t="s">
        <v>511</v>
      </c>
      <c r="D93" s="32"/>
      <c r="E93" s="35" t="s">
        <v>455</v>
      </c>
      <c r="F93" s="34">
        <v>45</v>
      </c>
      <c r="G93" s="34">
        <v>45</v>
      </c>
      <c r="H93" s="34">
        <v>45</v>
      </c>
      <c r="I93" s="34">
        <v>45</v>
      </c>
      <c r="J93" s="34">
        <v>45</v>
      </c>
      <c r="K93" s="34">
        <v>45</v>
      </c>
      <c r="L93" s="34">
        <v>45</v>
      </c>
      <c r="M93" s="34">
        <v>45</v>
      </c>
      <c r="N93" s="34">
        <v>45</v>
      </c>
      <c r="O93" s="34">
        <v>45</v>
      </c>
      <c r="P93" s="34">
        <v>45</v>
      </c>
      <c r="Q93" s="34">
        <v>45</v>
      </c>
      <c r="R93" s="24">
        <f>SUM(Tabla1[[#This Row],[ENERO ]:[DICIEMBRE]])</f>
        <v>540</v>
      </c>
      <c r="W93" s="65">
        <v>0</v>
      </c>
      <c r="X93" s="21">
        <f>COUNTIF(Tabla1[[#This Row],[ENERO ]:[DICIEMBRE]],0)-(AQ93)-IF(Tabla1[[#This Row],[BAJAS]]="BAJA",IF(Tabla1[[#This Row],[ALTAS]]="ALTA",VLOOKUP(Tabla1[[#This Row],[MES DE ALTA ]],$AT$6:$AU$17,2,FALSE),12)-VLOOKUP(Tabla1[[#This Row],[MES DE BAJA ]],$AT$6:$AU$17,2,FALSE),0)</f>
        <v>0</v>
      </c>
      <c r="Y93" s="69">
        <f>SUM(Tabla1[[#This Row],[MES ADEUDO DE AÑOS PASADOS ]:[MESES DE ADEUDO DEL AÑO EN CURSO ]])</f>
        <v>0</v>
      </c>
      <c r="Z93" s="15">
        <f>IF(Tabla1[[#This Row],[TIPO DE CONSUMIDOR]]="COMPLETO",W93*$T$2,W93*($T$2/2))</f>
        <v>0</v>
      </c>
      <c r="AA93" s="15">
        <f>IF(Tabla1[[#This Row],[TIPO DE CONSUMIDOR]]="COMPLETO",Tabla1[[#This Row],[MESES DE ADEUDO DEL AÑO EN CURSO ]]*$T$2,Tabla1[[#This Row],[MESES DE ADEUDO DEL AÑO EN CURSO ]]*($T$2/2))</f>
        <v>0</v>
      </c>
      <c r="AB93" s="70">
        <f>SUM(Tabla1[[#This Row],[DEUDA DE LOS MESES PASADOS EN $$]:[DEUDA DEL AÑO 2013 $$ ]])</f>
        <v>0</v>
      </c>
      <c r="AE93" s="103">
        <f>IF(Tabla1[[#This Row],[TIPO DE CONSUMIDOR]]="MEDIO",IF(Tabla1[[#This Row],[ENERO ]]&gt;22.5,Tabla1[[#This Row],[ENERO ]]/22.5-1,0),IF(Tabla1[[#This Row],[ENERO ]]&gt;45,Tabla1[[#This Row],[ENERO ]]/45-1,0))</f>
        <v>0</v>
      </c>
      <c r="AF9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3" s="103">
        <f>IF(Tabla1[[#This Row],[TIPO DE CONSUMIDOR]]="MEDIO",IF(Tabla1[[#This Row],[MARZO]]&gt;22.5,Tabla1[[#This Row],[MARZO]]/22.5-1,0),IF(Tabla1[[#This Row],[MARZO]]&gt;45,Tabla1[[#This Row],[MARZO]]/45-1,0))</f>
        <v>0</v>
      </c>
      <c r="AH93" s="103">
        <f>IF(Tabla1[[#This Row],[TIPO DE CONSUMIDOR]]="MEDIO",IF(Tabla1[[#This Row],[ABRIL]]&gt;22.5,Tabla1[[#This Row],[ABRIL]]/22.5-1,0),IF(Tabla1[[#This Row],[ABRIL]]&gt;45,Tabla1[[#This Row],[ABRIL]]/45-1,0))</f>
        <v>0</v>
      </c>
      <c r="AI93" s="103">
        <f>IF(Tabla1[[#This Row],[TIPO DE CONSUMIDOR]]="MEDIO",IF(Tabla1[[#This Row],[MAYO ]]&gt;22.5,Tabla1[[#This Row],[MAYO ]]/22.5-1,0),IF(Tabla1[[#This Row],[MAYO ]]&gt;45,Tabla1[[#This Row],[MAYO ]]/45-1,0))</f>
        <v>0</v>
      </c>
      <c r="AJ93" s="103">
        <f>IF(Tabla1[[#This Row],[TIPO DE CONSUMIDOR]]="MEDIO",IF(Tabla1[[#This Row],[JUNIO ]]&gt;22.5,Tabla1[[#This Row],[JUNIO ]]/22.5-1,0),IF(Tabla1[[#This Row],[JUNIO ]]&gt;45,Tabla1[[#This Row],[JUNIO ]]/45-1,0))</f>
        <v>0</v>
      </c>
      <c r="AK93" s="103">
        <f>IF(Tabla1[[#This Row],[TIPO DE CONSUMIDOR]]="MEDIO",IF(Tabla1[[#This Row],[JULIO ]]&gt;22.5,Tabla1[[#This Row],[JULIO ]]/22.5-1,0),IF(Tabla1[[#This Row],[JULIO ]]&gt;45,Tabla1[[#This Row],[JULIO ]]/45-1,0))</f>
        <v>0</v>
      </c>
      <c r="AL93" s="103">
        <f>IF(Tabla1[[#This Row],[TIPO DE CONSUMIDOR]]="MEDIO",IF(Tabla1[[#This Row],[AGOSTO]]&gt;22.5,Tabla1[[#This Row],[AGOSTO]]/22.5-1,0),IF(Tabla1[[#This Row],[AGOSTO]]&gt;45,Tabla1[[#This Row],[AGOSTO]]/45-1,0))</f>
        <v>0</v>
      </c>
      <c r="AM9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3" s="104">
        <f t="shared" si="4"/>
        <v>0</v>
      </c>
      <c r="AR93" s="9">
        <f t="shared" si="3"/>
        <v>0</v>
      </c>
      <c r="AS93" s="60">
        <f>IF(Tabla1[[#This Row],[MESES DE ADEUDO DEL AÑO EN CURSO ]]&gt;0,1,0)</f>
        <v>0</v>
      </c>
      <c r="AT93" s="42"/>
      <c r="AU93" s="42"/>
      <c r="AV93" s="42"/>
      <c r="AW93" s="43"/>
    </row>
    <row r="94" spans="1:49" ht="21.75" thickBot="1" x14ac:dyDescent="0.35">
      <c r="A94" s="109">
        <v>88</v>
      </c>
      <c r="B94" s="5" t="s">
        <v>60</v>
      </c>
      <c r="C94" s="2" t="s">
        <v>511</v>
      </c>
      <c r="D94" s="32"/>
      <c r="E94" s="35" t="s">
        <v>455</v>
      </c>
      <c r="F94" s="34">
        <v>45</v>
      </c>
      <c r="G94" s="34">
        <v>45</v>
      </c>
      <c r="H94" s="34">
        <v>45</v>
      </c>
      <c r="I94" s="34">
        <v>45</v>
      </c>
      <c r="J94" s="34">
        <v>45</v>
      </c>
      <c r="K94" s="34">
        <v>45</v>
      </c>
      <c r="L94" s="34">
        <v>45</v>
      </c>
      <c r="M94" s="34">
        <v>45</v>
      </c>
      <c r="N94" s="34">
        <v>45</v>
      </c>
      <c r="O94" s="34">
        <v>45</v>
      </c>
      <c r="P94" s="34">
        <v>45</v>
      </c>
      <c r="Q94" s="34">
        <v>45</v>
      </c>
      <c r="R94" s="24">
        <f>SUM(Tabla1[[#This Row],[ENERO ]:[DICIEMBRE]])</f>
        <v>540</v>
      </c>
      <c r="W94" s="65">
        <v>0</v>
      </c>
      <c r="X94" s="21">
        <f>COUNTIF(Tabla1[[#This Row],[ENERO ]:[DICIEMBRE]],0)-(AQ94)-IF(Tabla1[[#This Row],[BAJAS]]="BAJA",IF(Tabla1[[#This Row],[ALTAS]]="ALTA",VLOOKUP(Tabla1[[#This Row],[MES DE ALTA ]],$AT$6:$AU$17,2,FALSE),12)-VLOOKUP(Tabla1[[#This Row],[MES DE BAJA ]],$AT$6:$AU$17,2,FALSE),0)</f>
        <v>0</v>
      </c>
      <c r="Y94" s="69">
        <f>SUM(Tabla1[[#This Row],[MES ADEUDO DE AÑOS PASADOS ]:[MESES DE ADEUDO DEL AÑO EN CURSO ]])</f>
        <v>0</v>
      </c>
      <c r="Z94" s="15">
        <f>IF(Tabla1[[#This Row],[TIPO DE CONSUMIDOR]]="COMPLETO",W94*$T$2,W94*($T$2/2))</f>
        <v>0</v>
      </c>
      <c r="AA94" s="15">
        <f>IF(Tabla1[[#This Row],[TIPO DE CONSUMIDOR]]="COMPLETO",Tabla1[[#This Row],[MESES DE ADEUDO DEL AÑO EN CURSO ]]*$T$2,Tabla1[[#This Row],[MESES DE ADEUDO DEL AÑO EN CURSO ]]*($T$2/2))</f>
        <v>0</v>
      </c>
      <c r="AB94" s="70">
        <f>SUM(Tabla1[[#This Row],[DEUDA DE LOS MESES PASADOS EN $$]:[DEUDA DEL AÑO 2013 $$ ]])</f>
        <v>0</v>
      </c>
      <c r="AE94" s="103">
        <f>IF(Tabla1[[#This Row],[TIPO DE CONSUMIDOR]]="MEDIO",IF(Tabla1[[#This Row],[ENERO ]]&gt;22.5,Tabla1[[#This Row],[ENERO ]]/22.5-1,0),IF(Tabla1[[#This Row],[ENERO ]]&gt;45,Tabla1[[#This Row],[ENERO ]]/45-1,0))</f>
        <v>0</v>
      </c>
      <c r="AF9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4" s="103">
        <f>IF(Tabla1[[#This Row],[TIPO DE CONSUMIDOR]]="MEDIO",IF(Tabla1[[#This Row],[MARZO]]&gt;22.5,Tabla1[[#This Row],[MARZO]]/22.5-1,0),IF(Tabla1[[#This Row],[MARZO]]&gt;45,Tabla1[[#This Row],[MARZO]]/45-1,0))</f>
        <v>0</v>
      </c>
      <c r="AH94" s="103">
        <f>IF(Tabla1[[#This Row],[TIPO DE CONSUMIDOR]]="MEDIO",IF(Tabla1[[#This Row],[ABRIL]]&gt;22.5,Tabla1[[#This Row],[ABRIL]]/22.5-1,0),IF(Tabla1[[#This Row],[ABRIL]]&gt;45,Tabla1[[#This Row],[ABRIL]]/45-1,0))</f>
        <v>0</v>
      </c>
      <c r="AI94" s="103">
        <f>IF(Tabla1[[#This Row],[TIPO DE CONSUMIDOR]]="MEDIO",IF(Tabla1[[#This Row],[MAYO ]]&gt;22.5,Tabla1[[#This Row],[MAYO ]]/22.5-1,0),IF(Tabla1[[#This Row],[MAYO ]]&gt;45,Tabla1[[#This Row],[MAYO ]]/45-1,0))</f>
        <v>0</v>
      </c>
      <c r="AJ94" s="103">
        <f>IF(Tabla1[[#This Row],[TIPO DE CONSUMIDOR]]="MEDIO",IF(Tabla1[[#This Row],[JUNIO ]]&gt;22.5,Tabla1[[#This Row],[JUNIO ]]/22.5-1,0),IF(Tabla1[[#This Row],[JUNIO ]]&gt;45,Tabla1[[#This Row],[JUNIO ]]/45-1,0))</f>
        <v>0</v>
      </c>
      <c r="AK94" s="103">
        <f>IF(Tabla1[[#This Row],[TIPO DE CONSUMIDOR]]="MEDIO",IF(Tabla1[[#This Row],[JULIO ]]&gt;22.5,Tabla1[[#This Row],[JULIO ]]/22.5-1,0),IF(Tabla1[[#This Row],[JULIO ]]&gt;45,Tabla1[[#This Row],[JULIO ]]/45-1,0))</f>
        <v>0</v>
      </c>
      <c r="AL94" s="103">
        <f>IF(Tabla1[[#This Row],[TIPO DE CONSUMIDOR]]="MEDIO",IF(Tabla1[[#This Row],[AGOSTO]]&gt;22.5,Tabla1[[#This Row],[AGOSTO]]/22.5-1,0),IF(Tabla1[[#This Row],[AGOSTO]]&gt;45,Tabla1[[#This Row],[AGOSTO]]/45-1,0))</f>
        <v>0</v>
      </c>
      <c r="AM9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4" s="104">
        <f t="shared" si="4"/>
        <v>0</v>
      </c>
      <c r="AR94" s="9">
        <f t="shared" si="3"/>
        <v>0</v>
      </c>
      <c r="AS94" s="60">
        <f>IF(Tabla1[[#This Row],[MESES DE ADEUDO DEL AÑO EN CURSO ]]&gt;0,1,0)</f>
        <v>0</v>
      </c>
      <c r="AT94" s="42"/>
      <c r="AU94" s="42"/>
      <c r="AV94" s="42"/>
      <c r="AW94" s="43"/>
    </row>
    <row r="95" spans="1:49" ht="21.75" thickBot="1" x14ac:dyDescent="0.35">
      <c r="A95" s="109">
        <v>89</v>
      </c>
      <c r="B95" s="5" t="s">
        <v>515</v>
      </c>
      <c r="C95" s="2" t="s">
        <v>511</v>
      </c>
      <c r="D95" s="32"/>
      <c r="E95" s="35" t="s">
        <v>455</v>
      </c>
      <c r="F95" s="34">
        <v>0</v>
      </c>
      <c r="G95" s="34">
        <v>0</v>
      </c>
      <c r="H95" s="34">
        <v>0</v>
      </c>
      <c r="I95" s="34">
        <v>0</v>
      </c>
      <c r="J95" s="34">
        <v>0</v>
      </c>
      <c r="K95" s="34">
        <v>0</v>
      </c>
      <c r="L95" s="34">
        <v>0</v>
      </c>
      <c r="M95" s="34">
        <v>0</v>
      </c>
      <c r="N95" s="34">
        <v>0</v>
      </c>
      <c r="O95" s="34">
        <v>45</v>
      </c>
      <c r="P95" s="34">
        <v>45</v>
      </c>
      <c r="Q95" s="34">
        <v>45</v>
      </c>
      <c r="R95" s="24">
        <f>SUM(Tabla1[[#This Row],[ENERO ]:[DICIEMBRE]])</f>
        <v>135</v>
      </c>
      <c r="S95" t="s">
        <v>626</v>
      </c>
      <c r="T95" t="s">
        <v>434</v>
      </c>
      <c r="U95" t="s">
        <v>625</v>
      </c>
      <c r="V95" t="s">
        <v>9</v>
      </c>
      <c r="W95" s="65">
        <v>0</v>
      </c>
      <c r="X95" s="21">
        <f>COUNTIF(Tabla1[[#This Row],[ENERO ]:[DICIEMBRE]],0)-(AQ95)-IF(Tabla1[[#This Row],[BAJAS]]="BAJA",IF(Tabla1[[#This Row],[ALTAS]]="ALTA",VLOOKUP(Tabla1[[#This Row],[MES DE ALTA ]],$AT$6:$AU$17,2,FALSE),12)-VLOOKUP(Tabla1[[#This Row],[MES DE BAJA ]],$AT$6:$AU$17,2,FALSE),0)</f>
        <v>0</v>
      </c>
      <c r="Y95" s="69">
        <f>SUM(Tabla1[[#This Row],[MES ADEUDO DE AÑOS PASADOS ]:[MESES DE ADEUDO DEL AÑO EN CURSO ]])</f>
        <v>0</v>
      </c>
      <c r="Z95" s="15">
        <f>IF(Tabla1[[#This Row],[TIPO DE CONSUMIDOR]]="COMPLETO",W95*$T$2,W95*($T$2/2))</f>
        <v>0</v>
      </c>
      <c r="AA95" s="15">
        <f>IF(Tabla1[[#This Row],[TIPO DE CONSUMIDOR]]="COMPLETO",Tabla1[[#This Row],[MESES DE ADEUDO DEL AÑO EN CURSO ]]*$T$2,Tabla1[[#This Row],[MESES DE ADEUDO DEL AÑO EN CURSO ]]*($T$2/2))</f>
        <v>0</v>
      </c>
      <c r="AB95" s="70">
        <f>SUM(Tabla1[[#This Row],[DEUDA DE LOS MESES PASADOS EN $$]:[DEUDA DEL AÑO 2013 $$ ]])</f>
        <v>0</v>
      </c>
      <c r="AE95" s="103">
        <f>IF(Tabla1[[#This Row],[TIPO DE CONSUMIDOR]]="MEDIO",IF(Tabla1[[#This Row],[ENERO ]]&gt;22.5,Tabla1[[#This Row],[ENERO ]]/22.5-1,0),IF(Tabla1[[#This Row],[ENERO ]]&gt;45,Tabla1[[#This Row],[ENERO ]]/45-1,0))</f>
        <v>0</v>
      </c>
      <c r="AF9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5" s="103">
        <f>IF(Tabla1[[#This Row],[TIPO DE CONSUMIDOR]]="MEDIO",IF(Tabla1[[#This Row],[MARZO]]&gt;22.5,Tabla1[[#This Row],[MARZO]]/22.5-1,0),IF(Tabla1[[#This Row],[MARZO]]&gt;45,Tabla1[[#This Row],[MARZO]]/45-1,0))</f>
        <v>0</v>
      </c>
      <c r="AH95" s="103">
        <f>IF(Tabla1[[#This Row],[TIPO DE CONSUMIDOR]]="MEDIO",IF(Tabla1[[#This Row],[ABRIL]]&gt;22.5,Tabla1[[#This Row],[ABRIL]]/22.5-1,0),IF(Tabla1[[#This Row],[ABRIL]]&gt;45,Tabla1[[#This Row],[ABRIL]]/45-1,0))</f>
        <v>0</v>
      </c>
      <c r="AI95" s="103">
        <f>IF(Tabla1[[#This Row],[TIPO DE CONSUMIDOR]]="MEDIO",IF(Tabla1[[#This Row],[MAYO ]]&gt;22.5,Tabla1[[#This Row],[MAYO ]]/22.5-1,0),IF(Tabla1[[#This Row],[MAYO ]]&gt;45,Tabla1[[#This Row],[MAYO ]]/45-1,0))</f>
        <v>0</v>
      </c>
      <c r="AJ95" s="103">
        <f>IF(Tabla1[[#This Row],[TIPO DE CONSUMIDOR]]="MEDIO",IF(Tabla1[[#This Row],[JUNIO ]]&gt;22.5,Tabla1[[#This Row],[JUNIO ]]/22.5-1,0),IF(Tabla1[[#This Row],[JUNIO ]]&gt;45,Tabla1[[#This Row],[JUNIO ]]/45-1,0))</f>
        <v>0</v>
      </c>
      <c r="AK95" s="103">
        <f>IF(Tabla1[[#This Row],[TIPO DE CONSUMIDOR]]="MEDIO",IF(Tabla1[[#This Row],[JULIO ]]&gt;22.5,Tabla1[[#This Row],[JULIO ]]/22.5-1,0),IF(Tabla1[[#This Row],[JULIO ]]&gt;45,Tabla1[[#This Row],[JULIO ]]/45-1,0))</f>
        <v>0</v>
      </c>
      <c r="AL95" s="103">
        <f>IF(Tabla1[[#This Row],[TIPO DE CONSUMIDOR]]="MEDIO",IF(Tabla1[[#This Row],[AGOSTO]]&gt;22.5,Tabla1[[#This Row],[AGOSTO]]/22.5-1,0),IF(Tabla1[[#This Row],[AGOSTO]]&gt;45,Tabla1[[#This Row],[AGOSTO]]/45-1,0))</f>
        <v>0</v>
      </c>
      <c r="AM9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5" s="104">
        <f t="shared" si="4"/>
        <v>0</v>
      </c>
      <c r="AR95" s="9">
        <f t="shared" si="3"/>
        <v>0</v>
      </c>
      <c r="AS95" s="60">
        <f>IF(Tabla1[[#This Row],[MESES DE ADEUDO DEL AÑO EN CURSO ]]&gt;0,1,0)</f>
        <v>0</v>
      </c>
      <c r="AT95" s="42"/>
      <c r="AU95" s="42"/>
      <c r="AV95" s="42"/>
      <c r="AW95" s="43"/>
    </row>
    <row r="96" spans="1:49" ht="21.75" thickBot="1" x14ac:dyDescent="0.35">
      <c r="A96" s="109">
        <v>90</v>
      </c>
      <c r="B96" s="5" t="s">
        <v>516</v>
      </c>
      <c r="C96" s="2" t="s">
        <v>511</v>
      </c>
      <c r="D96" s="32"/>
      <c r="E96" s="35" t="s">
        <v>455</v>
      </c>
      <c r="F96" s="34">
        <v>0</v>
      </c>
      <c r="G96" s="34">
        <v>0</v>
      </c>
      <c r="H96" s="34">
        <v>0</v>
      </c>
      <c r="I96" s="34">
        <v>0</v>
      </c>
      <c r="J96" s="34">
        <v>0</v>
      </c>
      <c r="K96" s="34">
        <v>0</v>
      </c>
      <c r="L96" s="34">
        <v>0</v>
      </c>
      <c r="M96" s="34">
        <v>0</v>
      </c>
      <c r="N96" s="34">
        <v>0</v>
      </c>
      <c r="O96" s="34">
        <v>45</v>
      </c>
      <c r="P96" s="34">
        <v>45</v>
      </c>
      <c r="Q96" s="34">
        <v>45</v>
      </c>
      <c r="R96" s="24">
        <f>SUM(Tabla1[[#This Row],[ENERO ]:[DICIEMBRE]])</f>
        <v>135</v>
      </c>
      <c r="S96" t="s">
        <v>626</v>
      </c>
      <c r="T96" t="s">
        <v>434</v>
      </c>
      <c r="U96" t="s">
        <v>625</v>
      </c>
      <c r="V96" t="s">
        <v>9</v>
      </c>
      <c r="W96" s="65">
        <v>0</v>
      </c>
      <c r="X96" s="21">
        <f>COUNTIF(Tabla1[[#This Row],[ENERO ]:[DICIEMBRE]],0)-(AQ96)-IF(Tabla1[[#This Row],[BAJAS]]="BAJA",IF(Tabla1[[#This Row],[ALTAS]]="ALTA",VLOOKUP(Tabla1[[#This Row],[MES DE ALTA ]],$AT$6:$AU$17,2,FALSE),12)-VLOOKUP(Tabla1[[#This Row],[MES DE BAJA ]],$AT$6:$AU$17,2,FALSE),0)</f>
        <v>0</v>
      </c>
      <c r="Y96" s="69">
        <f>SUM(Tabla1[[#This Row],[MES ADEUDO DE AÑOS PASADOS ]:[MESES DE ADEUDO DEL AÑO EN CURSO ]])</f>
        <v>0</v>
      </c>
      <c r="Z96" s="15">
        <f>IF(Tabla1[[#This Row],[TIPO DE CONSUMIDOR]]="COMPLETO",W96*$T$2,W96*($T$2/2))</f>
        <v>0</v>
      </c>
      <c r="AA96" s="15">
        <f>IF(Tabla1[[#This Row],[TIPO DE CONSUMIDOR]]="COMPLETO",Tabla1[[#This Row],[MESES DE ADEUDO DEL AÑO EN CURSO ]]*$T$2,Tabla1[[#This Row],[MESES DE ADEUDO DEL AÑO EN CURSO ]]*($T$2/2))</f>
        <v>0</v>
      </c>
      <c r="AB96" s="70">
        <f>SUM(Tabla1[[#This Row],[DEUDA DE LOS MESES PASADOS EN $$]:[DEUDA DEL AÑO 2013 $$ ]])</f>
        <v>0</v>
      </c>
      <c r="AE96" s="103">
        <f>IF(Tabla1[[#This Row],[TIPO DE CONSUMIDOR]]="MEDIO",IF(Tabla1[[#This Row],[ENERO ]]&gt;22.5,Tabla1[[#This Row],[ENERO ]]/22.5-1,0),IF(Tabla1[[#This Row],[ENERO ]]&gt;45,Tabla1[[#This Row],[ENERO ]]/45-1,0))</f>
        <v>0</v>
      </c>
      <c r="AF9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6" s="103">
        <f>IF(Tabla1[[#This Row],[TIPO DE CONSUMIDOR]]="MEDIO",IF(Tabla1[[#This Row],[MARZO]]&gt;22.5,Tabla1[[#This Row],[MARZO]]/22.5-1,0),IF(Tabla1[[#This Row],[MARZO]]&gt;45,Tabla1[[#This Row],[MARZO]]/45-1,0))</f>
        <v>0</v>
      </c>
      <c r="AH96" s="103">
        <f>IF(Tabla1[[#This Row],[TIPO DE CONSUMIDOR]]="MEDIO",IF(Tabla1[[#This Row],[ABRIL]]&gt;22.5,Tabla1[[#This Row],[ABRIL]]/22.5-1,0),IF(Tabla1[[#This Row],[ABRIL]]&gt;45,Tabla1[[#This Row],[ABRIL]]/45-1,0))</f>
        <v>0</v>
      </c>
      <c r="AI96" s="103">
        <f>IF(Tabla1[[#This Row],[TIPO DE CONSUMIDOR]]="MEDIO",IF(Tabla1[[#This Row],[MAYO ]]&gt;22.5,Tabla1[[#This Row],[MAYO ]]/22.5-1,0),IF(Tabla1[[#This Row],[MAYO ]]&gt;45,Tabla1[[#This Row],[MAYO ]]/45-1,0))</f>
        <v>0</v>
      </c>
      <c r="AJ96" s="103">
        <f>IF(Tabla1[[#This Row],[TIPO DE CONSUMIDOR]]="MEDIO",IF(Tabla1[[#This Row],[JUNIO ]]&gt;22.5,Tabla1[[#This Row],[JUNIO ]]/22.5-1,0),IF(Tabla1[[#This Row],[JUNIO ]]&gt;45,Tabla1[[#This Row],[JUNIO ]]/45-1,0))</f>
        <v>0</v>
      </c>
      <c r="AK96" s="103">
        <f>IF(Tabla1[[#This Row],[TIPO DE CONSUMIDOR]]="MEDIO",IF(Tabla1[[#This Row],[JULIO ]]&gt;22.5,Tabla1[[#This Row],[JULIO ]]/22.5-1,0),IF(Tabla1[[#This Row],[JULIO ]]&gt;45,Tabla1[[#This Row],[JULIO ]]/45-1,0))</f>
        <v>0</v>
      </c>
      <c r="AL96" s="103">
        <f>IF(Tabla1[[#This Row],[TIPO DE CONSUMIDOR]]="MEDIO",IF(Tabla1[[#This Row],[AGOSTO]]&gt;22.5,Tabla1[[#This Row],[AGOSTO]]/22.5-1,0),IF(Tabla1[[#This Row],[AGOSTO]]&gt;45,Tabla1[[#This Row],[AGOSTO]]/45-1,0))</f>
        <v>0</v>
      </c>
      <c r="AM9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6" s="104">
        <f t="shared" si="4"/>
        <v>0</v>
      </c>
      <c r="AR96" s="9">
        <f t="shared" si="3"/>
        <v>0</v>
      </c>
      <c r="AS96" s="60">
        <f>IF(Tabla1[[#This Row],[MESES DE ADEUDO DEL AÑO EN CURSO ]]&gt;0,1,0)</f>
        <v>0</v>
      </c>
      <c r="AT96" s="42"/>
      <c r="AU96" s="42"/>
      <c r="AV96" s="42"/>
      <c r="AW96" s="43"/>
    </row>
    <row r="97" spans="1:49" ht="21.75" thickBot="1" x14ac:dyDescent="0.35">
      <c r="A97" s="109">
        <v>91</v>
      </c>
      <c r="B97" s="5" t="s">
        <v>112</v>
      </c>
      <c r="C97" s="2" t="s">
        <v>511</v>
      </c>
      <c r="D97" s="46"/>
      <c r="E97" s="36" t="s">
        <v>455</v>
      </c>
      <c r="F97" s="34">
        <v>45</v>
      </c>
      <c r="G97" s="34">
        <v>45</v>
      </c>
      <c r="H97" s="34">
        <v>0</v>
      </c>
      <c r="I97" s="34">
        <v>0</v>
      </c>
      <c r="J97" s="34">
        <v>0</v>
      </c>
      <c r="K97" s="34">
        <v>0</v>
      </c>
      <c r="L97" s="34">
        <v>0</v>
      </c>
      <c r="M97" s="34">
        <v>45</v>
      </c>
      <c r="N97" s="34">
        <v>45</v>
      </c>
      <c r="O97" s="34">
        <v>45</v>
      </c>
      <c r="P97" s="34">
        <v>45</v>
      </c>
      <c r="Q97" s="34">
        <v>45</v>
      </c>
      <c r="R97" s="24">
        <f>SUM(Tabla1[[#This Row],[ENERO ]:[DICIEMBRE]])</f>
        <v>315</v>
      </c>
      <c r="S97" t="s">
        <v>626</v>
      </c>
      <c r="T97" t="s">
        <v>2</v>
      </c>
      <c r="U97" t="s">
        <v>625</v>
      </c>
      <c r="V97" t="s">
        <v>7</v>
      </c>
      <c r="W97" s="65">
        <v>0</v>
      </c>
      <c r="X97" s="21">
        <f>COUNTIF(Tabla1[[#This Row],[ENERO ]:[DICIEMBRE]],0)-(AQ97)-IF(Tabla1[[#This Row],[BAJAS]]="BAJA",IF(Tabla1[[#This Row],[ALTAS]]="ALTA",VLOOKUP(Tabla1[[#This Row],[MES DE ALTA ]],$AT$6:$AU$17,2,FALSE),12)-VLOOKUP(Tabla1[[#This Row],[MES DE BAJA ]],$AT$6:$AU$17,2,FALSE),0)</f>
        <v>0</v>
      </c>
      <c r="Y97" s="69">
        <f>SUM(Tabla1[[#This Row],[MES ADEUDO DE AÑOS PASADOS ]:[MESES DE ADEUDO DEL AÑO EN CURSO ]])</f>
        <v>0</v>
      </c>
      <c r="Z97" s="15">
        <f>IF(Tabla1[[#This Row],[TIPO DE CONSUMIDOR]]="COMPLETO",W97*$T$2,W97*($T$2/2))</f>
        <v>0</v>
      </c>
      <c r="AA97" s="15">
        <f>IF(Tabla1[[#This Row],[TIPO DE CONSUMIDOR]]="COMPLETO",Tabla1[[#This Row],[MESES DE ADEUDO DEL AÑO EN CURSO ]]*$T$2,Tabla1[[#This Row],[MESES DE ADEUDO DEL AÑO EN CURSO ]]*($T$2/2))</f>
        <v>0</v>
      </c>
      <c r="AB97" s="70">
        <f>SUM(Tabla1[[#This Row],[DEUDA DE LOS MESES PASADOS EN $$]:[DEUDA DEL AÑO 2013 $$ ]])</f>
        <v>0</v>
      </c>
      <c r="AE97" s="103">
        <f>IF(Tabla1[[#This Row],[TIPO DE CONSUMIDOR]]="MEDIO",IF(Tabla1[[#This Row],[ENERO ]]&gt;22.5,Tabla1[[#This Row],[ENERO ]]/22.5-1,0),IF(Tabla1[[#This Row],[ENERO ]]&gt;45,Tabla1[[#This Row],[ENERO ]]/45-1,0))</f>
        <v>0</v>
      </c>
      <c r="AF9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7" s="103">
        <f>IF(Tabla1[[#This Row],[TIPO DE CONSUMIDOR]]="MEDIO",IF(Tabla1[[#This Row],[MARZO]]&gt;22.5,Tabla1[[#This Row],[MARZO]]/22.5-1,0),IF(Tabla1[[#This Row],[MARZO]]&gt;45,Tabla1[[#This Row],[MARZO]]/45-1,0))</f>
        <v>0</v>
      </c>
      <c r="AH97" s="103">
        <f>IF(Tabla1[[#This Row],[TIPO DE CONSUMIDOR]]="MEDIO",IF(Tabla1[[#This Row],[ABRIL]]&gt;22.5,Tabla1[[#This Row],[ABRIL]]/22.5-1,0),IF(Tabla1[[#This Row],[ABRIL]]&gt;45,Tabla1[[#This Row],[ABRIL]]/45-1,0))</f>
        <v>0</v>
      </c>
      <c r="AI97" s="103">
        <f>IF(Tabla1[[#This Row],[TIPO DE CONSUMIDOR]]="MEDIO",IF(Tabla1[[#This Row],[MAYO ]]&gt;22.5,Tabla1[[#This Row],[MAYO ]]/22.5-1,0),IF(Tabla1[[#This Row],[MAYO ]]&gt;45,Tabla1[[#This Row],[MAYO ]]/45-1,0))</f>
        <v>0</v>
      </c>
      <c r="AJ97" s="103">
        <f>IF(Tabla1[[#This Row],[TIPO DE CONSUMIDOR]]="MEDIO",IF(Tabla1[[#This Row],[JUNIO ]]&gt;22.5,Tabla1[[#This Row],[JUNIO ]]/22.5-1,0),IF(Tabla1[[#This Row],[JUNIO ]]&gt;45,Tabla1[[#This Row],[JUNIO ]]/45-1,0))</f>
        <v>0</v>
      </c>
      <c r="AK97" s="103">
        <f>IF(Tabla1[[#This Row],[TIPO DE CONSUMIDOR]]="MEDIO",IF(Tabla1[[#This Row],[JULIO ]]&gt;22.5,Tabla1[[#This Row],[JULIO ]]/22.5-1,0),IF(Tabla1[[#This Row],[JULIO ]]&gt;45,Tabla1[[#This Row],[JULIO ]]/45-1,0))</f>
        <v>0</v>
      </c>
      <c r="AL97" s="103">
        <f>IF(Tabla1[[#This Row],[TIPO DE CONSUMIDOR]]="MEDIO",IF(Tabla1[[#This Row],[AGOSTO]]&gt;22.5,Tabla1[[#This Row],[AGOSTO]]/22.5-1,0),IF(Tabla1[[#This Row],[AGOSTO]]&gt;45,Tabla1[[#This Row],[AGOSTO]]/45-1,0))</f>
        <v>0</v>
      </c>
      <c r="AM9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7" s="104">
        <f t="shared" si="4"/>
        <v>0</v>
      </c>
      <c r="AR97" s="9">
        <f t="shared" si="3"/>
        <v>0</v>
      </c>
      <c r="AS97" s="60">
        <f>IF(Tabla1[[#This Row],[MESES DE ADEUDO DEL AÑO EN CURSO ]]&gt;0,1,0)</f>
        <v>0</v>
      </c>
      <c r="AT97" s="42"/>
      <c r="AU97" s="42"/>
      <c r="AV97" s="42"/>
      <c r="AW97" s="43"/>
    </row>
    <row r="98" spans="1:49" ht="21.75" thickBot="1" x14ac:dyDescent="0.35">
      <c r="A98" s="109">
        <v>92</v>
      </c>
      <c r="B98" s="5" t="s">
        <v>185</v>
      </c>
      <c r="C98" s="2" t="s">
        <v>511</v>
      </c>
      <c r="D98" s="46"/>
      <c r="E98" s="36" t="s">
        <v>455</v>
      </c>
      <c r="F98" s="34">
        <v>45</v>
      </c>
      <c r="G98" s="34">
        <v>45</v>
      </c>
      <c r="H98" s="34">
        <v>45</v>
      </c>
      <c r="I98" s="34">
        <v>45</v>
      </c>
      <c r="J98" s="34">
        <v>45</v>
      </c>
      <c r="K98" s="34">
        <v>45</v>
      </c>
      <c r="L98" s="34">
        <v>45</v>
      </c>
      <c r="M98" s="34">
        <v>45</v>
      </c>
      <c r="N98" s="34">
        <v>45</v>
      </c>
      <c r="O98" s="34">
        <v>45</v>
      </c>
      <c r="P98" s="34">
        <v>45</v>
      </c>
      <c r="Q98" s="34">
        <v>45</v>
      </c>
      <c r="R98" s="24">
        <f>SUM(Tabla1[[#This Row],[ENERO ]:[DICIEMBRE]])</f>
        <v>540</v>
      </c>
      <c r="W98" s="65">
        <v>0</v>
      </c>
      <c r="X98" s="21">
        <f>COUNTIF(Tabla1[[#This Row],[ENERO ]:[DICIEMBRE]],0)-(AQ98)-IF(Tabla1[[#This Row],[BAJAS]]="BAJA",IF(Tabla1[[#This Row],[ALTAS]]="ALTA",VLOOKUP(Tabla1[[#This Row],[MES DE ALTA ]],$AT$6:$AU$17,2,FALSE),12)-VLOOKUP(Tabla1[[#This Row],[MES DE BAJA ]],$AT$6:$AU$17,2,FALSE),0)</f>
        <v>0</v>
      </c>
      <c r="Y98" s="69">
        <f>SUM(Tabla1[[#This Row],[MES ADEUDO DE AÑOS PASADOS ]:[MESES DE ADEUDO DEL AÑO EN CURSO ]])</f>
        <v>0</v>
      </c>
      <c r="Z98" s="15">
        <f>IF(Tabla1[[#This Row],[TIPO DE CONSUMIDOR]]="COMPLETO",W98*$T$2,W98*($T$2/2))</f>
        <v>0</v>
      </c>
      <c r="AA98" s="15">
        <f>IF(Tabla1[[#This Row],[TIPO DE CONSUMIDOR]]="COMPLETO",Tabla1[[#This Row],[MESES DE ADEUDO DEL AÑO EN CURSO ]]*$T$2,Tabla1[[#This Row],[MESES DE ADEUDO DEL AÑO EN CURSO ]]*($T$2/2))</f>
        <v>0</v>
      </c>
      <c r="AB98" s="70">
        <f>SUM(Tabla1[[#This Row],[DEUDA DE LOS MESES PASADOS EN $$]:[DEUDA DEL AÑO 2013 $$ ]])</f>
        <v>0</v>
      </c>
      <c r="AE98" s="103">
        <f>IF(Tabla1[[#This Row],[TIPO DE CONSUMIDOR]]="MEDIO",IF(Tabla1[[#This Row],[ENERO ]]&gt;22.5,Tabla1[[#This Row],[ENERO ]]/22.5-1,0),IF(Tabla1[[#This Row],[ENERO ]]&gt;45,Tabla1[[#This Row],[ENERO ]]/45-1,0))</f>
        <v>0</v>
      </c>
      <c r="AF9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8" s="103">
        <f>IF(Tabla1[[#This Row],[TIPO DE CONSUMIDOR]]="MEDIO",IF(Tabla1[[#This Row],[MARZO]]&gt;22.5,Tabla1[[#This Row],[MARZO]]/22.5-1,0),IF(Tabla1[[#This Row],[MARZO]]&gt;45,Tabla1[[#This Row],[MARZO]]/45-1,0))</f>
        <v>0</v>
      </c>
      <c r="AH98" s="103">
        <f>IF(Tabla1[[#This Row],[TIPO DE CONSUMIDOR]]="MEDIO",IF(Tabla1[[#This Row],[ABRIL]]&gt;22.5,Tabla1[[#This Row],[ABRIL]]/22.5-1,0),IF(Tabla1[[#This Row],[ABRIL]]&gt;45,Tabla1[[#This Row],[ABRIL]]/45-1,0))</f>
        <v>0</v>
      </c>
      <c r="AI98" s="103">
        <f>IF(Tabla1[[#This Row],[TIPO DE CONSUMIDOR]]="MEDIO",IF(Tabla1[[#This Row],[MAYO ]]&gt;22.5,Tabla1[[#This Row],[MAYO ]]/22.5-1,0),IF(Tabla1[[#This Row],[MAYO ]]&gt;45,Tabla1[[#This Row],[MAYO ]]/45-1,0))</f>
        <v>0</v>
      </c>
      <c r="AJ98" s="103">
        <f>IF(Tabla1[[#This Row],[TIPO DE CONSUMIDOR]]="MEDIO",IF(Tabla1[[#This Row],[JUNIO ]]&gt;22.5,Tabla1[[#This Row],[JUNIO ]]/22.5-1,0),IF(Tabla1[[#This Row],[JUNIO ]]&gt;45,Tabla1[[#This Row],[JUNIO ]]/45-1,0))</f>
        <v>0</v>
      </c>
      <c r="AK98" s="103">
        <f>IF(Tabla1[[#This Row],[TIPO DE CONSUMIDOR]]="MEDIO",IF(Tabla1[[#This Row],[JULIO ]]&gt;22.5,Tabla1[[#This Row],[JULIO ]]/22.5-1,0),IF(Tabla1[[#This Row],[JULIO ]]&gt;45,Tabla1[[#This Row],[JULIO ]]/45-1,0))</f>
        <v>0</v>
      </c>
      <c r="AL98" s="103">
        <f>IF(Tabla1[[#This Row],[TIPO DE CONSUMIDOR]]="MEDIO",IF(Tabla1[[#This Row],[AGOSTO]]&gt;22.5,Tabla1[[#This Row],[AGOSTO]]/22.5-1,0),IF(Tabla1[[#This Row],[AGOSTO]]&gt;45,Tabla1[[#This Row],[AGOSTO]]/45-1,0))</f>
        <v>0</v>
      </c>
      <c r="AM9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8" s="104">
        <f t="shared" si="4"/>
        <v>0</v>
      </c>
      <c r="AR98" s="9">
        <f t="shared" si="3"/>
        <v>0</v>
      </c>
      <c r="AS98" s="60">
        <f>IF(Tabla1[[#This Row],[MESES DE ADEUDO DEL AÑO EN CURSO ]]&gt;0,1,0)</f>
        <v>0</v>
      </c>
      <c r="AT98" s="42"/>
      <c r="AU98" s="42"/>
      <c r="AV98" s="42"/>
      <c r="AW98" s="43"/>
    </row>
    <row r="99" spans="1:49" ht="21.75" thickBot="1" x14ac:dyDescent="0.35">
      <c r="A99" s="109">
        <v>93</v>
      </c>
      <c r="B99" s="5" t="s">
        <v>517</v>
      </c>
      <c r="C99" s="2" t="s">
        <v>511</v>
      </c>
      <c r="D99" s="32"/>
      <c r="E99" s="35" t="s">
        <v>455</v>
      </c>
      <c r="F99" s="34">
        <v>45</v>
      </c>
      <c r="G99" s="34">
        <v>45</v>
      </c>
      <c r="H99" s="34">
        <v>45</v>
      </c>
      <c r="I99" s="34">
        <v>45</v>
      </c>
      <c r="J99" s="34">
        <v>45</v>
      </c>
      <c r="K99" s="34">
        <v>45</v>
      </c>
      <c r="L99" s="34">
        <v>45</v>
      </c>
      <c r="M99" s="34">
        <v>45</v>
      </c>
      <c r="N99" s="34">
        <v>45</v>
      </c>
      <c r="O99" s="34">
        <v>45</v>
      </c>
      <c r="P99" s="34">
        <v>45</v>
      </c>
      <c r="Q99" s="34">
        <v>45</v>
      </c>
      <c r="R99" s="24">
        <f>SUM(Tabla1[[#This Row],[ENERO ]:[DICIEMBRE]])</f>
        <v>540</v>
      </c>
      <c r="W99" s="65">
        <v>0</v>
      </c>
      <c r="X99" s="21">
        <f>COUNTIF(Tabla1[[#This Row],[ENERO ]:[DICIEMBRE]],0)-(AQ99)-IF(Tabla1[[#This Row],[BAJAS]]="BAJA",IF(Tabla1[[#This Row],[ALTAS]]="ALTA",VLOOKUP(Tabla1[[#This Row],[MES DE ALTA ]],$AT$6:$AU$17,2,FALSE),12)-VLOOKUP(Tabla1[[#This Row],[MES DE BAJA ]],$AT$6:$AU$17,2,FALSE),0)</f>
        <v>0</v>
      </c>
      <c r="Y99" s="69">
        <f>SUM(Tabla1[[#This Row],[MES ADEUDO DE AÑOS PASADOS ]:[MESES DE ADEUDO DEL AÑO EN CURSO ]])</f>
        <v>0</v>
      </c>
      <c r="Z99" s="15">
        <f>IF(Tabla1[[#This Row],[TIPO DE CONSUMIDOR]]="COMPLETO",W99*$T$2,W99*($T$2/2))</f>
        <v>0</v>
      </c>
      <c r="AA99" s="15">
        <f>IF(Tabla1[[#This Row],[TIPO DE CONSUMIDOR]]="COMPLETO",Tabla1[[#This Row],[MESES DE ADEUDO DEL AÑO EN CURSO ]]*$T$2,Tabla1[[#This Row],[MESES DE ADEUDO DEL AÑO EN CURSO ]]*($T$2/2))</f>
        <v>0</v>
      </c>
      <c r="AB99" s="70">
        <f>SUM(Tabla1[[#This Row],[DEUDA DE LOS MESES PASADOS EN $$]:[DEUDA DEL AÑO 2013 $$ ]])</f>
        <v>0</v>
      </c>
      <c r="AE99" s="103">
        <f>IF(Tabla1[[#This Row],[TIPO DE CONSUMIDOR]]="MEDIO",IF(Tabla1[[#This Row],[ENERO ]]&gt;22.5,Tabla1[[#This Row],[ENERO ]]/22.5-1,0),IF(Tabla1[[#This Row],[ENERO ]]&gt;45,Tabla1[[#This Row],[ENERO ]]/45-1,0))</f>
        <v>0</v>
      </c>
      <c r="AF9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99" s="103">
        <f>IF(Tabla1[[#This Row],[TIPO DE CONSUMIDOR]]="MEDIO",IF(Tabla1[[#This Row],[MARZO]]&gt;22.5,Tabla1[[#This Row],[MARZO]]/22.5-1,0),IF(Tabla1[[#This Row],[MARZO]]&gt;45,Tabla1[[#This Row],[MARZO]]/45-1,0))</f>
        <v>0</v>
      </c>
      <c r="AH99" s="103">
        <f>IF(Tabla1[[#This Row],[TIPO DE CONSUMIDOR]]="MEDIO",IF(Tabla1[[#This Row],[ABRIL]]&gt;22.5,Tabla1[[#This Row],[ABRIL]]/22.5-1,0),IF(Tabla1[[#This Row],[ABRIL]]&gt;45,Tabla1[[#This Row],[ABRIL]]/45-1,0))</f>
        <v>0</v>
      </c>
      <c r="AI99" s="103">
        <f>IF(Tabla1[[#This Row],[TIPO DE CONSUMIDOR]]="MEDIO",IF(Tabla1[[#This Row],[MAYO ]]&gt;22.5,Tabla1[[#This Row],[MAYO ]]/22.5-1,0),IF(Tabla1[[#This Row],[MAYO ]]&gt;45,Tabla1[[#This Row],[MAYO ]]/45-1,0))</f>
        <v>0</v>
      </c>
      <c r="AJ99" s="103">
        <f>IF(Tabla1[[#This Row],[TIPO DE CONSUMIDOR]]="MEDIO",IF(Tabla1[[#This Row],[JUNIO ]]&gt;22.5,Tabla1[[#This Row],[JUNIO ]]/22.5-1,0),IF(Tabla1[[#This Row],[JUNIO ]]&gt;45,Tabla1[[#This Row],[JUNIO ]]/45-1,0))</f>
        <v>0</v>
      </c>
      <c r="AK99" s="103">
        <f>IF(Tabla1[[#This Row],[TIPO DE CONSUMIDOR]]="MEDIO",IF(Tabla1[[#This Row],[JULIO ]]&gt;22.5,Tabla1[[#This Row],[JULIO ]]/22.5-1,0),IF(Tabla1[[#This Row],[JULIO ]]&gt;45,Tabla1[[#This Row],[JULIO ]]/45-1,0))</f>
        <v>0</v>
      </c>
      <c r="AL99" s="103">
        <f>IF(Tabla1[[#This Row],[TIPO DE CONSUMIDOR]]="MEDIO",IF(Tabla1[[#This Row],[AGOSTO]]&gt;22.5,Tabla1[[#This Row],[AGOSTO]]/22.5-1,0),IF(Tabla1[[#This Row],[AGOSTO]]&gt;45,Tabla1[[#This Row],[AGOSTO]]/45-1,0))</f>
        <v>0</v>
      </c>
      <c r="AM9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9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9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9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99" s="104">
        <f t="shared" si="4"/>
        <v>0</v>
      </c>
      <c r="AR99" s="9">
        <f t="shared" si="3"/>
        <v>0</v>
      </c>
      <c r="AS99" s="60">
        <f>IF(Tabla1[[#This Row],[MESES DE ADEUDO DEL AÑO EN CURSO ]]&gt;0,1,0)</f>
        <v>0</v>
      </c>
      <c r="AT99" s="42"/>
      <c r="AU99" s="42"/>
      <c r="AV99" s="42"/>
      <c r="AW99" s="43"/>
    </row>
    <row r="100" spans="1:49" ht="21.75" thickBot="1" x14ac:dyDescent="0.35">
      <c r="A100" s="109">
        <v>94</v>
      </c>
      <c r="B100" s="5" t="s">
        <v>194</v>
      </c>
      <c r="C100" s="2" t="s">
        <v>511</v>
      </c>
      <c r="D100" s="32"/>
      <c r="E100" s="35" t="s">
        <v>489</v>
      </c>
      <c r="F100" s="34">
        <v>22.5</v>
      </c>
      <c r="G100" s="34">
        <v>22.5</v>
      </c>
      <c r="H100" s="34">
        <v>22.5</v>
      </c>
      <c r="I100" s="34">
        <v>22.5</v>
      </c>
      <c r="J100" s="34">
        <v>22.5</v>
      </c>
      <c r="K100" s="34">
        <v>22.5</v>
      </c>
      <c r="L100" s="34">
        <v>22.5</v>
      </c>
      <c r="M100" s="34">
        <v>22.5</v>
      </c>
      <c r="N100" s="34">
        <v>22.5</v>
      </c>
      <c r="O100" s="34">
        <v>22.5</v>
      </c>
      <c r="P100" s="34">
        <v>22.5</v>
      </c>
      <c r="Q100" s="34">
        <v>22.5</v>
      </c>
      <c r="R100" s="24">
        <f>SUM(Tabla1[[#This Row],[ENERO ]:[DICIEMBRE]])</f>
        <v>270</v>
      </c>
      <c r="W100" s="65">
        <v>0</v>
      </c>
      <c r="X100" s="21">
        <f>COUNTIF(Tabla1[[#This Row],[ENERO ]:[DICIEMBRE]],0)-(AQ100)-IF(Tabla1[[#This Row],[BAJAS]]="BAJA",IF(Tabla1[[#This Row],[ALTAS]]="ALTA",VLOOKUP(Tabla1[[#This Row],[MES DE ALTA ]],$AT$6:$AU$17,2,FALSE),12)-VLOOKUP(Tabla1[[#This Row],[MES DE BAJA ]],$AT$6:$AU$17,2,FALSE),0)</f>
        <v>0</v>
      </c>
      <c r="Y100" s="69">
        <f>SUM(Tabla1[[#This Row],[MES ADEUDO DE AÑOS PASADOS ]:[MESES DE ADEUDO DEL AÑO EN CURSO ]])</f>
        <v>0</v>
      </c>
      <c r="Z100" s="15">
        <f>IF(Tabla1[[#This Row],[TIPO DE CONSUMIDOR]]="COMPLETO",W100*$T$2,W100*($T$2/2))</f>
        <v>0</v>
      </c>
      <c r="AA100" s="15">
        <f>IF(Tabla1[[#This Row],[TIPO DE CONSUMIDOR]]="COMPLETO",Tabla1[[#This Row],[MESES DE ADEUDO DEL AÑO EN CURSO ]]*$T$2,Tabla1[[#This Row],[MESES DE ADEUDO DEL AÑO EN CURSO ]]*($T$2/2))</f>
        <v>0</v>
      </c>
      <c r="AB100" s="70">
        <f>SUM(Tabla1[[#This Row],[DEUDA DE LOS MESES PASADOS EN $$]:[DEUDA DEL AÑO 2013 $$ ]])</f>
        <v>0</v>
      </c>
      <c r="AE100" s="103">
        <f>IF(Tabla1[[#This Row],[TIPO DE CONSUMIDOR]]="MEDIO",IF(Tabla1[[#This Row],[ENERO ]]&gt;22.5,Tabla1[[#This Row],[ENERO ]]/22.5-1,0),IF(Tabla1[[#This Row],[ENERO ]]&gt;45,Tabla1[[#This Row],[ENERO ]]/45-1,0))</f>
        <v>0</v>
      </c>
      <c r="AF10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0" s="103">
        <f>IF(Tabla1[[#This Row],[TIPO DE CONSUMIDOR]]="MEDIO",IF(Tabla1[[#This Row],[MARZO]]&gt;22.5,Tabla1[[#This Row],[MARZO]]/22.5-1,0),IF(Tabla1[[#This Row],[MARZO]]&gt;45,Tabla1[[#This Row],[MARZO]]/45-1,0))</f>
        <v>0</v>
      </c>
      <c r="AH100" s="103">
        <f>IF(Tabla1[[#This Row],[TIPO DE CONSUMIDOR]]="MEDIO",IF(Tabla1[[#This Row],[ABRIL]]&gt;22.5,Tabla1[[#This Row],[ABRIL]]/22.5-1,0),IF(Tabla1[[#This Row],[ABRIL]]&gt;45,Tabla1[[#This Row],[ABRIL]]/45-1,0))</f>
        <v>0</v>
      </c>
      <c r="AI100" s="103">
        <f>IF(Tabla1[[#This Row],[TIPO DE CONSUMIDOR]]="MEDIO",IF(Tabla1[[#This Row],[MAYO ]]&gt;22.5,Tabla1[[#This Row],[MAYO ]]/22.5-1,0),IF(Tabla1[[#This Row],[MAYO ]]&gt;45,Tabla1[[#This Row],[MAYO ]]/45-1,0))</f>
        <v>0</v>
      </c>
      <c r="AJ100" s="103">
        <f>IF(Tabla1[[#This Row],[TIPO DE CONSUMIDOR]]="MEDIO",IF(Tabla1[[#This Row],[JUNIO ]]&gt;22.5,Tabla1[[#This Row],[JUNIO ]]/22.5-1,0),IF(Tabla1[[#This Row],[JUNIO ]]&gt;45,Tabla1[[#This Row],[JUNIO ]]/45-1,0))</f>
        <v>0</v>
      </c>
      <c r="AK100" s="103">
        <f>IF(Tabla1[[#This Row],[TIPO DE CONSUMIDOR]]="MEDIO",IF(Tabla1[[#This Row],[JULIO ]]&gt;22.5,Tabla1[[#This Row],[JULIO ]]/22.5-1,0),IF(Tabla1[[#This Row],[JULIO ]]&gt;45,Tabla1[[#This Row],[JULIO ]]/45-1,0))</f>
        <v>0</v>
      </c>
      <c r="AL100" s="103">
        <f>IF(Tabla1[[#This Row],[TIPO DE CONSUMIDOR]]="MEDIO",IF(Tabla1[[#This Row],[AGOSTO]]&gt;22.5,Tabla1[[#This Row],[AGOSTO]]/22.5-1,0),IF(Tabla1[[#This Row],[AGOSTO]]&gt;45,Tabla1[[#This Row],[AGOSTO]]/45-1,0))</f>
        <v>0</v>
      </c>
      <c r="AM10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0" s="104">
        <f t="shared" si="4"/>
        <v>0</v>
      </c>
      <c r="AR100" s="9">
        <f t="shared" si="3"/>
        <v>0</v>
      </c>
      <c r="AS100" s="60">
        <f>IF(Tabla1[[#This Row],[MESES DE ADEUDO DEL AÑO EN CURSO ]]&gt;0,1,0)</f>
        <v>0</v>
      </c>
      <c r="AT100" s="42"/>
      <c r="AU100" s="42"/>
      <c r="AV100" s="42"/>
      <c r="AW100" s="43"/>
    </row>
    <row r="101" spans="1:49" ht="21.75" thickBot="1" x14ac:dyDescent="0.35">
      <c r="A101" s="109">
        <v>95</v>
      </c>
      <c r="B101" s="5" t="s">
        <v>302</v>
      </c>
      <c r="C101" s="2" t="s">
        <v>511</v>
      </c>
      <c r="D101" s="32"/>
      <c r="E101" s="35" t="s">
        <v>455</v>
      </c>
      <c r="F101" s="34">
        <v>45</v>
      </c>
      <c r="G101" s="34">
        <v>45</v>
      </c>
      <c r="H101" s="34">
        <v>45</v>
      </c>
      <c r="I101" s="34">
        <v>45</v>
      </c>
      <c r="J101" s="34">
        <v>45</v>
      </c>
      <c r="K101" s="34">
        <v>45</v>
      </c>
      <c r="L101" s="34">
        <v>45</v>
      </c>
      <c r="M101" s="34">
        <v>45</v>
      </c>
      <c r="N101" s="34">
        <v>45</v>
      </c>
      <c r="O101" s="34">
        <v>45</v>
      </c>
      <c r="P101" s="34">
        <v>45</v>
      </c>
      <c r="Q101" s="34">
        <v>45</v>
      </c>
      <c r="R101" s="24">
        <f>SUM(Tabla1[[#This Row],[ENERO ]:[DICIEMBRE]])</f>
        <v>540</v>
      </c>
      <c r="W101" s="65">
        <v>0</v>
      </c>
      <c r="X101" s="21">
        <f>COUNTIF(Tabla1[[#This Row],[ENERO ]:[DICIEMBRE]],0)-(AQ101)-IF(Tabla1[[#This Row],[BAJAS]]="BAJA",IF(Tabla1[[#This Row],[ALTAS]]="ALTA",VLOOKUP(Tabla1[[#This Row],[MES DE ALTA ]],$AT$6:$AU$17,2,FALSE),12)-VLOOKUP(Tabla1[[#This Row],[MES DE BAJA ]],$AT$6:$AU$17,2,FALSE),0)</f>
        <v>0</v>
      </c>
      <c r="Y101" s="69">
        <f>SUM(Tabla1[[#This Row],[MES ADEUDO DE AÑOS PASADOS ]:[MESES DE ADEUDO DEL AÑO EN CURSO ]])</f>
        <v>0</v>
      </c>
      <c r="Z101" s="15">
        <f>IF(Tabla1[[#This Row],[TIPO DE CONSUMIDOR]]="COMPLETO",W101*$T$2,W101*($T$2/2))</f>
        <v>0</v>
      </c>
      <c r="AA101" s="15">
        <f>IF(Tabla1[[#This Row],[TIPO DE CONSUMIDOR]]="COMPLETO",Tabla1[[#This Row],[MESES DE ADEUDO DEL AÑO EN CURSO ]]*$T$2,Tabla1[[#This Row],[MESES DE ADEUDO DEL AÑO EN CURSO ]]*($T$2/2))</f>
        <v>0</v>
      </c>
      <c r="AB101" s="70">
        <f>SUM(Tabla1[[#This Row],[DEUDA DE LOS MESES PASADOS EN $$]:[DEUDA DEL AÑO 2013 $$ ]])</f>
        <v>0</v>
      </c>
      <c r="AE101" s="103">
        <f>IF(Tabla1[[#This Row],[TIPO DE CONSUMIDOR]]="MEDIO",IF(Tabla1[[#This Row],[ENERO ]]&gt;22.5,Tabla1[[#This Row],[ENERO ]]/22.5-1,0),IF(Tabla1[[#This Row],[ENERO ]]&gt;45,Tabla1[[#This Row],[ENERO ]]/45-1,0))</f>
        <v>0</v>
      </c>
      <c r="AF10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1" s="103">
        <f>IF(Tabla1[[#This Row],[TIPO DE CONSUMIDOR]]="MEDIO",IF(Tabla1[[#This Row],[MARZO]]&gt;22.5,Tabla1[[#This Row],[MARZO]]/22.5-1,0),IF(Tabla1[[#This Row],[MARZO]]&gt;45,Tabla1[[#This Row],[MARZO]]/45-1,0))</f>
        <v>0</v>
      </c>
      <c r="AH101" s="103">
        <f>IF(Tabla1[[#This Row],[TIPO DE CONSUMIDOR]]="MEDIO",IF(Tabla1[[#This Row],[ABRIL]]&gt;22.5,Tabla1[[#This Row],[ABRIL]]/22.5-1,0),IF(Tabla1[[#This Row],[ABRIL]]&gt;45,Tabla1[[#This Row],[ABRIL]]/45-1,0))</f>
        <v>0</v>
      </c>
      <c r="AI101" s="103">
        <f>IF(Tabla1[[#This Row],[TIPO DE CONSUMIDOR]]="MEDIO",IF(Tabla1[[#This Row],[MAYO ]]&gt;22.5,Tabla1[[#This Row],[MAYO ]]/22.5-1,0),IF(Tabla1[[#This Row],[MAYO ]]&gt;45,Tabla1[[#This Row],[MAYO ]]/45-1,0))</f>
        <v>0</v>
      </c>
      <c r="AJ101" s="103">
        <f>IF(Tabla1[[#This Row],[TIPO DE CONSUMIDOR]]="MEDIO",IF(Tabla1[[#This Row],[JUNIO ]]&gt;22.5,Tabla1[[#This Row],[JUNIO ]]/22.5-1,0),IF(Tabla1[[#This Row],[JUNIO ]]&gt;45,Tabla1[[#This Row],[JUNIO ]]/45-1,0))</f>
        <v>0</v>
      </c>
      <c r="AK101" s="103">
        <f>IF(Tabla1[[#This Row],[TIPO DE CONSUMIDOR]]="MEDIO",IF(Tabla1[[#This Row],[JULIO ]]&gt;22.5,Tabla1[[#This Row],[JULIO ]]/22.5-1,0),IF(Tabla1[[#This Row],[JULIO ]]&gt;45,Tabla1[[#This Row],[JULIO ]]/45-1,0))</f>
        <v>0</v>
      </c>
      <c r="AL101" s="103">
        <f>IF(Tabla1[[#This Row],[TIPO DE CONSUMIDOR]]="MEDIO",IF(Tabla1[[#This Row],[AGOSTO]]&gt;22.5,Tabla1[[#This Row],[AGOSTO]]/22.5-1,0),IF(Tabla1[[#This Row],[AGOSTO]]&gt;45,Tabla1[[#This Row],[AGOSTO]]/45-1,0))</f>
        <v>0</v>
      </c>
      <c r="AM10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1" s="104">
        <f t="shared" si="4"/>
        <v>0</v>
      </c>
      <c r="AR101" s="9">
        <f t="shared" si="3"/>
        <v>0</v>
      </c>
      <c r="AS101" s="60">
        <f>IF(Tabla1[[#This Row],[MESES DE ADEUDO DEL AÑO EN CURSO ]]&gt;0,1,0)</f>
        <v>0</v>
      </c>
      <c r="AT101" s="42"/>
      <c r="AU101" s="42"/>
      <c r="AV101" s="42"/>
      <c r="AW101" s="43"/>
    </row>
    <row r="102" spans="1:49" ht="21.75" thickBot="1" x14ac:dyDescent="0.35">
      <c r="A102" s="109">
        <v>96</v>
      </c>
      <c r="B102" s="5" t="s">
        <v>291</v>
      </c>
      <c r="C102" s="2" t="s">
        <v>511</v>
      </c>
      <c r="D102" s="46"/>
      <c r="E102" s="36" t="s">
        <v>455</v>
      </c>
      <c r="F102" s="34">
        <v>45</v>
      </c>
      <c r="G102" s="34">
        <v>45</v>
      </c>
      <c r="H102" s="34">
        <v>45</v>
      </c>
      <c r="I102" s="34">
        <v>45</v>
      </c>
      <c r="J102" s="34">
        <v>45</v>
      </c>
      <c r="K102" s="34">
        <v>45</v>
      </c>
      <c r="L102" s="34">
        <v>45</v>
      </c>
      <c r="M102" s="34">
        <v>45</v>
      </c>
      <c r="N102" s="34">
        <v>45</v>
      </c>
      <c r="O102" s="34">
        <v>45</v>
      </c>
      <c r="P102" s="34">
        <v>45</v>
      </c>
      <c r="Q102" s="34">
        <v>45</v>
      </c>
      <c r="R102" s="24">
        <f>SUM(Tabla1[[#This Row],[ENERO ]:[DICIEMBRE]])</f>
        <v>540</v>
      </c>
      <c r="W102" s="65">
        <v>0</v>
      </c>
      <c r="X102" s="21">
        <f>COUNTIF(Tabla1[[#This Row],[ENERO ]:[DICIEMBRE]],0)-(AQ102)-IF(Tabla1[[#This Row],[BAJAS]]="BAJA",IF(Tabla1[[#This Row],[ALTAS]]="ALTA",VLOOKUP(Tabla1[[#This Row],[MES DE ALTA ]],$AT$6:$AU$17,2,FALSE),12)-VLOOKUP(Tabla1[[#This Row],[MES DE BAJA ]],$AT$6:$AU$17,2,FALSE),0)</f>
        <v>0</v>
      </c>
      <c r="Y102" s="69">
        <f>SUM(Tabla1[[#This Row],[MES ADEUDO DE AÑOS PASADOS ]:[MESES DE ADEUDO DEL AÑO EN CURSO ]])</f>
        <v>0</v>
      </c>
      <c r="Z102" s="15">
        <f>IF(Tabla1[[#This Row],[TIPO DE CONSUMIDOR]]="COMPLETO",W102*$T$2,W102*($T$2/2))</f>
        <v>0</v>
      </c>
      <c r="AA102" s="15">
        <f>IF(Tabla1[[#This Row],[TIPO DE CONSUMIDOR]]="COMPLETO",Tabla1[[#This Row],[MESES DE ADEUDO DEL AÑO EN CURSO ]]*$T$2,Tabla1[[#This Row],[MESES DE ADEUDO DEL AÑO EN CURSO ]]*($T$2/2))</f>
        <v>0</v>
      </c>
      <c r="AB102" s="70">
        <f>SUM(Tabla1[[#This Row],[DEUDA DE LOS MESES PASADOS EN $$]:[DEUDA DEL AÑO 2013 $$ ]])</f>
        <v>0</v>
      </c>
      <c r="AE102" s="103">
        <f>IF(Tabla1[[#This Row],[TIPO DE CONSUMIDOR]]="MEDIO",IF(Tabla1[[#This Row],[ENERO ]]&gt;22.5,Tabla1[[#This Row],[ENERO ]]/22.5-1,0),IF(Tabla1[[#This Row],[ENERO ]]&gt;45,Tabla1[[#This Row],[ENERO ]]/45-1,0))</f>
        <v>0</v>
      </c>
      <c r="AF10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2" s="103">
        <f>IF(Tabla1[[#This Row],[TIPO DE CONSUMIDOR]]="MEDIO",IF(Tabla1[[#This Row],[MARZO]]&gt;22.5,Tabla1[[#This Row],[MARZO]]/22.5-1,0),IF(Tabla1[[#This Row],[MARZO]]&gt;45,Tabla1[[#This Row],[MARZO]]/45-1,0))</f>
        <v>0</v>
      </c>
      <c r="AH102" s="103">
        <f>IF(Tabla1[[#This Row],[TIPO DE CONSUMIDOR]]="MEDIO",IF(Tabla1[[#This Row],[ABRIL]]&gt;22.5,Tabla1[[#This Row],[ABRIL]]/22.5-1,0),IF(Tabla1[[#This Row],[ABRIL]]&gt;45,Tabla1[[#This Row],[ABRIL]]/45-1,0))</f>
        <v>0</v>
      </c>
      <c r="AI102" s="103">
        <f>IF(Tabla1[[#This Row],[TIPO DE CONSUMIDOR]]="MEDIO",IF(Tabla1[[#This Row],[MAYO ]]&gt;22.5,Tabla1[[#This Row],[MAYO ]]/22.5-1,0),IF(Tabla1[[#This Row],[MAYO ]]&gt;45,Tabla1[[#This Row],[MAYO ]]/45-1,0))</f>
        <v>0</v>
      </c>
      <c r="AJ102" s="103">
        <f>IF(Tabla1[[#This Row],[TIPO DE CONSUMIDOR]]="MEDIO",IF(Tabla1[[#This Row],[JUNIO ]]&gt;22.5,Tabla1[[#This Row],[JUNIO ]]/22.5-1,0),IF(Tabla1[[#This Row],[JUNIO ]]&gt;45,Tabla1[[#This Row],[JUNIO ]]/45-1,0))</f>
        <v>0</v>
      </c>
      <c r="AK102" s="103">
        <f>IF(Tabla1[[#This Row],[TIPO DE CONSUMIDOR]]="MEDIO",IF(Tabla1[[#This Row],[JULIO ]]&gt;22.5,Tabla1[[#This Row],[JULIO ]]/22.5-1,0),IF(Tabla1[[#This Row],[JULIO ]]&gt;45,Tabla1[[#This Row],[JULIO ]]/45-1,0))</f>
        <v>0</v>
      </c>
      <c r="AL102" s="103">
        <f>IF(Tabla1[[#This Row],[TIPO DE CONSUMIDOR]]="MEDIO",IF(Tabla1[[#This Row],[AGOSTO]]&gt;22.5,Tabla1[[#This Row],[AGOSTO]]/22.5-1,0),IF(Tabla1[[#This Row],[AGOSTO]]&gt;45,Tabla1[[#This Row],[AGOSTO]]/45-1,0))</f>
        <v>0</v>
      </c>
      <c r="AM10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2" s="104">
        <f t="shared" si="4"/>
        <v>0</v>
      </c>
      <c r="AR102" s="9">
        <f t="shared" si="3"/>
        <v>0</v>
      </c>
      <c r="AS102" s="60">
        <f>IF(Tabla1[[#This Row],[MESES DE ADEUDO DEL AÑO EN CURSO ]]&gt;0,1,0)</f>
        <v>0</v>
      </c>
      <c r="AT102" s="42"/>
      <c r="AU102" s="42"/>
      <c r="AV102" s="42"/>
      <c r="AW102" s="43"/>
    </row>
    <row r="103" spans="1:49" ht="21.75" thickBot="1" x14ac:dyDescent="0.35">
      <c r="A103" s="109">
        <v>97</v>
      </c>
      <c r="B103" s="5" t="s">
        <v>358</v>
      </c>
      <c r="C103" s="2" t="s">
        <v>511</v>
      </c>
      <c r="D103" s="32"/>
      <c r="E103" s="35" t="s">
        <v>455</v>
      </c>
      <c r="F103" s="34">
        <v>45</v>
      </c>
      <c r="G103" s="34">
        <v>45</v>
      </c>
      <c r="H103" s="34">
        <v>45</v>
      </c>
      <c r="I103" s="34">
        <v>45</v>
      </c>
      <c r="J103" s="34">
        <v>45</v>
      </c>
      <c r="K103" s="34">
        <v>45</v>
      </c>
      <c r="L103" s="34">
        <v>45</v>
      </c>
      <c r="M103" s="34">
        <v>45</v>
      </c>
      <c r="N103" s="34">
        <v>45</v>
      </c>
      <c r="O103" s="34">
        <v>45</v>
      </c>
      <c r="P103" s="34">
        <v>45</v>
      </c>
      <c r="Q103" s="34">
        <v>45</v>
      </c>
      <c r="R103" s="24">
        <f>SUM(Tabla1[[#This Row],[ENERO ]:[DICIEMBRE]])</f>
        <v>540</v>
      </c>
      <c r="W103" s="65">
        <v>0</v>
      </c>
      <c r="X103" s="21">
        <f>COUNTIF(Tabla1[[#This Row],[ENERO ]:[DICIEMBRE]],0)-(AQ103)-IF(Tabla1[[#This Row],[BAJAS]]="BAJA",IF(Tabla1[[#This Row],[ALTAS]]="ALTA",VLOOKUP(Tabla1[[#This Row],[MES DE ALTA ]],$AT$6:$AU$17,2,FALSE),12)-VLOOKUP(Tabla1[[#This Row],[MES DE BAJA ]],$AT$6:$AU$17,2,FALSE),0)</f>
        <v>0</v>
      </c>
      <c r="Y103" s="69">
        <f>SUM(Tabla1[[#This Row],[MES ADEUDO DE AÑOS PASADOS ]:[MESES DE ADEUDO DEL AÑO EN CURSO ]])</f>
        <v>0</v>
      </c>
      <c r="Z103" s="15">
        <f>IF(Tabla1[[#This Row],[TIPO DE CONSUMIDOR]]="COMPLETO",W103*$T$2,W103*($T$2/2))</f>
        <v>0</v>
      </c>
      <c r="AA103" s="15">
        <f>IF(Tabla1[[#This Row],[TIPO DE CONSUMIDOR]]="COMPLETO",Tabla1[[#This Row],[MESES DE ADEUDO DEL AÑO EN CURSO ]]*$T$2,Tabla1[[#This Row],[MESES DE ADEUDO DEL AÑO EN CURSO ]]*($T$2/2))</f>
        <v>0</v>
      </c>
      <c r="AB103" s="70">
        <f>SUM(Tabla1[[#This Row],[DEUDA DE LOS MESES PASADOS EN $$]:[DEUDA DEL AÑO 2013 $$ ]])</f>
        <v>0</v>
      </c>
      <c r="AE103" s="103">
        <f>IF(Tabla1[[#This Row],[TIPO DE CONSUMIDOR]]="MEDIO",IF(Tabla1[[#This Row],[ENERO ]]&gt;22.5,Tabla1[[#This Row],[ENERO ]]/22.5-1,0),IF(Tabla1[[#This Row],[ENERO ]]&gt;45,Tabla1[[#This Row],[ENERO ]]/45-1,0))</f>
        <v>0</v>
      </c>
      <c r="AF10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3" s="103">
        <f>IF(Tabla1[[#This Row],[TIPO DE CONSUMIDOR]]="MEDIO",IF(Tabla1[[#This Row],[MARZO]]&gt;22.5,Tabla1[[#This Row],[MARZO]]/22.5-1,0),IF(Tabla1[[#This Row],[MARZO]]&gt;45,Tabla1[[#This Row],[MARZO]]/45-1,0))</f>
        <v>0</v>
      </c>
      <c r="AH103" s="103">
        <f>IF(Tabla1[[#This Row],[TIPO DE CONSUMIDOR]]="MEDIO",IF(Tabla1[[#This Row],[ABRIL]]&gt;22.5,Tabla1[[#This Row],[ABRIL]]/22.5-1,0),IF(Tabla1[[#This Row],[ABRIL]]&gt;45,Tabla1[[#This Row],[ABRIL]]/45-1,0))</f>
        <v>0</v>
      </c>
      <c r="AI103" s="103">
        <f>IF(Tabla1[[#This Row],[TIPO DE CONSUMIDOR]]="MEDIO",IF(Tabla1[[#This Row],[MAYO ]]&gt;22.5,Tabla1[[#This Row],[MAYO ]]/22.5-1,0),IF(Tabla1[[#This Row],[MAYO ]]&gt;45,Tabla1[[#This Row],[MAYO ]]/45-1,0))</f>
        <v>0</v>
      </c>
      <c r="AJ103" s="103">
        <f>IF(Tabla1[[#This Row],[TIPO DE CONSUMIDOR]]="MEDIO",IF(Tabla1[[#This Row],[JUNIO ]]&gt;22.5,Tabla1[[#This Row],[JUNIO ]]/22.5-1,0),IF(Tabla1[[#This Row],[JUNIO ]]&gt;45,Tabla1[[#This Row],[JUNIO ]]/45-1,0))</f>
        <v>0</v>
      </c>
      <c r="AK103" s="103">
        <f>IF(Tabla1[[#This Row],[TIPO DE CONSUMIDOR]]="MEDIO",IF(Tabla1[[#This Row],[JULIO ]]&gt;22.5,Tabla1[[#This Row],[JULIO ]]/22.5-1,0),IF(Tabla1[[#This Row],[JULIO ]]&gt;45,Tabla1[[#This Row],[JULIO ]]/45-1,0))</f>
        <v>0</v>
      </c>
      <c r="AL103" s="103">
        <f>IF(Tabla1[[#This Row],[TIPO DE CONSUMIDOR]]="MEDIO",IF(Tabla1[[#This Row],[AGOSTO]]&gt;22.5,Tabla1[[#This Row],[AGOSTO]]/22.5-1,0),IF(Tabla1[[#This Row],[AGOSTO]]&gt;45,Tabla1[[#This Row],[AGOSTO]]/45-1,0))</f>
        <v>0</v>
      </c>
      <c r="AM10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3" s="104">
        <f t="shared" si="4"/>
        <v>0</v>
      </c>
      <c r="AR103" s="9">
        <f t="shared" si="3"/>
        <v>0</v>
      </c>
      <c r="AS103" s="60">
        <f>IF(Tabla1[[#This Row],[MESES DE ADEUDO DEL AÑO EN CURSO ]]&gt;0,1,0)</f>
        <v>0</v>
      </c>
      <c r="AT103" s="42"/>
      <c r="AU103" s="42"/>
      <c r="AV103" s="42"/>
      <c r="AW103" s="43"/>
    </row>
    <row r="104" spans="1:49" ht="21.75" thickBot="1" x14ac:dyDescent="0.35">
      <c r="A104" s="109">
        <v>98</v>
      </c>
      <c r="B104" s="5" t="s">
        <v>415</v>
      </c>
      <c r="C104" s="2" t="s">
        <v>511</v>
      </c>
      <c r="D104" s="46"/>
      <c r="E104" s="36" t="s">
        <v>455</v>
      </c>
      <c r="F104" s="34">
        <v>45</v>
      </c>
      <c r="G104" s="34">
        <v>45</v>
      </c>
      <c r="H104" s="34">
        <v>45</v>
      </c>
      <c r="I104" s="34">
        <v>45</v>
      </c>
      <c r="J104" s="34">
        <v>45</v>
      </c>
      <c r="K104" s="34">
        <v>45</v>
      </c>
      <c r="L104" s="34">
        <v>45</v>
      </c>
      <c r="M104" s="34">
        <v>45</v>
      </c>
      <c r="N104" s="34">
        <v>45</v>
      </c>
      <c r="O104" s="34">
        <v>45</v>
      </c>
      <c r="P104" s="34">
        <v>45</v>
      </c>
      <c r="Q104" s="34">
        <v>45</v>
      </c>
      <c r="R104" s="24">
        <f>SUM(Tabla1[[#This Row],[ENERO ]:[DICIEMBRE]])</f>
        <v>540</v>
      </c>
      <c r="W104" s="65">
        <v>0</v>
      </c>
      <c r="X104" s="21">
        <f>COUNTIF(Tabla1[[#This Row],[ENERO ]:[DICIEMBRE]],0)-(AQ104)-IF(Tabla1[[#This Row],[BAJAS]]="BAJA",IF(Tabla1[[#This Row],[ALTAS]]="ALTA",VLOOKUP(Tabla1[[#This Row],[MES DE ALTA ]],$AT$6:$AU$17,2,FALSE),12)-VLOOKUP(Tabla1[[#This Row],[MES DE BAJA ]],$AT$6:$AU$17,2,FALSE),0)</f>
        <v>0</v>
      </c>
      <c r="Y104" s="69">
        <f>SUM(Tabla1[[#This Row],[MES ADEUDO DE AÑOS PASADOS ]:[MESES DE ADEUDO DEL AÑO EN CURSO ]])</f>
        <v>0</v>
      </c>
      <c r="Z104" s="15">
        <f>IF(Tabla1[[#This Row],[TIPO DE CONSUMIDOR]]="COMPLETO",W104*$T$2,W104*($T$2/2))</f>
        <v>0</v>
      </c>
      <c r="AA104" s="15">
        <f>IF(Tabla1[[#This Row],[TIPO DE CONSUMIDOR]]="COMPLETO",Tabla1[[#This Row],[MESES DE ADEUDO DEL AÑO EN CURSO ]]*$T$2,Tabla1[[#This Row],[MESES DE ADEUDO DEL AÑO EN CURSO ]]*($T$2/2))</f>
        <v>0</v>
      </c>
      <c r="AB104" s="70">
        <f>SUM(Tabla1[[#This Row],[DEUDA DE LOS MESES PASADOS EN $$]:[DEUDA DEL AÑO 2013 $$ ]])</f>
        <v>0</v>
      </c>
      <c r="AE104" s="103">
        <f>IF(Tabla1[[#This Row],[TIPO DE CONSUMIDOR]]="MEDIO",IF(Tabla1[[#This Row],[ENERO ]]&gt;22.5,Tabla1[[#This Row],[ENERO ]]/22.5-1,0),IF(Tabla1[[#This Row],[ENERO ]]&gt;45,Tabla1[[#This Row],[ENERO ]]/45-1,0))</f>
        <v>0</v>
      </c>
      <c r="AF10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4" s="103">
        <f>IF(Tabla1[[#This Row],[TIPO DE CONSUMIDOR]]="MEDIO",IF(Tabla1[[#This Row],[MARZO]]&gt;22.5,Tabla1[[#This Row],[MARZO]]/22.5-1,0),IF(Tabla1[[#This Row],[MARZO]]&gt;45,Tabla1[[#This Row],[MARZO]]/45-1,0))</f>
        <v>0</v>
      </c>
      <c r="AH104" s="103">
        <f>IF(Tabla1[[#This Row],[TIPO DE CONSUMIDOR]]="MEDIO",IF(Tabla1[[#This Row],[ABRIL]]&gt;22.5,Tabla1[[#This Row],[ABRIL]]/22.5-1,0),IF(Tabla1[[#This Row],[ABRIL]]&gt;45,Tabla1[[#This Row],[ABRIL]]/45-1,0))</f>
        <v>0</v>
      </c>
      <c r="AI104" s="103">
        <f>IF(Tabla1[[#This Row],[TIPO DE CONSUMIDOR]]="MEDIO",IF(Tabla1[[#This Row],[MAYO ]]&gt;22.5,Tabla1[[#This Row],[MAYO ]]/22.5-1,0),IF(Tabla1[[#This Row],[MAYO ]]&gt;45,Tabla1[[#This Row],[MAYO ]]/45-1,0))</f>
        <v>0</v>
      </c>
      <c r="AJ104" s="103">
        <f>IF(Tabla1[[#This Row],[TIPO DE CONSUMIDOR]]="MEDIO",IF(Tabla1[[#This Row],[JUNIO ]]&gt;22.5,Tabla1[[#This Row],[JUNIO ]]/22.5-1,0),IF(Tabla1[[#This Row],[JUNIO ]]&gt;45,Tabla1[[#This Row],[JUNIO ]]/45-1,0))</f>
        <v>0</v>
      </c>
      <c r="AK104" s="103">
        <f>IF(Tabla1[[#This Row],[TIPO DE CONSUMIDOR]]="MEDIO",IF(Tabla1[[#This Row],[JULIO ]]&gt;22.5,Tabla1[[#This Row],[JULIO ]]/22.5-1,0),IF(Tabla1[[#This Row],[JULIO ]]&gt;45,Tabla1[[#This Row],[JULIO ]]/45-1,0))</f>
        <v>0</v>
      </c>
      <c r="AL104" s="103">
        <f>IF(Tabla1[[#This Row],[TIPO DE CONSUMIDOR]]="MEDIO",IF(Tabla1[[#This Row],[AGOSTO]]&gt;22.5,Tabla1[[#This Row],[AGOSTO]]/22.5-1,0),IF(Tabla1[[#This Row],[AGOSTO]]&gt;45,Tabla1[[#This Row],[AGOSTO]]/45-1,0))</f>
        <v>0</v>
      </c>
      <c r="AM10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4" s="104">
        <f t="shared" si="4"/>
        <v>0</v>
      </c>
      <c r="AR104" s="9">
        <f t="shared" si="3"/>
        <v>0</v>
      </c>
      <c r="AS104" s="60">
        <f>IF(Tabla1[[#This Row],[MESES DE ADEUDO DEL AÑO EN CURSO ]]&gt;0,1,0)</f>
        <v>0</v>
      </c>
      <c r="AT104" s="42"/>
      <c r="AU104" s="42"/>
      <c r="AV104" s="42"/>
      <c r="AW104" s="43"/>
    </row>
    <row r="105" spans="1:49" ht="21.75" thickBot="1" x14ac:dyDescent="0.35">
      <c r="A105" s="109">
        <v>99</v>
      </c>
      <c r="B105" s="5" t="s">
        <v>518</v>
      </c>
      <c r="C105" s="2" t="s">
        <v>519</v>
      </c>
      <c r="D105" s="46"/>
      <c r="E105" s="36" t="s">
        <v>455</v>
      </c>
      <c r="F105" s="34">
        <v>45</v>
      </c>
      <c r="G105" s="34">
        <v>45</v>
      </c>
      <c r="H105" s="34">
        <v>45</v>
      </c>
      <c r="I105" s="34">
        <v>45</v>
      </c>
      <c r="J105" s="34">
        <v>45</v>
      </c>
      <c r="K105" s="34">
        <v>45</v>
      </c>
      <c r="L105" s="34">
        <v>45</v>
      </c>
      <c r="M105" s="34">
        <v>45</v>
      </c>
      <c r="N105" s="34">
        <v>45</v>
      </c>
      <c r="O105" s="34">
        <v>45</v>
      </c>
      <c r="P105" s="34">
        <v>45</v>
      </c>
      <c r="Q105" s="34">
        <v>45</v>
      </c>
      <c r="R105" s="24">
        <f>SUM(Tabla1[[#This Row],[ENERO ]:[DICIEMBRE]])</f>
        <v>540</v>
      </c>
      <c r="W105" s="65">
        <v>0</v>
      </c>
      <c r="X105" s="21">
        <f>COUNTIF(Tabla1[[#This Row],[ENERO ]:[DICIEMBRE]],0)-(AQ105)-IF(Tabla1[[#This Row],[BAJAS]]="BAJA",IF(Tabla1[[#This Row],[ALTAS]]="ALTA",VLOOKUP(Tabla1[[#This Row],[MES DE ALTA ]],$AT$6:$AU$17,2,FALSE),12)-VLOOKUP(Tabla1[[#This Row],[MES DE BAJA ]],$AT$6:$AU$17,2,FALSE),0)</f>
        <v>0</v>
      </c>
      <c r="Y105" s="69">
        <f>SUM(Tabla1[[#This Row],[MES ADEUDO DE AÑOS PASADOS ]:[MESES DE ADEUDO DEL AÑO EN CURSO ]])</f>
        <v>0</v>
      </c>
      <c r="Z105" s="15">
        <f>IF(Tabla1[[#This Row],[TIPO DE CONSUMIDOR]]="COMPLETO",W105*$T$2,W105*($T$2/2))</f>
        <v>0</v>
      </c>
      <c r="AA105" s="15">
        <f>IF(Tabla1[[#This Row],[TIPO DE CONSUMIDOR]]="COMPLETO",Tabla1[[#This Row],[MESES DE ADEUDO DEL AÑO EN CURSO ]]*$T$2,Tabla1[[#This Row],[MESES DE ADEUDO DEL AÑO EN CURSO ]]*($T$2/2))</f>
        <v>0</v>
      </c>
      <c r="AB105" s="70">
        <f>SUM(Tabla1[[#This Row],[DEUDA DE LOS MESES PASADOS EN $$]:[DEUDA DEL AÑO 2013 $$ ]])</f>
        <v>0</v>
      </c>
      <c r="AE105" s="103">
        <f>IF(Tabla1[[#This Row],[TIPO DE CONSUMIDOR]]="MEDIO",IF(Tabla1[[#This Row],[ENERO ]]&gt;22.5,Tabla1[[#This Row],[ENERO ]]/22.5-1,0),IF(Tabla1[[#This Row],[ENERO ]]&gt;45,Tabla1[[#This Row],[ENERO ]]/45-1,0))</f>
        <v>0</v>
      </c>
      <c r="AF10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5" s="103">
        <f>IF(Tabla1[[#This Row],[TIPO DE CONSUMIDOR]]="MEDIO",IF(Tabla1[[#This Row],[MARZO]]&gt;22.5,Tabla1[[#This Row],[MARZO]]/22.5-1,0),IF(Tabla1[[#This Row],[MARZO]]&gt;45,Tabla1[[#This Row],[MARZO]]/45-1,0))</f>
        <v>0</v>
      </c>
      <c r="AH105" s="103">
        <f>IF(Tabla1[[#This Row],[TIPO DE CONSUMIDOR]]="MEDIO",IF(Tabla1[[#This Row],[ABRIL]]&gt;22.5,Tabla1[[#This Row],[ABRIL]]/22.5-1,0),IF(Tabla1[[#This Row],[ABRIL]]&gt;45,Tabla1[[#This Row],[ABRIL]]/45-1,0))</f>
        <v>0</v>
      </c>
      <c r="AI105" s="103">
        <f>IF(Tabla1[[#This Row],[TIPO DE CONSUMIDOR]]="MEDIO",IF(Tabla1[[#This Row],[MAYO ]]&gt;22.5,Tabla1[[#This Row],[MAYO ]]/22.5-1,0),IF(Tabla1[[#This Row],[MAYO ]]&gt;45,Tabla1[[#This Row],[MAYO ]]/45-1,0))</f>
        <v>0</v>
      </c>
      <c r="AJ105" s="103">
        <f>IF(Tabla1[[#This Row],[TIPO DE CONSUMIDOR]]="MEDIO",IF(Tabla1[[#This Row],[JUNIO ]]&gt;22.5,Tabla1[[#This Row],[JUNIO ]]/22.5-1,0),IF(Tabla1[[#This Row],[JUNIO ]]&gt;45,Tabla1[[#This Row],[JUNIO ]]/45-1,0))</f>
        <v>0</v>
      </c>
      <c r="AK105" s="103">
        <f>IF(Tabla1[[#This Row],[TIPO DE CONSUMIDOR]]="MEDIO",IF(Tabla1[[#This Row],[JULIO ]]&gt;22.5,Tabla1[[#This Row],[JULIO ]]/22.5-1,0),IF(Tabla1[[#This Row],[JULIO ]]&gt;45,Tabla1[[#This Row],[JULIO ]]/45-1,0))</f>
        <v>0</v>
      </c>
      <c r="AL105" s="103">
        <f>IF(Tabla1[[#This Row],[TIPO DE CONSUMIDOR]]="MEDIO",IF(Tabla1[[#This Row],[AGOSTO]]&gt;22.5,Tabla1[[#This Row],[AGOSTO]]/22.5-1,0),IF(Tabla1[[#This Row],[AGOSTO]]&gt;45,Tabla1[[#This Row],[AGOSTO]]/45-1,0))</f>
        <v>0</v>
      </c>
      <c r="AM10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5" s="104">
        <f t="shared" si="4"/>
        <v>0</v>
      </c>
      <c r="AR105" s="9">
        <f t="shared" si="3"/>
        <v>0</v>
      </c>
      <c r="AS105" s="60">
        <f>IF(Tabla1[[#This Row],[MESES DE ADEUDO DEL AÑO EN CURSO ]]&gt;0,1,0)</f>
        <v>0</v>
      </c>
      <c r="AT105" s="42"/>
      <c r="AU105" s="42"/>
      <c r="AV105" s="42"/>
      <c r="AW105" s="43"/>
    </row>
    <row r="106" spans="1:49" ht="21.75" thickBot="1" x14ac:dyDescent="0.35">
      <c r="A106" s="109">
        <v>100</v>
      </c>
      <c r="B106" s="5" t="s">
        <v>83</v>
      </c>
      <c r="C106" s="2" t="s">
        <v>521</v>
      </c>
      <c r="D106" s="46"/>
      <c r="E106" s="36" t="s">
        <v>455</v>
      </c>
      <c r="F106" s="34">
        <v>45</v>
      </c>
      <c r="G106" s="34">
        <v>45</v>
      </c>
      <c r="H106" s="34">
        <v>45</v>
      </c>
      <c r="I106" s="34">
        <v>45</v>
      </c>
      <c r="J106" s="34">
        <v>45</v>
      </c>
      <c r="K106" s="34">
        <v>45</v>
      </c>
      <c r="L106" s="34">
        <v>45</v>
      </c>
      <c r="M106" s="34">
        <v>45</v>
      </c>
      <c r="N106" s="34">
        <v>45</v>
      </c>
      <c r="O106" s="34">
        <v>45</v>
      </c>
      <c r="P106" s="34">
        <v>45</v>
      </c>
      <c r="Q106" s="34">
        <v>45</v>
      </c>
      <c r="R106" s="24">
        <f>SUM(Tabla1[[#This Row],[ENERO ]:[DICIEMBRE]])</f>
        <v>540</v>
      </c>
      <c r="W106" s="65">
        <v>0</v>
      </c>
      <c r="X106" s="21">
        <f>COUNTIF(Tabla1[[#This Row],[ENERO ]:[DICIEMBRE]],0)-(AQ106)-IF(Tabla1[[#This Row],[BAJAS]]="BAJA",IF(Tabla1[[#This Row],[ALTAS]]="ALTA",VLOOKUP(Tabla1[[#This Row],[MES DE ALTA ]],$AT$6:$AU$17,2,FALSE),12)-VLOOKUP(Tabla1[[#This Row],[MES DE BAJA ]],$AT$6:$AU$17,2,FALSE),0)</f>
        <v>0</v>
      </c>
      <c r="Y106" s="69">
        <f>SUM(Tabla1[[#This Row],[MES ADEUDO DE AÑOS PASADOS ]:[MESES DE ADEUDO DEL AÑO EN CURSO ]])</f>
        <v>0</v>
      </c>
      <c r="Z106" s="15">
        <f>IF(Tabla1[[#This Row],[TIPO DE CONSUMIDOR]]="COMPLETO",W106*$T$2,W106*($T$2/2))</f>
        <v>0</v>
      </c>
      <c r="AA106" s="15">
        <f>IF(Tabla1[[#This Row],[TIPO DE CONSUMIDOR]]="COMPLETO",Tabla1[[#This Row],[MESES DE ADEUDO DEL AÑO EN CURSO ]]*$T$2,Tabla1[[#This Row],[MESES DE ADEUDO DEL AÑO EN CURSO ]]*($T$2/2))</f>
        <v>0</v>
      </c>
      <c r="AB106" s="70">
        <f>SUM(Tabla1[[#This Row],[DEUDA DE LOS MESES PASADOS EN $$]:[DEUDA DEL AÑO 2013 $$ ]])</f>
        <v>0</v>
      </c>
      <c r="AE106" s="103">
        <f>IF(Tabla1[[#This Row],[TIPO DE CONSUMIDOR]]="MEDIO",IF(Tabla1[[#This Row],[ENERO ]]&gt;22.5,Tabla1[[#This Row],[ENERO ]]/22.5-1,0),IF(Tabla1[[#This Row],[ENERO ]]&gt;45,Tabla1[[#This Row],[ENERO ]]/45-1,0))</f>
        <v>0</v>
      </c>
      <c r="AF10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6" s="103">
        <f>IF(Tabla1[[#This Row],[TIPO DE CONSUMIDOR]]="MEDIO",IF(Tabla1[[#This Row],[MARZO]]&gt;22.5,Tabla1[[#This Row],[MARZO]]/22.5-1,0),IF(Tabla1[[#This Row],[MARZO]]&gt;45,Tabla1[[#This Row],[MARZO]]/45-1,0))</f>
        <v>0</v>
      </c>
      <c r="AH106" s="103">
        <f>IF(Tabla1[[#This Row],[TIPO DE CONSUMIDOR]]="MEDIO",IF(Tabla1[[#This Row],[ABRIL]]&gt;22.5,Tabla1[[#This Row],[ABRIL]]/22.5-1,0),IF(Tabla1[[#This Row],[ABRIL]]&gt;45,Tabla1[[#This Row],[ABRIL]]/45-1,0))</f>
        <v>0</v>
      </c>
      <c r="AI106" s="103">
        <f>IF(Tabla1[[#This Row],[TIPO DE CONSUMIDOR]]="MEDIO",IF(Tabla1[[#This Row],[MAYO ]]&gt;22.5,Tabla1[[#This Row],[MAYO ]]/22.5-1,0),IF(Tabla1[[#This Row],[MAYO ]]&gt;45,Tabla1[[#This Row],[MAYO ]]/45-1,0))</f>
        <v>0</v>
      </c>
      <c r="AJ106" s="103">
        <f>IF(Tabla1[[#This Row],[TIPO DE CONSUMIDOR]]="MEDIO",IF(Tabla1[[#This Row],[JUNIO ]]&gt;22.5,Tabla1[[#This Row],[JUNIO ]]/22.5-1,0),IF(Tabla1[[#This Row],[JUNIO ]]&gt;45,Tabla1[[#This Row],[JUNIO ]]/45-1,0))</f>
        <v>0</v>
      </c>
      <c r="AK106" s="103">
        <f>IF(Tabla1[[#This Row],[TIPO DE CONSUMIDOR]]="MEDIO",IF(Tabla1[[#This Row],[JULIO ]]&gt;22.5,Tabla1[[#This Row],[JULIO ]]/22.5-1,0),IF(Tabla1[[#This Row],[JULIO ]]&gt;45,Tabla1[[#This Row],[JULIO ]]/45-1,0))</f>
        <v>0</v>
      </c>
      <c r="AL106" s="103">
        <f>IF(Tabla1[[#This Row],[TIPO DE CONSUMIDOR]]="MEDIO",IF(Tabla1[[#This Row],[AGOSTO]]&gt;22.5,Tabla1[[#This Row],[AGOSTO]]/22.5-1,0),IF(Tabla1[[#This Row],[AGOSTO]]&gt;45,Tabla1[[#This Row],[AGOSTO]]/45-1,0))</f>
        <v>0</v>
      </c>
      <c r="AM10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6" s="104">
        <f t="shared" si="4"/>
        <v>0</v>
      </c>
      <c r="AR106" s="9">
        <f t="shared" si="3"/>
        <v>0</v>
      </c>
      <c r="AS106" s="60">
        <f>IF(Tabla1[[#This Row],[MESES DE ADEUDO DEL AÑO EN CURSO ]]&gt;0,1,0)</f>
        <v>0</v>
      </c>
      <c r="AT106" s="42"/>
      <c r="AU106" s="42"/>
      <c r="AV106" s="42"/>
      <c r="AW106" s="43"/>
    </row>
    <row r="107" spans="1:49" ht="21.75" thickBot="1" x14ac:dyDescent="0.35">
      <c r="A107" s="109">
        <v>101</v>
      </c>
      <c r="B107" s="5" t="s">
        <v>144</v>
      </c>
      <c r="C107" s="2" t="s">
        <v>521</v>
      </c>
      <c r="D107" s="32"/>
      <c r="E107" s="35" t="s">
        <v>489</v>
      </c>
      <c r="F107" s="34">
        <v>22.5</v>
      </c>
      <c r="G107" s="34">
        <v>22.5</v>
      </c>
      <c r="H107" s="34">
        <v>22.5</v>
      </c>
      <c r="I107" s="34">
        <v>22.5</v>
      </c>
      <c r="J107" s="34">
        <v>22.5</v>
      </c>
      <c r="K107" s="34">
        <v>22.5</v>
      </c>
      <c r="L107" s="34">
        <v>22.5</v>
      </c>
      <c r="M107" s="34">
        <v>22.5</v>
      </c>
      <c r="N107" s="34">
        <v>22.5</v>
      </c>
      <c r="O107" s="34">
        <v>22.5</v>
      </c>
      <c r="P107" s="34">
        <v>22.5</v>
      </c>
      <c r="Q107" s="34">
        <v>22.5</v>
      </c>
      <c r="R107" s="24">
        <f>SUM(Tabla1[[#This Row],[ENERO ]:[DICIEMBRE]])</f>
        <v>270</v>
      </c>
      <c r="W107" s="65">
        <v>0</v>
      </c>
      <c r="X107" s="21">
        <f>COUNTIF(Tabla1[[#This Row],[ENERO ]:[DICIEMBRE]],0)-(AQ107)-IF(Tabla1[[#This Row],[BAJAS]]="BAJA",IF(Tabla1[[#This Row],[ALTAS]]="ALTA",VLOOKUP(Tabla1[[#This Row],[MES DE ALTA ]],$AT$6:$AU$17,2,FALSE),12)-VLOOKUP(Tabla1[[#This Row],[MES DE BAJA ]],$AT$6:$AU$17,2,FALSE),0)</f>
        <v>0</v>
      </c>
      <c r="Y107" s="69">
        <f>SUM(Tabla1[[#This Row],[MES ADEUDO DE AÑOS PASADOS ]:[MESES DE ADEUDO DEL AÑO EN CURSO ]])</f>
        <v>0</v>
      </c>
      <c r="Z107" s="15">
        <f>IF(Tabla1[[#This Row],[TIPO DE CONSUMIDOR]]="COMPLETO",W107*$T$2,W107*($T$2/2))</f>
        <v>0</v>
      </c>
      <c r="AA107" s="15">
        <f>IF(Tabla1[[#This Row],[TIPO DE CONSUMIDOR]]="COMPLETO",Tabla1[[#This Row],[MESES DE ADEUDO DEL AÑO EN CURSO ]]*$T$2,Tabla1[[#This Row],[MESES DE ADEUDO DEL AÑO EN CURSO ]]*($T$2/2))</f>
        <v>0</v>
      </c>
      <c r="AB107" s="70">
        <f>SUM(Tabla1[[#This Row],[DEUDA DE LOS MESES PASADOS EN $$]:[DEUDA DEL AÑO 2013 $$ ]])</f>
        <v>0</v>
      </c>
      <c r="AE107" s="103">
        <f>IF(Tabla1[[#This Row],[TIPO DE CONSUMIDOR]]="MEDIO",IF(Tabla1[[#This Row],[ENERO ]]&gt;22.5,Tabla1[[#This Row],[ENERO ]]/22.5-1,0),IF(Tabla1[[#This Row],[ENERO ]]&gt;45,Tabla1[[#This Row],[ENERO ]]/45-1,0))</f>
        <v>0</v>
      </c>
      <c r="AF10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7" s="103">
        <f>IF(Tabla1[[#This Row],[TIPO DE CONSUMIDOR]]="MEDIO",IF(Tabla1[[#This Row],[MARZO]]&gt;22.5,Tabla1[[#This Row],[MARZO]]/22.5-1,0),IF(Tabla1[[#This Row],[MARZO]]&gt;45,Tabla1[[#This Row],[MARZO]]/45-1,0))</f>
        <v>0</v>
      </c>
      <c r="AH107" s="103">
        <f>IF(Tabla1[[#This Row],[TIPO DE CONSUMIDOR]]="MEDIO",IF(Tabla1[[#This Row],[ABRIL]]&gt;22.5,Tabla1[[#This Row],[ABRIL]]/22.5-1,0),IF(Tabla1[[#This Row],[ABRIL]]&gt;45,Tabla1[[#This Row],[ABRIL]]/45-1,0))</f>
        <v>0</v>
      </c>
      <c r="AI107" s="103">
        <f>IF(Tabla1[[#This Row],[TIPO DE CONSUMIDOR]]="MEDIO",IF(Tabla1[[#This Row],[MAYO ]]&gt;22.5,Tabla1[[#This Row],[MAYO ]]/22.5-1,0),IF(Tabla1[[#This Row],[MAYO ]]&gt;45,Tabla1[[#This Row],[MAYO ]]/45-1,0))</f>
        <v>0</v>
      </c>
      <c r="AJ107" s="103">
        <f>IF(Tabla1[[#This Row],[TIPO DE CONSUMIDOR]]="MEDIO",IF(Tabla1[[#This Row],[JUNIO ]]&gt;22.5,Tabla1[[#This Row],[JUNIO ]]/22.5-1,0),IF(Tabla1[[#This Row],[JUNIO ]]&gt;45,Tabla1[[#This Row],[JUNIO ]]/45-1,0))</f>
        <v>0</v>
      </c>
      <c r="AK107" s="103">
        <f>IF(Tabla1[[#This Row],[TIPO DE CONSUMIDOR]]="MEDIO",IF(Tabla1[[#This Row],[JULIO ]]&gt;22.5,Tabla1[[#This Row],[JULIO ]]/22.5-1,0),IF(Tabla1[[#This Row],[JULIO ]]&gt;45,Tabla1[[#This Row],[JULIO ]]/45-1,0))</f>
        <v>0</v>
      </c>
      <c r="AL107" s="103">
        <f>IF(Tabla1[[#This Row],[TIPO DE CONSUMIDOR]]="MEDIO",IF(Tabla1[[#This Row],[AGOSTO]]&gt;22.5,Tabla1[[#This Row],[AGOSTO]]/22.5-1,0),IF(Tabla1[[#This Row],[AGOSTO]]&gt;45,Tabla1[[#This Row],[AGOSTO]]/45-1,0))</f>
        <v>0</v>
      </c>
      <c r="AM10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7" s="104">
        <f t="shared" si="4"/>
        <v>0</v>
      </c>
      <c r="AR107" s="9">
        <f t="shared" si="3"/>
        <v>0</v>
      </c>
      <c r="AS107" s="60">
        <f>IF(Tabla1[[#This Row],[MESES DE ADEUDO DEL AÑO EN CURSO ]]&gt;0,1,0)</f>
        <v>0</v>
      </c>
      <c r="AT107" s="42"/>
      <c r="AU107" s="42"/>
      <c r="AV107" s="42"/>
      <c r="AW107" s="43"/>
    </row>
    <row r="108" spans="1:49" ht="21.75" thickBot="1" x14ac:dyDescent="0.35">
      <c r="A108" s="109">
        <v>102</v>
      </c>
      <c r="B108" s="5" t="s">
        <v>139</v>
      </c>
      <c r="C108" s="2" t="s">
        <v>521</v>
      </c>
      <c r="D108" s="32"/>
      <c r="E108" s="35" t="s">
        <v>455</v>
      </c>
      <c r="F108" s="34">
        <v>45</v>
      </c>
      <c r="G108" s="34">
        <v>45</v>
      </c>
      <c r="H108" s="34">
        <v>45</v>
      </c>
      <c r="I108" s="34">
        <v>45</v>
      </c>
      <c r="J108" s="34">
        <v>45</v>
      </c>
      <c r="K108" s="34">
        <v>45</v>
      </c>
      <c r="L108" s="34">
        <v>45</v>
      </c>
      <c r="M108" s="34">
        <v>45</v>
      </c>
      <c r="N108" s="34">
        <v>45</v>
      </c>
      <c r="O108" s="34">
        <v>45</v>
      </c>
      <c r="P108" s="34">
        <v>45</v>
      </c>
      <c r="Q108" s="34">
        <v>45</v>
      </c>
      <c r="R108" s="24">
        <f>SUM(Tabla1[[#This Row],[ENERO ]:[DICIEMBRE]])</f>
        <v>540</v>
      </c>
      <c r="W108" s="65">
        <v>0</v>
      </c>
      <c r="X108" s="21">
        <f>COUNTIF(Tabla1[[#This Row],[ENERO ]:[DICIEMBRE]],0)-(AQ108)-IF(Tabla1[[#This Row],[BAJAS]]="BAJA",IF(Tabla1[[#This Row],[ALTAS]]="ALTA",VLOOKUP(Tabla1[[#This Row],[MES DE ALTA ]],$AT$6:$AU$17,2,FALSE),12)-VLOOKUP(Tabla1[[#This Row],[MES DE BAJA ]],$AT$6:$AU$17,2,FALSE),0)</f>
        <v>0</v>
      </c>
      <c r="Y108" s="69">
        <f>SUM(Tabla1[[#This Row],[MES ADEUDO DE AÑOS PASADOS ]:[MESES DE ADEUDO DEL AÑO EN CURSO ]])</f>
        <v>0</v>
      </c>
      <c r="Z108" s="15">
        <f>IF(Tabla1[[#This Row],[TIPO DE CONSUMIDOR]]="COMPLETO",W108*$T$2,W108*($T$2/2))</f>
        <v>0</v>
      </c>
      <c r="AA108" s="15">
        <f>IF(Tabla1[[#This Row],[TIPO DE CONSUMIDOR]]="COMPLETO",Tabla1[[#This Row],[MESES DE ADEUDO DEL AÑO EN CURSO ]]*$T$2,Tabla1[[#This Row],[MESES DE ADEUDO DEL AÑO EN CURSO ]]*($T$2/2))</f>
        <v>0</v>
      </c>
      <c r="AB108" s="70">
        <f>SUM(Tabla1[[#This Row],[DEUDA DE LOS MESES PASADOS EN $$]:[DEUDA DEL AÑO 2013 $$ ]])</f>
        <v>0</v>
      </c>
      <c r="AE108" s="103">
        <f>IF(Tabla1[[#This Row],[TIPO DE CONSUMIDOR]]="MEDIO",IF(Tabla1[[#This Row],[ENERO ]]&gt;22.5,Tabla1[[#This Row],[ENERO ]]/22.5-1,0),IF(Tabla1[[#This Row],[ENERO ]]&gt;45,Tabla1[[#This Row],[ENERO ]]/45-1,0))</f>
        <v>0</v>
      </c>
      <c r="AF10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8" s="103">
        <f>IF(Tabla1[[#This Row],[TIPO DE CONSUMIDOR]]="MEDIO",IF(Tabla1[[#This Row],[MARZO]]&gt;22.5,Tabla1[[#This Row],[MARZO]]/22.5-1,0),IF(Tabla1[[#This Row],[MARZO]]&gt;45,Tabla1[[#This Row],[MARZO]]/45-1,0))</f>
        <v>0</v>
      </c>
      <c r="AH108" s="103">
        <f>IF(Tabla1[[#This Row],[TIPO DE CONSUMIDOR]]="MEDIO",IF(Tabla1[[#This Row],[ABRIL]]&gt;22.5,Tabla1[[#This Row],[ABRIL]]/22.5-1,0),IF(Tabla1[[#This Row],[ABRIL]]&gt;45,Tabla1[[#This Row],[ABRIL]]/45-1,0))</f>
        <v>0</v>
      </c>
      <c r="AI108" s="103">
        <f>IF(Tabla1[[#This Row],[TIPO DE CONSUMIDOR]]="MEDIO",IF(Tabla1[[#This Row],[MAYO ]]&gt;22.5,Tabla1[[#This Row],[MAYO ]]/22.5-1,0),IF(Tabla1[[#This Row],[MAYO ]]&gt;45,Tabla1[[#This Row],[MAYO ]]/45-1,0))</f>
        <v>0</v>
      </c>
      <c r="AJ108" s="103">
        <f>IF(Tabla1[[#This Row],[TIPO DE CONSUMIDOR]]="MEDIO",IF(Tabla1[[#This Row],[JUNIO ]]&gt;22.5,Tabla1[[#This Row],[JUNIO ]]/22.5-1,0),IF(Tabla1[[#This Row],[JUNIO ]]&gt;45,Tabla1[[#This Row],[JUNIO ]]/45-1,0))</f>
        <v>0</v>
      </c>
      <c r="AK108" s="103">
        <f>IF(Tabla1[[#This Row],[TIPO DE CONSUMIDOR]]="MEDIO",IF(Tabla1[[#This Row],[JULIO ]]&gt;22.5,Tabla1[[#This Row],[JULIO ]]/22.5-1,0),IF(Tabla1[[#This Row],[JULIO ]]&gt;45,Tabla1[[#This Row],[JULIO ]]/45-1,0))</f>
        <v>0</v>
      </c>
      <c r="AL108" s="103">
        <f>IF(Tabla1[[#This Row],[TIPO DE CONSUMIDOR]]="MEDIO",IF(Tabla1[[#This Row],[AGOSTO]]&gt;22.5,Tabla1[[#This Row],[AGOSTO]]/22.5-1,0),IF(Tabla1[[#This Row],[AGOSTO]]&gt;45,Tabla1[[#This Row],[AGOSTO]]/45-1,0))</f>
        <v>0</v>
      </c>
      <c r="AM10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8" s="104">
        <f t="shared" si="4"/>
        <v>0</v>
      </c>
      <c r="AR108" s="9">
        <f t="shared" si="3"/>
        <v>0</v>
      </c>
      <c r="AS108" s="60">
        <f>IF(Tabla1[[#This Row],[MESES DE ADEUDO DEL AÑO EN CURSO ]]&gt;0,1,0)</f>
        <v>0</v>
      </c>
      <c r="AT108" s="42"/>
      <c r="AU108" s="42"/>
      <c r="AV108" s="42"/>
      <c r="AW108" s="43"/>
    </row>
    <row r="109" spans="1:49" ht="21.75" thickBot="1" x14ac:dyDescent="0.35">
      <c r="A109" s="109">
        <v>103</v>
      </c>
      <c r="B109" s="5" t="s">
        <v>522</v>
      </c>
      <c r="C109" s="2" t="s">
        <v>521</v>
      </c>
      <c r="D109" s="32"/>
      <c r="E109" s="35" t="s">
        <v>455</v>
      </c>
      <c r="F109" s="34">
        <v>0</v>
      </c>
      <c r="G109" s="34">
        <v>0</v>
      </c>
      <c r="H109" s="34">
        <v>0</v>
      </c>
      <c r="I109" s="34">
        <v>0</v>
      </c>
      <c r="J109" s="34">
        <v>0</v>
      </c>
      <c r="K109" s="34">
        <v>0</v>
      </c>
      <c r="L109" s="34">
        <v>0</v>
      </c>
      <c r="M109" s="34">
        <v>0</v>
      </c>
      <c r="N109" s="34">
        <v>0</v>
      </c>
      <c r="O109" s="34">
        <v>0</v>
      </c>
      <c r="P109" s="34">
        <v>0</v>
      </c>
      <c r="Q109" s="34">
        <v>0</v>
      </c>
      <c r="R109" s="24">
        <f>SUM(Tabla1[[#This Row],[ENERO ]:[DICIEMBRE]])</f>
        <v>0</v>
      </c>
      <c r="S109" t="s">
        <v>626</v>
      </c>
      <c r="T109" t="s">
        <v>434</v>
      </c>
      <c r="W109" s="65">
        <v>0</v>
      </c>
      <c r="X109" s="21">
        <f>COUNTIF(Tabla1[[#This Row],[ENERO ]:[DICIEMBRE]],0)-(AQ109)-IF(Tabla1[[#This Row],[BAJAS]]="BAJA",IF(Tabla1[[#This Row],[ALTAS]]="ALTA",VLOOKUP(Tabla1[[#This Row],[MES DE ALTA ]],$AT$6:$AU$17,2,FALSE),12)-VLOOKUP(Tabla1[[#This Row],[MES DE BAJA ]],$AT$6:$AU$17,2,FALSE),0)</f>
        <v>0</v>
      </c>
      <c r="Y109" s="69">
        <f>SUM(Tabla1[[#This Row],[MES ADEUDO DE AÑOS PASADOS ]:[MESES DE ADEUDO DEL AÑO EN CURSO ]])</f>
        <v>0</v>
      </c>
      <c r="Z109" s="15">
        <f>IF(Tabla1[[#This Row],[TIPO DE CONSUMIDOR]]="COMPLETO",W109*$T$2,W109*($T$2/2))</f>
        <v>0</v>
      </c>
      <c r="AA109" s="15">
        <f>IF(Tabla1[[#This Row],[TIPO DE CONSUMIDOR]]="COMPLETO",Tabla1[[#This Row],[MESES DE ADEUDO DEL AÑO EN CURSO ]]*$T$2,Tabla1[[#This Row],[MESES DE ADEUDO DEL AÑO EN CURSO ]]*($T$2/2))</f>
        <v>0</v>
      </c>
      <c r="AB109" s="70">
        <f>SUM(Tabla1[[#This Row],[DEUDA DE LOS MESES PASADOS EN $$]:[DEUDA DEL AÑO 2013 $$ ]])</f>
        <v>0</v>
      </c>
      <c r="AE109" s="103">
        <f>IF(Tabla1[[#This Row],[TIPO DE CONSUMIDOR]]="MEDIO",IF(Tabla1[[#This Row],[ENERO ]]&gt;22.5,Tabla1[[#This Row],[ENERO ]]/22.5-1,0),IF(Tabla1[[#This Row],[ENERO ]]&gt;45,Tabla1[[#This Row],[ENERO ]]/45-1,0))</f>
        <v>0</v>
      </c>
      <c r="AF10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09" s="103">
        <f>IF(Tabla1[[#This Row],[TIPO DE CONSUMIDOR]]="MEDIO",IF(Tabla1[[#This Row],[MARZO]]&gt;22.5,Tabla1[[#This Row],[MARZO]]/22.5-1,0),IF(Tabla1[[#This Row],[MARZO]]&gt;45,Tabla1[[#This Row],[MARZO]]/45-1,0))</f>
        <v>0</v>
      </c>
      <c r="AH109" s="103">
        <f>IF(Tabla1[[#This Row],[TIPO DE CONSUMIDOR]]="MEDIO",IF(Tabla1[[#This Row],[ABRIL]]&gt;22.5,Tabla1[[#This Row],[ABRIL]]/22.5-1,0),IF(Tabla1[[#This Row],[ABRIL]]&gt;45,Tabla1[[#This Row],[ABRIL]]/45-1,0))</f>
        <v>0</v>
      </c>
      <c r="AI109" s="103">
        <f>IF(Tabla1[[#This Row],[TIPO DE CONSUMIDOR]]="MEDIO",IF(Tabla1[[#This Row],[MAYO ]]&gt;22.5,Tabla1[[#This Row],[MAYO ]]/22.5-1,0),IF(Tabla1[[#This Row],[MAYO ]]&gt;45,Tabla1[[#This Row],[MAYO ]]/45-1,0))</f>
        <v>0</v>
      </c>
      <c r="AJ109" s="103">
        <f>IF(Tabla1[[#This Row],[TIPO DE CONSUMIDOR]]="MEDIO",IF(Tabla1[[#This Row],[JUNIO ]]&gt;22.5,Tabla1[[#This Row],[JUNIO ]]/22.5-1,0),IF(Tabla1[[#This Row],[JUNIO ]]&gt;45,Tabla1[[#This Row],[JUNIO ]]/45-1,0))</f>
        <v>0</v>
      </c>
      <c r="AK109" s="103">
        <f>IF(Tabla1[[#This Row],[TIPO DE CONSUMIDOR]]="MEDIO",IF(Tabla1[[#This Row],[JULIO ]]&gt;22.5,Tabla1[[#This Row],[JULIO ]]/22.5-1,0),IF(Tabla1[[#This Row],[JULIO ]]&gt;45,Tabla1[[#This Row],[JULIO ]]/45-1,0))</f>
        <v>0</v>
      </c>
      <c r="AL109" s="103">
        <f>IF(Tabla1[[#This Row],[TIPO DE CONSUMIDOR]]="MEDIO",IF(Tabla1[[#This Row],[AGOSTO]]&gt;22.5,Tabla1[[#This Row],[AGOSTO]]/22.5-1,0),IF(Tabla1[[#This Row],[AGOSTO]]&gt;45,Tabla1[[#This Row],[AGOSTO]]/45-1,0))</f>
        <v>0</v>
      </c>
      <c r="AM10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0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0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0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09" s="104">
        <f t="shared" si="4"/>
        <v>0</v>
      </c>
      <c r="AR109" s="9">
        <f t="shared" si="3"/>
        <v>0</v>
      </c>
      <c r="AS109" s="60">
        <f>IF(Tabla1[[#This Row],[MESES DE ADEUDO DEL AÑO EN CURSO ]]&gt;0,1,0)</f>
        <v>0</v>
      </c>
      <c r="AT109" s="42"/>
      <c r="AU109" s="42"/>
      <c r="AV109" s="42"/>
      <c r="AW109" s="43"/>
    </row>
    <row r="110" spans="1:49" ht="21.75" thickBot="1" x14ac:dyDescent="0.35">
      <c r="A110" s="109">
        <v>104</v>
      </c>
      <c r="B110" s="5" t="s">
        <v>238</v>
      </c>
      <c r="C110" s="2" t="s">
        <v>521</v>
      </c>
      <c r="D110" s="32"/>
      <c r="E110" s="35" t="s">
        <v>455</v>
      </c>
      <c r="F110" s="34">
        <v>45</v>
      </c>
      <c r="G110" s="34">
        <v>45</v>
      </c>
      <c r="H110" s="34">
        <v>45</v>
      </c>
      <c r="I110" s="34">
        <v>45</v>
      </c>
      <c r="J110" s="34">
        <v>45</v>
      </c>
      <c r="K110" s="34">
        <v>45</v>
      </c>
      <c r="L110" s="34">
        <v>45</v>
      </c>
      <c r="M110" s="34">
        <v>45</v>
      </c>
      <c r="N110" s="34">
        <v>45</v>
      </c>
      <c r="O110" s="34">
        <v>45</v>
      </c>
      <c r="P110" s="34">
        <v>45</v>
      </c>
      <c r="Q110" s="34">
        <v>45</v>
      </c>
      <c r="R110" s="24">
        <f>SUM(Tabla1[[#This Row],[ENERO ]:[DICIEMBRE]])</f>
        <v>540</v>
      </c>
      <c r="W110" s="65">
        <v>0</v>
      </c>
      <c r="X110" s="21">
        <f>COUNTIF(Tabla1[[#This Row],[ENERO ]:[DICIEMBRE]],0)-(AQ110)-IF(Tabla1[[#This Row],[BAJAS]]="BAJA",IF(Tabla1[[#This Row],[ALTAS]]="ALTA",VLOOKUP(Tabla1[[#This Row],[MES DE ALTA ]],$AT$6:$AU$17,2,FALSE),12)-VLOOKUP(Tabla1[[#This Row],[MES DE BAJA ]],$AT$6:$AU$17,2,FALSE),0)</f>
        <v>0</v>
      </c>
      <c r="Y110" s="69">
        <f>SUM(Tabla1[[#This Row],[MES ADEUDO DE AÑOS PASADOS ]:[MESES DE ADEUDO DEL AÑO EN CURSO ]])</f>
        <v>0</v>
      </c>
      <c r="Z110" s="15">
        <f>IF(Tabla1[[#This Row],[TIPO DE CONSUMIDOR]]="COMPLETO",W110*$T$2,W110*($T$2/2))</f>
        <v>0</v>
      </c>
      <c r="AA110" s="15">
        <f>IF(Tabla1[[#This Row],[TIPO DE CONSUMIDOR]]="COMPLETO",Tabla1[[#This Row],[MESES DE ADEUDO DEL AÑO EN CURSO ]]*$T$2,Tabla1[[#This Row],[MESES DE ADEUDO DEL AÑO EN CURSO ]]*($T$2/2))</f>
        <v>0</v>
      </c>
      <c r="AB110" s="70">
        <f>SUM(Tabla1[[#This Row],[DEUDA DE LOS MESES PASADOS EN $$]:[DEUDA DEL AÑO 2013 $$ ]])</f>
        <v>0</v>
      </c>
      <c r="AE110" s="103">
        <f>IF(Tabla1[[#This Row],[TIPO DE CONSUMIDOR]]="MEDIO",IF(Tabla1[[#This Row],[ENERO ]]&gt;22.5,Tabla1[[#This Row],[ENERO ]]/22.5-1,0),IF(Tabla1[[#This Row],[ENERO ]]&gt;45,Tabla1[[#This Row],[ENERO ]]/45-1,0))</f>
        <v>0</v>
      </c>
      <c r="AF11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0" s="103">
        <f>IF(Tabla1[[#This Row],[TIPO DE CONSUMIDOR]]="MEDIO",IF(Tabla1[[#This Row],[MARZO]]&gt;22.5,Tabla1[[#This Row],[MARZO]]/22.5-1,0),IF(Tabla1[[#This Row],[MARZO]]&gt;45,Tabla1[[#This Row],[MARZO]]/45-1,0))</f>
        <v>0</v>
      </c>
      <c r="AH110" s="103">
        <f>IF(Tabla1[[#This Row],[TIPO DE CONSUMIDOR]]="MEDIO",IF(Tabla1[[#This Row],[ABRIL]]&gt;22.5,Tabla1[[#This Row],[ABRIL]]/22.5-1,0),IF(Tabla1[[#This Row],[ABRIL]]&gt;45,Tabla1[[#This Row],[ABRIL]]/45-1,0))</f>
        <v>0</v>
      </c>
      <c r="AI110" s="103">
        <f>IF(Tabla1[[#This Row],[TIPO DE CONSUMIDOR]]="MEDIO",IF(Tabla1[[#This Row],[MAYO ]]&gt;22.5,Tabla1[[#This Row],[MAYO ]]/22.5-1,0),IF(Tabla1[[#This Row],[MAYO ]]&gt;45,Tabla1[[#This Row],[MAYO ]]/45-1,0))</f>
        <v>0</v>
      </c>
      <c r="AJ110" s="103">
        <f>IF(Tabla1[[#This Row],[TIPO DE CONSUMIDOR]]="MEDIO",IF(Tabla1[[#This Row],[JUNIO ]]&gt;22.5,Tabla1[[#This Row],[JUNIO ]]/22.5-1,0),IF(Tabla1[[#This Row],[JUNIO ]]&gt;45,Tabla1[[#This Row],[JUNIO ]]/45-1,0))</f>
        <v>0</v>
      </c>
      <c r="AK110" s="103">
        <f>IF(Tabla1[[#This Row],[TIPO DE CONSUMIDOR]]="MEDIO",IF(Tabla1[[#This Row],[JULIO ]]&gt;22.5,Tabla1[[#This Row],[JULIO ]]/22.5-1,0),IF(Tabla1[[#This Row],[JULIO ]]&gt;45,Tabla1[[#This Row],[JULIO ]]/45-1,0))</f>
        <v>0</v>
      </c>
      <c r="AL110" s="103">
        <f>IF(Tabla1[[#This Row],[TIPO DE CONSUMIDOR]]="MEDIO",IF(Tabla1[[#This Row],[AGOSTO]]&gt;22.5,Tabla1[[#This Row],[AGOSTO]]/22.5-1,0),IF(Tabla1[[#This Row],[AGOSTO]]&gt;45,Tabla1[[#This Row],[AGOSTO]]/45-1,0))</f>
        <v>0</v>
      </c>
      <c r="AM11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0" s="104">
        <f t="shared" si="4"/>
        <v>0</v>
      </c>
      <c r="AR110" s="9">
        <f t="shared" si="3"/>
        <v>0</v>
      </c>
      <c r="AS110" s="60">
        <f>IF(Tabla1[[#This Row],[MESES DE ADEUDO DEL AÑO EN CURSO ]]&gt;0,1,0)</f>
        <v>0</v>
      </c>
      <c r="AT110" s="42"/>
      <c r="AU110" s="42"/>
      <c r="AV110" s="42"/>
      <c r="AW110" s="43"/>
    </row>
    <row r="111" spans="1:49" ht="21.75" thickBot="1" x14ac:dyDescent="0.35">
      <c r="A111" s="109">
        <v>105</v>
      </c>
      <c r="B111" s="5" t="s">
        <v>373</v>
      </c>
      <c r="C111" s="2" t="s">
        <v>521</v>
      </c>
      <c r="D111" s="32"/>
      <c r="E111" s="35" t="s">
        <v>455</v>
      </c>
      <c r="F111" s="34">
        <v>45</v>
      </c>
      <c r="G111" s="34">
        <v>45</v>
      </c>
      <c r="H111" s="34">
        <v>45</v>
      </c>
      <c r="I111" s="34">
        <v>45</v>
      </c>
      <c r="J111" s="34">
        <v>45</v>
      </c>
      <c r="K111" s="34">
        <v>45</v>
      </c>
      <c r="L111" s="34">
        <v>45</v>
      </c>
      <c r="M111" s="34">
        <v>45</v>
      </c>
      <c r="N111" s="34">
        <v>45</v>
      </c>
      <c r="O111" s="34">
        <v>45</v>
      </c>
      <c r="P111" s="34">
        <v>45</v>
      </c>
      <c r="Q111" s="34">
        <v>45</v>
      </c>
      <c r="R111" s="24">
        <f>SUM(Tabla1[[#This Row],[ENERO ]:[DICIEMBRE]])</f>
        <v>540</v>
      </c>
      <c r="W111" s="65">
        <v>0</v>
      </c>
      <c r="X111" s="21">
        <f>COUNTIF(Tabla1[[#This Row],[ENERO ]:[DICIEMBRE]],0)-(AQ111)-IF(Tabla1[[#This Row],[BAJAS]]="BAJA",IF(Tabla1[[#This Row],[ALTAS]]="ALTA",VLOOKUP(Tabla1[[#This Row],[MES DE ALTA ]],$AT$6:$AU$17,2,FALSE),12)-VLOOKUP(Tabla1[[#This Row],[MES DE BAJA ]],$AT$6:$AU$17,2,FALSE),0)</f>
        <v>0</v>
      </c>
      <c r="Y111" s="69">
        <f>SUM(Tabla1[[#This Row],[MES ADEUDO DE AÑOS PASADOS ]:[MESES DE ADEUDO DEL AÑO EN CURSO ]])</f>
        <v>0</v>
      </c>
      <c r="Z111" s="15">
        <f>IF(Tabla1[[#This Row],[TIPO DE CONSUMIDOR]]="COMPLETO",W111*$T$2,W111*($T$2/2))</f>
        <v>0</v>
      </c>
      <c r="AA111" s="15">
        <f>IF(Tabla1[[#This Row],[TIPO DE CONSUMIDOR]]="COMPLETO",Tabla1[[#This Row],[MESES DE ADEUDO DEL AÑO EN CURSO ]]*$T$2,Tabla1[[#This Row],[MESES DE ADEUDO DEL AÑO EN CURSO ]]*($T$2/2))</f>
        <v>0</v>
      </c>
      <c r="AB111" s="70">
        <f>SUM(Tabla1[[#This Row],[DEUDA DE LOS MESES PASADOS EN $$]:[DEUDA DEL AÑO 2013 $$ ]])</f>
        <v>0</v>
      </c>
      <c r="AE111" s="103">
        <f>IF(Tabla1[[#This Row],[TIPO DE CONSUMIDOR]]="MEDIO",IF(Tabla1[[#This Row],[ENERO ]]&gt;22.5,Tabla1[[#This Row],[ENERO ]]/22.5-1,0),IF(Tabla1[[#This Row],[ENERO ]]&gt;45,Tabla1[[#This Row],[ENERO ]]/45-1,0))</f>
        <v>0</v>
      </c>
      <c r="AF11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1" s="103">
        <f>IF(Tabla1[[#This Row],[TIPO DE CONSUMIDOR]]="MEDIO",IF(Tabla1[[#This Row],[MARZO]]&gt;22.5,Tabla1[[#This Row],[MARZO]]/22.5-1,0),IF(Tabla1[[#This Row],[MARZO]]&gt;45,Tabla1[[#This Row],[MARZO]]/45-1,0))</f>
        <v>0</v>
      </c>
      <c r="AH111" s="103">
        <f>IF(Tabla1[[#This Row],[TIPO DE CONSUMIDOR]]="MEDIO",IF(Tabla1[[#This Row],[ABRIL]]&gt;22.5,Tabla1[[#This Row],[ABRIL]]/22.5-1,0),IF(Tabla1[[#This Row],[ABRIL]]&gt;45,Tabla1[[#This Row],[ABRIL]]/45-1,0))</f>
        <v>0</v>
      </c>
      <c r="AI111" s="103">
        <f>IF(Tabla1[[#This Row],[TIPO DE CONSUMIDOR]]="MEDIO",IF(Tabla1[[#This Row],[MAYO ]]&gt;22.5,Tabla1[[#This Row],[MAYO ]]/22.5-1,0),IF(Tabla1[[#This Row],[MAYO ]]&gt;45,Tabla1[[#This Row],[MAYO ]]/45-1,0))</f>
        <v>0</v>
      </c>
      <c r="AJ111" s="103">
        <f>IF(Tabla1[[#This Row],[TIPO DE CONSUMIDOR]]="MEDIO",IF(Tabla1[[#This Row],[JUNIO ]]&gt;22.5,Tabla1[[#This Row],[JUNIO ]]/22.5-1,0),IF(Tabla1[[#This Row],[JUNIO ]]&gt;45,Tabla1[[#This Row],[JUNIO ]]/45-1,0))</f>
        <v>0</v>
      </c>
      <c r="AK111" s="103">
        <f>IF(Tabla1[[#This Row],[TIPO DE CONSUMIDOR]]="MEDIO",IF(Tabla1[[#This Row],[JULIO ]]&gt;22.5,Tabla1[[#This Row],[JULIO ]]/22.5-1,0),IF(Tabla1[[#This Row],[JULIO ]]&gt;45,Tabla1[[#This Row],[JULIO ]]/45-1,0))</f>
        <v>0</v>
      </c>
      <c r="AL111" s="103">
        <f>IF(Tabla1[[#This Row],[TIPO DE CONSUMIDOR]]="MEDIO",IF(Tabla1[[#This Row],[AGOSTO]]&gt;22.5,Tabla1[[#This Row],[AGOSTO]]/22.5-1,0),IF(Tabla1[[#This Row],[AGOSTO]]&gt;45,Tabla1[[#This Row],[AGOSTO]]/45-1,0))</f>
        <v>0</v>
      </c>
      <c r="AM11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1" s="104">
        <f t="shared" si="4"/>
        <v>0</v>
      </c>
      <c r="AR111" s="9">
        <f t="shared" si="3"/>
        <v>0</v>
      </c>
      <c r="AS111" s="60">
        <f>IF(Tabla1[[#This Row],[MESES DE ADEUDO DEL AÑO EN CURSO ]]&gt;0,1,0)</f>
        <v>0</v>
      </c>
      <c r="AT111" s="42"/>
      <c r="AU111" s="42"/>
      <c r="AV111" s="42"/>
      <c r="AW111" s="43"/>
    </row>
    <row r="112" spans="1:49" ht="21.75" thickBot="1" x14ac:dyDescent="0.35">
      <c r="A112" s="109">
        <v>106</v>
      </c>
      <c r="B112" s="5" t="s">
        <v>377</v>
      </c>
      <c r="C112" s="2" t="s">
        <v>521</v>
      </c>
      <c r="D112" s="32"/>
      <c r="E112" s="35" t="s">
        <v>455</v>
      </c>
      <c r="F112" s="34">
        <v>45</v>
      </c>
      <c r="G112" s="34">
        <v>45</v>
      </c>
      <c r="H112" s="34">
        <v>45</v>
      </c>
      <c r="I112" s="34">
        <v>45</v>
      </c>
      <c r="J112" s="34">
        <v>45</v>
      </c>
      <c r="K112" s="34">
        <v>45</v>
      </c>
      <c r="L112" s="34">
        <v>45</v>
      </c>
      <c r="M112" s="34">
        <v>45</v>
      </c>
      <c r="N112" s="34">
        <v>45</v>
      </c>
      <c r="O112" s="34">
        <v>45</v>
      </c>
      <c r="P112" s="34">
        <v>45</v>
      </c>
      <c r="Q112" s="34">
        <v>45</v>
      </c>
      <c r="R112" s="24">
        <f>SUM(Tabla1[[#This Row],[ENERO ]:[DICIEMBRE]])</f>
        <v>540</v>
      </c>
      <c r="W112" s="65">
        <v>0</v>
      </c>
      <c r="X112" s="21">
        <f>COUNTIF(Tabla1[[#This Row],[ENERO ]:[DICIEMBRE]],0)-(AQ112)-IF(Tabla1[[#This Row],[BAJAS]]="BAJA",IF(Tabla1[[#This Row],[ALTAS]]="ALTA",VLOOKUP(Tabla1[[#This Row],[MES DE ALTA ]],$AT$6:$AU$17,2,FALSE),12)-VLOOKUP(Tabla1[[#This Row],[MES DE BAJA ]],$AT$6:$AU$17,2,FALSE),0)</f>
        <v>0</v>
      </c>
      <c r="Y112" s="69">
        <f>SUM(Tabla1[[#This Row],[MES ADEUDO DE AÑOS PASADOS ]:[MESES DE ADEUDO DEL AÑO EN CURSO ]])</f>
        <v>0</v>
      </c>
      <c r="Z112" s="15">
        <f>IF(Tabla1[[#This Row],[TIPO DE CONSUMIDOR]]="COMPLETO",W112*$T$2,W112*($T$2/2))</f>
        <v>0</v>
      </c>
      <c r="AA112" s="15">
        <f>IF(Tabla1[[#This Row],[TIPO DE CONSUMIDOR]]="COMPLETO",Tabla1[[#This Row],[MESES DE ADEUDO DEL AÑO EN CURSO ]]*$T$2,Tabla1[[#This Row],[MESES DE ADEUDO DEL AÑO EN CURSO ]]*($T$2/2))</f>
        <v>0</v>
      </c>
      <c r="AB112" s="70">
        <f>SUM(Tabla1[[#This Row],[DEUDA DE LOS MESES PASADOS EN $$]:[DEUDA DEL AÑO 2013 $$ ]])</f>
        <v>0</v>
      </c>
      <c r="AE112" s="103">
        <f>IF(Tabla1[[#This Row],[TIPO DE CONSUMIDOR]]="MEDIO",IF(Tabla1[[#This Row],[ENERO ]]&gt;22.5,Tabla1[[#This Row],[ENERO ]]/22.5-1,0),IF(Tabla1[[#This Row],[ENERO ]]&gt;45,Tabla1[[#This Row],[ENERO ]]/45-1,0))</f>
        <v>0</v>
      </c>
      <c r="AF11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2" s="103">
        <f>IF(Tabla1[[#This Row],[TIPO DE CONSUMIDOR]]="MEDIO",IF(Tabla1[[#This Row],[MARZO]]&gt;22.5,Tabla1[[#This Row],[MARZO]]/22.5-1,0),IF(Tabla1[[#This Row],[MARZO]]&gt;45,Tabla1[[#This Row],[MARZO]]/45-1,0))</f>
        <v>0</v>
      </c>
      <c r="AH112" s="103">
        <f>IF(Tabla1[[#This Row],[TIPO DE CONSUMIDOR]]="MEDIO",IF(Tabla1[[#This Row],[ABRIL]]&gt;22.5,Tabla1[[#This Row],[ABRIL]]/22.5-1,0),IF(Tabla1[[#This Row],[ABRIL]]&gt;45,Tabla1[[#This Row],[ABRIL]]/45-1,0))</f>
        <v>0</v>
      </c>
      <c r="AI112" s="103">
        <f>IF(Tabla1[[#This Row],[TIPO DE CONSUMIDOR]]="MEDIO",IF(Tabla1[[#This Row],[MAYO ]]&gt;22.5,Tabla1[[#This Row],[MAYO ]]/22.5-1,0),IF(Tabla1[[#This Row],[MAYO ]]&gt;45,Tabla1[[#This Row],[MAYO ]]/45-1,0))</f>
        <v>0</v>
      </c>
      <c r="AJ112" s="103">
        <f>IF(Tabla1[[#This Row],[TIPO DE CONSUMIDOR]]="MEDIO",IF(Tabla1[[#This Row],[JUNIO ]]&gt;22.5,Tabla1[[#This Row],[JUNIO ]]/22.5-1,0),IF(Tabla1[[#This Row],[JUNIO ]]&gt;45,Tabla1[[#This Row],[JUNIO ]]/45-1,0))</f>
        <v>0</v>
      </c>
      <c r="AK112" s="103">
        <f>IF(Tabla1[[#This Row],[TIPO DE CONSUMIDOR]]="MEDIO",IF(Tabla1[[#This Row],[JULIO ]]&gt;22.5,Tabla1[[#This Row],[JULIO ]]/22.5-1,0),IF(Tabla1[[#This Row],[JULIO ]]&gt;45,Tabla1[[#This Row],[JULIO ]]/45-1,0))</f>
        <v>0</v>
      </c>
      <c r="AL112" s="103">
        <f>IF(Tabla1[[#This Row],[TIPO DE CONSUMIDOR]]="MEDIO",IF(Tabla1[[#This Row],[AGOSTO]]&gt;22.5,Tabla1[[#This Row],[AGOSTO]]/22.5-1,0),IF(Tabla1[[#This Row],[AGOSTO]]&gt;45,Tabla1[[#This Row],[AGOSTO]]/45-1,0))</f>
        <v>0</v>
      </c>
      <c r="AM11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2" s="104">
        <f t="shared" si="4"/>
        <v>0</v>
      </c>
      <c r="AR112" s="9">
        <f t="shared" si="3"/>
        <v>0</v>
      </c>
      <c r="AS112" s="60">
        <f>IF(Tabla1[[#This Row],[MESES DE ADEUDO DEL AÑO EN CURSO ]]&gt;0,1,0)</f>
        <v>0</v>
      </c>
      <c r="AT112" s="42"/>
      <c r="AU112" s="42"/>
      <c r="AV112" s="42"/>
      <c r="AW112" s="43"/>
    </row>
    <row r="113" spans="1:49" ht="21.75" thickBot="1" x14ac:dyDescent="0.35">
      <c r="A113" s="109">
        <v>107</v>
      </c>
      <c r="B113" s="5" t="s">
        <v>523</v>
      </c>
      <c r="C113" s="2" t="s">
        <v>521</v>
      </c>
      <c r="D113" s="32"/>
      <c r="E113" s="35" t="s">
        <v>455</v>
      </c>
      <c r="F113" s="34">
        <v>0</v>
      </c>
      <c r="G113" s="34">
        <v>0</v>
      </c>
      <c r="H113" s="34">
        <v>0</v>
      </c>
      <c r="I113" s="34">
        <v>0</v>
      </c>
      <c r="J113" s="34">
        <v>0</v>
      </c>
      <c r="K113" s="34">
        <v>0</v>
      </c>
      <c r="L113" s="34">
        <v>0</v>
      </c>
      <c r="M113" s="34">
        <v>0</v>
      </c>
      <c r="N113" s="34">
        <v>0</v>
      </c>
      <c r="O113" s="34">
        <v>0</v>
      </c>
      <c r="P113" s="34">
        <v>0</v>
      </c>
      <c r="Q113" s="34">
        <v>0</v>
      </c>
      <c r="R113" s="24">
        <f>SUM(Tabla1[[#This Row],[ENERO ]:[DICIEMBRE]])</f>
        <v>0</v>
      </c>
      <c r="S113" t="s">
        <v>626</v>
      </c>
      <c r="T113" t="s">
        <v>434</v>
      </c>
      <c r="W113" s="65">
        <v>0</v>
      </c>
      <c r="X113" s="21">
        <f>COUNTIF(Tabla1[[#This Row],[ENERO ]:[DICIEMBRE]],0)-(AQ113)-IF(Tabla1[[#This Row],[BAJAS]]="BAJA",IF(Tabla1[[#This Row],[ALTAS]]="ALTA",VLOOKUP(Tabla1[[#This Row],[MES DE ALTA ]],$AT$6:$AU$17,2,FALSE),12)-VLOOKUP(Tabla1[[#This Row],[MES DE BAJA ]],$AT$6:$AU$17,2,FALSE),0)</f>
        <v>0</v>
      </c>
      <c r="Y113" s="69">
        <f>SUM(Tabla1[[#This Row],[MES ADEUDO DE AÑOS PASADOS ]:[MESES DE ADEUDO DEL AÑO EN CURSO ]])</f>
        <v>0</v>
      </c>
      <c r="Z113" s="15">
        <f>IF(Tabla1[[#This Row],[TIPO DE CONSUMIDOR]]="COMPLETO",W113*$T$2,W113*($T$2/2))</f>
        <v>0</v>
      </c>
      <c r="AA113" s="15">
        <f>IF(Tabla1[[#This Row],[TIPO DE CONSUMIDOR]]="COMPLETO",Tabla1[[#This Row],[MESES DE ADEUDO DEL AÑO EN CURSO ]]*$T$2,Tabla1[[#This Row],[MESES DE ADEUDO DEL AÑO EN CURSO ]]*($T$2/2))</f>
        <v>0</v>
      </c>
      <c r="AB113" s="70">
        <f>SUM(Tabla1[[#This Row],[DEUDA DE LOS MESES PASADOS EN $$]:[DEUDA DEL AÑO 2013 $$ ]])</f>
        <v>0</v>
      </c>
      <c r="AE113" s="103">
        <f>IF(Tabla1[[#This Row],[TIPO DE CONSUMIDOR]]="MEDIO",IF(Tabla1[[#This Row],[ENERO ]]&gt;22.5,Tabla1[[#This Row],[ENERO ]]/22.5-1,0),IF(Tabla1[[#This Row],[ENERO ]]&gt;45,Tabla1[[#This Row],[ENERO ]]/45-1,0))</f>
        <v>0</v>
      </c>
      <c r="AF11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3" s="103">
        <f>IF(Tabla1[[#This Row],[TIPO DE CONSUMIDOR]]="MEDIO",IF(Tabla1[[#This Row],[MARZO]]&gt;22.5,Tabla1[[#This Row],[MARZO]]/22.5-1,0),IF(Tabla1[[#This Row],[MARZO]]&gt;45,Tabla1[[#This Row],[MARZO]]/45-1,0))</f>
        <v>0</v>
      </c>
      <c r="AH113" s="103">
        <f>IF(Tabla1[[#This Row],[TIPO DE CONSUMIDOR]]="MEDIO",IF(Tabla1[[#This Row],[ABRIL]]&gt;22.5,Tabla1[[#This Row],[ABRIL]]/22.5-1,0),IF(Tabla1[[#This Row],[ABRIL]]&gt;45,Tabla1[[#This Row],[ABRIL]]/45-1,0))</f>
        <v>0</v>
      </c>
      <c r="AI113" s="103">
        <f>IF(Tabla1[[#This Row],[TIPO DE CONSUMIDOR]]="MEDIO",IF(Tabla1[[#This Row],[MAYO ]]&gt;22.5,Tabla1[[#This Row],[MAYO ]]/22.5-1,0),IF(Tabla1[[#This Row],[MAYO ]]&gt;45,Tabla1[[#This Row],[MAYO ]]/45-1,0))</f>
        <v>0</v>
      </c>
      <c r="AJ113" s="103">
        <f>IF(Tabla1[[#This Row],[TIPO DE CONSUMIDOR]]="MEDIO",IF(Tabla1[[#This Row],[JUNIO ]]&gt;22.5,Tabla1[[#This Row],[JUNIO ]]/22.5-1,0),IF(Tabla1[[#This Row],[JUNIO ]]&gt;45,Tabla1[[#This Row],[JUNIO ]]/45-1,0))</f>
        <v>0</v>
      </c>
      <c r="AK113" s="103">
        <f>IF(Tabla1[[#This Row],[TIPO DE CONSUMIDOR]]="MEDIO",IF(Tabla1[[#This Row],[JULIO ]]&gt;22.5,Tabla1[[#This Row],[JULIO ]]/22.5-1,0),IF(Tabla1[[#This Row],[JULIO ]]&gt;45,Tabla1[[#This Row],[JULIO ]]/45-1,0))</f>
        <v>0</v>
      </c>
      <c r="AL113" s="103">
        <f>IF(Tabla1[[#This Row],[TIPO DE CONSUMIDOR]]="MEDIO",IF(Tabla1[[#This Row],[AGOSTO]]&gt;22.5,Tabla1[[#This Row],[AGOSTO]]/22.5-1,0),IF(Tabla1[[#This Row],[AGOSTO]]&gt;45,Tabla1[[#This Row],[AGOSTO]]/45-1,0))</f>
        <v>0</v>
      </c>
      <c r="AM11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3" s="104">
        <f t="shared" si="4"/>
        <v>0</v>
      </c>
      <c r="AR113" s="9">
        <f t="shared" si="3"/>
        <v>0</v>
      </c>
      <c r="AS113" s="60">
        <f>IF(Tabla1[[#This Row],[MESES DE ADEUDO DEL AÑO EN CURSO ]]&gt;0,1,0)</f>
        <v>0</v>
      </c>
      <c r="AT113" s="42"/>
      <c r="AU113" s="42"/>
      <c r="AV113" s="42"/>
      <c r="AW113" s="43"/>
    </row>
    <row r="114" spans="1:49" ht="21.75" thickBot="1" x14ac:dyDescent="0.35">
      <c r="A114" s="109">
        <v>108</v>
      </c>
      <c r="B114" s="5" t="s">
        <v>526</v>
      </c>
      <c r="C114" s="2" t="s">
        <v>524</v>
      </c>
      <c r="D114" s="32"/>
      <c r="E114" s="35" t="s">
        <v>455</v>
      </c>
      <c r="F114" s="34">
        <v>0</v>
      </c>
      <c r="G114" s="34">
        <v>0</v>
      </c>
      <c r="H114" s="34">
        <v>0</v>
      </c>
      <c r="I114" s="34">
        <v>0</v>
      </c>
      <c r="J114" s="34">
        <v>0</v>
      </c>
      <c r="K114" s="34">
        <v>0</v>
      </c>
      <c r="L114" s="34">
        <v>0</v>
      </c>
      <c r="M114" s="34">
        <v>0</v>
      </c>
      <c r="N114" s="34">
        <v>0</v>
      </c>
      <c r="O114" s="34">
        <v>0</v>
      </c>
      <c r="P114" s="34">
        <v>0</v>
      </c>
      <c r="Q114" s="34">
        <v>0</v>
      </c>
      <c r="R114" s="24">
        <f>SUM(Tabla1[[#This Row],[ENERO ]:[DICIEMBRE]])</f>
        <v>0</v>
      </c>
      <c r="S114" t="s">
        <v>626</v>
      </c>
      <c r="T114" t="s">
        <v>434</v>
      </c>
      <c r="W114" s="65">
        <v>0</v>
      </c>
      <c r="X114" s="21">
        <f>COUNTIF(Tabla1[[#This Row],[ENERO ]:[DICIEMBRE]],0)-(AQ114)-IF(Tabla1[[#This Row],[BAJAS]]="BAJA",IF(Tabla1[[#This Row],[ALTAS]]="ALTA",VLOOKUP(Tabla1[[#This Row],[MES DE ALTA ]],$AT$6:$AU$17,2,FALSE),12)-VLOOKUP(Tabla1[[#This Row],[MES DE BAJA ]],$AT$6:$AU$17,2,FALSE),0)</f>
        <v>0</v>
      </c>
      <c r="Y114" s="69">
        <f>SUM(Tabla1[[#This Row],[MES ADEUDO DE AÑOS PASADOS ]:[MESES DE ADEUDO DEL AÑO EN CURSO ]])</f>
        <v>0</v>
      </c>
      <c r="Z114" s="15">
        <f>IF(Tabla1[[#This Row],[TIPO DE CONSUMIDOR]]="COMPLETO",W114*$T$2,W114*($T$2/2))</f>
        <v>0</v>
      </c>
      <c r="AA114" s="15">
        <f>IF(Tabla1[[#This Row],[TIPO DE CONSUMIDOR]]="COMPLETO",Tabla1[[#This Row],[MESES DE ADEUDO DEL AÑO EN CURSO ]]*$T$2,Tabla1[[#This Row],[MESES DE ADEUDO DEL AÑO EN CURSO ]]*($T$2/2))</f>
        <v>0</v>
      </c>
      <c r="AB114" s="70">
        <f>SUM(Tabla1[[#This Row],[DEUDA DE LOS MESES PASADOS EN $$]:[DEUDA DEL AÑO 2013 $$ ]])</f>
        <v>0</v>
      </c>
      <c r="AE114" s="103">
        <f>IF(Tabla1[[#This Row],[TIPO DE CONSUMIDOR]]="MEDIO",IF(Tabla1[[#This Row],[ENERO ]]&gt;22.5,Tabla1[[#This Row],[ENERO ]]/22.5-1,0),IF(Tabla1[[#This Row],[ENERO ]]&gt;45,Tabla1[[#This Row],[ENERO ]]/45-1,0))</f>
        <v>0</v>
      </c>
      <c r="AF11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4" s="103">
        <f>IF(Tabla1[[#This Row],[TIPO DE CONSUMIDOR]]="MEDIO",IF(Tabla1[[#This Row],[MARZO]]&gt;22.5,Tabla1[[#This Row],[MARZO]]/22.5-1,0),IF(Tabla1[[#This Row],[MARZO]]&gt;45,Tabla1[[#This Row],[MARZO]]/45-1,0))</f>
        <v>0</v>
      </c>
      <c r="AH114" s="103">
        <f>IF(Tabla1[[#This Row],[TIPO DE CONSUMIDOR]]="MEDIO",IF(Tabla1[[#This Row],[ABRIL]]&gt;22.5,Tabla1[[#This Row],[ABRIL]]/22.5-1,0),IF(Tabla1[[#This Row],[ABRIL]]&gt;45,Tabla1[[#This Row],[ABRIL]]/45-1,0))</f>
        <v>0</v>
      </c>
      <c r="AI114" s="103">
        <f>IF(Tabla1[[#This Row],[TIPO DE CONSUMIDOR]]="MEDIO",IF(Tabla1[[#This Row],[MAYO ]]&gt;22.5,Tabla1[[#This Row],[MAYO ]]/22.5-1,0),IF(Tabla1[[#This Row],[MAYO ]]&gt;45,Tabla1[[#This Row],[MAYO ]]/45-1,0))</f>
        <v>0</v>
      </c>
      <c r="AJ114" s="103">
        <f>IF(Tabla1[[#This Row],[TIPO DE CONSUMIDOR]]="MEDIO",IF(Tabla1[[#This Row],[JUNIO ]]&gt;22.5,Tabla1[[#This Row],[JUNIO ]]/22.5-1,0),IF(Tabla1[[#This Row],[JUNIO ]]&gt;45,Tabla1[[#This Row],[JUNIO ]]/45-1,0))</f>
        <v>0</v>
      </c>
      <c r="AK114" s="103">
        <f>IF(Tabla1[[#This Row],[TIPO DE CONSUMIDOR]]="MEDIO",IF(Tabla1[[#This Row],[JULIO ]]&gt;22.5,Tabla1[[#This Row],[JULIO ]]/22.5-1,0),IF(Tabla1[[#This Row],[JULIO ]]&gt;45,Tabla1[[#This Row],[JULIO ]]/45-1,0))</f>
        <v>0</v>
      </c>
      <c r="AL114" s="103">
        <f>IF(Tabla1[[#This Row],[TIPO DE CONSUMIDOR]]="MEDIO",IF(Tabla1[[#This Row],[AGOSTO]]&gt;22.5,Tabla1[[#This Row],[AGOSTO]]/22.5-1,0),IF(Tabla1[[#This Row],[AGOSTO]]&gt;45,Tabla1[[#This Row],[AGOSTO]]/45-1,0))</f>
        <v>0</v>
      </c>
      <c r="AM11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4" s="104">
        <f t="shared" si="4"/>
        <v>0</v>
      </c>
      <c r="AR114" s="9">
        <f t="shared" si="3"/>
        <v>0</v>
      </c>
      <c r="AS114" s="60">
        <f>IF(Tabla1[[#This Row],[MESES DE ADEUDO DEL AÑO EN CURSO ]]&gt;0,1,0)</f>
        <v>0</v>
      </c>
      <c r="AT114" s="42"/>
      <c r="AU114" s="42"/>
      <c r="AV114" s="42"/>
      <c r="AW114" s="43"/>
    </row>
    <row r="115" spans="1:49" ht="21.75" thickBot="1" x14ac:dyDescent="0.35">
      <c r="A115" s="109">
        <v>109</v>
      </c>
      <c r="B115" s="5" t="s">
        <v>165</v>
      </c>
      <c r="C115" s="2" t="s">
        <v>524</v>
      </c>
      <c r="D115" s="32"/>
      <c r="E115" s="35" t="s">
        <v>455</v>
      </c>
      <c r="F115" s="34">
        <v>45</v>
      </c>
      <c r="G115" s="34">
        <v>45</v>
      </c>
      <c r="H115" s="34">
        <v>45</v>
      </c>
      <c r="I115" s="34">
        <v>45</v>
      </c>
      <c r="J115" s="34">
        <v>45</v>
      </c>
      <c r="K115" s="34">
        <v>45</v>
      </c>
      <c r="L115" s="34">
        <v>45</v>
      </c>
      <c r="M115" s="34">
        <v>45</v>
      </c>
      <c r="N115" s="34">
        <v>45</v>
      </c>
      <c r="O115" s="34">
        <v>45</v>
      </c>
      <c r="P115" s="34">
        <v>45</v>
      </c>
      <c r="Q115" s="34">
        <v>45</v>
      </c>
      <c r="R115" s="24">
        <f>SUM(Tabla1[[#This Row],[ENERO ]:[DICIEMBRE]])</f>
        <v>540</v>
      </c>
      <c r="W115" s="65">
        <v>0</v>
      </c>
      <c r="X115" s="21">
        <f>COUNTIF(Tabla1[[#This Row],[ENERO ]:[DICIEMBRE]],0)-(AQ115)-IF(Tabla1[[#This Row],[BAJAS]]="BAJA",IF(Tabla1[[#This Row],[ALTAS]]="ALTA",VLOOKUP(Tabla1[[#This Row],[MES DE ALTA ]],$AT$6:$AU$17,2,FALSE),12)-VLOOKUP(Tabla1[[#This Row],[MES DE BAJA ]],$AT$6:$AU$17,2,FALSE),0)</f>
        <v>0</v>
      </c>
      <c r="Y115" s="69">
        <f>SUM(Tabla1[[#This Row],[MES ADEUDO DE AÑOS PASADOS ]:[MESES DE ADEUDO DEL AÑO EN CURSO ]])</f>
        <v>0</v>
      </c>
      <c r="Z115" s="15">
        <f>IF(Tabla1[[#This Row],[TIPO DE CONSUMIDOR]]="COMPLETO",W115*$T$2,W115*($T$2/2))</f>
        <v>0</v>
      </c>
      <c r="AA115" s="15">
        <f>IF(Tabla1[[#This Row],[TIPO DE CONSUMIDOR]]="COMPLETO",Tabla1[[#This Row],[MESES DE ADEUDO DEL AÑO EN CURSO ]]*$T$2,Tabla1[[#This Row],[MESES DE ADEUDO DEL AÑO EN CURSO ]]*($T$2/2))</f>
        <v>0</v>
      </c>
      <c r="AB115" s="70">
        <f>SUM(Tabla1[[#This Row],[DEUDA DE LOS MESES PASADOS EN $$]:[DEUDA DEL AÑO 2013 $$ ]])</f>
        <v>0</v>
      </c>
      <c r="AE115" s="103">
        <f>IF(Tabla1[[#This Row],[TIPO DE CONSUMIDOR]]="MEDIO",IF(Tabla1[[#This Row],[ENERO ]]&gt;22.5,Tabla1[[#This Row],[ENERO ]]/22.5-1,0),IF(Tabla1[[#This Row],[ENERO ]]&gt;45,Tabla1[[#This Row],[ENERO ]]/45-1,0))</f>
        <v>0</v>
      </c>
      <c r="AF11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5" s="103">
        <f>IF(Tabla1[[#This Row],[TIPO DE CONSUMIDOR]]="MEDIO",IF(Tabla1[[#This Row],[MARZO]]&gt;22.5,Tabla1[[#This Row],[MARZO]]/22.5-1,0),IF(Tabla1[[#This Row],[MARZO]]&gt;45,Tabla1[[#This Row],[MARZO]]/45-1,0))</f>
        <v>0</v>
      </c>
      <c r="AH115" s="103">
        <f>IF(Tabla1[[#This Row],[TIPO DE CONSUMIDOR]]="MEDIO",IF(Tabla1[[#This Row],[ABRIL]]&gt;22.5,Tabla1[[#This Row],[ABRIL]]/22.5-1,0),IF(Tabla1[[#This Row],[ABRIL]]&gt;45,Tabla1[[#This Row],[ABRIL]]/45-1,0))</f>
        <v>0</v>
      </c>
      <c r="AI115" s="103">
        <f>IF(Tabla1[[#This Row],[TIPO DE CONSUMIDOR]]="MEDIO",IF(Tabla1[[#This Row],[MAYO ]]&gt;22.5,Tabla1[[#This Row],[MAYO ]]/22.5-1,0),IF(Tabla1[[#This Row],[MAYO ]]&gt;45,Tabla1[[#This Row],[MAYO ]]/45-1,0))</f>
        <v>0</v>
      </c>
      <c r="AJ115" s="103">
        <f>IF(Tabla1[[#This Row],[TIPO DE CONSUMIDOR]]="MEDIO",IF(Tabla1[[#This Row],[JUNIO ]]&gt;22.5,Tabla1[[#This Row],[JUNIO ]]/22.5-1,0),IF(Tabla1[[#This Row],[JUNIO ]]&gt;45,Tabla1[[#This Row],[JUNIO ]]/45-1,0))</f>
        <v>0</v>
      </c>
      <c r="AK115" s="103">
        <f>IF(Tabla1[[#This Row],[TIPO DE CONSUMIDOR]]="MEDIO",IF(Tabla1[[#This Row],[JULIO ]]&gt;22.5,Tabla1[[#This Row],[JULIO ]]/22.5-1,0),IF(Tabla1[[#This Row],[JULIO ]]&gt;45,Tabla1[[#This Row],[JULIO ]]/45-1,0))</f>
        <v>0</v>
      </c>
      <c r="AL115" s="103">
        <f>IF(Tabla1[[#This Row],[TIPO DE CONSUMIDOR]]="MEDIO",IF(Tabla1[[#This Row],[AGOSTO]]&gt;22.5,Tabla1[[#This Row],[AGOSTO]]/22.5-1,0),IF(Tabla1[[#This Row],[AGOSTO]]&gt;45,Tabla1[[#This Row],[AGOSTO]]/45-1,0))</f>
        <v>0</v>
      </c>
      <c r="AM11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5" s="104">
        <f t="shared" si="4"/>
        <v>0</v>
      </c>
      <c r="AR115" s="9">
        <f t="shared" si="3"/>
        <v>0</v>
      </c>
      <c r="AS115" s="60">
        <f>IF(Tabla1[[#This Row],[MESES DE ADEUDO DEL AÑO EN CURSO ]]&gt;0,1,0)</f>
        <v>0</v>
      </c>
      <c r="AT115" s="42"/>
      <c r="AU115" s="42"/>
      <c r="AV115" s="42"/>
      <c r="AW115" s="43"/>
    </row>
    <row r="116" spans="1:49" ht="21.75" thickBot="1" x14ac:dyDescent="0.35">
      <c r="A116" s="109">
        <v>110</v>
      </c>
      <c r="B116" s="5" t="s">
        <v>255</v>
      </c>
      <c r="C116" s="2" t="s">
        <v>524</v>
      </c>
      <c r="D116" s="32"/>
      <c r="E116" s="35" t="s">
        <v>455</v>
      </c>
      <c r="F116" s="34">
        <v>45</v>
      </c>
      <c r="G116" s="34">
        <v>45</v>
      </c>
      <c r="H116" s="34">
        <v>45</v>
      </c>
      <c r="I116" s="34">
        <v>45</v>
      </c>
      <c r="J116" s="34">
        <v>45</v>
      </c>
      <c r="K116" s="34">
        <v>45</v>
      </c>
      <c r="L116" s="34">
        <v>45</v>
      </c>
      <c r="M116" s="34">
        <v>45</v>
      </c>
      <c r="N116" s="34">
        <v>45</v>
      </c>
      <c r="O116" s="34">
        <v>45</v>
      </c>
      <c r="P116" s="34">
        <v>45</v>
      </c>
      <c r="Q116" s="34">
        <v>45</v>
      </c>
      <c r="R116" s="24">
        <f>SUM(Tabla1[[#This Row],[ENERO ]:[DICIEMBRE]])</f>
        <v>540</v>
      </c>
      <c r="W116" s="65">
        <v>0</v>
      </c>
      <c r="X116" s="21">
        <f>COUNTIF(Tabla1[[#This Row],[ENERO ]:[DICIEMBRE]],0)-(AQ116)-IF(Tabla1[[#This Row],[BAJAS]]="BAJA",IF(Tabla1[[#This Row],[ALTAS]]="ALTA",VLOOKUP(Tabla1[[#This Row],[MES DE ALTA ]],$AT$6:$AU$17,2,FALSE),12)-VLOOKUP(Tabla1[[#This Row],[MES DE BAJA ]],$AT$6:$AU$17,2,FALSE),0)</f>
        <v>0</v>
      </c>
      <c r="Y116" s="69">
        <f>SUM(Tabla1[[#This Row],[MES ADEUDO DE AÑOS PASADOS ]:[MESES DE ADEUDO DEL AÑO EN CURSO ]])</f>
        <v>0</v>
      </c>
      <c r="Z116" s="15">
        <f>IF(Tabla1[[#This Row],[TIPO DE CONSUMIDOR]]="COMPLETO",W116*$T$2,W116*($T$2/2))</f>
        <v>0</v>
      </c>
      <c r="AA116" s="15">
        <f>IF(Tabla1[[#This Row],[TIPO DE CONSUMIDOR]]="COMPLETO",Tabla1[[#This Row],[MESES DE ADEUDO DEL AÑO EN CURSO ]]*$T$2,Tabla1[[#This Row],[MESES DE ADEUDO DEL AÑO EN CURSO ]]*($T$2/2))</f>
        <v>0</v>
      </c>
      <c r="AB116" s="70">
        <f>SUM(Tabla1[[#This Row],[DEUDA DE LOS MESES PASADOS EN $$]:[DEUDA DEL AÑO 2013 $$ ]])</f>
        <v>0</v>
      </c>
      <c r="AE116" s="103">
        <f>IF(Tabla1[[#This Row],[TIPO DE CONSUMIDOR]]="MEDIO",IF(Tabla1[[#This Row],[ENERO ]]&gt;22.5,Tabla1[[#This Row],[ENERO ]]/22.5-1,0),IF(Tabla1[[#This Row],[ENERO ]]&gt;45,Tabla1[[#This Row],[ENERO ]]/45-1,0))</f>
        <v>0</v>
      </c>
      <c r="AF11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6" s="103">
        <f>IF(Tabla1[[#This Row],[TIPO DE CONSUMIDOR]]="MEDIO",IF(Tabla1[[#This Row],[MARZO]]&gt;22.5,Tabla1[[#This Row],[MARZO]]/22.5-1,0),IF(Tabla1[[#This Row],[MARZO]]&gt;45,Tabla1[[#This Row],[MARZO]]/45-1,0))</f>
        <v>0</v>
      </c>
      <c r="AH116" s="103">
        <f>IF(Tabla1[[#This Row],[TIPO DE CONSUMIDOR]]="MEDIO",IF(Tabla1[[#This Row],[ABRIL]]&gt;22.5,Tabla1[[#This Row],[ABRIL]]/22.5-1,0),IF(Tabla1[[#This Row],[ABRIL]]&gt;45,Tabla1[[#This Row],[ABRIL]]/45-1,0))</f>
        <v>0</v>
      </c>
      <c r="AI116" s="103">
        <f>IF(Tabla1[[#This Row],[TIPO DE CONSUMIDOR]]="MEDIO",IF(Tabla1[[#This Row],[MAYO ]]&gt;22.5,Tabla1[[#This Row],[MAYO ]]/22.5-1,0),IF(Tabla1[[#This Row],[MAYO ]]&gt;45,Tabla1[[#This Row],[MAYO ]]/45-1,0))</f>
        <v>0</v>
      </c>
      <c r="AJ116" s="103">
        <f>IF(Tabla1[[#This Row],[TIPO DE CONSUMIDOR]]="MEDIO",IF(Tabla1[[#This Row],[JUNIO ]]&gt;22.5,Tabla1[[#This Row],[JUNIO ]]/22.5-1,0),IF(Tabla1[[#This Row],[JUNIO ]]&gt;45,Tabla1[[#This Row],[JUNIO ]]/45-1,0))</f>
        <v>0</v>
      </c>
      <c r="AK116" s="103">
        <f>IF(Tabla1[[#This Row],[TIPO DE CONSUMIDOR]]="MEDIO",IF(Tabla1[[#This Row],[JULIO ]]&gt;22.5,Tabla1[[#This Row],[JULIO ]]/22.5-1,0),IF(Tabla1[[#This Row],[JULIO ]]&gt;45,Tabla1[[#This Row],[JULIO ]]/45-1,0))</f>
        <v>0</v>
      </c>
      <c r="AL116" s="103">
        <f>IF(Tabla1[[#This Row],[TIPO DE CONSUMIDOR]]="MEDIO",IF(Tabla1[[#This Row],[AGOSTO]]&gt;22.5,Tabla1[[#This Row],[AGOSTO]]/22.5-1,0),IF(Tabla1[[#This Row],[AGOSTO]]&gt;45,Tabla1[[#This Row],[AGOSTO]]/45-1,0))</f>
        <v>0</v>
      </c>
      <c r="AM11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6" s="104">
        <f t="shared" si="4"/>
        <v>0</v>
      </c>
      <c r="AR116" s="9">
        <f t="shared" si="3"/>
        <v>0</v>
      </c>
      <c r="AS116" s="60">
        <f>IF(Tabla1[[#This Row],[MESES DE ADEUDO DEL AÑO EN CURSO ]]&gt;0,1,0)</f>
        <v>0</v>
      </c>
      <c r="AT116" s="42"/>
      <c r="AU116" s="42"/>
      <c r="AV116" s="42"/>
      <c r="AW116" s="43"/>
    </row>
    <row r="117" spans="1:49" ht="21.75" thickBot="1" x14ac:dyDescent="0.35">
      <c r="A117" s="109">
        <v>111</v>
      </c>
      <c r="B117" s="5" t="s">
        <v>274</v>
      </c>
      <c r="C117" s="2" t="s">
        <v>524</v>
      </c>
      <c r="D117" s="46"/>
      <c r="E117" s="36" t="s">
        <v>455</v>
      </c>
      <c r="F117" s="34">
        <v>45</v>
      </c>
      <c r="G117" s="34">
        <v>45</v>
      </c>
      <c r="H117" s="34">
        <v>45</v>
      </c>
      <c r="I117" s="34">
        <v>45</v>
      </c>
      <c r="J117" s="34">
        <v>45</v>
      </c>
      <c r="K117" s="34">
        <v>45</v>
      </c>
      <c r="L117" s="34">
        <v>45</v>
      </c>
      <c r="M117" s="34">
        <v>45</v>
      </c>
      <c r="N117" s="34">
        <v>45</v>
      </c>
      <c r="O117" s="34">
        <v>45</v>
      </c>
      <c r="P117" s="34">
        <v>45</v>
      </c>
      <c r="Q117" s="34">
        <v>45</v>
      </c>
      <c r="R117" s="24">
        <f>SUM(Tabla1[[#This Row],[ENERO ]:[DICIEMBRE]])</f>
        <v>540</v>
      </c>
      <c r="W117" s="65">
        <v>0</v>
      </c>
      <c r="X117" s="21">
        <f>COUNTIF(Tabla1[[#This Row],[ENERO ]:[DICIEMBRE]],0)-(AQ117)-IF(Tabla1[[#This Row],[BAJAS]]="BAJA",IF(Tabla1[[#This Row],[ALTAS]]="ALTA",VLOOKUP(Tabla1[[#This Row],[MES DE ALTA ]],$AT$6:$AU$17,2,FALSE),12)-VLOOKUP(Tabla1[[#This Row],[MES DE BAJA ]],$AT$6:$AU$17,2,FALSE),0)</f>
        <v>0</v>
      </c>
      <c r="Y117" s="69">
        <f>SUM(Tabla1[[#This Row],[MES ADEUDO DE AÑOS PASADOS ]:[MESES DE ADEUDO DEL AÑO EN CURSO ]])</f>
        <v>0</v>
      </c>
      <c r="Z117" s="15">
        <f>IF(Tabla1[[#This Row],[TIPO DE CONSUMIDOR]]="COMPLETO",W117*$T$2,W117*($T$2/2))</f>
        <v>0</v>
      </c>
      <c r="AA117" s="15">
        <f>IF(Tabla1[[#This Row],[TIPO DE CONSUMIDOR]]="COMPLETO",Tabla1[[#This Row],[MESES DE ADEUDO DEL AÑO EN CURSO ]]*$T$2,Tabla1[[#This Row],[MESES DE ADEUDO DEL AÑO EN CURSO ]]*($T$2/2))</f>
        <v>0</v>
      </c>
      <c r="AB117" s="70">
        <f>SUM(Tabla1[[#This Row],[DEUDA DE LOS MESES PASADOS EN $$]:[DEUDA DEL AÑO 2013 $$ ]])</f>
        <v>0</v>
      </c>
      <c r="AE117" s="103">
        <f>IF(Tabla1[[#This Row],[TIPO DE CONSUMIDOR]]="MEDIO",IF(Tabla1[[#This Row],[ENERO ]]&gt;22.5,Tabla1[[#This Row],[ENERO ]]/22.5-1,0),IF(Tabla1[[#This Row],[ENERO ]]&gt;45,Tabla1[[#This Row],[ENERO ]]/45-1,0))</f>
        <v>0</v>
      </c>
      <c r="AF11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7" s="103">
        <f>IF(Tabla1[[#This Row],[TIPO DE CONSUMIDOR]]="MEDIO",IF(Tabla1[[#This Row],[MARZO]]&gt;22.5,Tabla1[[#This Row],[MARZO]]/22.5-1,0),IF(Tabla1[[#This Row],[MARZO]]&gt;45,Tabla1[[#This Row],[MARZO]]/45-1,0))</f>
        <v>0</v>
      </c>
      <c r="AH117" s="103">
        <f>IF(Tabla1[[#This Row],[TIPO DE CONSUMIDOR]]="MEDIO",IF(Tabla1[[#This Row],[ABRIL]]&gt;22.5,Tabla1[[#This Row],[ABRIL]]/22.5-1,0),IF(Tabla1[[#This Row],[ABRIL]]&gt;45,Tabla1[[#This Row],[ABRIL]]/45-1,0))</f>
        <v>0</v>
      </c>
      <c r="AI117" s="103">
        <f>IF(Tabla1[[#This Row],[TIPO DE CONSUMIDOR]]="MEDIO",IF(Tabla1[[#This Row],[MAYO ]]&gt;22.5,Tabla1[[#This Row],[MAYO ]]/22.5-1,0),IF(Tabla1[[#This Row],[MAYO ]]&gt;45,Tabla1[[#This Row],[MAYO ]]/45-1,0))</f>
        <v>0</v>
      </c>
      <c r="AJ117" s="103">
        <f>IF(Tabla1[[#This Row],[TIPO DE CONSUMIDOR]]="MEDIO",IF(Tabla1[[#This Row],[JUNIO ]]&gt;22.5,Tabla1[[#This Row],[JUNIO ]]/22.5-1,0),IF(Tabla1[[#This Row],[JUNIO ]]&gt;45,Tabla1[[#This Row],[JUNIO ]]/45-1,0))</f>
        <v>0</v>
      </c>
      <c r="AK117" s="103">
        <f>IF(Tabla1[[#This Row],[TIPO DE CONSUMIDOR]]="MEDIO",IF(Tabla1[[#This Row],[JULIO ]]&gt;22.5,Tabla1[[#This Row],[JULIO ]]/22.5-1,0),IF(Tabla1[[#This Row],[JULIO ]]&gt;45,Tabla1[[#This Row],[JULIO ]]/45-1,0))</f>
        <v>0</v>
      </c>
      <c r="AL117" s="103">
        <f>IF(Tabla1[[#This Row],[TIPO DE CONSUMIDOR]]="MEDIO",IF(Tabla1[[#This Row],[AGOSTO]]&gt;22.5,Tabla1[[#This Row],[AGOSTO]]/22.5-1,0),IF(Tabla1[[#This Row],[AGOSTO]]&gt;45,Tabla1[[#This Row],[AGOSTO]]/45-1,0))</f>
        <v>0</v>
      </c>
      <c r="AM11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7" s="104">
        <f t="shared" si="4"/>
        <v>0</v>
      </c>
      <c r="AR117" s="9">
        <f t="shared" si="3"/>
        <v>0</v>
      </c>
      <c r="AS117" s="60">
        <f>IF(Tabla1[[#This Row],[MESES DE ADEUDO DEL AÑO EN CURSO ]]&gt;0,1,0)</f>
        <v>0</v>
      </c>
      <c r="AT117" s="42"/>
      <c r="AU117" s="42"/>
      <c r="AV117" s="42"/>
      <c r="AW117" s="43"/>
    </row>
    <row r="118" spans="1:49" ht="21.75" thickBot="1" x14ac:dyDescent="0.35">
      <c r="A118" s="109">
        <v>112</v>
      </c>
      <c r="B118" s="5" t="s">
        <v>307</v>
      </c>
      <c r="C118" s="2" t="s">
        <v>524</v>
      </c>
      <c r="D118" s="46"/>
      <c r="E118" s="36" t="s">
        <v>455</v>
      </c>
      <c r="F118" s="34">
        <v>45</v>
      </c>
      <c r="G118" s="34">
        <v>45</v>
      </c>
      <c r="H118" s="34">
        <v>45</v>
      </c>
      <c r="I118" s="34">
        <v>45</v>
      </c>
      <c r="J118" s="34">
        <v>45</v>
      </c>
      <c r="K118" s="34">
        <v>45</v>
      </c>
      <c r="L118" s="34">
        <v>45</v>
      </c>
      <c r="M118" s="34">
        <v>45</v>
      </c>
      <c r="N118" s="34">
        <v>45</v>
      </c>
      <c r="O118" s="34">
        <v>45</v>
      </c>
      <c r="P118" s="34">
        <v>45</v>
      </c>
      <c r="Q118" s="34">
        <v>45</v>
      </c>
      <c r="R118" s="24">
        <f>SUM(Tabla1[[#This Row],[ENERO ]:[DICIEMBRE]])</f>
        <v>540</v>
      </c>
      <c r="W118" s="65">
        <v>0</v>
      </c>
      <c r="X118" s="21">
        <f>COUNTIF(Tabla1[[#This Row],[ENERO ]:[DICIEMBRE]],0)-(AQ118)-IF(Tabla1[[#This Row],[BAJAS]]="BAJA",IF(Tabla1[[#This Row],[ALTAS]]="ALTA",VLOOKUP(Tabla1[[#This Row],[MES DE ALTA ]],$AT$6:$AU$17,2,FALSE),12)-VLOOKUP(Tabla1[[#This Row],[MES DE BAJA ]],$AT$6:$AU$17,2,FALSE),0)</f>
        <v>0</v>
      </c>
      <c r="Y118" s="69">
        <f>SUM(Tabla1[[#This Row],[MES ADEUDO DE AÑOS PASADOS ]:[MESES DE ADEUDO DEL AÑO EN CURSO ]])</f>
        <v>0</v>
      </c>
      <c r="Z118" s="15">
        <f>IF(Tabla1[[#This Row],[TIPO DE CONSUMIDOR]]="COMPLETO",W118*$T$2,W118*($T$2/2))</f>
        <v>0</v>
      </c>
      <c r="AA118" s="15">
        <f>IF(Tabla1[[#This Row],[TIPO DE CONSUMIDOR]]="COMPLETO",Tabla1[[#This Row],[MESES DE ADEUDO DEL AÑO EN CURSO ]]*$T$2,Tabla1[[#This Row],[MESES DE ADEUDO DEL AÑO EN CURSO ]]*($T$2/2))</f>
        <v>0</v>
      </c>
      <c r="AB118" s="70">
        <f>SUM(Tabla1[[#This Row],[DEUDA DE LOS MESES PASADOS EN $$]:[DEUDA DEL AÑO 2013 $$ ]])</f>
        <v>0</v>
      </c>
      <c r="AE118" s="103">
        <f>IF(Tabla1[[#This Row],[TIPO DE CONSUMIDOR]]="MEDIO",IF(Tabla1[[#This Row],[ENERO ]]&gt;22.5,Tabla1[[#This Row],[ENERO ]]/22.5-1,0),IF(Tabla1[[#This Row],[ENERO ]]&gt;45,Tabla1[[#This Row],[ENERO ]]/45-1,0))</f>
        <v>0</v>
      </c>
      <c r="AF11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8" s="103">
        <f>IF(Tabla1[[#This Row],[TIPO DE CONSUMIDOR]]="MEDIO",IF(Tabla1[[#This Row],[MARZO]]&gt;22.5,Tabla1[[#This Row],[MARZO]]/22.5-1,0),IF(Tabla1[[#This Row],[MARZO]]&gt;45,Tabla1[[#This Row],[MARZO]]/45-1,0))</f>
        <v>0</v>
      </c>
      <c r="AH118" s="103">
        <f>IF(Tabla1[[#This Row],[TIPO DE CONSUMIDOR]]="MEDIO",IF(Tabla1[[#This Row],[ABRIL]]&gt;22.5,Tabla1[[#This Row],[ABRIL]]/22.5-1,0),IF(Tabla1[[#This Row],[ABRIL]]&gt;45,Tabla1[[#This Row],[ABRIL]]/45-1,0))</f>
        <v>0</v>
      </c>
      <c r="AI118" s="103">
        <f>IF(Tabla1[[#This Row],[TIPO DE CONSUMIDOR]]="MEDIO",IF(Tabla1[[#This Row],[MAYO ]]&gt;22.5,Tabla1[[#This Row],[MAYO ]]/22.5-1,0),IF(Tabla1[[#This Row],[MAYO ]]&gt;45,Tabla1[[#This Row],[MAYO ]]/45-1,0))</f>
        <v>0</v>
      </c>
      <c r="AJ118" s="103">
        <f>IF(Tabla1[[#This Row],[TIPO DE CONSUMIDOR]]="MEDIO",IF(Tabla1[[#This Row],[JUNIO ]]&gt;22.5,Tabla1[[#This Row],[JUNIO ]]/22.5-1,0),IF(Tabla1[[#This Row],[JUNIO ]]&gt;45,Tabla1[[#This Row],[JUNIO ]]/45-1,0))</f>
        <v>0</v>
      </c>
      <c r="AK118" s="103">
        <f>IF(Tabla1[[#This Row],[TIPO DE CONSUMIDOR]]="MEDIO",IF(Tabla1[[#This Row],[JULIO ]]&gt;22.5,Tabla1[[#This Row],[JULIO ]]/22.5-1,0),IF(Tabla1[[#This Row],[JULIO ]]&gt;45,Tabla1[[#This Row],[JULIO ]]/45-1,0))</f>
        <v>0</v>
      </c>
      <c r="AL118" s="103">
        <f>IF(Tabla1[[#This Row],[TIPO DE CONSUMIDOR]]="MEDIO",IF(Tabla1[[#This Row],[AGOSTO]]&gt;22.5,Tabla1[[#This Row],[AGOSTO]]/22.5-1,0),IF(Tabla1[[#This Row],[AGOSTO]]&gt;45,Tabla1[[#This Row],[AGOSTO]]/45-1,0))</f>
        <v>0</v>
      </c>
      <c r="AM11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8" s="104">
        <f t="shared" si="4"/>
        <v>0</v>
      </c>
      <c r="AR118" s="9">
        <f t="shared" si="3"/>
        <v>0</v>
      </c>
      <c r="AS118" s="60">
        <f>IF(Tabla1[[#This Row],[MESES DE ADEUDO DEL AÑO EN CURSO ]]&gt;0,1,0)</f>
        <v>0</v>
      </c>
      <c r="AT118" s="42"/>
      <c r="AU118" s="42"/>
      <c r="AV118" s="42"/>
      <c r="AW118" s="43"/>
    </row>
    <row r="119" spans="1:49" ht="21.75" thickBot="1" x14ac:dyDescent="0.35">
      <c r="A119" s="109">
        <v>113</v>
      </c>
      <c r="B119" s="5" t="s">
        <v>529</v>
      </c>
      <c r="C119" s="2" t="s">
        <v>524</v>
      </c>
      <c r="D119" s="32"/>
      <c r="E119" s="35" t="s">
        <v>455</v>
      </c>
      <c r="F119" s="34">
        <v>45</v>
      </c>
      <c r="G119" s="34">
        <v>45</v>
      </c>
      <c r="H119" s="34">
        <v>45</v>
      </c>
      <c r="I119" s="34">
        <v>45</v>
      </c>
      <c r="J119" s="34">
        <v>45</v>
      </c>
      <c r="K119" s="34">
        <v>45</v>
      </c>
      <c r="L119" s="34">
        <v>45</v>
      </c>
      <c r="M119" s="34">
        <v>45</v>
      </c>
      <c r="N119" s="34">
        <v>45</v>
      </c>
      <c r="O119" s="34">
        <v>45</v>
      </c>
      <c r="P119" s="34">
        <v>45</v>
      </c>
      <c r="Q119" s="34">
        <v>45</v>
      </c>
      <c r="R119" s="24">
        <f>SUM(Tabla1[[#This Row],[ENERO ]:[DICIEMBRE]])</f>
        <v>540</v>
      </c>
      <c r="W119" s="65">
        <v>0</v>
      </c>
      <c r="X119" s="21">
        <f>COUNTIF(Tabla1[[#This Row],[ENERO ]:[DICIEMBRE]],0)-(AQ119)-IF(Tabla1[[#This Row],[BAJAS]]="BAJA",IF(Tabla1[[#This Row],[ALTAS]]="ALTA",VLOOKUP(Tabla1[[#This Row],[MES DE ALTA ]],$AT$6:$AU$17,2,FALSE),12)-VLOOKUP(Tabla1[[#This Row],[MES DE BAJA ]],$AT$6:$AU$17,2,FALSE),0)</f>
        <v>0</v>
      </c>
      <c r="Y119" s="69">
        <f>SUM(Tabla1[[#This Row],[MES ADEUDO DE AÑOS PASADOS ]:[MESES DE ADEUDO DEL AÑO EN CURSO ]])</f>
        <v>0</v>
      </c>
      <c r="Z119" s="15">
        <f>IF(Tabla1[[#This Row],[TIPO DE CONSUMIDOR]]="COMPLETO",W119*$T$2,W119*($T$2/2))</f>
        <v>0</v>
      </c>
      <c r="AA119" s="15">
        <f>IF(Tabla1[[#This Row],[TIPO DE CONSUMIDOR]]="COMPLETO",Tabla1[[#This Row],[MESES DE ADEUDO DEL AÑO EN CURSO ]]*$T$2,Tabla1[[#This Row],[MESES DE ADEUDO DEL AÑO EN CURSO ]]*($T$2/2))</f>
        <v>0</v>
      </c>
      <c r="AB119" s="70">
        <f>SUM(Tabla1[[#This Row],[DEUDA DE LOS MESES PASADOS EN $$]:[DEUDA DEL AÑO 2013 $$ ]])</f>
        <v>0</v>
      </c>
      <c r="AE119" s="103">
        <f>IF(Tabla1[[#This Row],[TIPO DE CONSUMIDOR]]="MEDIO",IF(Tabla1[[#This Row],[ENERO ]]&gt;22.5,Tabla1[[#This Row],[ENERO ]]/22.5-1,0),IF(Tabla1[[#This Row],[ENERO ]]&gt;45,Tabla1[[#This Row],[ENERO ]]/45-1,0))</f>
        <v>0</v>
      </c>
      <c r="AF11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19" s="103">
        <f>IF(Tabla1[[#This Row],[TIPO DE CONSUMIDOR]]="MEDIO",IF(Tabla1[[#This Row],[MARZO]]&gt;22.5,Tabla1[[#This Row],[MARZO]]/22.5-1,0),IF(Tabla1[[#This Row],[MARZO]]&gt;45,Tabla1[[#This Row],[MARZO]]/45-1,0))</f>
        <v>0</v>
      </c>
      <c r="AH119" s="103">
        <f>IF(Tabla1[[#This Row],[TIPO DE CONSUMIDOR]]="MEDIO",IF(Tabla1[[#This Row],[ABRIL]]&gt;22.5,Tabla1[[#This Row],[ABRIL]]/22.5-1,0),IF(Tabla1[[#This Row],[ABRIL]]&gt;45,Tabla1[[#This Row],[ABRIL]]/45-1,0))</f>
        <v>0</v>
      </c>
      <c r="AI119" s="103">
        <f>IF(Tabla1[[#This Row],[TIPO DE CONSUMIDOR]]="MEDIO",IF(Tabla1[[#This Row],[MAYO ]]&gt;22.5,Tabla1[[#This Row],[MAYO ]]/22.5-1,0),IF(Tabla1[[#This Row],[MAYO ]]&gt;45,Tabla1[[#This Row],[MAYO ]]/45-1,0))</f>
        <v>0</v>
      </c>
      <c r="AJ119" s="103">
        <f>IF(Tabla1[[#This Row],[TIPO DE CONSUMIDOR]]="MEDIO",IF(Tabla1[[#This Row],[JUNIO ]]&gt;22.5,Tabla1[[#This Row],[JUNIO ]]/22.5-1,0),IF(Tabla1[[#This Row],[JUNIO ]]&gt;45,Tabla1[[#This Row],[JUNIO ]]/45-1,0))</f>
        <v>0</v>
      </c>
      <c r="AK119" s="103">
        <f>IF(Tabla1[[#This Row],[TIPO DE CONSUMIDOR]]="MEDIO",IF(Tabla1[[#This Row],[JULIO ]]&gt;22.5,Tabla1[[#This Row],[JULIO ]]/22.5-1,0),IF(Tabla1[[#This Row],[JULIO ]]&gt;45,Tabla1[[#This Row],[JULIO ]]/45-1,0))</f>
        <v>0</v>
      </c>
      <c r="AL119" s="103">
        <f>IF(Tabla1[[#This Row],[TIPO DE CONSUMIDOR]]="MEDIO",IF(Tabla1[[#This Row],[AGOSTO]]&gt;22.5,Tabla1[[#This Row],[AGOSTO]]/22.5-1,0),IF(Tabla1[[#This Row],[AGOSTO]]&gt;45,Tabla1[[#This Row],[AGOSTO]]/45-1,0))</f>
        <v>0</v>
      </c>
      <c r="AM11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1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1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1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19" s="104">
        <f t="shared" si="4"/>
        <v>0</v>
      </c>
      <c r="AR119" s="9">
        <f t="shared" si="3"/>
        <v>0</v>
      </c>
      <c r="AS119" s="60">
        <f>IF(Tabla1[[#This Row],[MESES DE ADEUDO DEL AÑO EN CURSO ]]&gt;0,1,0)</f>
        <v>0</v>
      </c>
      <c r="AT119" s="42"/>
      <c r="AU119" s="42"/>
      <c r="AV119" s="42"/>
      <c r="AW119" s="43"/>
    </row>
    <row r="120" spans="1:49" ht="21.75" thickBot="1" x14ac:dyDescent="0.35">
      <c r="A120" s="109">
        <v>114</v>
      </c>
      <c r="B120" s="5" t="s">
        <v>348</v>
      </c>
      <c r="C120" s="2" t="s">
        <v>524</v>
      </c>
      <c r="D120" s="46"/>
      <c r="E120" s="36" t="s">
        <v>455</v>
      </c>
      <c r="F120" s="34">
        <v>45</v>
      </c>
      <c r="G120" s="34">
        <v>45</v>
      </c>
      <c r="H120" s="34">
        <v>45</v>
      </c>
      <c r="I120" s="34">
        <v>45</v>
      </c>
      <c r="J120" s="34">
        <v>45</v>
      </c>
      <c r="K120" s="34">
        <v>45</v>
      </c>
      <c r="L120" s="34">
        <v>45</v>
      </c>
      <c r="M120" s="34">
        <v>45</v>
      </c>
      <c r="N120" s="34">
        <v>45</v>
      </c>
      <c r="O120" s="34">
        <v>45</v>
      </c>
      <c r="P120" s="34">
        <v>45</v>
      </c>
      <c r="Q120" s="34">
        <v>45</v>
      </c>
      <c r="R120" s="24">
        <f>SUM(Tabla1[[#This Row],[ENERO ]:[DICIEMBRE]])</f>
        <v>540</v>
      </c>
      <c r="W120" s="65">
        <v>0</v>
      </c>
      <c r="X120" s="21">
        <f>COUNTIF(Tabla1[[#This Row],[ENERO ]:[DICIEMBRE]],0)-(AQ120)-IF(Tabla1[[#This Row],[BAJAS]]="BAJA",IF(Tabla1[[#This Row],[ALTAS]]="ALTA",VLOOKUP(Tabla1[[#This Row],[MES DE ALTA ]],$AT$6:$AU$17,2,FALSE),12)-VLOOKUP(Tabla1[[#This Row],[MES DE BAJA ]],$AT$6:$AU$17,2,FALSE),0)</f>
        <v>0</v>
      </c>
      <c r="Y120" s="69">
        <f>SUM(Tabla1[[#This Row],[MES ADEUDO DE AÑOS PASADOS ]:[MESES DE ADEUDO DEL AÑO EN CURSO ]])</f>
        <v>0</v>
      </c>
      <c r="Z120" s="15">
        <f>IF(Tabla1[[#This Row],[TIPO DE CONSUMIDOR]]="COMPLETO",W120*$T$2,W120*($T$2/2))</f>
        <v>0</v>
      </c>
      <c r="AA120" s="15">
        <f>IF(Tabla1[[#This Row],[TIPO DE CONSUMIDOR]]="COMPLETO",Tabla1[[#This Row],[MESES DE ADEUDO DEL AÑO EN CURSO ]]*$T$2,Tabla1[[#This Row],[MESES DE ADEUDO DEL AÑO EN CURSO ]]*($T$2/2))</f>
        <v>0</v>
      </c>
      <c r="AB120" s="70">
        <f>SUM(Tabla1[[#This Row],[DEUDA DE LOS MESES PASADOS EN $$]:[DEUDA DEL AÑO 2013 $$ ]])</f>
        <v>0</v>
      </c>
      <c r="AE120" s="103">
        <f>IF(Tabla1[[#This Row],[TIPO DE CONSUMIDOR]]="MEDIO",IF(Tabla1[[#This Row],[ENERO ]]&gt;22.5,Tabla1[[#This Row],[ENERO ]]/22.5-1,0),IF(Tabla1[[#This Row],[ENERO ]]&gt;45,Tabla1[[#This Row],[ENERO ]]/45-1,0))</f>
        <v>0</v>
      </c>
      <c r="AF12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0" s="103">
        <f>IF(Tabla1[[#This Row],[TIPO DE CONSUMIDOR]]="MEDIO",IF(Tabla1[[#This Row],[MARZO]]&gt;22.5,Tabla1[[#This Row],[MARZO]]/22.5-1,0),IF(Tabla1[[#This Row],[MARZO]]&gt;45,Tabla1[[#This Row],[MARZO]]/45-1,0))</f>
        <v>0</v>
      </c>
      <c r="AH120" s="103">
        <f>IF(Tabla1[[#This Row],[TIPO DE CONSUMIDOR]]="MEDIO",IF(Tabla1[[#This Row],[ABRIL]]&gt;22.5,Tabla1[[#This Row],[ABRIL]]/22.5-1,0),IF(Tabla1[[#This Row],[ABRIL]]&gt;45,Tabla1[[#This Row],[ABRIL]]/45-1,0))</f>
        <v>0</v>
      </c>
      <c r="AI120" s="103">
        <f>IF(Tabla1[[#This Row],[TIPO DE CONSUMIDOR]]="MEDIO",IF(Tabla1[[#This Row],[MAYO ]]&gt;22.5,Tabla1[[#This Row],[MAYO ]]/22.5-1,0),IF(Tabla1[[#This Row],[MAYO ]]&gt;45,Tabla1[[#This Row],[MAYO ]]/45-1,0))</f>
        <v>0</v>
      </c>
      <c r="AJ120" s="103">
        <f>IF(Tabla1[[#This Row],[TIPO DE CONSUMIDOR]]="MEDIO",IF(Tabla1[[#This Row],[JUNIO ]]&gt;22.5,Tabla1[[#This Row],[JUNIO ]]/22.5-1,0),IF(Tabla1[[#This Row],[JUNIO ]]&gt;45,Tabla1[[#This Row],[JUNIO ]]/45-1,0))</f>
        <v>0</v>
      </c>
      <c r="AK120" s="103">
        <f>IF(Tabla1[[#This Row],[TIPO DE CONSUMIDOR]]="MEDIO",IF(Tabla1[[#This Row],[JULIO ]]&gt;22.5,Tabla1[[#This Row],[JULIO ]]/22.5-1,0),IF(Tabla1[[#This Row],[JULIO ]]&gt;45,Tabla1[[#This Row],[JULIO ]]/45-1,0))</f>
        <v>0</v>
      </c>
      <c r="AL120" s="103">
        <f>IF(Tabla1[[#This Row],[TIPO DE CONSUMIDOR]]="MEDIO",IF(Tabla1[[#This Row],[AGOSTO]]&gt;22.5,Tabla1[[#This Row],[AGOSTO]]/22.5-1,0),IF(Tabla1[[#This Row],[AGOSTO]]&gt;45,Tabla1[[#This Row],[AGOSTO]]/45-1,0))</f>
        <v>0</v>
      </c>
      <c r="AM12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0" s="104">
        <f t="shared" si="4"/>
        <v>0</v>
      </c>
      <c r="AR120" s="9">
        <f t="shared" si="3"/>
        <v>0</v>
      </c>
      <c r="AS120" s="60">
        <f>IF(Tabla1[[#This Row],[MESES DE ADEUDO DEL AÑO EN CURSO ]]&gt;0,1,0)</f>
        <v>0</v>
      </c>
      <c r="AT120" s="42"/>
      <c r="AU120" s="42"/>
      <c r="AV120" s="42"/>
      <c r="AW120" s="43"/>
    </row>
    <row r="121" spans="1:49" ht="21.75" thickBot="1" x14ac:dyDescent="0.35">
      <c r="A121" s="109">
        <v>115</v>
      </c>
      <c r="B121" s="5" t="s">
        <v>400</v>
      </c>
      <c r="C121" s="2" t="s">
        <v>524</v>
      </c>
      <c r="D121" s="32"/>
      <c r="E121" s="35" t="s">
        <v>455</v>
      </c>
      <c r="F121" s="34">
        <v>45</v>
      </c>
      <c r="G121" s="34">
        <v>45</v>
      </c>
      <c r="H121" s="34">
        <v>45</v>
      </c>
      <c r="I121" s="34">
        <v>45</v>
      </c>
      <c r="J121" s="34">
        <v>45</v>
      </c>
      <c r="K121" s="34">
        <v>45</v>
      </c>
      <c r="L121" s="34">
        <v>45</v>
      </c>
      <c r="M121" s="34">
        <v>45</v>
      </c>
      <c r="N121" s="34">
        <v>45</v>
      </c>
      <c r="O121" s="34">
        <v>45</v>
      </c>
      <c r="P121" s="34">
        <v>45</v>
      </c>
      <c r="Q121" s="34">
        <v>45</v>
      </c>
      <c r="R121" s="24">
        <f>SUM(Tabla1[[#This Row],[ENERO ]:[DICIEMBRE]])</f>
        <v>540</v>
      </c>
      <c r="W121" s="65">
        <v>0</v>
      </c>
      <c r="X121" s="21">
        <f>COUNTIF(Tabla1[[#This Row],[ENERO ]:[DICIEMBRE]],0)-(AQ121)-IF(Tabla1[[#This Row],[BAJAS]]="BAJA",IF(Tabla1[[#This Row],[ALTAS]]="ALTA",VLOOKUP(Tabla1[[#This Row],[MES DE ALTA ]],$AT$6:$AU$17,2,FALSE),12)-VLOOKUP(Tabla1[[#This Row],[MES DE BAJA ]],$AT$6:$AU$17,2,FALSE),0)</f>
        <v>0</v>
      </c>
      <c r="Y121" s="69">
        <f>SUM(Tabla1[[#This Row],[MES ADEUDO DE AÑOS PASADOS ]:[MESES DE ADEUDO DEL AÑO EN CURSO ]])</f>
        <v>0</v>
      </c>
      <c r="Z121" s="15">
        <f>IF(Tabla1[[#This Row],[TIPO DE CONSUMIDOR]]="COMPLETO",W121*$T$2,W121*($T$2/2))</f>
        <v>0</v>
      </c>
      <c r="AA121" s="15">
        <f>IF(Tabla1[[#This Row],[TIPO DE CONSUMIDOR]]="COMPLETO",Tabla1[[#This Row],[MESES DE ADEUDO DEL AÑO EN CURSO ]]*$T$2,Tabla1[[#This Row],[MESES DE ADEUDO DEL AÑO EN CURSO ]]*($T$2/2))</f>
        <v>0</v>
      </c>
      <c r="AB121" s="70">
        <f>SUM(Tabla1[[#This Row],[DEUDA DE LOS MESES PASADOS EN $$]:[DEUDA DEL AÑO 2013 $$ ]])</f>
        <v>0</v>
      </c>
      <c r="AE121" s="103">
        <f>IF(Tabla1[[#This Row],[TIPO DE CONSUMIDOR]]="MEDIO",IF(Tabla1[[#This Row],[ENERO ]]&gt;22.5,Tabla1[[#This Row],[ENERO ]]/22.5-1,0),IF(Tabla1[[#This Row],[ENERO ]]&gt;45,Tabla1[[#This Row],[ENERO ]]/45-1,0))</f>
        <v>0</v>
      </c>
      <c r="AF12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1" s="103">
        <f>IF(Tabla1[[#This Row],[TIPO DE CONSUMIDOR]]="MEDIO",IF(Tabla1[[#This Row],[MARZO]]&gt;22.5,Tabla1[[#This Row],[MARZO]]/22.5-1,0),IF(Tabla1[[#This Row],[MARZO]]&gt;45,Tabla1[[#This Row],[MARZO]]/45-1,0))</f>
        <v>0</v>
      </c>
      <c r="AH121" s="103">
        <f>IF(Tabla1[[#This Row],[TIPO DE CONSUMIDOR]]="MEDIO",IF(Tabla1[[#This Row],[ABRIL]]&gt;22.5,Tabla1[[#This Row],[ABRIL]]/22.5-1,0),IF(Tabla1[[#This Row],[ABRIL]]&gt;45,Tabla1[[#This Row],[ABRIL]]/45-1,0))</f>
        <v>0</v>
      </c>
      <c r="AI121" s="103">
        <f>IF(Tabla1[[#This Row],[TIPO DE CONSUMIDOR]]="MEDIO",IF(Tabla1[[#This Row],[MAYO ]]&gt;22.5,Tabla1[[#This Row],[MAYO ]]/22.5-1,0),IF(Tabla1[[#This Row],[MAYO ]]&gt;45,Tabla1[[#This Row],[MAYO ]]/45-1,0))</f>
        <v>0</v>
      </c>
      <c r="AJ121" s="103">
        <f>IF(Tabla1[[#This Row],[TIPO DE CONSUMIDOR]]="MEDIO",IF(Tabla1[[#This Row],[JUNIO ]]&gt;22.5,Tabla1[[#This Row],[JUNIO ]]/22.5-1,0),IF(Tabla1[[#This Row],[JUNIO ]]&gt;45,Tabla1[[#This Row],[JUNIO ]]/45-1,0))</f>
        <v>0</v>
      </c>
      <c r="AK121" s="103">
        <f>IF(Tabla1[[#This Row],[TIPO DE CONSUMIDOR]]="MEDIO",IF(Tabla1[[#This Row],[JULIO ]]&gt;22.5,Tabla1[[#This Row],[JULIO ]]/22.5-1,0),IF(Tabla1[[#This Row],[JULIO ]]&gt;45,Tabla1[[#This Row],[JULIO ]]/45-1,0))</f>
        <v>0</v>
      </c>
      <c r="AL121" s="103">
        <f>IF(Tabla1[[#This Row],[TIPO DE CONSUMIDOR]]="MEDIO",IF(Tabla1[[#This Row],[AGOSTO]]&gt;22.5,Tabla1[[#This Row],[AGOSTO]]/22.5-1,0),IF(Tabla1[[#This Row],[AGOSTO]]&gt;45,Tabla1[[#This Row],[AGOSTO]]/45-1,0))</f>
        <v>0</v>
      </c>
      <c r="AM12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1" s="104">
        <f t="shared" si="4"/>
        <v>0</v>
      </c>
      <c r="AR121" s="9">
        <f t="shared" si="3"/>
        <v>0</v>
      </c>
      <c r="AS121" s="60">
        <f>IF(Tabla1[[#This Row],[MESES DE ADEUDO DEL AÑO EN CURSO ]]&gt;0,1,0)</f>
        <v>0</v>
      </c>
      <c r="AT121" s="42"/>
      <c r="AU121" s="42"/>
      <c r="AV121" s="42"/>
      <c r="AW121" s="43"/>
    </row>
    <row r="122" spans="1:49" ht="21.75" thickBot="1" x14ac:dyDescent="0.35">
      <c r="A122" s="109">
        <v>116</v>
      </c>
      <c r="B122" s="5" t="s">
        <v>39</v>
      </c>
      <c r="C122" s="2" t="s">
        <v>530</v>
      </c>
      <c r="D122" s="32"/>
      <c r="E122" s="35" t="s">
        <v>455</v>
      </c>
      <c r="F122" s="34">
        <v>45</v>
      </c>
      <c r="G122" s="34">
        <v>45</v>
      </c>
      <c r="H122" s="34">
        <v>45</v>
      </c>
      <c r="I122" s="34">
        <v>45</v>
      </c>
      <c r="J122" s="34">
        <v>45</v>
      </c>
      <c r="K122" s="34">
        <v>45</v>
      </c>
      <c r="L122" s="34">
        <v>45</v>
      </c>
      <c r="M122" s="34">
        <v>45</v>
      </c>
      <c r="N122" s="34">
        <v>45</v>
      </c>
      <c r="O122" s="34">
        <v>45</v>
      </c>
      <c r="P122" s="34">
        <v>45</v>
      </c>
      <c r="Q122" s="34">
        <v>45</v>
      </c>
      <c r="R122" s="24">
        <f>SUM(Tabla1[[#This Row],[ENERO ]:[DICIEMBRE]])</f>
        <v>540</v>
      </c>
      <c r="W122" s="65">
        <v>0</v>
      </c>
      <c r="X122" s="21">
        <f>COUNTIF(Tabla1[[#This Row],[ENERO ]:[DICIEMBRE]],0)-(AQ122)-IF(Tabla1[[#This Row],[BAJAS]]="BAJA",IF(Tabla1[[#This Row],[ALTAS]]="ALTA",VLOOKUP(Tabla1[[#This Row],[MES DE ALTA ]],$AT$6:$AU$17,2,FALSE),12)-VLOOKUP(Tabla1[[#This Row],[MES DE BAJA ]],$AT$6:$AU$17,2,FALSE),0)</f>
        <v>0</v>
      </c>
      <c r="Y122" s="69">
        <f>SUM(Tabla1[[#This Row],[MES ADEUDO DE AÑOS PASADOS ]:[MESES DE ADEUDO DEL AÑO EN CURSO ]])</f>
        <v>0</v>
      </c>
      <c r="Z122" s="15">
        <f>IF(Tabla1[[#This Row],[TIPO DE CONSUMIDOR]]="COMPLETO",W122*$T$2,W122*($T$2/2))</f>
        <v>0</v>
      </c>
      <c r="AA122" s="15">
        <f>IF(Tabla1[[#This Row],[TIPO DE CONSUMIDOR]]="COMPLETO",Tabla1[[#This Row],[MESES DE ADEUDO DEL AÑO EN CURSO ]]*$T$2,Tabla1[[#This Row],[MESES DE ADEUDO DEL AÑO EN CURSO ]]*($T$2/2))</f>
        <v>0</v>
      </c>
      <c r="AB122" s="70">
        <f>SUM(Tabla1[[#This Row],[DEUDA DE LOS MESES PASADOS EN $$]:[DEUDA DEL AÑO 2013 $$ ]])</f>
        <v>0</v>
      </c>
      <c r="AE122" s="103">
        <f>IF(Tabla1[[#This Row],[TIPO DE CONSUMIDOR]]="MEDIO",IF(Tabla1[[#This Row],[ENERO ]]&gt;22.5,Tabla1[[#This Row],[ENERO ]]/22.5-1,0),IF(Tabla1[[#This Row],[ENERO ]]&gt;45,Tabla1[[#This Row],[ENERO ]]/45-1,0))</f>
        <v>0</v>
      </c>
      <c r="AF12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2" s="103">
        <f>IF(Tabla1[[#This Row],[TIPO DE CONSUMIDOR]]="MEDIO",IF(Tabla1[[#This Row],[MARZO]]&gt;22.5,Tabla1[[#This Row],[MARZO]]/22.5-1,0),IF(Tabla1[[#This Row],[MARZO]]&gt;45,Tabla1[[#This Row],[MARZO]]/45-1,0))</f>
        <v>0</v>
      </c>
      <c r="AH122" s="103">
        <f>IF(Tabla1[[#This Row],[TIPO DE CONSUMIDOR]]="MEDIO",IF(Tabla1[[#This Row],[ABRIL]]&gt;22.5,Tabla1[[#This Row],[ABRIL]]/22.5-1,0),IF(Tabla1[[#This Row],[ABRIL]]&gt;45,Tabla1[[#This Row],[ABRIL]]/45-1,0))</f>
        <v>0</v>
      </c>
      <c r="AI122" s="103">
        <f>IF(Tabla1[[#This Row],[TIPO DE CONSUMIDOR]]="MEDIO",IF(Tabla1[[#This Row],[MAYO ]]&gt;22.5,Tabla1[[#This Row],[MAYO ]]/22.5-1,0),IF(Tabla1[[#This Row],[MAYO ]]&gt;45,Tabla1[[#This Row],[MAYO ]]/45-1,0))</f>
        <v>0</v>
      </c>
      <c r="AJ122" s="103">
        <f>IF(Tabla1[[#This Row],[TIPO DE CONSUMIDOR]]="MEDIO",IF(Tabla1[[#This Row],[JUNIO ]]&gt;22.5,Tabla1[[#This Row],[JUNIO ]]/22.5-1,0),IF(Tabla1[[#This Row],[JUNIO ]]&gt;45,Tabla1[[#This Row],[JUNIO ]]/45-1,0))</f>
        <v>0</v>
      </c>
      <c r="AK122" s="103">
        <f>IF(Tabla1[[#This Row],[TIPO DE CONSUMIDOR]]="MEDIO",IF(Tabla1[[#This Row],[JULIO ]]&gt;22.5,Tabla1[[#This Row],[JULIO ]]/22.5-1,0),IF(Tabla1[[#This Row],[JULIO ]]&gt;45,Tabla1[[#This Row],[JULIO ]]/45-1,0))</f>
        <v>0</v>
      </c>
      <c r="AL122" s="103">
        <f>IF(Tabla1[[#This Row],[TIPO DE CONSUMIDOR]]="MEDIO",IF(Tabla1[[#This Row],[AGOSTO]]&gt;22.5,Tabla1[[#This Row],[AGOSTO]]/22.5-1,0),IF(Tabla1[[#This Row],[AGOSTO]]&gt;45,Tabla1[[#This Row],[AGOSTO]]/45-1,0))</f>
        <v>0</v>
      </c>
      <c r="AM12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2" s="104">
        <f t="shared" si="4"/>
        <v>0</v>
      </c>
      <c r="AR122" s="9">
        <f t="shared" si="3"/>
        <v>0</v>
      </c>
      <c r="AS122" s="60">
        <f>IF(Tabla1[[#This Row],[MESES DE ADEUDO DEL AÑO EN CURSO ]]&gt;0,1,0)</f>
        <v>0</v>
      </c>
      <c r="AT122" s="42"/>
      <c r="AU122" s="42"/>
      <c r="AV122" s="42"/>
      <c r="AW122" s="43"/>
    </row>
    <row r="123" spans="1:49" ht="21.75" thickBot="1" x14ac:dyDescent="0.35">
      <c r="A123" s="109">
        <v>117</v>
      </c>
      <c r="B123" s="5" t="s">
        <v>19</v>
      </c>
      <c r="C123" s="2" t="s">
        <v>530</v>
      </c>
      <c r="D123" s="32"/>
      <c r="E123" s="35" t="s">
        <v>455</v>
      </c>
      <c r="F123" s="34">
        <v>45</v>
      </c>
      <c r="G123" s="34">
        <v>45</v>
      </c>
      <c r="H123" s="34">
        <v>45</v>
      </c>
      <c r="I123" s="34">
        <v>45</v>
      </c>
      <c r="J123" s="34">
        <v>45</v>
      </c>
      <c r="K123" s="34">
        <v>45</v>
      </c>
      <c r="L123" s="34">
        <v>45</v>
      </c>
      <c r="M123" s="34">
        <v>45</v>
      </c>
      <c r="N123" s="34">
        <v>45</v>
      </c>
      <c r="O123" s="34">
        <v>45</v>
      </c>
      <c r="P123" s="34">
        <v>45</v>
      </c>
      <c r="Q123" s="34">
        <v>45</v>
      </c>
      <c r="R123" s="24">
        <f>SUM(Tabla1[[#This Row],[ENERO ]:[DICIEMBRE]])</f>
        <v>540</v>
      </c>
      <c r="W123" s="65">
        <v>0</v>
      </c>
      <c r="X123" s="21">
        <f>COUNTIF(Tabla1[[#This Row],[ENERO ]:[DICIEMBRE]],0)-(AQ123)-IF(Tabla1[[#This Row],[BAJAS]]="BAJA",IF(Tabla1[[#This Row],[ALTAS]]="ALTA",VLOOKUP(Tabla1[[#This Row],[MES DE ALTA ]],$AT$6:$AU$17,2,FALSE),12)-VLOOKUP(Tabla1[[#This Row],[MES DE BAJA ]],$AT$6:$AU$17,2,FALSE),0)</f>
        <v>0</v>
      </c>
      <c r="Y123" s="69">
        <f>SUM(Tabla1[[#This Row],[MES ADEUDO DE AÑOS PASADOS ]:[MESES DE ADEUDO DEL AÑO EN CURSO ]])</f>
        <v>0</v>
      </c>
      <c r="Z123" s="15">
        <f>IF(Tabla1[[#This Row],[TIPO DE CONSUMIDOR]]="COMPLETO",W123*$T$2,W123*($T$2/2))</f>
        <v>0</v>
      </c>
      <c r="AA123" s="15">
        <f>IF(Tabla1[[#This Row],[TIPO DE CONSUMIDOR]]="COMPLETO",Tabla1[[#This Row],[MESES DE ADEUDO DEL AÑO EN CURSO ]]*$T$2,Tabla1[[#This Row],[MESES DE ADEUDO DEL AÑO EN CURSO ]]*($T$2/2))</f>
        <v>0</v>
      </c>
      <c r="AB123" s="70">
        <f>SUM(Tabla1[[#This Row],[DEUDA DE LOS MESES PASADOS EN $$]:[DEUDA DEL AÑO 2013 $$ ]])</f>
        <v>0</v>
      </c>
      <c r="AE123" s="103">
        <f>IF(Tabla1[[#This Row],[TIPO DE CONSUMIDOR]]="MEDIO",IF(Tabla1[[#This Row],[ENERO ]]&gt;22.5,Tabla1[[#This Row],[ENERO ]]/22.5-1,0),IF(Tabla1[[#This Row],[ENERO ]]&gt;45,Tabla1[[#This Row],[ENERO ]]/45-1,0))</f>
        <v>0</v>
      </c>
      <c r="AF12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3" s="103">
        <f>IF(Tabla1[[#This Row],[TIPO DE CONSUMIDOR]]="MEDIO",IF(Tabla1[[#This Row],[MARZO]]&gt;22.5,Tabla1[[#This Row],[MARZO]]/22.5-1,0),IF(Tabla1[[#This Row],[MARZO]]&gt;45,Tabla1[[#This Row],[MARZO]]/45-1,0))</f>
        <v>0</v>
      </c>
      <c r="AH123" s="103">
        <f>IF(Tabla1[[#This Row],[TIPO DE CONSUMIDOR]]="MEDIO",IF(Tabla1[[#This Row],[ABRIL]]&gt;22.5,Tabla1[[#This Row],[ABRIL]]/22.5-1,0),IF(Tabla1[[#This Row],[ABRIL]]&gt;45,Tabla1[[#This Row],[ABRIL]]/45-1,0))</f>
        <v>0</v>
      </c>
      <c r="AI123" s="103">
        <f>IF(Tabla1[[#This Row],[TIPO DE CONSUMIDOR]]="MEDIO",IF(Tabla1[[#This Row],[MAYO ]]&gt;22.5,Tabla1[[#This Row],[MAYO ]]/22.5-1,0),IF(Tabla1[[#This Row],[MAYO ]]&gt;45,Tabla1[[#This Row],[MAYO ]]/45-1,0))</f>
        <v>0</v>
      </c>
      <c r="AJ123" s="103">
        <f>IF(Tabla1[[#This Row],[TIPO DE CONSUMIDOR]]="MEDIO",IF(Tabla1[[#This Row],[JUNIO ]]&gt;22.5,Tabla1[[#This Row],[JUNIO ]]/22.5-1,0),IF(Tabla1[[#This Row],[JUNIO ]]&gt;45,Tabla1[[#This Row],[JUNIO ]]/45-1,0))</f>
        <v>0</v>
      </c>
      <c r="AK123" s="103">
        <f>IF(Tabla1[[#This Row],[TIPO DE CONSUMIDOR]]="MEDIO",IF(Tabla1[[#This Row],[JULIO ]]&gt;22.5,Tabla1[[#This Row],[JULIO ]]/22.5-1,0),IF(Tabla1[[#This Row],[JULIO ]]&gt;45,Tabla1[[#This Row],[JULIO ]]/45-1,0))</f>
        <v>0</v>
      </c>
      <c r="AL123" s="103">
        <f>IF(Tabla1[[#This Row],[TIPO DE CONSUMIDOR]]="MEDIO",IF(Tabla1[[#This Row],[AGOSTO]]&gt;22.5,Tabla1[[#This Row],[AGOSTO]]/22.5-1,0),IF(Tabla1[[#This Row],[AGOSTO]]&gt;45,Tabla1[[#This Row],[AGOSTO]]/45-1,0))</f>
        <v>0</v>
      </c>
      <c r="AM12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3" s="104">
        <f t="shared" si="4"/>
        <v>0</v>
      </c>
      <c r="AR123" s="9">
        <f t="shared" si="3"/>
        <v>0</v>
      </c>
      <c r="AS123" s="60">
        <f>IF(Tabla1[[#This Row],[MESES DE ADEUDO DEL AÑO EN CURSO ]]&gt;0,1,0)</f>
        <v>0</v>
      </c>
      <c r="AT123" s="42"/>
      <c r="AU123" s="42"/>
      <c r="AV123" s="42"/>
      <c r="AW123" s="43"/>
    </row>
    <row r="124" spans="1:49" ht="21.75" thickBot="1" x14ac:dyDescent="0.35">
      <c r="A124" s="109">
        <v>118</v>
      </c>
      <c r="B124" s="5" t="s">
        <v>28</v>
      </c>
      <c r="C124" s="2" t="s">
        <v>530</v>
      </c>
      <c r="D124" s="32"/>
      <c r="E124" s="35" t="s">
        <v>455</v>
      </c>
      <c r="F124" s="34">
        <v>45</v>
      </c>
      <c r="G124" s="34">
        <v>45</v>
      </c>
      <c r="H124" s="34">
        <v>45</v>
      </c>
      <c r="I124" s="34">
        <v>45</v>
      </c>
      <c r="J124" s="34">
        <v>45</v>
      </c>
      <c r="K124" s="34">
        <v>45</v>
      </c>
      <c r="L124" s="34">
        <v>45</v>
      </c>
      <c r="M124" s="34">
        <v>45</v>
      </c>
      <c r="N124" s="34">
        <v>45</v>
      </c>
      <c r="O124" s="34">
        <v>45</v>
      </c>
      <c r="P124" s="34">
        <v>45</v>
      </c>
      <c r="Q124" s="34">
        <v>45</v>
      </c>
      <c r="R124" s="24">
        <f>SUM(Tabla1[[#This Row],[ENERO ]:[DICIEMBRE]])</f>
        <v>540</v>
      </c>
      <c r="W124" s="65">
        <v>0</v>
      </c>
      <c r="X124" s="21">
        <f>COUNTIF(Tabla1[[#This Row],[ENERO ]:[DICIEMBRE]],0)-(AQ124)-IF(Tabla1[[#This Row],[BAJAS]]="BAJA",IF(Tabla1[[#This Row],[ALTAS]]="ALTA",VLOOKUP(Tabla1[[#This Row],[MES DE ALTA ]],$AT$6:$AU$17,2,FALSE),12)-VLOOKUP(Tabla1[[#This Row],[MES DE BAJA ]],$AT$6:$AU$17,2,FALSE),0)</f>
        <v>0</v>
      </c>
      <c r="Y124" s="69">
        <f>SUM(Tabla1[[#This Row],[MES ADEUDO DE AÑOS PASADOS ]:[MESES DE ADEUDO DEL AÑO EN CURSO ]])</f>
        <v>0</v>
      </c>
      <c r="Z124" s="15">
        <f>IF(Tabla1[[#This Row],[TIPO DE CONSUMIDOR]]="COMPLETO",W124*$T$2,W124*($T$2/2))</f>
        <v>0</v>
      </c>
      <c r="AA124" s="15">
        <f>IF(Tabla1[[#This Row],[TIPO DE CONSUMIDOR]]="COMPLETO",Tabla1[[#This Row],[MESES DE ADEUDO DEL AÑO EN CURSO ]]*$T$2,Tabla1[[#This Row],[MESES DE ADEUDO DEL AÑO EN CURSO ]]*($T$2/2))</f>
        <v>0</v>
      </c>
      <c r="AB124" s="70">
        <f>SUM(Tabla1[[#This Row],[DEUDA DE LOS MESES PASADOS EN $$]:[DEUDA DEL AÑO 2013 $$ ]])</f>
        <v>0</v>
      </c>
      <c r="AE124" s="103">
        <f>IF(Tabla1[[#This Row],[TIPO DE CONSUMIDOR]]="MEDIO",IF(Tabla1[[#This Row],[ENERO ]]&gt;22.5,Tabla1[[#This Row],[ENERO ]]/22.5-1,0),IF(Tabla1[[#This Row],[ENERO ]]&gt;45,Tabla1[[#This Row],[ENERO ]]/45-1,0))</f>
        <v>0</v>
      </c>
      <c r="AF12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4" s="103">
        <f>IF(Tabla1[[#This Row],[TIPO DE CONSUMIDOR]]="MEDIO",IF(Tabla1[[#This Row],[MARZO]]&gt;22.5,Tabla1[[#This Row],[MARZO]]/22.5-1,0),IF(Tabla1[[#This Row],[MARZO]]&gt;45,Tabla1[[#This Row],[MARZO]]/45-1,0))</f>
        <v>0</v>
      </c>
      <c r="AH124" s="103">
        <f>IF(Tabla1[[#This Row],[TIPO DE CONSUMIDOR]]="MEDIO",IF(Tabla1[[#This Row],[ABRIL]]&gt;22.5,Tabla1[[#This Row],[ABRIL]]/22.5-1,0),IF(Tabla1[[#This Row],[ABRIL]]&gt;45,Tabla1[[#This Row],[ABRIL]]/45-1,0))</f>
        <v>0</v>
      </c>
      <c r="AI124" s="103">
        <f>IF(Tabla1[[#This Row],[TIPO DE CONSUMIDOR]]="MEDIO",IF(Tabla1[[#This Row],[MAYO ]]&gt;22.5,Tabla1[[#This Row],[MAYO ]]/22.5-1,0),IF(Tabla1[[#This Row],[MAYO ]]&gt;45,Tabla1[[#This Row],[MAYO ]]/45-1,0))</f>
        <v>0</v>
      </c>
      <c r="AJ124" s="103">
        <f>IF(Tabla1[[#This Row],[TIPO DE CONSUMIDOR]]="MEDIO",IF(Tabla1[[#This Row],[JUNIO ]]&gt;22.5,Tabla1[[#This Row],[JUNIO ]]/22.5-1,0),IF(Tabla1[[#This Row],[JUNIO ]]&gt;45,Tabla1[[#This Row],[JUNIO ]]/45-1,0))</f>
        <v>0</v>
      </c>
      <c r="AK124" s="103">
        <f>IF(Tabla1[[#This Row],[TIPO DE CONSUMIDOR]]="MEDIO",IF(Tabla1[[#This Row],[JULIO ]]&gt;22.5,Tabla1[[#This Row],[JULIO ]]/22.5-1,0),IF(Tabla1[[#This Row],[JULIO ]]&gt;45,Tabla1[[#This Row],[JULIO ]]/45-1,0))</f>
        <v>0</v>
      </c>
      <c r="AL124" s="103">
        <f>IF(Tabla1[[#This Row],[TIPO DE CONSUMIDOR]]="MEDIO",IF(Tabla1[[#This Row],[AGOSTO]]&gt;22.5,Tabla1[[#This Row],[AGOSTO]]/22.5-1,0),IF(Tabla1[[#This Row],[AGOSTO]]&gt;45,Tabla1[[#This Row],[AGOSTO]]/45-1,0))</f>
        <v>0</v>
      </c>
      <c r="AM12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4" s="104">
        <f t="shared" si="4"/>
        <v>0</v>
      </c>
      <c r="AR124" s="9">
        <f t="shared" si="3"/>
        <v>0</v>
      </c>
      <c r="AS124" s="60">
        <f>IF(Tabla1[[#This Row],[MESES DE ADEUDO DEL AÑO EN CURSO ]]&gt;0,1,0)</f>
        <v>0</v>
      </c>
      <c r="AT124" s="42"/>
      <c r="AU124" s="42"/>
      <c r="AV124" s="42"/>
      <c r="AW124" s="43"/>
    </row>
    <row r="125" spans="1:49" ht="21.75" thickBot="1" x14ac:dyDescent="0.35">
      <c r="A125" s="109">
        <v>119</v>
      </c>
      <c r="B125" s="47" t="s">
        <v>533</v>
      </c>
      <c r="C125" s="2" t="s">
        <v>530</v>
      </c>
      <c r="D125" s="32"/>
      <c r="E125" s="35" t="s">
        <v>455</v>
      </c>
      <c r="F125" s="34">
        <v>0</v>
      </c>
      <c r="G125" s="34">
        <v>0</v>
      </c>
      <c r="H125" s="34">
        <v>0</v>
      </c>
      <c r="I125" s="34">
        <v>0</v>
      </c>
      <c r="J125" s="34">
        <v>0</v>
      </c>
      <c r="K125" s="34">
        <v>0</v>
      </c>
      <c r="L125" s="34">
        <v>0</v>
      </c>
      <c r="M125" s="34">
        <v>0</v>
      </c>
      <c r="N125" s="34">
        <v>0</v>
      </c>
      <c r="O125" s="34">
        <v>0</v>
      </c>
      <c r="P125" s="34">
        <v>45</v>
      </c>
      <c r="Q125" s="34">
        <v>45</v>
      </c>
      <c r="R125" s="24">
        <f>SUM(Tabla1[[#This Row],[ENERO ]:[DICIEMBRE]])</f>
        <v>90</v>
      </c>
      <c r="S125" t="s">
        <v>626</v>
      </c>
      <c r="T125" t="s">
        <v>434</v>
      </c>
      <c r="U125" t="s">
        <v>625</v>
      </c>
      <c r="V125" t="s">
        <v>10</v>
      </c>
      <c r="W125" s="65">
        <v>0</v>
      </c>
      <c r="X125" s="21">
        <f>COUNTIF(Tabla1[[#This Row],[ENERO ]:[DICIEMBRE]],0)-(AQ125)-IF(Tabla1[[#This Row],[BAJAS]]="BAJA",IF(Tabla1[[#This Row],[ALTAS]]="ALTA",VLOOKUP(Tabla1[[#This Row],[MES DE ALTA ]],$AT$6:$AU$17,2,FALSE),12)-VLOOKUP(Tabla1[[#This Row],[MES DE BAJA ]],$AT$6:$AU$17,2,FALSE),0)</f>
        <v>0</v>
      </c>
      <c r="Y125" s="69">
        <f>SUM(Tabla1[[#This Row],[MES ADEUDO DE AÑOS PASADOS ]:[MESES DE ADEUDO DEL AÑO EN CURSO ]])</f>
        <v>0</v>
      </c>
      <c r="Z125" s="15">
        <f>IF(Tabla1[[#This Row],[TIPO DE CONSUMIDOR]]="COMPLETO",W125*$T$2,W125*($T$2/2))</f>
        <v>0</v>
      </c>
      <c r="AA125" s="15">
        <f>IF(Tabla1[[#This Row],[TIPO DE CONSUMIDOR]]="COMPLETO",Tabla1[[#This Row],[MESES DE ADEUDO DEL AÑO EN CURSO ]]*$T$2,Tabla1[[#This Row],[MESES DE ADEUDO DEL AÑO EN CURSO ]]*($T$2/2))</f>
        <v>0</v>
      </c>
      <c r="AB125" s="70">
        <f>SUM(Tabla1[[#This Row],[DEUDA DE LOS MESES PASADOS EN $$]:[DEUDA DEL AÑO 2013 $$ ]])</f>
        <v>0</v>
      </c>
      <c r="AE125" s="103">
        <f>IF(Tabla1[[#This Row],[TIPO DE CONSUMIDOR]]="MEDIO",IF(Tabla1[[#This Row],[ENERO ]]&gt;22.5,Tabla1[[#This Row],[ENERO ]]/22.5-1,0),IF(Tabla1[[#This Row],[ENERO ]]&gt;45,Tabla1[[#This Row],[ENERO ]]/45-1,0))</f>
        <v>0</v>
      </c>
      <c r="AF12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5" s="103">
        <f>IF(Tabla1[[#This Row],[TIPO DE CONSUMIDOR]]="MEDIO",IF(Tabla1[[#This Row],[MARZO]]&gt;22.5,Tabla1[[#This Row],[MARZO]]/22.5-1,0),IF(Tabla1[[#This Row],[MARZO]]&gt;45,Tabla1[[#This Row],[MARZO]]/45-1,0))</f>
        <v>0</v>
      </c>
      <c r="AH125" s="103">
        <f>IF(Tabla1[[#This Row],[TIPO DE CONSUMIDOR]]="MEDIO",IF(Tabla1[[#This Row],[ABRIL]]&gt;22.5,Tabla1[[#This Row],[ABRIL]]/22.5-1,0),IF(Tabla1[[#This Row],[ABRIL]]&gt;45,Tabla1[[#This Row],[ABRIL]]/45-1,0))</f>
        <v>0</v>
      </c>
      <c r="AI125" s="103">
        <f>IF(Tabla1[[#This Row],[TIPO DE CONSUMIDOR]]="MEDIO",IF(Tabla1[[#This Row],[MAYO ]]&gt;22.5,Tabla1[[#This Row],[MAYO ]]/22.5-1,0),IF(Tabla1[[#This Row],[MAYO ]]&gt;45,Tabla1[[#This Row],[MAYO ]]/45-1,0))</f>
        <v>0</v>
      </c>
      <c r="AJ125" s="103">
        <f>IF(Tabla1[[#This Row],[TIPO DE CONSUMIDOR]]="MEDIO",IF(Tabla1[[#This Row],[JUNIO ]]&gt;22.5,Tabla1[[#This Row],[JUNIO ]]/22.5-1,0),IF(Tabla1[[#This Row],[JUNIO ]]&gt;45,Tabla1[[#This Row],[JUNIO ]]/45-1,0))</f>
        <v>0</v>
      </c>
      <c r="AK125" s="103">
        <f>IF(Tabla1[[#This Row],[TIPO DE CONSUMIDOR]]="MEDIO",IF(Tabla1[[#This Row],[JULIO ]]&gt;22.5,Tabla1[[#This Row],[JULIO ]]/22.5-1,0),IF(Tabla1[[#This Row],[JULIO ]]&gt;45,Tabla1[[#This Row],[JULIO ]]/45-1,0))</f>
        <v>0</v>
      </c>
      <c r="AL125" s="103">
        <f>IF(Tabla1[[#This Row],[TIPO DE CONSUMIDOR]]="MEDIO",IF(Tabla1[[#This Row],[AGOSTO]]&gt;22.5,Tabla1[[#This Row],[AGOSTO]]/22.5-1,0),IF(Tabla1[[#This Row],[AGOSTO]]&gt;45,Tabla1[[#This Row],[AGOSTO]]/45-1,0))</f>
        <v>0</v>
      </c>
      <c r="AM12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5" s="104">
        <f t="shared" si="4"/>
        <v>0</v>
      </c>
      <c r="AR125" s="9">
        <f t="shared" si="3"/>
        <v>0</v>
      </c>
      <c r="AS125" s="60">
        <f>IF(Tabla1[[#This Row],[MESES DE ADEUDO DEL AÑO EN CURSO ]]&gt;0,1,0)</f>
        <v>0</v>
      </c>
      <c r="AT125" s="42"/>
      <c r="AU125" s="42"/>
      <c r="AV125" s="42"/>
      <c r="AW125" s="43"/>
    </row>
    <row r="126" spans="1:49" ht="21.75" thickBot="1" x14ac:dyDescent="0.35">
      <c r="A126" s="109">
        <v>120</v>
      </c>
      <c r="B126" s="5" t="s">
        <v>70</v>
      </c>
      <c r="C126" s="2" t="s">
        <v>530</v>
      </c>
      <c r="D126" s="32"/>
      <c r="E126" s="35" t="s">
        <v>455</v>
      </c>
      <c r="F126" s="34">
        <v>45</v>
      </c>
      <c r="G126" s="34">
        <v>45</v>
      </c>
      <c r="H126" s="34">
        <v>45</v>
      </c>
      <c r="I126" s="34">
        <v>45</v>
      </c>
      <c r="J126" s="34">
        <v>45</v>
      </c>
      <c r="K126" s="34">
        <v>45</v>
      </c>
      <c r="L126" s="34">
        <v>45</v>
      </c>
      <c r="M126" s="34">
        <v>45</v>
      </c>
      <c r="N126" s="34">
        <v>45</v>
      </c>
      <c r="O126" s="34">
        <v>45</v>
      </c>
      <c r="P126" s="34">
        <v>45</v>
      </c>
      <c r="Q126" s="34">
        <v>45</v>
      </c>
      <c r="R126" s="24">
        <f>SUM(Tabla1[[#This Row],[ENERO ]:[DICIEMBRE]])</f>
        <v>540</v>
      </c>
      <c r="W126" s="65">
        <v>0</v>
      </c>
      <c r="X126" s="21">
        <f>COUNTIF(Tabla1[[#This Row],[ENERO ]:[DICIEMBRE]],0)-(AQ126)-IF(Tabla1[[#This Row],[BAJAS]]="BAJA",IF(Tabla1[[#This Row],[ALTAS]]="ALTA",VLOOKUP(Tabla1[[#This Row],[MES DE ALTA ]],$AT$6:$AU$17,2,FALSE),12)-VLOOKUP(Tabla1[[#This Row],[MES DE BAJA ]],$AT$6:$AU$17,2,FALSE),0)</f>
        <v>0</v>
      </c>
      <c r="Y126" s="69">
        <f>SUM(Tabla1[[#This Row],[MES ADEUDO DE AÑOS PASADOS ]:[MESES DE ADEUDO DEL AÑO EN CURSO ]])</f>
        <v>0</v>
      </c>
      <c r="Z126" s="15">
        <f>IF(Tabla1[[#This Row],[TIPO DE CONSUMIDOR]]="COMPLETO",W126*$T$2,W126*($T$2/2))</f>
        <v>0</v>
      </c>
      <c r="AA126" s="15">
        <f>IF(Tabla1[[#This Row],[TIPO DE CONSUMIDOR]]="COMPLETO",Tabla1[[#This Row],[MESES DE ADEUDO DEL AÑO EN CURSO ]]*$T$2,Tabla1[[#This Row],[MESES DE ADEUDO DEL AÑO EN CURSO ]]*($T$2/2))</f>
        <v>0</v>
      </c>
      <c r="AB126" s="70">
        <f>SUM(Tabla1[[#This Row],[DEUDA DE LOS MESES PASADOS EN $$]:[DEUDA DEL AÑO 2013 $$ ]])</f>
        <v>0</v>
      </c>
      <c r="AE126" s="103">
        <f>IF(Tabla1[[#This Row],[TIPO DE CONSUMIDOR]]="MEDIO",IF(Tabla1[[#This Row],[ENERO ]]&gt;22.5,Tabla1[[#This Row],[ENERO ]]/22.5-1,0),IF(Tabla1[[#This Row],[ENERO ]]&gt;45,Tabla1[[#This Row],[ENERO ]]/45-1,0))</f>
        <v>0</v>
      </c>
      <c r="AF12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6" s="103">
        <f>IF(Tabla1[[#This Row],[TIPO DE CONSUMIDOR]]="MEDIO",IF(Tabla1[[#This Row],[MARZO]]&gt;22.5,Tabla1[[#This Row],[MARZO]]/22.5-1,0),IF(Tabla1[[#This Row],[MARZO]]&gt;45,Tabla1[[#This Row],[MARZO]]/45-1,0))</f>
        <v>0</v>
      </c>
      <c r="AH126" s="103">
        <f>IF(Tabla1[[#This Row],[TIPO DE CONSUMIDOR]]="MEDIO",IF(Tabla1[[#This Row],[ABRIL]]&gt;22.5,Tabla1[[#This Row],[ABRIL]]/22.5-1,0),IF(Tabla1[[#This Row],[ABRIL]]&gt;45,Tabla1[[#This Row],[ABRIL]]/45-1,0))</f>
        <v>0</v>
      </c>
      <c r="AI126" s="103">
        <f>IF(Tabla1[[#This Row],[TIPO DE CONSUMIDOR]]="MEDIO",IF(Tabla1[[#This Row],[MAYO ]]&gt;22.5,Tabla1[[#This Row],[MAYO ]]/22.5-1,0),IF(Tabla1[[#This Row],[MAYO ]]&gt;45,Tabla1[[#This Row],[MAYO ]]/45-1,0))</f>
        <v>0</v>
      </c>
      <c r="AJ126" s="103">
        <f>IF(Tabla1[[#This Row],[TIPO DE CONSUMIDOR]]="MEDIO",IF(Tabla1[[#This Row],[JUNIO ]]&gt;22.5,Tabla1[[#This Row],[JUNIO ]]/22.5-1,0),IF(Tabla1[[#This Row],[JUNIO ]]&gt;45,Tabla1[[#This Row],[JUNIO ]]/45-1,0))</f>
        <v>0</v>
      </c>
      <c r="AK126" s="103">
        <f>IF(Tabla1[[#This Row],[TIPO DE CONSUMIDOR]]="MEDIO",IF(Tabla1[[#This Row],[JULIO ]]&gt;22.5,Tabla1[[#This Row],[JULIO ]]/22.5-1,0),IF(Tabla1[[#This Row],[JULIO ]]&gt;45,Tabla1[[#This Row],[JULIO ]]/45-1,0))</f>
        <v>0</v>
      </c>
      <c r="AL126" s="103">
        <f>IF(Tabla1[[#This Row],[TIPO DE CONSUMIDOR]]="MEDIO",IF(Tabla1[[#This Row],[AGOSTO]]&gt;22.5,Tabla1[[#This Row],[AGOSTO]]/22.5-1,0),IF(Tabla1[[#This Row],[AGOSTO]]&gt;45,Tabla1[[#This Row],[AGOSTO]]/45-1,0))</f>
        <v>0</v>
      </c>
      <c r="AM12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6" s="104">
        <f t="shared" si="4"/>
        <v>0</v>
      </c>
      <c r="AR126" s="9">
        <f t="shared" si="3"/>
        <v>0</v>
      </c>
      <c r="AS126" s="60">
        <f>IF(Tabla1[[#This Row],[MESES DE ADEUDO DEL AÑO EN CURSO ]]&gt;0,1,0)</f>
        <v>0</v>
      </c>
      <c r="AT126" s="42"/>
      <c r="AU126" s="42"/>
      <c r="AV126" s="42"/>
      <c r="AW126" s="43"/>
    </row>
    <row r="127" spans="1:49" ht="21.75" thickBot="1" x14ac:dyDescent="0.35">
      <c r="A127" s="109">
        <v>121</v>
      </c>
      <c r="B127" s="5" t="s">
        <v>61</v>
      </c>
      <c r="C127" s="2" t="s">
        <v>530</v>
      </c>
      <c r="D127" s="32"/>
      <c r="E127" s="35" t="s">
        <v>455</v>
      </c>
      <c r="F127" s="34">
        <v>45</v>
      </c>
      <c r="G127" s="34">
        <v>45</v>
      </c>
      <c r="H127" s="34">
        <v>45</v>
      </c>
      <c r="I127" s="34">
        <v>45</v>
      </c>
      <c r="J127" s="34">
        <v>0</v>
      </c>
      <c r="K127" s="34">
        <v>0</v>
      </c>
      <c r="L127" s="34">
        <v>0</v>
      </c>
      <c r="M127" s="34">
        <v>0</v>
      </c>
      <c r="N127" s="34">
        <v>0</v>
      </c>
      <c r="O127" s="34">
        <v>0</v>
      </c>
      <c r="P127" s="34">
        <v>0</v>
      </c>
      <c r="Q127" s="34">
        <v>0</v>
      </c>
      <c r="R127" s="24">
        <f>SUM(Tabla1[[#This Row],[ENERO ]:[DICIEMBRE]])</f>
        <v>180</v>
      </c>
      <c r="S127" t="s">
        <v>626</v>
      </c>
      <c r="T127" t="s">
        <v>437</v>
      </c>
      <c r="W127" s="65">
        <v>0</v>
      </c>
      <c r="X127" s="21">
        <f>COUNTIF(Tabla1[[#This Row],[ENERO ]:[DICIEMBRE]],0)-(AQ127)-IF(Tabla1[[#This Row],[BAJAS]]="BAJA",IF(Tabla1[[#This Row],[ALTAS]]="ALTA",VLOOKUP(Tabla1[[#This Row],[MES DE ALTA ]],$AT$6:$AU$17,2,FALSE),12)-VLOOKUP(Tabla1[[#This Row],[MES DE BAJA ]],$AT$6:$AU$17,2,FALSE),0)</f>
        <v>0</v>
      </c>
      <c r="Y127" s="69">
        <f>SUM(Tabla1[[#This Row],[MES ADEUDO DE AÑOS PASADOS ]:[MESES DE ADEUDO DEL AÑO EN CURSO ]])</f>
        <v>0</v>
      </c>
      <c r="Z127" s="15">
        <f>IF(Tabla1[[#This Row],[TIPO DE CONSUMIDOR]]="COMPLETO",W127*$T$2,W127*($T$2/2))</f>
        <v>0</v>
      </c>
      <c r="AA127" s="15">
        <f>IF(Tabla1[[#This Row],[TIPO DE CONSUMIDOR]]="COMPLETO",Tabla1[[#This Row],[MESES DE ADEUDO DEL AÑO EN CURSO ]]*$T$2,Tabla1[[#This Row],[MESES DE ADEUDO DEL AÑO EN CURSO ]]*($T$2/2))</f>
        <v>0</v>
      </c>
      <c r="AB127" s="70">
        <f>SUM(Tabla1[[#This Row],[DEUDA DE LOS MESES PASADOS EN $$]:[DEUDA DEL AÑO 2013 $$ ]])</f>
        <v>0</v>
      </c>
      <c r="AE127" s="103">
        <f>IF(Tabla1[[#This Row],[TIPO DE CONSUMIDOR]]="MEDIO",IF(Tabla1[[#This Row],[ENERO ]]&gt;22.5,Tabla1[[#This Row],[ENERO ]]/22.5-1,0),IF(Tabla1[[#This Row],[ENERO ]]&gt;45,Tabla1[[#This Row],[ENERO ]]/45-1,0))</f>
        <v>0</v>
      </c>
      <c r="AF12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7" s="103">
        <f>IF(Tabla1[[#This Row],[TIPO DE CONSUMIDOR]]="MEDIO",IF(Tabla1[[#This Row],[MARZO]]&gt;22.5,Tabla1[[#This Row],[MARZO]]/22.5-1,0),IF(Tabla1[[#This Row],[MARZO]]&gt;45,Tabla1[[#This Row],[MARZO]]/45-1,0))</f>
        <v>0</v>
      </c>
      <c r="AH127" s="103">
        <f>IF(Tabla1[[#This Row],[TIPO DE CONSUMIDOR]]="MEDIO",IF(Tabla1[[#This Row],[ABRIL]]&gt;22.5,Tabla1[[#This Row],[ABRIL]]/22.5-1,0),IF(Tabla1[[#This Row],[ABRIL]]&gt;45,Tabla1[[#This Row],[ABRIL]]/45-1,0))</f>
        <v>0</v>
      </c>
      <c r="AI127" s="103">
        <f>IF(Tabla1[[#This Row],[TIPO DE CONSUMIDOR]]="MEDIO",IF(Tabla1[[#This Row],[MAYO ]]&gt;22.5,Tabla1[[#This Row],[MAYO ]]/22.5-1,0),IF(Tabla1[[#This Row],[MAYO ]]&gt;45,Tabla1[[#This Row],[MAYO ]]/45-1,0))</f>
        <v>0</v>
      </c>
      <c r="AJ127" s="103">
        <f>IF(Tabla1[[#This Row],[TIPO DE CONSUMIDOR]]="MEDIO",IF(Tabla1[[#This Row],[JUNIO ]]&gt;22.5,Tabla1[[#This Row],[JUNIO ]]/22.5-1,0),IF(Tabla1[[#This Row],[JUNIO ]]&gt;45,Tabla1[[#This Row],[JUNIO ]]/45-1,0))</f>
        <v>0</v>
      </c>
      <c r="AK127" s="103">
        <f>IF(Tabla1[[#This Row],[TIPO DE CONSUMIDOR]]="MEDIO",IF(Tabla1[[#This Row],[JULIO ]]&gt;22.5,Tabla1[[#This Row],[JULIO ]]/22.5-1,0),IF(Tabla1[[#This Row],[JULIO ]]&gt;45,Tabla1[[#This Row],[JULIO ]]/45-1,0))</f>
        <v>0</v>
      </c>
      <c r="AL127" s="103">
        <f>IF(Tabla1[[#This Row],[TIPO DE CONSUMIDOR]]="MEDIO",IF(Tabla1[[#This Row],[AGOSTO]]&gt;22.5,Tabla1[[#This Row],[AGOSTO]]/22.5-1,0),IF(Tabla1[[#This Row],[AGOSTO]]&gt;45,Tabla1[[#This Row],[AGOSTO]]/45-1,0))</f>
        <v>0</v>
      </c>
      <c r="AM12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7" s="104">
        <f t="shared" si="4"/>
        <v>0</v>
      </c>
      <c r="AR127" s="9">
        <f t="shared" si="3"/>
        <v>0</v>
      </c>
      <c r="AS127" s="60">
        <f>IF(Tabla1[[#This Row],[MESES DE ADEUDO DEL AÑO EN CURSO ]]&gt;0,1,0)</f>
        <v>0</v>
      </c>
      <c r="AT127" s="42"/>
      <c r="AU127" s="42"/>
      <c r="AV127" s="42"/>
      <c r="AW127" s="43"/>
    </row>
    <row r="128" spans="1:49" ht="21.75" thickBot="1" x14ac:dyDescent="0.35">
      <c r="A128" s="109">
        <v>122</v>
      </c>
      <c r="B128" s="5" t="s">
        <v>64</v>
      </c>
      <c r="C128" s="2" t="s">
        <v>530</v>
      </c>
      <c r="D128" s="32"/>
      <c r="E128" s="35" t="s">
        <v>455</v>
      </c>
      <c r="F128" s="34">
        <v>45</v>
      </c>
      <c r="G128" s="34">
        <v>45</v>
      </c>
      <c r="H128" s="34">
        <v>45</v>
      </c>
      <c r="I128" s="34">
        <v>45</v>
      </c>
      <c r="J128" s="34">
        <v>45</v>
      </c>
      <c r="K128" s="34">
        <v>45</v>
      </c>
      <c r="L128" s="34">
        <v>45</v>
      </c>
      <c r="M128" s="34">
        <v>45</v>
      </c>
      <c r="N128" s="34">
        <v>45</v>
      </c>
      <c r="O128" s="34">
        <v>45</v>
      </c>
      <c r="P128" s="34">
        <v>45</v>
      </c>
      <c r="Q128" s="34">
        <v>45</v>
      </c>
      <c r="R128" s="24">
        <f>SUM(Tabla1[[#This Row],[ENERO ]:[DICIEMBRE]])</f>
        <v>540</v>
      </c>
      <c r="W128" s="65">
        <v>0</v>
      </c>
      <c r="X128" s="21">
        <f>COUNTIF(Tabla1[[#This Row],[ENERO ]:[DICIEMBRE]],0)-(AQ128)-IF(Tabla1[[#This Row],[BAJAS]]="BAJA",IF(Tabla1[[#This Row],[ALTAS]]="ALTA",VLOOKUP(Tabla1[[#This Row],[MES DE ALTA ]],$AT$6:$AU$17,2,FALSE),12)-VLOOKUP(Tabla1[[#This Row],[MES DE BAJA ]],$AT$6:$AU$17,2,FALSE),0)</f>
        <v>0</v>
      </c>
      <c r="Y128" s="69">
        <f>SUM(Tabla1[[#This Row],[MES ADEUDO DE AÑOS PASADOS ]:[MESES DE ADEUDO DEL AÑO EN CURSO ]])</f>
        <v>0</v>
      </c>
      <c r="Z128" s="15">
        <f>IF(Tabla1[[#This Row],[TIPO DE CONSUMIDOR]]="COMPLETO",W128*$T$2,W128*($T$2/2))</f>
        <v>0</v>
      </c>
      <c r="AA128" s="15">
        <f>IF(Tabla1[[#This Row],[TIPO DE CONSUMIDOR]]="COMPLETO",Tabla1[[#This Row],[MESES DE ADEUDO DEL AÑO EN CURSO ]]*$T$2,Tabla1[[#This Row],[MESES DE ADEUDO DEL AÑO EN CURSO ]]*($T$2/2))</f>
        <v>0</v>
      </c>
      <c r="AB128" s="70">
        <f>SUM(Tabla1[[#This Row],[DEUDA DE LOS MESES PASADOS EN $$]:[DEUDA DEL AÑO 2013 $$ ]])</f>
        <v>0</v>
      </c>
      <c r="AE128" s="103">
        <f>IF(Tabla1[[#This Row],[TIPO DE CONSUMIDOR]]="MEDIO",IF(Tabla1[[#This Row],[ENERO ]]&gt;22.5,Tabla1[[#This Row],[ENERO ]]/22.5-1,0),IF(Tabla1[[#This Row],[ENERO ]]&gt;45,Tabla1[[#This Row],[ENERO ]]/45-1,0))</f>
        <v>0</v>
      </c>
      <c r="AF12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8" s="103">
        <f>IF(Tabla1[[#This Row],[TIPO DE CONSUMIDOR]]="MEDIO",IF(Tabla1[[#This Row],[MARZO]]&gt;22.5,Tabla1[[#This Row],[MARZO]]/22.5-1,0),IF(Tabla1[[#This Row],[MARZO]]&gt;45,Tabla1[[#This Row],[MARZO]]/45-1,0))</f>
        <v>0</v>
      </c>
      <c r="AH128" s="103">
        <f>IF(Tabla1[[#This Row],[TIPO DE CONSUMIDOR]]="MEDIO",IF(Tabla1[[#This Row],[ABRIL]]&gt;22.5,Tabla1[[#This Row],[ABRIL]]/22.5-1,0),IF(Tabla1[[#This Row],[ABRIL]]&gt;45,Tabla1[[#This Row],[ABRIL]]/45-1,0))</f>
        <v>0</v>
      </c>
      <c r="AI128" s="103">
        <f>IF(Tabla1[[#This Row],[TIPO DE CONSUMIDOR]]="MEDIO",IF(Tabla1[[#This Row],[MAYO ]]&gt;22.5,Tabla1[[#This Row],[MAYO ]]/22.5-1,0),IF(Tabla1[[#This Row],[MAYO ]]&gt;45,Tabla1[[#This Row],[MAYO ]]/45-1,0))</f>
        <v>0</v>
      </c>
      <c r="AJ128" s="103">
        <f>IF(Tabla1[[#This Row],[TIPO DE CONSUMIDOR]]="MEDIO",IF(Tabla1[[#This Row],[JUNIO ]]&gt;22.5,Tabla1[[#This Row],[JUNIO ]]/22.5-1,0),IF(Tabla1[[#This Row],[JUNIO ]]&gt;45,Tabla1[[#This Row],[JUNIO ]]/45-1,0))</f>
        <v>0</v>
      </c>
      <c r="AK128" s="103">
        <f>IF(Tabla1[[#This Row],[TIPO DE CONSUMIDOR]]="MEDIO",IF(Tabla1[[#This Row],[JULIO ]]&gt;22.5,Tabla1[[#This Row],[JULIO ]]/22.5-1,0),IF(Tabla1[[#This Row],[JULIO ]]&gt;45,Tabla1[[#This Row],[JULIO ]]/45-1,0))</f>
        <v>0</v>
      </c>
      <c r="AL128" s="103">
        <f>IF(Tabla1[[#This Row],[TIPO DE CONSUMIDOR]]="MEDIO",IF(Tabla1[[#This Row],[AGOSTO]]&gt;22.5,Tabla1[[#This Row],[AGOSTO]]/22.5-1,0),IF(Tabla1[[#This Row],[AGOSTO]]&gt;45,Tabla1[[#This Row],[AGOSTO]]/45-1,0))</f>
        <v>0</v>
      </c>
      <c r="AM12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8" s="104">
        <f t="shared" si="4"/>
        <v>0</v>
      </c>
      <c r="AR128" s="9">
        <f t="shared" si="3"/>
        <v>0</v>
      </c>
      <c r="AS128" s="60">
        <f>IF(Tabla1[[#This Row],[MESES DE ADEUDO DEL AÑO EN CURSO ]]&gt;0,1,0)</f>
        <v>0</v>
      </c>
      <c r="AT128" s="42"/>
      <c r="AU128" s="42"/>
      <c r="AV128" s="42"/>
      <c r="AW128" s="43"/>
    </row>
    <row r="129" spans="1:49" ht="21.75" thickBot="1" x14ac:dyDescent="0.35">
      <c r="A129" s="109">
        <v>123</v>
      </c>
      <c r="B129" s="5" t="s">
        <v>76</v>
      </c>
      <c r="C129" s="2" t="s">
        <v>530</v>
      </c>
      <c r="D129" s="32"/>
      <c r="E129" s="35" t="s">
        <v>489</v>
      </c>
      <c r="F129" s="34">
        <v>22.5</v>
      </c>
      <c r="G129" s="34">
        <v>22.5</v>
      </c>
      <c r="H129" s="34">
        <v>22.5</v>
      </c>
      <c r="I129" s="34">
        <v>22.5</v>
      </c>
      <c r="J129" s="34">
        <v>22.5</v>
      </c>
      <c r="K129" s="34">
        <v>22.5</v>
      </c>
      <c r="L129" s="34">
        <v>22.5</v>
      </c>
      <c r="M129" s="34">
        <v>22.5</v>
      </c>
      <c r="N129" s="34">
        <v>22.5</v>
      </c>
      <c r="O129" s="34">
        <v>22.5</v>
      </c>
      <c r="P129" s="34">
        <v>22.5</v>
      </c>
      <c r="Q129" s="34">
        <v>22.5</v>
      </c>
      <c r="R129" s="24">
        <f>SUM(Tabla1[[#This Row],[ENERO ]:[DICIEMBRE]])</f>
        <v>270</v>
      </c>
      <c r="W129" s="65">
        <v>0</v>
      </c>
      <c r="X129" s="21">
        <f>COUNTIF(Tabla1[[#This Row],[ENERO ]:[DICIEMBRE]],0)-(AQ129)-IF(Tabla1[[#This Row],[BAJAS]]="BAJA",IF(Tabla1[[#This Row],[ALTAS]]="ALTA",VLOOKUP(Tabla1[[#This Row],[MES DE ALTA ]],$AT$6:$AU$17,2,FALSE),12)-VLOOKUP(Tabla1[[#This Row],[MES DE BAJA ]],$AT$6:$AU$17,2,FALSE),0)</f>
        <v>0</v>
      </c>
      <c r="Y129" s="69">
        <f>SUM(Tabla1[[#This Row],[MES ADEUDO DE AÑOS PASADOS ]:[MESES DE ADEUDO DEL AÑO EN CURSO ]])</f>
        <v>0</v>
      </c>
      <c r="Z129" s="15">
        <f>IF(Tabla1[[#This Row],[TIPO DE CONSUMIDOR]]="COMPLETO",W129*$T$2,W129*($T$2/2))</f>
        <v>0</v>
      </c>
      <c r="AA129" s="15">
        <f>IF(Tabla1[[#This Row],[TIPO DE CONSUMIDOR]]="COMPLETO",Tabla1[[#This Row],[MESES DE ADEUDO DEL AÑO EN CURSO ]]*$T$2,Tabla1[[#This Row],[MESES DE ADEUDO DEL AÑO EN CURSO ]]*($T$2/2))</f>
        <v>0</v>
      </c>
      <c r="AB129" s="70">
        <f>SUM(Tabla1[[#This Row],[DEUDA DE LOS MESES PASADOS EN $$]:[DEUDA DEL AÑO 2013 $$ ]])</f>
        <v>0</v>
      </c>
      <c r="AE129" s="103">
        <f>IF(Tabla1[[#This Row],[TIPO DE CONSUMIDOR]]="MEDIO",IF(Tabla1[[#This Row],[ENERO ]]&gt;22.5,Tabla1[[#This Row],[ENERO ]]/22.5-1,0),IF(Tabla1[[#This Row],[ENERO ]]&gt;45,Tabla1[[#This Row],[ENERO ]]/45-1,0))</f>
        <v>0</v>
      </c>
      <c r="AF12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29" s="103">
        <f>IF(Tabla1[[#This Row],[TIPO DE CONSUMIDOR]]="MEDIO",IF(Tabla1[[#This Row],[MARZO]]&gt;22.5,Tabla1[[#This Row],[MARZO]]/22.5-1,0),IF(Tabla1[[#This Row],[MARZO]]&gt;45,Tabla1[[#This Row],[MARZO]]/45-1,0))</f>
        <v>0</v>
      </c>
      <c r="AH129" s="103">
        <f>IF(Tabla1[[#This Row],[TIPO DE CONSUMIDOR]]="MEDIO",IF(Tabla1[[#This Row],[ABRIL]]&gt;22.5,Tabla1[[#This Row],[ABRIL]]/22.5-1,0),IF(Tabla1[[#This Row],[ABRIL]]&gt;45,Tabla1[[#This Row],[ABRIL]]/45-1,0))</f>
        <v>0</v>
      </c>
      <c r="AI129" s="103">
        <f>IF(Tabla1[[#This Row],[TIPO DE CONSUMIDOR]]="MEDIO",IF(Tabla1[[#This Row],[MAYO ]]&gt;22.5,Tabla1[[#This Row],[MAYO ]]/22.5-1,0),IF(Tabla1[[#This Row],[MAYO ]]&gt;45,Tabla1[[#This Row],[MAYO ]]/45-1,0))</f>
        <v>0</v>
      </c>
      <c r="AJ129" s="103">
        <f>IF(Tabla1[[#This Row],[TIPO DE CONSUMIDOR]]="MEDIO",IF(Tabla1[[#This Row],[JUNIO ]]&gt;22.5,Tabla1[[#This Row],[JUNIO ]]/22.5-1,0),IF(Tabla1[[#This Row],[JUNIO ]]&gt;45,Tabla1[[#This Row],[JUNIO ]]/45-1,0))</f>
        <v>0</v>
      </c>
      <c r="AK129" s="103">
        <f>IF(Tabla1[[#This Row],[TIPO DE CONSUMIDOR]]="MEDIO",IF(Tabla1[[#This Row],[JULIO ]]&gt;22.5,Tabla1[[#This Row],[JULIO ]]/22.5-1,0),IF(Tabla1[[#This Row],[JULIO ]]&gt;45,Tabla1[[#This Row],[JULIO ]]/45-1,0))</f>
        <v>0</v>
      </c>
      <c r="AL129" s="103">
        <f>IF(Tabla1[[#This Row],[TIPO DE CONSUMIDOR]]="MEDIO",IF(Tabla1[[#This Row],[AGOSTO]]&gt;22.5,Tabla1[[#This Row],[AGOSTO]]/22.5-1,0),IF(Tabla1[[#This Row],[AGOSTO]]&gt;45,Tabla1[[#This Row],[AGOSTO]]/45-1,0))</f>
        <v>0</v>
      </c>
      <c r="AM12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2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2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2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29" s="104">
        <f t="shared" si="4"/>
        <v>0</v>
      </c>
      <c r="AR129" s="9">
        <f t="shared" si="3"/>
        <v>0</v>
      </c>
      <c r="AS129" s="60">
        <f>IF(Tabla1[[#This Row],[MESES DE ADEUDO DEL AÑO EN CURSO ]]&gt;0,1,0)</f>
        <v>0</v>
      </c>
      <c r="AT129" s="42"/>
      <c r="AU129" s="42"/>
      <c r="AV129" s="42"/>
      <c r="AW129" s="43"/>
    </row>
    <row r="130" spans="1:49" ht="21.75" thickBot="1" x14ac:dyDescent="0.35">
      <c r="A130" s="109">
        <v>124</v>
      </c>
      <c r="B130" s="5" t="s">
        <v>81</v>
      </c>
      <c r="C130" s="2" t="s">
        <v>530</v>
      </c>
      <c r="D130" s="32"/>
      <c r="E130" s="35" t="s">
        <v>455</v>
      </c>
      <c r="F130" s="34">
        <v>0</v>
      </c>
      <c r="G130" s="34">
        <v>0</v>
      </c>
      <c r="H130" s="34">
        <v>0</v>
      </c>
      <c r="I130" s="34">
        <v>0</v>
      </c>
      <c r="J130" s="34">
        <v>0</v>
      </c>
      <c r="K130" s="34">
        <v>0</v>
      </c>
      <c r="L130" s="34">
        <v>0</v>
      </c>
      <c r="M130" s="34">
        <v>0</v>
      </c>
      <c r="N130" s="34">
        <v>0</v>
      </c>
      <c r="O130" s="34">
        <v>0</v>
      </c>
      <c r="P130" s="34">
        <v>0</v>
      </c>
      <c r="Q130" s="34">
        <v>0</v>
      </c>
      <c r="R130" s="24">
        <f>SUM(Tabla1[[#This Row],[ENERO ]:[DICIEMBRE]])</f>
        <v>0</v>
      </c>
      <c r="S130" t="s">
        <v>626</v>
      </c>
      <c r="T130" t="s">
        <v>434</v>
      </c>
      <c r="W130" s="65">
        <v>0</v>
      </c>
      <c r="X130" s="21">
        <f>COUNTIF(Tabla1[[#This Row],[ENERO ]:[DICIEMBRE]],0)-(AQ130)-IF(Tabla1[[#This Row],[BAJAS]]="BAJA",IF(Tabla1[[#This Row],[ALTAS]]="ALTA",VLOOKUP(Tabla1[[#This Row],[MES DE ALTA ]],$AT$6:$AU$17,2,FALSE),12)-VLOOKUP(Tabla1[[#This Row],[MES DE BAJA ]],$AT$6:$AU$17,2,FALSE),0)</f>
        <v>0</v>
      </c>
      <c r="Y130" s="69">
        <f>SUM(Tabla1[[#This Row],[MES ADEUDO DE AÑOS PASADOS ]:[MESES DE ADEUDO DEL AÑO EN CURSO ]])</f>
        <v>0</v>
      </c>
      <c r="Z130" s="15">
        <f>IF(Tabla1[[#This Row],[TIPO DE CONSUMIDOR]]="COMPLETO",W130*$T$2,W130*($T$2/2))</f>
        <v>0</v>
      </c>
      <c r="AA130" s="15">
        <f>IF(Tabla1[[#This Row],[TIPO DE CONSUMIDOR]]="COMPLETO",Tabla1[[#This Row],[MESES DE ADEUDO DEL AÑO EN CURSO ]]*$T$2,Tabla1[[#This Row],[MESES DE ADEUDO DEL AÑO EN CURSO ]]*($T$2/2))</f>
        <v>0</v>
      </c>
      <c r="AB130" s="70">
        <f>SUM(Tabla1[[#This Row],[DEUDA DE LOS MESES PASADOS EN $$]:[DEUDA DEL AÑO 2013 $$ ]])</f>
        <v>0</v>
      </c>
      <c r="AE130" s="103">
        <f>IF(Tabla1[[#This Row],[TIPO DE CONSUMIDOR]]="MEDIO",IF(Tabla1[[#This Row],[ENERO ]]&gt;22.5,Tabla1[[#This Row],[ENERO ]]/22.5-1,0),IF(Tabla1[[#This Row],[ENERO ]]&gt;45,Tabla1[[#This Row],[ENERO ]]/45-1,0))</f>
        <v>0</v>
      </c>
      <c r="AF13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0" s="103">
        <f>IF(Tabla1[[#This Row],[TIPO DE CONSUMIDOR]]="MEDIO",IF(Tabla1[[#This Row],[MARZO]]&gt;22.5,Tabla1[[#This Row],[MARZO]]/22.5-1,0),IF(Tabla1[[#This Row],[MARZO]]&gt;45,Tabla1[[#This Row],[MARZO]]/45-1,0))</f>
        <v>0</v>
      </c>
      <c r="AH130" s="103">
        <f>IF(Tabla1[[#This Row],[TIPO DE CONSUMIDOR]]="MEDIO",IF(Tabla1[[#This Row],[ABRIL]]&gt;22.5,Tabla1[[#This Row],[ABRIL]]/22.5-1,0),IF(Tabla1[[#This Row],[ABRIL]]&gt;45,Tabla1[[#This Row],[ABRIL]]/45-1,0))</f>
        <v>0</v>
      </c>
      <c r="AI130" s="103">
        <f>IF(Tabla1[[#This Row],[TIPO DE CONSUMIDOR]]="MEDIO",IF(Tabla1[[#This Row],[MAYO ]]&gt;22.5,Tabla1[[#This Row],[MAYO ]]/22.5-1,0),IF(Tabla1[[#This Row],[MAYO ]]&gt;45,Tabla1[[#This Row],[MAYO ]]/45-1,0))</f>
        <v>0</v>
      </c>
      <c r="AJ130" s="103">
        <f>IF(Tabla1[[#This Row],[TIPO DE CONSUMIDOR]]="MEDIO",IF(Tabla1[[#This Row],[JUNIO ]]&gt;22.5,Tabla1[[#This Row],[JUNIO ]]/22.5-1,0),IF(Tabla1[[#This Row],[JUNIO ]]&gt;45,Tabla1[[#This Row],[JUNIO ]]/45-1,0))</f>
        <v>0</v>
      </c>
      <c r="AK130" s="103">
        <f>IF(Tabla1[[#This Row],[TIPO DE CONSUMIDOR]]="MEDIO",IF(Tabla1[[#This Row],[JULIO ]]&gt;22.5,Tabla1[[#This Row],[JULIO ]]/22.5-1,0),IF(Tabla1[[#This Row],[JULIO ]]&gt;45,Tabla1[[#This Row],[JULIO ]]/45-1,0))</f>
        <v>0</v>
      </c>
      <c r="AL130" s="103">
        <f>IF(Tabla1[[#This Row],[TIPO DE CONSUMIDOR]]="MEDIO",IF(Tabla1[[#This Row],[AGOSTO]]&gt;22.5,Tabla1[[#This Row],[AGOSTO]]/22.5-1,0),IF(Tabla1[[#This Row],[AGOSTO]]&gt;45,Tabla1[[#This Row],[AGOSTO]]/45-1,0))</f>
        <v>0</v>
      </c>
      <c r="AM13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0" s="104">
        <f t="shared" si="4"/>
        <v>0</v>
      </c>
      <c r="AR130" s="9">
        <f t="shared" si="3"/>
        <v>0</v>
      </c>
      <c r="AS130" s="60">
        <f>IF(Tabla1[[#This Row],[MESES DE ADEUDO DEL AÑO EN CURSO ]]&gt;0,1,0)</f>
        <v>0</v>
      </c>
      <c r="AT130" s="42"/>
      <c r="AU130" s="42"/>
      <c r="AV130" s="42"/>
      <c r="AW130" s="43"/>
    </row>
    <row r="131" spans="1:49" ht="21.75" thickBot="1" x14ac:dyDescent="0.35">
      <c r="A131" s="109">
        <v>125</v>
      </c>
      <c r="B131" s="5" t="s">
        <v>535</v>
      </c>
      <c r="C131" s="2" t="s">
        <v>530</v>
      </c>
      <c r="D131" s="32"/>
      <c r="E131" s="35" t="s">
        <v>489</v>
      </c>
      <c r="F131" s="34">
        <v>22.5</v>
      </c>
      <c r="G131" s="34">
        <v>22.5</v>
      </c>
      <c r="H131" s="34">
        <v>22.5</v>
      </c>
      <c r="I131" s="34">
        <v>22.5</v>
      </c>
      <c r="J131" s="34">
        <v>22.5</v>
      </c>
      <c r="K131" s="34">
        <v>22.5</v>
      </c>
      <c r="L131" s="34">
        <v>22.5</v>
      </c>
      <c r="M131" s="34">
        <v>22.5</v>
      </c>
      <c r="N131" s="34">
        <v>22.5</v>
      </c>
      <c r="O131" s="34">
        <v>22.5</v>
      </c>
      <c r="P131" s="34">
        <v>22.5</v>
      </c>
      <c r="Q131" s="34">
        <v>22.5</v>
      </c>
      <c r="R131" s="24">
        <f>SUM(Tabla1[[#This Row],[ENERO ]:[DICIEMBRE]])</f>
        <v>270</v>
      </c>
      <c r="W131" s="65">
        <v>0</v>
      </c>
      <c r="X131" s="21">
        <f>COUNTIF(Tabla1[[#This Row],[ENERO ]:[DICIEMBRE]],0)-(AQ131)-IF(Tabla1[[#This Row],[BAJAS]]="BAJA",IF(Tabla1[[#This Row],[ALTAS]]="ALTA",VLOOKUP(Tabla1[[#This Row],[MES DE ALTA ]],$AT$6:$AU$17,2,FALSE),12)-VLOOKUP(Tabla1[[#This Row],[MES DE BAJA ]],$AT$6:$AU$17,2,FALSE),0)</f>
        <v>0</v>
      </c>
      <c r="Y131" s="69">
        <f>SUM(Tabla1[[#This Row],[MES ADEUDO DE AÑOS PASADOS ]:[MESES DE ADEUDO DEL AÑO EN CURSO ]])</f>
        <v>0</v>
      </c>
      <c r="Z131" s="15">
        <f>IF(Tabla1[[#This Row],[TIPO DE CONSUMIDOR]]="COMPLETO",W131*$T$2,W131*($T$2/2))</f>
        <v>0</v>
      </c>
      <c r="AA131" s="15">
        <f>IF(Tabla1[[#This Row],[TIPO DE CONSUMIDOR]]="COMPLETO",Tabla1[[#This Row],[MESES DE ADEUDO DEL AÑO EN CURSO ]]*$T$2,Tabla1[[#This Row],[MESES DE ADEUDO DEL AÑO EN CURSO ]]*($T$2/2))</f>
        <v>0</v>
      </c>
      <c r="AB131" s="70">
        <f>SUM(Tabla1[[#This Row],[DEUDA DE LOS MESES PASADOS EN $$]:[DEUDA DEL AÑO 2013 $$ ]])</f>
        <v>0</v>
      </c>
      <c r="AE131" s="103">
        <f>IF(Tabla1[[#This Row],[TIPO DE CONSUMIDOR]]="MEDIO",IF(Tabla1[[#This Row],[ENERO ]]&gt;22.5,Tabla1[[#This Row],[ENERO ]]/22.5-1,0),IF(Tabla1[[#This Row],[ENERO ]]&gt;45,Tabla1[[#This Row],[ENERO ]]/45-1,0))</f>
        <v>0</v>
      </c>
      <c r="AF13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1" s="103">
        <f>IF(Tabla1[[#This Row],[TIPO DE CONSUMIDOR]]="MEDIO",IF(Tabla1[[#This Row],[MARZO]]&gt;22.5,Tabla1[[#This Row],[MARZO]]/22.5-1,0),IF(Tabla1[[#This Row],[MARZO]]&gt;45,Tabla1[[#This Row],[MARZO]]/45-1,0))</f>
        <v>0</v>
      </c>
      <c r="AH131" s="103">
        <f>IF(Tabla1[[#This Row],[TIPO DE CONSUMIDOR]]="MEDIO",IF(Tabla1[[#This Row],[ABRIL]]&gt;22.5,Tabla1[[#This Row],[ABRIL]]/22.5-1,0),IF(Tabla1[[#This Row],[ABRIL]]&gt;45,Tabla1[[#This Row],[ABRIL]]/45-1,0))</f>
        <v>0</v>
      </c>
      <c r="AI131" s="103">
        <f>IF(Tabla1[[#This Row],[TIPO DE CONSUMIDOR]]="MEDIO",IF(Tabla1[[#This Row],[MAYO ]]&gt;22.5,Tabla1[[#This Row],[MAYO ]]/22.5-1,0),IF(Tabla1[[#This Row],[MAYO ]]&gt;45,Tabla1[[#This Row],[MAYO ]]/45-1,0))</f>
        <v>0</v>
      </c>
      <c r="AJ131" s="103">
        <f>IF(Tabla1[[#This Row],[TIPO DE CONSUMIDOR]]="MEDIO",IF(Tabla1[[#This Row],[JUNIO ]]&gt;22.5,Tabla1[[#This Row],[JUNIO ]]/22.5-1,0),IF(Tabla1[[#This Row],[JUNIO ]]&gt;45,Tabla1[[#This Row],[JUNIO ]]/45-1,0))</f>
        <v>0</v>
      </c>
      <c r="AK131" s="103">
        <f>IF(Tabla1[[#This Row],[TIPO DE CONSUMIDOR]]="MEDIO",IF(Tabla1[[#This Row],[JULIO ]]&gt;22.5,Tabla1[[#This Row],[JULIO ]]/22.5-1,0),IF(Tabla1[[#This Row],[JULIO ]]&gt;45,Tabla1[[#This Row],[JULIO ]]/45-1,0))</f>
        <v>0</v>
      </c>
      <c r="AL131" s="103">
        <f>IF(Tabla1[[#This Row],[TIPO DE CONSUMIDOR]]="MEDIO",IF(Tabla1[[#This Row],[AGOSTO]]&gt;22.5,Tabla1[[#This Row],[AGOSTO]]/22.5-1,0),IF(Tabla1[[#This Row],[AGOSTO]]&gt;45,Tabla1[[#This Row],[AGOSTO]]/45-1,0))</f>
        <v>0</v>
      </c>
      <c r="AM13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1" s="104">
        <f t="shared" si="4"/>
        <v>0</v>
      </c>
      <c r="AR131" s="9">
        <f t="shared" si="3"/>
        <v>0</v>
      </c>
      <c r="AS131" s="60">
        <f>IF(Tabla1[[#This Row],[MESES DE ADEUDO DEL AÑO EN CURSO ]]&gt;0,1,0)</f>
        <v>0</v>
      </c>
      <c r="AT131" s="42"/>
      <c r="AU131" s="42"/>
      <c r="AV131" s="42"/>
      <c r="AW131" s="43"/>
    </row>
    <row r="132" spans="1:49" ht="21.75" thickBot="1" x14ac:dyDescent="0.35">
      <c r="A132" s="109">
        <v>126</v>
      </c>
      <c r="B132" s="5" t="s">
        <v>108</v>
      </c>
      <c r="C132" s="2" t="s">
        <v>530</v>
      </c>
      <c r="D132" s="32"/>
      <c r="E132" s="35" t="s">
        <v>455</v>
      </c>
      <c r="F132" s="34">
        <v>45</v>
      </c>
      <c r="G132" s="34">
        <v>45</v>
      </c>
      <c r="H132" s="34">
        <v>45</v>
      </c>
      <c r="I132" s="34">
        <v>45</v>
      </c>
      <c r="J132" s="34">
        <v>45</v>
      </c>
      <c r="K132" s="34">
        <v>45</v>
      </c>
      <c r="L132" s="34">
        <v>45</v>
      </c>
      <c r="M132" s="34">
        <v>45</v>
      </c>
      <c r="N132" s="34">
        <v>45</v>
      </c>
      <c r="O132" s="34">
        <v>45</v>
      </c>
      <c r="P132" s="34">
        <v>45</v>
      </c>
      <c r="Q132" s="34">
        <v>45</v>
      </c>
      <c r="R132" s="24">
        <f>SUM(Tabla1[[#This Row],[ENERO ]:[DICIEMBRE]])</f>
        <v>540</v>
      </c>
      <c r="W132" s="65">
        <v>0</v>
      </c>
      <c r="X132" s="21">
        <f>COUNTIF(Tabla1[[#This Row],[ENERO ]:[DICIEMBRE]],0)-(AQ132)-IF(Tabla1[[#This Row],[BAJAS]]="BAJA",IF(Tabla1[[#This Row],[ALTAS]]="ALTA",VLOOKUP(Tabla1[[#This Row],[MES DE ALTA ]],$AT$6:$AU$17,2,FALSE),12)-VLOOKUP(Tabla1[[#This Row],[MES DE BAJA ]],$AT$6:$AU$17,2,FALSE),0)</f>
        <v>0</v>
      </c>
      <c r="Y132" s="69">
        <f>SUM(Tabla1[[#This Row],[MES ADEUDO DE AÑOS PASADOS ]:[MESES DE ADEUDO DEL AÑO EN CURSO ]])</f>
        <v>0</v>
      </c>
      <c r="Z132" s="15">
        <f>IF(Tabla1[[#This Row],[TIPO DE CONSUMIDOR]]="COMPLETO",W132*$T$2,W132*($T$2/2))</f>
        <v>0</v>
      </c>
      <c r="AA132" s="15">
        <f>IF(Tabla1[[#This Row],[TIPO DE CONSUMIDOR]]="COMPLETO",Tabla1[[#This Row],[MESES DE ADEUDO DEL AÑO EN CURSO ]]*$T$2,Tabla1[[#This Row],[MESES DE ADEUDO DEL AÑO EN CURSO ]]*($T$2/2))</f>
        <v>0</v>
      </c>
      <c r="AB132" s="70">
        <f>SUM(Tabla1[[#This Row],[DEUDA DE LOS MESES PASADOS EN $$]:[DEUDA DEL AÑO 2013 $$ ]])</f>
        <v>0</v>
      </c>
      <c r="AE132" s="103">
        <f>IF(Tabla1[[#This Row],[TIPO DE CONSUMIDOR]]="MEDIO",IF(Tabla1[[#This Row],[ENERO ]]&gt;22.5,Tabla1[[#This Row],[ENERO ]]/22.5-1,0),IF(Tabla1[[#This Row],[ENERO ]]&gt;45,Tabla1[[#This Row],[ENERO ]]/45-1,0))</f>
        <v>0</v>
      </c>
      <c r="AF13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2" s="103">
        <f>IF(Tabla1[[#This Row],[TIPO DE CONSUMIDOR]]="MEDIO",IF(Tabla1[[#This Row],[MARZO]]&gt;22.5,Tabla1[[#This Row],[MARZO]]/22.5-1,0),IF(Tabla1[[#This Row],[MARZO]]&gt;45,Tabla1[[#This Row],[MARZO]]/45-1,0))</f>
        <v>0</v>
      </c>
      <c r="AH132" s="103">
        <f>IF(Tabla1[[#This Row],[TIPO DE CONSUMIDOR]]="MEDIO",IF(Tabla1[[#This Row],[ABRIL]]&gt;22.5,Tabla1[[#This Row],[ABRIL]]/22.5-1,0),IF(Tabla1[[#This Row],[ABRIL]]&gt;45,Tabla1[[#This Row],[ABRIL]]/45-1,0))</f>
        <v>0</v>
      </c>
      <c r="AI132" s="103">
        <f>IF(Tabla1[[#This Row],[TIPO DE CONSUMIDOR]]="MEDIO",IF(Tabla1[[#This Row],[MAYO ]]&gt;22.5,Tabla1[[#This Row],[MAYO ]]/22.5-1,0),IF(Tabla1[[#This Row],[MAYO ]]&gt;45,Tabla1[[#This Row],[MAYO ]]/45-1,0))</f>
        <v>0</v>
      </c>
      <c r="AJ132" s="103">
        <f>IF(Tabla1[[#This Row],[TIPO DE CONSUMIDOR]]="MEDIO",IF(Tabla1[[#This Row],[JUNIO ]]&gt;22.5,Tabla1[[#This Row],[JUNIO ]]/22.5-1,0),IF(Tabla1[[#This Row],[JUNIO ]]&gt;45,Tabla1[[#This Row],[JUNIO ]]/45-1,0))</f>
        <v>0</v>
      </c>
      <c r="AK132" s="103">
        <f>IF(Tabla1[[#This Row],[TIPO DE CONSUMIDOR]]="MEDIO",IF(Tabla1[[#This Row],[JULIO ]]&gt;22.5,Tabla1[[#This Row],[JULIO ]]/22.5-1,0),IF(Tabla1[[#This Row],[JULIO ]]&gt;45,Tabla1[[#This Row],[JULIO ]]/45-1,0))</f>
        <v>0</v>
      </c>
      <c r="AL132" s="103">
        <f>IF(Tabla1[[#This Row],[TIPO DE CONSUMIDOR]]="MEDIO",IF(Tabla1[[#This Row],[AGOSTO]]&gt;22.5,Tabla1[[#This Row],[AGOSTO]]/22.5-1,0),IF(Tabla1[[#This Row],[AGOSTO]]&gt;45,Tabla1[[#This Row],[AGOSTO]]/45-1,0))</f>
        <v>0</v>
      </c>
      <c r="AM13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2" s="104">
        <f t="shared" si="4"/>
        <v>0</v>
      </c>
      <c r="AR132" s="9">
        <f t="shared" si="3"/>
        <v>0</v>
      </c>
      <c r="AS132" s="60">
        <f>IF(Tabla1[[#This Row],[MESES DE ADEUDO DEL AÑO EN CURSO ]]&gt;0,1,0)</f>
        <v>0</v>
      </c>
      <c r="AT132" s="42"/>
      <c r="AU132" s="42"/>
      <c r="AV132" s="42"/>
      <c r="AW132" s="43"/>
    </row>
    <row r="133" spans="1:49" ht="21.75" thickBot="1" x14ac:dyDescent="0.35">
      <c r="A133" s="109">
        <v>127</v>
      </c>
      <c r="B133" s="5" t="s">
        <v>105</v>
      </c>
      <c r="C133" s="2" t="s">
        <v>530</v>
      </c>
      <c r="D133" s="32"/>
      <c r="E133" s="35" t="s">
        <v>455</v>
      </c>
      <c r="F133" s="34">
        <v>45</v>
      </c>
      <c r="G133" s="34">
        <v>45</v>
      </c>
      <c r="H133" s="34">
        <v>45</v>
      </c>
      <c r="I133" s="34">
        <v>45</v>
      </c>
      <c r="J133" s="34">
        <v>45</v>
      </c>
      <c r="K133" s="34">
        <v>45</v>
      </c>
      <c r="L133" s="34">
        <v>45</v>
      </c>
      <c r="M133" s="34">
        <v>45</v>
      </c>
      <c r="N133" s="34">
        <v>45</v>
      </c>
      <c r="O133" s="34">
        <v>45</v>
      </c>
      <c r="P133" s="34">
        <v>45</v>
      </c>
      <c r="Q133" s="34">
        <v>45</v>
      </c>
      <c r="R133" s="24">
        <f>SUM(Tabla1[[#This Row],[ENERO ]:[DICIEMBRE]])</f>
        <v>540</v>
      </c>
      <c r="W133" s="65">
        <v>0</v>
      </c>
      <c r="X133" s="21">
        <f>COUNTIF(Tabla1[[#This Row],[ENERO ]:[DICIEMBRE]],0)-(AQ133)-IF(Tabla1[[#This Row],[BAJAS]]="BAJA",IF(Tabla1[[#This Row],[ALTAS]]="ALTA",VLOOKUP(Tabla1[[#This Row],[MES DE ALTA ]],$AT$6:$AU$17,2,FALSE),12)-VLOOKUP(Tabla1[[#This Row],[MES DE BAJA ]],$AT$6:$AU$17,2,FALSE),0)</f>
        <v>0</v>
      </c>
      <c r="Y133" s="69">
        <f>SUM(Tabla1[[#This Row],[MES ADEUDO DE AÑOS PASADOS ]:[MESES DE ADEUDO DEL AÑO EN CURSO ]])</f>
        <v>0</v>
      </c>
      <c r="Z133" s="15">
        <f>IF(Tabla1[[#This Row],[TIPO DE CONSUMIDOR]]="COMPLETO",W133*$T$2,W133*($T$2/2))</f>
        <v>0</v>
      </c>
      <c r="AA133" s="15">
        <f>IF(Tabla1[[#This Row],[TIPO DE CONSUMIDOR]]="COMPLETO",Tabla1[[#This Row],[MESES DE ADEUDO DEL AÑO EN CURSO ]]*$T$2,Tabla1[[#This Row],[MESES DE ADEUDO DEL AÑO EN CURSO ]]*($T$2/2))</f>
        <v>0</v>
      </c>
      <c r="AB133" s="70">
        <f>SUM(Tabla1[[#This Row],[DEUDA DE LOS MESES PASADOS EN $$]:[DEUDA DEL AÑO 2013 $$ ]])</f>
        <v>0</v>
      </c>
      <c r="AE133" s="103">
        <f>IF(Tabla1[[#This Row],[TIPO DE CONSUMIDOR]]="MEDIO",IF(Tabla1[[#This Row],[ENERO ]]&gt;22.5,Tabla1[[#This Row],[ENERO ]]/22.5-1,0),IF(Tabla1[[#This Row],[ENERO ]]&gt;45,Tabla1[[#This Row],[ENERO ]]/45-1,0))</f>
        <v>0</v>
      </c>
      <c r="AF13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3" s="103">
        <f>IF(Tabla1[[#This Row],[TIPO DE CONSUMIDOR]]="MEDIO",IF(Tabla1[[#This Row],[MARZO]]&gt;22.5,Tabla1[[#This Row],[MARZO]]/22.5-1,0),IF(Tabla1[[#This Row],[MARZO]]&gt;45,Tabla1[[#This Row],[MARZO]]/45-1,0))</f>
        <v>0</v>
      </c>
      <c r="AH133" s="103">
        <f>IF(Tabla1[[#This Row],[TIPO DE CONSUMIDOR]]="MEDIO",IF(Tabla1[[#This Row],[ABRIL]]&gt;22.5,Tabla1[[#This Row],[ABRIL]]/22.5-1,0),IF(Tabla1[[#This Row],[ABRIL]]&gt;45,Tabla1[[#This Row],[ABRIL]]/45-1,0))</f>
        <v>0</v>
      </c>
      <c r="AI133" s="103">
        <f>IF(Tabla1[[#This Row],[TIPO DE CONSUMIDOR]]="MEDIO",IF(Tabla1[[#This Row],[MAYO ]]&gt;22.5,Tabla1[[#This Row],[MAYO ]]/22.5-1,0),IF(Tabla1[[#This Row],[MAYO ]]&gt;45,Tabla1[[#This Row],[MAYO ]]/45-1,0))</f>
        <v>0</v>
      </c>
      <c r="AJ133" s="103">
        <f>IF(Tabla1[[#This Row],[TIPO DE CONSUMIDOR]]="MEDIO",IF(Tabla1[[#This Row],[JUNIO ]]&gt;22.5,Tabla1[[#This Row],[JUNIO ]]/22.5-1,0),IF(Tabla1[[#This Row],[JUNIO ]]&gt;45,Tabla1[[#This Row],[JUNIO ]]/45-1,0))</f>
        <v>0</v>
      </c>
      <c r="AK133" s="103">
        <f>IF(Tabla1[[#This Row],[TIPO DE CONSUMIDOR]]="MEDIO",IF(Tabla1[[#This Row],[JULIO ]]&gt;22.5,Tabla1[[#This Row],[JULIO ]]/22.5-1,0),IF(Tabla1[[#This Row],[JULIO ]]&gt;45,Tabla1[[#This Row],[JULIO ]]/45-1,0))</f>
        <v>0</v>
      </c>
      <c r="AL133" s="103">
        <f>IF(Tabla1[[#This Row],[TIPO DE CONSUMIDOR]]="MEDIO",IF(Tabla1[[#This Row],[AGOSTO]]&gt;22.5,Tabla1[[#This Row],[AGOSTO]]/22.5-1,0),IF(Tabla1[[#This Row],[AGOSTO]]&gt;45,Tabla1[[#This Row],[AGOSTO]]/45-1,0))</f>
        <v>0</v>
      </c>
      <c r="AM13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3" s="104">
        <f t="shared" si="4"/>
        <v>0</v>
      </c>
      <c r="AR133" s="9">
        <f t="shared" si="3"/>
        <v>0</v>
      </c>
      <c r="AS133" s="60">
        <f>IF(Tabla1[[#This Row],[MESES DE ADEUDO DEL AÑO EN CURSO ]]&gt;0,1,0)</f>
        <v>0</v>
      </c>
      <c r="AT133" s="42"/>
      <c r="AU133" s="42"/>
      <c r="AV133" s="42"/>
      <c r="AW133" s="43"/>
    </row>
    <row r="134" spans="1:49" ht="21.75" thickBot="1" x14ac:dyDescent="0.35">
      <c r="A134" s="109">
        <v>128</v>
      </c>
      <c r="B134" s="5" t="s">
        <v>101</v>
      </c>
      <c r="C134" s="2" t="s">
        <v>530</v>
      </c>
      <c r="D134" s="32"/>
      <c r="E134" s="35" t="s">
        <v>455</v>
      </c>
      <c r="F134" s="34">
        <v>45</v>
      </c>
      <c r="G134" s="34">
        <v>45</v>
      </c>
      <c r="H134" s="34">
        <v>45</v>
      </c>
      <c r="I134" s="34">
        <v>45</v>
      </c>
      <c r="J134" s="34">
        <v>45</v>
      </c>
      <c r="K134" s="34">
        <v>45</v>
      </c>
      <c r="L134" s="34">
        <v>45</v>
      </c>
      <c r="M134" s="34">
        <v>45</v>
      </c>
      <c r="N134" s="34">
        <v>45</v>
      </c>
      <c r="O134" s="34">
        <v>45</v>
      </c>
      <c r="P134" s="34">
        <v>45</v>
      </c>
      <c r="Q134" s="34">
        <v>45</v>
      </c>
      <c r="R134" s="24">
        <f>SUM(Tabla1[[#This Row],[ENERO ]:[DICIEMBRE]])</f>
        <v>540</v>
      </c>
      <c r="W134" s="65">
        <v>0</v>
      </c>
      <c r="X134" s="21">
        <f>COUNTIF(Tabla1[[#This Row],[ENERO ]:[DICIEMBRE]],0)-(AQ134)-IF(Tabla1[[#This Row],[BAJAS]]="BAJA",IF(Tabla1[[#This Row],[ALTAS]]="ALTA",VLOOKUP(Tabla1[[#This Row],[MES DE ALTA ]],$AT$6:$AU$17,2,FALSE),12)-VLOOKUP(Tabla1[[#This Row],[MES DE BAJA ]],$AT$6:$AU$17,2,FALSE),0)</f>
        <v>0</v>
      </c>
      <c r="Y134" s="69">
        <f>SUM(Tabla1[[#This Row],[MES ADEUDO DE AÑOS PASADOS ]:[MESES DE ADEUDO DEL AÑO EN CURSO ]])</f>
        <v>0</v>
      </c>
      <c r="Z134" s="15">
        <f>IF(Tabla1[[#This Row],[TIPO DE CONSUMIDOR]]="COMPLETO",W134*$T$2,W134*($T$2/2))</f>
        <v>0</v>
      </c>
      <c r="AA134" s="15">
        <f>IF(Tabla1[[#This Row],[TIPO DE CONSUMIDOR]]="COMPLETO",Tabla1[[#This Row],[MESES DE ADEUDO DEL AÑO EN CURSO ]]*$T$2,Tabla1[[#This Row],[MESES DE ADEUDO DEL AÑO EN CURSO ]]*($T$2/2))</f>
        <v>0</v>
      </c>
      <c r="AB134" s="70">
        <f>SUM(Tabla1[[#This Row],[DEUDA DE LOS MESES PASADOS EN $$]:[DEUDA DEL AÑO 2013 $$ ]])</f>
        <v>0</v>
      </c>
      <c r="AE134" s="103">
        <f>IF(Tabla1[[#This Row],[TIPO DE CONSUMIDOR]]="MEDIO",IF(Tabla1[[#This Row],[ENERO ]]&gt;22.5,Tabla1[[#This Row],[ENERO ]]/22.5-1,0),IF(Tabla1[[#This Row],[ENERO ]]&gt;45,Tabla1[[#This Row],[ENERO ]]/45-1,0))</f>
        <v>0</v>
      </c>
      <c r="AF13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4" s="103">
        <f>IF(Tabla1[[#This Row],[TIPO DE CONSUMIDOR]]="MEDIO",IF(Tabla1[[#This Row],[MARZO]]&gt;22.5,Tabla1[[#This Row],[MARZO]]/22.5-1,0),IF(Tabla1[[#This Row],[MARZO]]&gt;45,Tabla1[[#This Row],[MARZO]]/45-1,0))</f>
        <v>0</v>
      </c>
      <c r="AH134" s="103">
        <f>IF(Tabla1[[#This Row],[TIPO DE CONSUMIDOR]]="MEDIO",IF(Tabla1[[#This Row],[ABRIL]]&gt;22.5,Tabla1[[#This Row],[ABRIL]]/22.5-1,0),IF(Tabla1[[#This Row],[ABRIL]]&gt;45,Tabla1[[#This Row],[ABRIL]]/45-1,0))</f>
        <v>0</v>
      </c>
      <c r="AI134" s="103">
        <f>IF(Tabla1[[#This Row],[TIPO DE CONSUMIDOR]]="MEDIO",IF(Tabla1[[#This Row],[MAYO ]]&gt;22.5,Tabla1[[#This Row],[MAYO ]]/22.5-1,0),IF(Tabla1[[#This Row],[MAYO ]]&gt;45,Tabla1[[#This Row],[MAYO ]]/45-1,0))</f>
        <v>0</v>
      </c>
      <c r="AJ134" s="103">
        <f>IF(Tabla1[[#This Row],[TIPO DE CONSUMIDOR]]="MEDIO",IF(Tabla1[[#This Row],[JUNIO ]]&gt;22.5,Tabla1[[#This Row],[JUNIO ]]/22.5-1,0),IF(Tabla1[[#This Row],[JUNIO ]]&gt;45,Tabla1[[#This Row],[JUNIO ]]/45-1,0))</f>
        <v>0</v>
      </c>
      <c r="AK134" s="103">
        <f>IF(Tabla1[[#This Row],[TIPO DE CONSUMIDOR]]="MEDIO",IF(Tabla1[[#This Row],[JULIO ]]&gt;22.5,Tabla1[[#This Row],[JULIO ]]/22.5-1,0),IF(Tabla1[[#This Row],[JULIO ]]&gt;45,Tabla1[[#This Row],[JULIO ]]/45-1,0))</f>
        <v>0</v>
      </c>
      <c r="AL134" s="103">
        <f>IF(Tabla1[[#This Row],[TIPO DE CONSUMIDOR]]="MEDIO",IF(Tabla1[[#This Row],[AGOSTO]]&gt;22.5,Tabla1[[#This Row],[AGOSTO]]/22.5-1,0),IF(Tabla1[[#This Row],[AGOSTO]]&gt;45,Tabla1[[#This Row],[AGOSTO]]/45-1,0))</f>
        <v>0</v>
      </c>
      <c r="AM13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4" s="104">
        <f t="shared" si="4"/>
        <v>0</v>
      </c>
      <c r="AR134" s="9">
        <f t="shared" si="3"/>
        <v>0</v>
      </c>
      <c r="AS134" s="60">
        <f>IF(Tabla1[[#This Row],[MESES DE ADEUDO DEL AÑO EN CURSO ]]&gt;0,1,0)</f>
        <v>0</v>
      </c>
      <c r="AT134" s="42"/>
      <c r="AU134" s="42"/>
      <c r="AV134" s="42"/>
      <c r="AW134" s="43"/>
    </row>
    <row r="135" spans="1:49" ht="21.75" thickBot="1" x14ac:dyDescent="0.35">
      <c r="A135" s="109">
        <v>129</v>
      </c>
      <c r="B135" s="5" t="s">
        <v>605</v>
      </c>
      <c r="C135" s="2" t="s">
        <v>530</v>
      </c>
      <c r="D135" s="32"/>
      <c r="E135" s="35" t="s">
        <v>455</v>
      </c>
      <c r="F135" s="34">
        <v>45</v>
      </c>
      <c r="G135" s="34">
        <v>45</v>
      </c>
      <c r="H135" s="34">
        <v>45</v>
      </c>
      <c r="I135" s="34">
        <v>45</v>
      </c>
      <c r="J135" s="34">
        <v>45</v>
      </c>
      <c r="K135" s="34">
        <v>45</v>
      </c>
      <c r="L135" s="34">
        <v>45</v>
      </c>
      <c r="M135" s="34">
        <v>45</v>
      </c>
      <c r="N135" s="34">
        <v>45</v>
      </c>
      <c r="O135" s="34">
        <v>45</v>
      </c>
      <c r="P135" s="34">
        <v>45</v>
      </c>
      <c r="Q135" s="34">
        <v>45</v>
      </c>
      <c r="R135" s="24">
        <f>SUM(Tabla1[[#This Row],[ENERO ]:[DICIEMBRE]])</f>
        <v>540</v>
      </c>
      <c r="W135" s="65">
        <v>0</v>
      </c>
      <c r="X135" s="21">
        <f>COUNTIF(Tabla1[[#This Row],[ENERO ]:[DICIEMBRE]],0)-(AQ135)-IF(Tabla1[[#This Row],[BAJAS]]="BAJA",IF(Tabla1[[#This Row],[ALTAS]]="ALTA",VLOOKUP(Tabla1[[#This Row],[MES DE ALTA ]],$AT$6:$AU$17,2,FALSE),12)-VLOOKUP(Tabla1[[#This Row],[MES DE BAJA ]],$AT$6:$AU$17,2,FALSE),0)</f>
        <v>0</v>
      </c>
      <c r="Y135" s="69">
        <f>SUM(Tabla1[[#This Row],[MES ADEUDO DE AÑOS PASADOS ]:[MESES DE ADEUDO DEL AÑO EN CURSO ]])</f>
        <v>0</v>
      </c>
      <c r="Z135" s="15">
        <f>IF(Tabla1[[#This Row],[TIPO DE CONSUMIDOR]]="COMPLETO",W135*$T$2,W135*($T$2/2))</f>
        <v>0</v>
      </c>
      <c r="AA135" s="15">
        <f>IF(Tabla1[[#This Row],[TIPO DE CONSUMIDOR]]="COMPLETO",Tabla1[[#This Row],[MESES DE ADEUDO DEL AÑO EN CURSO ]]*$T$2,Tabla1[[#This Row],[MESES DE ADEUDO DEL AÑO EN CURSO ]]*($T$2/2))</f>
        <v>0</v>
      </c>
      <c r="AB135" s="70">
        <f>SUM(Tabla1[[#This Row],[DEUDA DE LOS MESES PASADOS EN $$]:[DEUDA DEL AÑO 2013 $$ ]])</f>
        <v>0</v>
      </c>
      <c r="AE135" s="103">
        <f>IF(Tabla1[[#This Row],[TIPO DE CONSUMIDOR]]="MEDIO",IF(Tabla1[[#This Row],[ENERO ]]&gt;22.5,Tabla1[[#This Row],[ENERO ]]/22.5-1,0),IF(Tabla1[[#This Row],[ENERO ]]&gt;45,Tabla1[[#This Row],[ENERO ]]/45-1,0))</f>
        <v>0</v>
      </c>
      <c r="AF13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5" s="103">
        <f>IF(Tabla1[[#This Row],[TIPO DE CONSUMIDOR]]="MEDIO",IF(Tabla1[[#This Row],[MARZO]]&gt;22.5,Tabla1[[#This Row],[MARZO]]/22.5-1,0),IF(Tabla1[[#This Row],[MARZO]]&gt;45,Tabla1[[#This Row],[MARZO]]/45-1,0))</f>
        <v>0</v>
      </c>
      <c r="AH135" s="103">
        <f>IF(Tabla1[[#This Row],[TIPO DE CONSUMIDOR]]="MEDIO",IF(Tabla1[[#This Row],[ABRIL]]&gt;22.5,Tabla1[[#This Row],[ABRIL]]/22.5-1,0),IF(Tabla1[[#This Row],[ABRIL]]&gt;45,Tabla1[[#This Row],[ABRIL]]/45-1,0))</f>
        <v>0</v>
      </c>
      <c r="AI135" s="103">
        <f>IF(Tabla1[[#This Row],[TIPO DE CONSUMIDOR]]="MEDIO",IF(Tabla1[[#This Row],[MAYO ]]&gt;22.5,Tabla1[[#This Row],[MAYO ]]/22.5-1,0),IF(Tabla1[[#This Row],[MAYO ]]&gt;45,Tabla1[[#This Row],[MAYO ]]/45-1,0))</f>
        <v>0</v>
      </c>
      <c r="AJ135" s="103">
        <f>IF(Tabla1[[#This Row],[TIPO DE CONSUMIDOR]]="MEDIO",IF(Tabla1[[#This Row],[JUNIO ]]&gt;22.5,Tabla1[[#This Row],[JUNIO ]]/22.5-1,0),IF(Tabla1[[#This Row],[JUNIO ]]&gt;45,Tabla1[[#This Row],[JUNIO ]]/45-1,0))</f>
        <v>0</v>
      </c>
      <c r="AK135" s="103">
        <f>IF(Tabla1[[#This Row],[TIPO DE CONSUMIDOR]]="MEDIO",IF(Tabla1[[#This Row],[JULIO ]]&gt;22.5,Tabla1[[#This Row],[JULIO ]]/22.5-1,0),IF(Tabla1[[#This Row],[JULIO ]]&gt;45,Tabla1[[#This Row],[JULIO ]]/45-1,0))</f>
        <v>0</v>
      </c>
      <c r="AL135" s="103">
        <f>IF(Tabla1[[#This Row],[TIPO DE CONSUMIDOR]]="MEDIO",IF(Tabla1[[#This Row],[AGOSTO]]&gt;22.5,Tabla1[[#This Row],[AGOSTO]]/22.5-1,0),IF(Tabla1[[#This Row],[AGOSTO]]&gt;45,Tabla1[[#This Row],[AGOSTO]]/45-1,0))</f>
        <v>0</v>
      </c>
      <c r="AM13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5" s="104">
        <f t="shared" si="4"/>
        <v>0</v>
      </c>
      <c r="AR135" s="9">
        <f t="shared" ref="AR135:AR198" si="5">IF(Y135&gt;0,1,0)</f>
        <v>0</v>
      </c>
      <c r="AS135" s="60">
        <f>IF(Tabla1[[#This Row],[MESES DE ADEUDO DEL AÑO EN CURSO ]]&gt;0,1,0)</f>
        <v>0</v>
      </c>
      <c r="AT135" s="42"/>
      <c r="AU135" s="42"/>
      <c r="AV135" s="42"/>
      <c r="AW135" s="43"/>
    </row>
    <row r="136" spans="1:49" ht="21.75" thickBot="1" x14ac:dyDescent="0.35">
      <c r="A136" s="109">
        <v>130</v>
      </c>
      <c r="B136" s="5" t="s">
        <v>537</v>
      </c>
      <c r="C136" s="2" t="s">
        <v>530</v>
      </c>
      <c r="D136" s="32"/>
      <c r="E136" s="35" t="s">
        <v>455</v>
      </c>
      <c r="F136" s="34">
        <v>45</v>
      </c>
      <c r="G136" s="34">
        <v>45</v>
      </c>
      <c r="H136" s="34">
        <v>45</v>
      </c>
      <c r="I136" s="34">
        <v>45</v>
      </c>
      <c r="J136" s="34">
        <v>45</v>
      </c>
      <c r="K136" s="34">
        <v>45</v>
      </c>
      <c r="L136" s="34">
        <v>45</v>
      </c>
      <c r="M136" s="34">
        <v>45</v>
      </c>
      <c r="N136" s="34">
        <v>45</v>
      </c>
      <c r="O136" s="34">
        <v>45</v>
      </c>
      <c r="P136" s="34">
        <v>45</v>
      </c>
      <c r="Q136" s="34">
        <v>45</v>
      </c>
      <c r="R136" s="24">
        <f>SUM(Tabla1[[#This Row],[ENERO ]:[DICIEMBRE]])</f>
        <v>540</v>
      </c>
      <c r="W136" s="65">
        <v>0</v>
      </c>
      <c r="X136" s="21">
        <f>COUNTIF(Tabla1[[#This Row],[ENERO ]:[DICIEMBRE]],0)-(AQ136)-IF(Tabla1[[#This Row],[BAJAS]]="BAJA",IF(Tabla1[[#This Row],[ALTAS]]="ALTA",VLOOKUP(Tabla1[[#This Row],[MES DE ALTA ]],$AT$6:$AU$17,2,FALSE),12)-VLOOKUP(Tabla1[[#This Row],[MES DE BAJA ]],$AT$6:$AU$17,2,FALSE),0)</f>
        <v>0</v>
      </c>
      <c r="Y136" s="69">
        <f>SUM(Tabla1[[#This Row],[MES ADEUDO DE AÑOS PASADOS ]:[MESES DE ADEUDO DEL AÑO EN CURSO ]])</f>
        <v>0</v>
      </c>
      <c r="Z136" s="15">
        <f>IF(Tabla1[[#This Row],[TIPO DE CONSUMIDOR]]="COMPLETO",W136*$T$2,W136*($T$2/2))</f>
        <v>0</v>
      </c>
      <c r="AA136" s="15">
        <f>IF(Tabla1[[#This Row],[TIPO DE CONSUMIDOR]]="COMPLETO",Tabla1[[#This Row],[MESES DE ADEUDO DEL AÑO EN CURSO ]]*$T$2,Tabla1[[#This Row],[MESES DE ADEUDO DEL AÑO EN CURSO ]]*($T$2/2))</f>
        <v>0</v>
      </c>
      <c r="AB136" s="70">
        <f>SUM(Tabla1[[#This Row],[DEUDA DE LOS MESES PASADOS EN $$]:[DEUDA DEL AÑO 2013 $$ ]])</f>
        <v>0</v>
      </c>
      <c r="AE136" s="103">
        <f>IF(Tabla1[[#This Row],[TIPO DE CONSUMIDOR]]="MEDIO",IF(Tabla1[[#This Row],[ENERO ]]&gt;22.5,Tabla1[[#This Row],[ENERO ]]/22.5-1,0),IF(Tabla1[[#This Row],[ENERO ]]&gt;45,Tabla1[[#This Row],[ENERO ]]/45-1,0))</f>
        <v>0</v>
      </c>
      <c r="AF13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6" s="103">
        <f>IF(Tabla1[[#This Row],[TIPO DE CONSUMIDOR]]="MEDIO",IF(Tabla1[[#This Row],[MARZO]]&gt;22.5,Tabla1[[#This Row],[MARZO]]/22.5-1,0),IF(Tabla1[[#This Row],[MARZO]]&gt;45,Tabla1[[#This Row],[MARZO]]/45-1,0))</f>
        <v>0</v>
      </c>
      <c r="AH136" s="103">
        <f>IF(Tabla1[[#This Row],[TIPO DE CONSUMIDOR]]="MEDIO",IF(Tabla1[[#This Row],[ABRIL]]&gt;22.5,Tabla1[[#This Row],[ABRIL]]/22.5-1,0),IF(Tabla1[[#This Row],[ABRIL]]&gt;45,Tabla1[[#This Row],[ABRIL]]/45-1,0))</f>
        <v>0</v>
      </c>
      <c r="AI136" s="103">
        <f>IF(Tabla1[[#This Row],[TIPO DE CONSUMIDOR]]="MEDIO",IF(Tabla1[[#This Row],[MAYO ]]&gt;22.5,Tabla1[[#This Row],[MAYO ]]/22.5-1,0),IF(Tabla1[[#This Row],[MAYO ]]&gt;45,Tabla1[[#This Row],[MAYO ]]/45-1,0))</f>
        <v>0</v>
      </c>
      <c r="AJ136" s="103">
        <f>IF(Tabla1[[#This Row],[TIPO DE CONSUMIDOR]]="MEDIO",IF(Tabla1[[#This Row],[JUNIO ]]&gt;22.5,Tabla1[[#This Row],[JUNIO ]]/22.5-1,0),IF(Tabla1[[#This Row],[JUNIO ]]&gt;45,Tabla1[[#This Row],[JUNIO ]]/45-1,0))</f>
        <v>0</v>
      </c>
      <c r="AK136" s="103">
        <f>IF(Tabla1[[#This Row],[TIPO DE CONSUMIDOR]]="MEDIO",IF(Tabla1[[#This Row],[JULIO ]]&gt;22.5,Tabla1[[#This Row],[JULIO ]]/22.5-1,0),IF(Tabla1[[#This Row],[JULIO ]]&gt;45,Tabla1[[#This Row],[JULIO ]]/45-1,0))</f>
        <v>0</v>
      </c>
      <c r="AL136" s="103">
        <f>IF(Tabla1[[#This Row],[TIPO DE CONSUMIDOR]]="MEDIO",IF(Tabla1[[#This Row],[AGOSTO]]&gt;22.5,Tabla1[[#This Row],[AGOSTO]]/22.5-1,0),IF(Tabla1[[#This Row],[AGOSTO]]&gt;45,Tabla1[[#This Row],[AGOSTO]]/45-1,0))</f>
        <v>0</v>
      </c>
      <c r="AM13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6" s="104">
        <f t="shared" ref="AQ136:AQ199" si="6">SUM(AE136:AP136)</f>
        <v>0</v>
      </c>
      <c r="AR136" s="9">
        <f t="shared" si="5"/>
        <v>0</v>
      </c>
      <c r="AS136" s="60">
        <f>IF(Tabla1[[#This Row],[MESES DE ADEUDO DEL AÑO EN CURSO ]]&gt;0,1,0)</f>
        <v>0</v>
      </c>
      <c r="AT136" s="42"/>
      <c r="AU136" s="42"/>
      <c r="AV136" s="42"/>
      <c r="AW136" s="43"/>
    </row>
    <row r="137" spans="1:49" ht="21.75" thickBot="1" x14ac:dyDescent="0.35">
      <c r="A137" s="109">
        <v>131</v>
      </c>
      <c r="B137" s="5" t="s">
        <v>115</v>
      </c>
      <c r="C137" s="2" t="s">
        <v>530</v>
      </c>
      <c r="D137" s="32"/>
      <c r="E137" s="35" t="s">
        <v>455</v>
      </c>
      <c r="F137" s="34">
        <v>45</v>
      </c>
      <c r="G137" s="34">
        <v>45</v>
      </c>
      <c r="H137" s="34">
        <v>45</v>
      </c>
      <c r="I137" s="34">
        <v>45</v>
      </c>
      <c r="J137" s="34">
        <v>45</v>
      </c>
      <c r="K137" s="34">
        <v>45</v>
      </c>
      <c r="L137" s="34">
        <v>45</v>
      </c>
      <c r="M137" s="34">
        <v>45</v>
      </c>
      <c r="N137" s="34">
        <v>45</v>
      </c>
      <c r="O137" s="34">
        <v>45</v>
      </c>
      <c r="P137" s="34">
        <v>45</v>
      </c>
      <c r="Q137" s="34">
        <v>45</v>
      </c>
      <c r="R137" s="24">
        <f>SUM(Tabla1[[#This Row],[ENERO ]:[DICIEMBRE]])</f>
        <v>540</v>
      </c>
      <c r="W137" s="65">
        <v>0</v>
      </c>
      <c r="X137" s="21">
        <f>COUNTIF(Tabla1[[#This Row],[ENERO ]:[DICIEMBRE]],0)-(AQ137)-IF(Tabla1[[#This Row],[BAJAS]]="BAJA",IF(Tabla1[[#This Row],[ALTAS]]="ALTA",VLOOKUP(Tabla1[[#This Row],[MES DE ALTA ]],$AT$6:$AU$17,2,FALSE),12)-VLOOKUP(Tabla1[[#This Row],[MES DE BAJA ]],$AT$6:$AU$17,2,FALSE),0)</f>
        <v>0</v>
      </c>
      <c r="Y137" s="69">
        <f>SUM(Tabla1[[#This Row],[MES ADEUDO DE AÑOS PASADOS ]:[MESES DE ADEUDO DEL AÑO EN CURSO ]])</f>
        <v>0</v>
      </c>
      <c r="Z137" s="15">
        <f>IF(Tabla1[[#This Row],[TIPO DE CONSUMIDOR]]="COMPLETO",W137*$T$2,W137*($T$2/2))</f>
        <v>0</v>
      </c>
      <c r="AA137" s="15">
        <f>IF(Tabla1[[#This Row],[TIPO DE CONSUMIDOR]]="COMPLETO",Tabla1[[#This Row],[MESES DE ADEUDO DEL AÑO EN CURSO ]]*$T$2,Tabla1[[#This Row],[MESES DE ADEUDO DEL AÑO EN CURSO ]]*($T$2/2))</f>
        <v>0</v>
      </c>
      <c r="AB137" s="70">
        <f>SUM(Tabla1[[#This Row],[DEUDA DE LOS MESES PASADOS EN $$]:[DEUDA DEL AÑO 2013 $$ ]])</f>
        <v>0</v>
      </c>
      <c r="AE137" s="103">
        <f>IF(Tabla1[[#This Row],[TIPO DE CONSUMIDOR]]="MEDIO",IF(Tabla1[[#This Row],[ENERO ]]&gt;22.5,Tabla1[[#This Row],[ENERO ]]/22.5-1,0),IF(Tabla1[[#This Row],[ENERO ]]&gt;45,Tabla1[[#This Row],[ENERO ]]/45-1,0))</f>
        <v>0</v>
      </c>
      <c r="AF13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7" s="103">
        <f>IF(Tabla1[[#This Row],[TIPO DE CONSUMIDOR]]="MEDIO",IF(Tabla1[[#This Row],[MARZO]]&gt;22.5,Tabla1[[#This Row],[MARZO]]/22.5-1,0),IF(Tabla1[[#This Row],[MARZO]]&gt;45,Tabla1[[#This Row],[MARZO]]/45-1,0))</f>
        <v>0</v>
      </c>
      <c r="AH137" s="103">
        <f>IF(Tabla1[[#This Row],[TIPO DE CONSUMIDOR]]="MEDIO",IF(Tabla1[[#This Row],[ABRIL]]&gt;22.5,Tabla1[[#This Row],[ABRIL]]/22.5-1,0),IF(Tabla1[[#This Row],[ABRIL]]&gt;45,Tabla1[[#This Row],[ABRIL]]/45-1,0))</f>
        <v>0</v>
      </c>
      <c r="AI137" s="103">
        <f>IF(Tabla1[[#This Row],[TIPO DE CONSUMIDOR]]="MEDIO",IF(Tabla1[[#This Row],[MAYO ]]&gt;22.5,Tabla1[[#This Row],[MAYO ]]/22.5-1,0),IF(Tabla1[[#This Row],[MAYO ]]&gt;45,Tabla1[[#This Row],[MAYO ]]/45-1,0))</f>
        <v>0</v>
      </c>
      <c r="AJ137" s="103">
        <f>IF(Tabla1[[#This Row],[TIPO DE CONSUMIDOR]]="MEDIO",IF(Tabla1[[#This Row],[JUNIO ]]&gt;22.5,Tabla1[[#This Row],[JUNIO ]]/22.5-1,0),IF(Tabla1[[#This Row],[JUNIO ]]&gt;45,Tabla1[[#This Row],[JUNIO ]]/45-1,0))</f>
        <v>0</v>
      </c>
      <c r="AK137" s="103">
        <f>IF(Tabla1[[#This Row],[TIPO DE CONSUMIDOR]]="MEDIO",IF(Tabla1[[#This Row],[JULIO ]]&gt;22.5,Tabla1[[#This Row],[JULIO ]]/22.5-1,0),IF(Tabla1[[#This Row],[JULIO ]]&gt;45,Tabla1[[#This Row],[JULIO ]]/45-1,0))</f>
        <v>0</v>
      </c>
      <c r="AL137" s="103">
        <f>IF(Tabla1[[#This Row],[TIPO DE CONSUMIDOR]]="MEDIO",IF(Tabla1[[#This Row],[AGOSTO]]&gt;22.5,Tabla1[[#This Row],[AGOSTO]]/22.5-1,0),IF(Tabla1[[#This Row],[AGOSTO]]&gt;45,Tabla1[[#This Row],[AGOSTO]]/45-1,0))</f>
        <v>0</v>
      </c>
      <c r="AM13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7" s="104">
        <f t="shared" si="6"/>
        <v>0</v>
      </c>
      <c r="AR137" s="9">
        <f t="shared" si="5"/>
        <v>0</v>
      </c>
      <c r="AS137" s="60">
        <f>IF(Tabla1[[#This Row],[MESES DE ADEUDO DEL AÑO EN CURSO ]]&gt;0,1,0)</f>
        <v>0</v>
      </c>
      <c r="AT137" s="42"/>
      <c r="AU137" s="42"/>
      <c r="AV137" s="42"/>
      <c r="AW137" s="43"/>
    </row>
    <row r="138" spans="1:49" ht="21.75" thickBot="1" x14ac:dyDescent="0.35">
      <c r="A138" s="109">
        <v>132</v>
      </c>
      <c r="B138" s="5" t="s">
        <v>132</v>
      </c>
      <c r="C138" s="2" t="s">
        <v>530</v>
      </c>
      <c r="D138" s="32"/>
      <c r="E138" s="35" t="s">
        <v>455</v>
      </c>
      <c r="F138" s="34">
        <v>45</v>
      </c>
      <c r="G138" s="34">
        <v>45</v>
      </c>
      <c r="H138" s="34">
        <v>45</v>
      </c>
      <c r="I138" s="34">
        <v>45</v>
      </c>
      <c r="J138" s="34">
        <v>45</v>
      </c>
      <c r="K138" s="34">
        <v>45</v>
      </c>
      <c r="L138" s="34">
        <v>45</v>
      </c>
      <c r="M138" s="34">
        <v>45</v>
      </c>
      <c r="N138" s="34">
        <v>45</v>
      </c>
      <c r="O138" s="34">
        <v>45</v>
      </c>
      <c r="P138" s="34">
        <v>45</v>
      </c>
      <c r="Q138" s="34">
        <v>45</v>
      </c>
      <c r="R138" s="24">
        <f>SUM(Tabla1[[#This Row],[ENERO ]:[DICIEMBRE]])</f>
        <v>540</v>
      </c>
      <c r="W138" s="65">
        <v>0</v>
      </c>
      <c r="X138" s="21">
        <f>COUNTIF(Tabla1[[#This Row],[ENERO ]:[DICIEMBRE]],0)-(AQ138)-IF(Tabla1[[#This Row],[BAJAS]]="BAJA",IF(Tabla1[[#This Row],[ALTAS]]="ALTA",VLOOKUP(Tabla1[[#This Row],[MES DE ALTA ]],$AT$6:$AU$17,2,FALSE),12)-VLOOKUP(Tabla1[[#This Row],[MES DE BAJA ]],$AT$6:$AU$17,2,FALSE),0)</f>
        <v>0</v>
      </c>
      <c r="Y138" s="69">
        <f>SUM(Tabla1[[#This Row],[MES ADEUDO DE AÑOS PASADOS ]:[MESES DE ADEUDO DEL AÑO EN CURSO ]])</f>
        <v>0</v>
      </c>
      <c r="Z138" s="15">
        <f>IF(Tabla1[[#This Row],[TIPO DE CONSUMIDOR]]="COMPLETO",W138*$T$2,W138*($T$2/2))</f>
        <v>0</v>
      </c>
      <c r="AA138" s="15">
        <f>IF(Tabla1[[#This Row],[TIPO DE CONSUMIDOR]]="COMPLETO",Tabla1[[#This Row],[MESES DE ADEUDO DEL AÑO EN CURSO ]]*$T$2,Tabla1[[#This Row],[MESES DE ADEUDO DEL AÑO EN CURSO ]]*($T$2/2))</f>
        <v>0</v>
      </c>
      <c r="AB138" s="70">
        <f>SUM(Tabla1[[#This Row],[DEUDA DE LOS MESES PASADOS EN $$]:[DEUDA DEL AÑO 2013 $$ ]])</f>
        <v>0</v>
      </c>
      <c r="AE138" s="103">
        <f>IF(Tabla1[[#This Row],[TIPO DE CONSUMIDOR]]="MEDIO",IF(Tabla1[[#This Row],[ENERO ]]&gt;22.5,Tabla1[[#This Row],[ENERO ]]/22.5-1,0),IF(Tabla1[[#This Row],[ENERO ]]&gt;45,Tabla1[[#This Row],[ENERO ]]/45-1,0))</f>
        <v>0</v>
      </c>
      <c r="AF13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8" s="103">
        <f>IF(Tabla1[[#This Row],[TIPO DE CONSUMIDOR]]="MEDIO",IF(Tabla1[[#This Row],[MARZO]]&gt;22.5,Tabla1[[#This Row],[MARZO]]/22.5-1,0),IF(Tabla1[[#This Row],[MARZO]]&gt;45,Tabla1[[#This Row],[MARZO]]/45-1,0))</f>
        <v>0</v>
      </c>
      <c r="AH138" s="103">
        <f>IF(Tabla1[[#This Row],[TIPO DE CONSUMIDOR]]="MEDIO",IF(Tabla1[[#This Row],[ABRIL]]&gt;22.5,Tabla1[[#This Row],[ABRIL]]/22.5-1,0),IF(Tabla1[[#This Row],[ABRIL]]&gt;45,Tabla1[[#This Row],[ABRIL]]/45-1,0))</f>
        <v>0</v>
      </c>
      <c r="AI138" s="103">
        <f>IF(Tabla1[[#This Row],[TIPO DE CONSUMIDOR]]="MEDIO",IF(Tabla1[[#This Row],[MAYO ]]&gt;22.5,Tabla1[[#This Row],[MAYO ]]/22.5-1,0),IF(Tabla1[[#This Row],[MAYO ]]&gt;45,Tabla1[[#This Row],[MAYO ]]/45-1,0))</f>
        <v>0</v>
      </c>
      <c r="AJ138" s="103">
        <f>IF(Tabla1[[#This Row],[TIPO DE CONSUMIDOR]]="MEDIO",IF(Tabla1[[#This Row],[JUNIO ]]&gt;22.5,Tabla1[[#This Row],[JUNIO ]]/22.5-1,0),IF(Tabla1[[#This Row],[JUNIO ]]&gt;45,Tabla1[[#This Row],[JUNIO ]]/45-1,0))</f>
        <v>0</v>
      </c>
      <c r="AK138" s="103">
        <f>IF(Tabla1[[#This Row],[TIPO DE CONSUMIDOR]]="MEDIO",IF(Tabla1[[#This Row],[JULIO ]]&gt;22.5,Tabla1[[#This Row],[JULIO ]]/22.5-1,0),IF(Tabla1[[#This Row],[JULIO ]]&gt;45,Tabla1[[#This Row],[JULIO ]]/45-1,0))</f>
        <v>0</v>
      </c>
      <c r="AL138" s="103">
        <f>IF(Tabla1[[#This Row],[TIPO DE CONSUMIDOR]]="MEDIO",IF(Tabla1[[#This Row],[AGOSTO]]&gt;22.5,Tabla1[[#This Row],[AGOSTO]]/22.5-1,0),IF(Tabla1[[#This Row],[AGOSTO]]&gt;45,Tabla1[[#This Row],[AGOSTO]]/45-1,0))</f>
        <v>0</v>
      </c>
      <c r="AM13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8" s="104">
        <f t="shared" si="6"/>
        <v>0</v>
      </c>
      <c r="AR138" s="9">
        <f t="shared" si="5"/>
        <v>0</v>
      </c>
      <c r="AS138" s="60">
        <f>IF(Tabla1[[#This Row],[MESES DE ADEUDO DEL AÑO EN CURSO ]]&gt;0,1,0)</f>
        <v>0</v>
      </c>
      <c r="AT138" s="42"/>
      <c r="AU138" s="42"/>
      <c r="AV138" s="42"/>
      <c r="AW138" s="43"/>
    </row>
    <row r="139" spans="1:49" ht="21.75" thickBot="1" x14ac:dyDescent="0.35">
      <c r="A139" s="109">
        <v>133</v>
      </c>
      <c r="B139" s="5" t="s">
        <v>130</v>
      </c>
      <c r="C139" s="2" t="s">
        <v>530</v>
      </c>
      <c r="D139" s="32"/>
      <c r="E139" s="35" t="s">
        <v>455</v>
      </c>
      <c r="F139" s="34">
        <v>45</v>
      </c>
      <c r="G139" s="34">
        <v>45</v>
      </c>
      <c r="H139" s="34">
        <v>45</v>
      </c>
      <c r="I139" s="34">
        <v>45</v>
      </c>
      <c r="J139" s="34">
        <v>45</v>
      </c>
      <c r="K139" s="34">
        <v>45</v>
      </c>
      <c r="L139" s="34">
        <v>45</v>
      </c>
      <c r="M139" s="34">
        <v>45</v>
      </c>
      <c r="N139" s="34">
        <v>45</v>
      </c>
      <c r="O139" s="34">
        <v>45</v>
      </c>
      <c r="P139" s="34">
        <v>45</v>
      </c>
      <c r="Q139" s="34">
        <v>45</v>
      </c>
      <c r="R139" s="24">
        <f>SUM(Tabla1[[#This Row],[ENERO ]:[DICIEMBRE]])</f>
        <v>540</v>
      </c>
      <c r="W139" s="65">
        <v>0</v>
      </c>
      <c r="X139" s="21">
        <f>COUNTIF(Tabla1[[#This Row],[ENERO ]:[DICIEMBRE]],0)-(AQ139)-IF(Tabla1[[#This Row],[BAJAS]]="BAJA",IF(Tabla1[[#This Row],[ALTAS]]="ALTA",VLOOKUP(Tabla1[[#This Row],[MES DE ALTA ]],$AT$6:$AU$17,2,FALSE),12)-VLOOKUP(Tabla1[[#This Row],[MES DE BAJA ]],$AT$6:$AU$17,2,FALSE),0)</f>
        <v>0</v>
      </c>
      <c r="Y139" s="69">
        <f>SUM(Tabla1[[#This Row],[MES ADEUDO DE AÑOS PASADOS ]:[MESES DE ADEUDO DEL AÑO EN CURSO ]])</f>
        <v>0</v>
      </c>
      <c r="Z139" s="15">
        <f>IF(Tabla1[[#This Row],[TIPO DE CONSUMIDOR]]="COMPLETO",W139*$T$2,W139*($T$2/2))</f>
        <v>0</v>
      </c>
      <c r="AA139" s="15">
        <f>IF(Tabla1[[#This Row],[TIPO DE CONSUMIDOR]]="COMPLETO",Tabla1[[#This Row],[MESES DE ADEUDO DEL AÑO EN CURSO ]]*$T$2,Tabla1[[#This Row],[MESES DE ADEUDO DEL AÑO EN CURSO ]]*($T$2/2))</f>
        <v>0</v>
      </c>
      <c r="AB139" s="70">
        <f>SUM(Tabla1[[#This Row],[DEUDA DE LOS MESES PASADOS EN $$]:[DEUDA DEL AÑO 2013 $$ ]])</f>
        <v>0</v>
      </c>
      <c r="AE139" s="103">
        <f>IF(Tabla1[[#This Row],[TIPO DE CONSUMIDOR]]="MEDIO",IF(Tabla1[[#This Row],[ENERO ]]&gt;22.5,Tabla1[[#This Row],[ENERO ]]/22.5-1,0),IF(Tabla1[[#This Row],[ENERO ]]&gt;45,Tabla1[[#This Row],[ENERO ]]/45-1,0))</f>
        <v>0</v>
      </c>
      <c r="AF13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39" s="103">
        <f>IF(Tabla1[[#This Row],[TIPO DE CONSUMIDOR]]="MEDIO",IF(Tabla1[[#This Row],[MARZO]]&gt;22.5,Tabla1[[#This Row],[MARZO]]/22.5-1,0),IF(Tabla1[[#This Row],[MARZO]]&gt;45,Tabla1[[#This Row],[MARZO]]/45-1,0))</f>
        <v>0</v>
      </c>
      <c r="AH139" s="103">
        <f>IF(Tabla1[[#This Row],[TIPO DE CONSUMIDOR]]="MEDIO",IF(Tabla1[[#This Row],[ABRIL]]&gt;22.5,Tabla1[[#This Row],[ABRIL]]/22.5-1,0),IF(Tabla1[[#This Row],[ABRIL]]&gt;45,Tabla1[[#This Row],[ABRIL]]/45-1,0))</f>
        <v>0</v>
      </c>
      <c r="AI139" s="103">
        <f>IF(Tabla1[[#This Row],[TIPO DE CONSUMIDOR]]="MEDIO",IF(Tabla1[[#This Row],[MAYO ]]&gt;22.5,Tabla1[[#This Row],[MAYO ]]/22.5-1,0),IF(Tabla1[[#This Row],[MAYO ]]&gt;45,Tabla1[[#This Row],[MAYO ]]/45-1,0))</f>
        <v>0</v>
      </c>
      <c r="AJ139" s="103">
        <f>IF(Tabla1[[#This Row],[TIPO DE CONSUMIDOR]]="MEDIO",IF(Tabla1[[#This Row],[JUNIO ]]&gt;22.5,Tabla1[[#This Row],[JUNIO ]]/22.5-1,0),IF(Tabla1[[#This Row],[JUNIO ]]&gt;45,Tabla1[[#This Row],[JUNIO ]]/45-1,0))</f>
        <v>0</v>
      </c>
      <c r="AK139" s="103">
        <f>IF(Tabla1[[#This Row],[TIPO DE CONSUMIDOR]]="MEDIO",IF(Tabla1[[#This Row],[JULIO ]]&gt;22.5,Tabla1[[#This Row],[JULIO ]]/22.5-1,0),IF(Tabla1[[#This Row],[JULIO ]]&gt;45,Tabla1[[#This Row],[JULIO ]]/45-1,0))</f>
        <v>0</v>
      </c>
      <c r="AL139" s="103">
        <f>IF(Tabla1[[#This Row],[TIPO DE CONSUMIDOR]]="MEDIO",IF(Tabla1[[#This Row],[AGOSTO]]&gt;22.5,Tabla1[[#This Row],[AGOSTO]]/22.5-1,0),IF(Tabla1[[#This Row],[AGOSTO]]&gt;45,Tabla1[[#This Row],[AGOSTO]]/45-1,0))</f>
        <v>0</v>
      </c>
      <c r="AM13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3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3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3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39" s="104">
        <f t="shared" si="6"/>
        <v>0</v>
      </c>
      <c r="AR139" s="9">
        <f t="shared" si="5"/>
        <v>0</v>
      </c>
      <c r="AS139" s="60">
        <f>IF(Tabla1[[#This Row],[MESES DE ADEUDO DEL AÑO EN CURSO ]]&gt;0,1,0)</f>
        <v>0</v>
      </c>
      <c r="AT139" s="42"/>
      <c r="AU139" s="42"/>
      <c r="AV139" s="42"/>
      <c r="AW139" s="43"/>
    </row>
    <row r="140" spans="1:49" ht="21.75" thickBot="1" x14ac:dyDescent="0.35">
      <c r="A140" s="109">
        <v>134</v>
      </c>
      <c r="B140" s="5" t="s">
        <v>135</v>
      </c>
      <c r="C140" s="2" t="s">
        <v>530</v>
      </c>
      <c r="D140" s="32"/>
      <c r="E140" s="35" t="s">
        <v>455</v>
      </c>
      <c r="F140" s="34">
        <v>45</v>
      </c>
      <c r="G140" s="34">
        <v>45</v>
      </c>
      <c r="H140" s="34">
        <v>45</v>
      </c>
      <c r="I140" s="34">
        <v>45</v>
      </c>
      <c r="J140" s="34">
        <v>45</v>
      </c>
      <c r="K140" s="34">
        <v>45</v>
      </c>
      <c r="L140" s="34">
        <v>45</v>
      </c>
      <c r="M140" s="34">
        <v>45</v>
      </c>
      <c r="N140" s="34">
        <v>45</v>
      </c>
      <c r="O140" s="34">
        <v>45</v>
      </c>
      <c r="P140" s="34">
        <v>45</v>
      </c>
      <c r="Q140" s="34">
        <v>45</v>
      </c>
      <c r="R140" s="24">
        <f>SUM(Tabla1[[#This Row],[ENERO ]:[DICIEMBRE]])</f>
        <v>540</v>
      </c>
      <c r="W140" s="65">
        <v>0</v>
      </c>
      <c r="X140" s="21">
        <f>COUNTIF(Tabla1[[#This Row],[ENERO ]:[DICIEMBRE]],0)-(AQ140)-IF(Tabla1[[#This Row],[BAJAS]]="BAJA",IF(Tabla1[[#This Row],[ALTAS]]="ALTA",VLOOKUP(Tabla1[[#This Row],[MES DE ALTA ]],$AT$6:$AU$17,2,FALSE),12)-VLOOKUP(Tabla1[[#This Row],[MES DE BAJA ]],$AT$6:$AU$17,2,FALSE),0)</f>
        <v>0</v>
      </c>
      <c r="Y140" s="69">
        <f>SUM(Tabla1[[#This Row],[MES ADEUDO DE AÑOS PASADOS ]:[MESES DE ADEUDO DEL AÑO EN CURSO ]])</f>
        <v>0</v>
      </c>
      <c r="Z140" s="15">
        <f>IF(Tabla1[[#This Row],[TIPO DE CONSUMIDOR]]="COMPLETO",W140*$T$2,W140*($T$2/2))</f>
        <v>0</v>
      </c>
      <c r="AA140" s="15">
        <f>IF(Tabla1[[#This Row],[TIPO DE CONSUMIDOR]]="COMPLETO",Tabla1[[#This Row],[MESES DE ADEUDO DEL AÑO EN CURSO ]]*$T$2,Tabla1[[#This Row],[MESES DE ADEUDO DEL AÑO EN CURSO ]]*($T$2/2))</f>
        <v>0</v>
      </c>
      <c r="AB140" s="70">
        <f>SUM(Tabla1[[#This Row],[DEUDA DE LOS MESES PASADOS EN $$]:[DEUDA DEL AÑO 2013 $$ ]])</f>
        <v>0</v>
      </c>
      <c r="AE140" s="103">
        <f>IF(Tabla1[[#This Row],[TIPO DE CONSUMIDOR]]="MEDIO",IF(Tabla1[[#This Row],[ENERO ]]&gt;22.5,Tabla1[[#This Row],[ENERO ]]/22.5-1,0),IF(Tabla1[[#This Row],[ENERO ]]&gt;45,Tabla1[[#This Row],[ENERO ]]/45-1,0))</f>
        <v>0</v>
      </c>
      <c r="AF14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0" s="103">
        <f>IF(Tabla1[[#This Row],[TIPO DE CONSUMIDOR]]="MEDIO",IF(Tabla1[[#This Row],[MARZO]]&gt;22.5,Tabla1[[#This Row],[MARZO]]/22.5-1,0),IF(Tabla1[[#This Row],[MARZO]]&gt;45,Tabla1[[#This Row],[MARZO]]/45-1,0))</f>
        <v>0</v>
      </c>
      <c r="AH140" s="103">
        <f>IF(Tabla1[[#This Row],[TIPO DE CONSUMIDOR]]="MEDIO",IF(Tabla1[[#This Row],[ABRIL]]&gt;22.5,Tabla1[[#This Row],[ABRIL]]/22.5-1,0),IF(Tabla1[[#This Row],[ABRIL]]&gt;45,Tabla1[[#This Row],[ABRIL]]/45-1,0))</f>
        <v>0</v>
      </c>
      <c r="AI140" s="103">
        <f>IF(Tabla1[[#This Row],[TIPO DE CONSUMIDOR]]="MEDIO",IF(Tabla1[[#This Row],[MAYO ]]&gt;22.5,Tabla1[[#This Row],[MAYO ]]/22.5-1,0),IF(Tabla1[[#This Row],[MAYO ]]&gt;45,Tabla1[[#This Row],[MAYO ]]/45-1,0))</f>
        <v>0</v>
      </c>
      <c r="AJ140" s="103">
        <f>IF(Tabla1[[#This Row],[TIPO DE CONSUMIDOR]]="MEDIO",IF(Tabla1[[#This Row],[JUNIO ]]&gt;22.5,Tabla1[[#This Row],[JUNIO ]]/22.5-1,0),IF(Tabla1[[#This Row],[JUNIO ]]&gt;45,Tabla1[[#This Row],[JUNIO ]]/45-1,0))</f>
        <v>0</v>
      </c>
      <c r="AK140" s="103">
        <f>IF(Tabla1[[#This Row],[TIPO DE CONSUMIDOR]]="MEDIO",IF(Tabla1[[#This Row],[JULIO ]]&gt;22.5,Tabla1[[#This Row],[JULIO ]]/22.5-1,0),IF(Tabla1[[#This Row],[JULIO ]]&gt;45,Tabla1[[#This Row],[JULIO ]]/45-1,0))</f>
        <v>0</v>
      </c>
      <c r="AL140" s="103">
        <f>IF(Tabla1[[#This Row],[TIPO DE CONSUMIDOR]]="MEDIO",IF(Tabla1[[#This Row],[AGOSTO]]&gt;22.5,Tabla1[[#This Row],[AGOSTO]]/22.5-1,0),IF(Tabla1[[#This Row],[AGOSTO]]&gt;45,Tabla1[[#This Row],[AGOSTO]]/45-1,0))</f>
        <v>0</v>
      </c>
      <c r="AM14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0" s="104">
        <f t="shared" si="6"/>
        <v>0</v>
      </c>
      <c r="AR140" s="9">
        <f t="shared" si="5"/>
        <v>0</v>
      </c>
      <c r="AS140" s="60">
        <f>IF(Tabla1[[#This Row],[MESES DE ADEUDO DEL AÑO EN CURSO ]]&gt;0,1,0)</f>
        <v>0</v>
      </c>
      <c r="AT140" s="42"/>
      <c r="AU140" s="42"/>
      <c r="AV140" s="42"/>
      <c r="AW140" s="43"/>
    </row>
    <row r="141" spans="1:49" ht="21.75" thickBot="1" x14ac:dyDescent="0.35">
      <c r="A141" s="109">
        <v>135</v>
      </c>
      <c r="B141" s="5" t="s">
        <v>606</v>
      </c>
      <c r="C141" s="2" t="s">
        <v>530</v>
      </c>
      <c r="D141" s="32"/>
      <c r="E141" s="35" t="s">
        <v>455</v>
      </c>
      <c r="F141" s="34">
        <v>45</v>
      </c>
      <c r="G141" s="34">
        <v>45</v>
      </c>
      <c r="H141" s="34">
        <v>45</v>
      </c>
      <c r="I141" s="34">
        <v>45</v>
      </c>
      <c r="J141" s="34">
        <v>45</v>
      </c>
      <c r="K141" s="34">
        <v>45</v>
      </c>
      <c r="L141" s="34">
        <v>45</v>
      </c>
      <c r="M141" s="34">
        <v>45</v>
      </c>
      <c r="N141" s="34">
        <v>45</v>
      </c>
      <c r="O141" s="34">
        <v>45</v>
      </c>
      <c r="P141" s="34">
        <v>45</v>
      </c>
      <c r="Q141" s="34">
        <v>45</v>
      </c>
      <c r="R141" s="24">
        <f>SUM(Tabla1[[#This Row],[ENERO ]:[DICIEMBRE]])</f>
        <v>540</v>
      </c>
      <c r="W141" s="65">
        <v>0</v>
      </c>
      <c r="X141" s="21">
        <f>COUNTIF(Tabla1[[#This Row],[ENERO ]:[DICIEMBRE]],0)-(AQ141)-IF(Tabla1[[#This Row],[BAJAS]]="BAJA",IF(Tabla1[[#This Row],[ALTAS]]="ALTA",VLOOKUP(Tabla1[[#This Row],[MES DE ALTA ]],$AT$6:$AU$17,2,FALSE),12)-VLOOKUP(Tabla1[[#This Row],[MES DE BAJA ]],$AT$6:$AU$17,2,FALSE),0)</f>
        <v>0</v>
      </c>
      <c r="Y141" s="69">
        <f>SUM(Tabla1[[#This Row],[MES ADEUDO DE AÑOS PASADOS ]:[MESES DE ADEUDO DEL AÑO EN CURSO ]])</f>
        <v>0</v>
      </c>
      <c r="Z141" s="15">
        <f>IF(Tabla1[[#This Row],[TIPO DE CONSUMIDOR]]="COMPLETO",W141*$T$2,W141*($T$2/2))</f>
        <v>0</v>
      </c>
      <c r="AA141" s="15">
        <f>IF(Tabla1[[#This Row],[TIPO DE CONSUMIDOR]]="COMPLETO",Tabla1[[#This Row],[MESES DE ADEUDO DEL AÑO EN CURSO ]]*$T$2,Tabla1[[#This Row],[MESES DE ADEUDO DEL AÑO EN CURSO ]]*($T$2/2))</f>
        <v>0</v>
      </c>
      <c r="AB141" s="70">
        <f>SUM(Tabla1[[#This Row],[DEUDA DE LOS MESES PASADOS EN $$]:[DEUDA DEL AÑO 2013 $$ ]])</f>
        <v>0</v>
      </c>
      <c r="AE141" s="103">
        <f>IF(Tabla1[[#This Row],[TIPO DE CONSUMIDOR]]="MEDIO",IF(Tabla1[[#This Row],[ENERO ]]&gt;22.5,Tabla1[[#This Row],[ENERO ]]/22.5-1,0),IF(Tabla1[[#This Row],[ENERO ]]&gt;45,Tabla1[[#This Row],[ENERO ]]/45-1,0))</f>
        <v>0</v>
      </c>
      <c r="AF14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1" s="103">
        <f>IF(Tabla1[[#This Row],[TIPO DE CONSUMIDOR]]="MEDIO",IF(Tabla1[[#This Row],[MARZO]]&gt;22.5,Tabla1[[#This Row],[MARZO]]/22.5-1,0),IF(Tabla1[[#This Row],[MARZO]]&gt;45,Tabla1[[#This Row],[MARZO]]/45-1,0))</f>
        <v>0</v>
      </c>
      <c r="AH141" s="103">
        <f>IF(Tabla1[[#This Row],[TIPO DE CONSUMIDOR]]="MEDIO",IF(Tabla1[[#This Row],[ABRIL]]&gt;22.5,Tabla1[[#This Row],[ABRIL]]/22.5-1,0),IF(Tabla1[[#This Row],[ABRIL]]&gt;45,Tabla1[[#This Row],[ABRIL]]/45-1,0))</f>
        <v>0</v>
      </c>
      <c r="AI141" s="103">
        <f>IF(Tabla1[[#This Row],[TIPO DE CONSUMIDOR]]="MEDIO",IF(Tabla1[[#This Row],[MAYO ]]&gt;22.5,Tabla1[[#This Row],[MAYO ]]/22.5-1,0),IF(Tabla1[[#This Row],[MAYO ]]&gt;45,Tabla1[[#This Row],[MAYO ]]/45-1,0))</f>
        <v>0</v>
      </c>
      <c r="AJ141" s="103">
        <f>IF(Tabla1[[#This Row],[TIPO DE CONSUMIDOR]]="MEDIO",IF(Tabla1[[#This Row],[JUNIO ]]&gt;22.5,Tabla1[[#This Row],[JUNIO ]]/22.5-1,0),IF(Tabla1[[#This Row],[JUNIO ]]&gt;45,Tabla1[[#This Row],[JUNIO ]]/45-1,0))</f>
        <v>0</v>
      </c>
      <c r="AK141" s="103">
        <f>IF(Tabla1[[#This Row],[TIPO DE CONSUMIDOR]]="MEDIO",IF(Tabla1[[#This Row],[JULIO ]]&gt;22.5,Tabla1[[#This Row],[JULIO ]]/22.5-1,0),IF(Tabla1[[#This Row],[JULIO ]]&gt;45,Tabla1[[#This Row],[JULIO ]]/45-1,0))</f>
        <v>0</v>
      </c>
      <c r="AL141" s="103">
        <f>IF(Tabla1[[#This Row],[TIPO DE CONSUMIDOR]]="MEDIO",IF(Tabla1[[#This Row],[AGOSTO]]&gt;22.5,Tabla1[[#This Row],[AGOSTO]]/22.5-1,0),IF(Tabla1[[#This Row],[AGOSTO]]&gt;45,Tabla1[[#This Row],[AGOSTO]]/45-1,0))</f>
        <v>0</v>
      </c>
      <c r="AM14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1" s="104">
        <f t="shared" si="6"/>
        <v>0</v>
      </c>
      <c r="AR141" s="9">
        <f t="shared" si="5"/>
        <v>0</v>
      </c>
      <c r="AS141" s="60">
        <f>IF(Tabla1[[#This Row],[MESES DE ADEUDO DEL AÑO EN CURSO ]]&gt;0,1,0)</f>
        <v>0</v>
      </c>
      <c r="AT141" s="42"/>
      <c r="AU141" s="42"/>
      <c r="AV141" s="42"/>
      <c r="AW141" s="43"/>
    </row>
    <row r="142" spans="1:49" ht="21.75" thickBot="1" x14ac:dyDescent="0.35">
      <c r="A142" s="109">
        <v>136</v>
      </c>
      <c r="B142" s="5" t="s">
        <v>167</v>
      </c>
      <c r="C142" s="2" t="s">
        <v>530</v>
      </c>
      <c r="D142" s="32"/>
      <c r="E142" s="35" t="s">
        <v>455</v>
      </c>
      <c r="F142" s="34">
        <v>45</v>
      </c>
      <c r="G142" s="34">
        <v>45</v>
      </c>
      <c r="H142" s="34">
        <v>45</v>
      </c>
      <c r="I142" s="34">
        <v>45</v>
      </c>
      <c r="J142" s="34">
        <v>45</v>
      </c>
      <c r="K142" s="34">
        <v>45</v>
      </c>
      <c r="L142" s="34">
        <v>45</v>
      </c>
      <c r="M142" s="34">
        <v>45</v>
      </c>
      <c r="N142" s="34">
        <v>45</v>
      </c>
      <c r="O142" s="34">
        <v>45</v>
      </c>
      <c r="P142" s="34">
        <v>45</v>
      </c>
      <c r="Q142" s="34">
        <v>45</v>
      </c>
      <c r="R142" s="24">
        <f>SUM(Tabla1[[#This Row],[ENERO ]:[DICIEMBRE]])</f>
        <v>540</v>
      </c>
      <c r="W142" s="65">
        <v>0</v>
      </c>
      <c r="X142" s="21">
        <f>COUNTIF(Tabla1[[#This Row],[ENERO ]:[DICIEMBRE]],0)-(AQ142)-IF(Tabla1[[#This Row],[BAJAS]]="BAJA",IF(Tabla1[[#This Row],[ALTAS]]="ALTA",VLOOKUP(Tabla1[[#This Row],[MES DE ALTA ]],$AT$6:$AU$17,2,FALSE),12)-VLOOKUP(Tabla1[[#This Row],[MES DE BAJA ]],$AT$6:$AU$17,2,FALSE),0)</f>
        <v>0</v>
      </c>
      <c r="Y142" s="69">
        <f>SUM(Tabla1[[#This Row],[MES ADEUDO DE AÑOS PASADOS ]:[MESES DE ADEUDO DEL AÑO EN CURSO ]])</f>
        <v>0</v>
      </c>
      <c r="Z142" s="15">
        <f>IF(Tabla1[[#This Row],[TIPO DE CONSUMIDOR]]="COMPLETO",W142*$T$2,W142*($T$2/2))</f>
        <v>0</v>
      </c>
      <c r="AA142" s="15">
        <f>IF(Tabla1[[#This Row],[TIPO DE CONSUMIDOR]]="COMPLETO",Tabla1[[#This Row],[MESES DE ADEUDO DEL AÑO EN CURSO ]]*$T$2,Tabla1[[#This Row],[MESES DE ADEUDO DEL AÑO EN CURSO ]]*($T$2/2))</f>
        <v>0</v>
      </c>
      <c r="AB142" s="70">
        <f>SUM(Tabla1[[#This Row],[DEUDA DE LOS MESES PASADOS EN $$]:[DEUDA DEL AÑO 2013 $$ ]])</f>
        <v>0</v>
      </c>
      <c r="AE142" s="103">
        <f>IF(Tabla1[[#This Row],[TIPO DE CONSUMIDOR]]="MEDIO",IF(Tabla1[[#This Row],[ENERO ]]&gt;22.5,Tabla1[[#This Row],[ENERO ]]/22.5-1,0),IF(Tabla1[[#This Row],[ENERO ]]&gt;45,Tabla1[[#This Row],[ENERO ]]/45-1,0))</f>
        <v>0</v>
      </c>
      <c r="AF14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2" s="103">
        <f>IF(Tabla1[[#This Row],[TIPO DE CONSUMIDOR]]="MEDIO",IF(Tabla1[[#This Row],[MARZO]]&gt;22.5,Tabla1[[#This Row],[MARZO]]/22.5-1,0),IF(Tabla1[[#This Row],[MARZO]]&gt;45,Tabla1[[#This Row],[MARZO]]/45-1,0))</f>
        <v>0</v>
      </c>
      <c r="AH142" s="103">
        <f>IF(Tabla1[[#This Row],[TIPO DE CONSUMIDOR]]="MEDIO",IF(Tabla1[[#This Row],[ABRIL]]&gt;22.5,Tabla1[[#This Row],[ABRIL]]/22.5-1,0),IF(Tabla1[[#This Row],[ABRIL]]&gt;45,Tabla1[[#This Row],[ABRIL]]/45-1,0))</f>
        <v>0</v>
      </c>
      <c r="AI142" s="103">
        <f>IF(Tabla1[[#This Row],[TIPO DE CONSUMIDOR]]="MEDIO",IF(Tabla1[[#This Row],[MAYO ]]&gt;22.5,Tabla1[[#This Row],[MAYO ]]/22.5-1,0),IF(Tabla1[[#This Row],[MAYO ]]&gt;45,Tabla1[[#This Row],[MAYO ]]/45-1,0))</f>
        <v>0</v>
      </c>
      <c r="AJ142" s="103">
        <f>IF(Tabla1[[#This Row],[TIPO DE CONSUMIDOR]]="MEDIO",IF(Tabla1[[#This Row],[JUNIO ]]&gt;22.5,Tabla1[[#This Row],[JUNIO ]]/22.5-1,0),IF(Tabla1[[#This Row],[JUNIO ]]&gt;45,Tabla1[[#This Row],[JUNIO ]]/45-1,0))</f>
        <v>0</v>
      </c>
      <c r="AK142" s="103">
        <f>IF(Tabla1[[#This Row],[TIPO DE CONSUMIDOR]]="MEDIO",IF(Tabla1[[#This Row],[JULIO ]]&gt;22.5,Tabla1[[#This Row],[JULIO ]]/22.5-1,0),IF(Tabla1[[#This Row],[JULIO ]]&gt;45,Tabla1[[#This Row],[JULIO ]]/45-1,0))</f>
        <v>0</v>
      </c>
      <c r="AL142" s="103">
        <f>IF(Tabla1[[#This Row],[TIPO DE CONSUMIDOR]]="MEDIO",IF(Tabla1[[#This Row],[AGOSTO]]&gt;22.5,Tabla1[[#This Row],[AGOSTO]]/22.5-1,0),IF(Tabla1[[#This Row],[AGOSTO]]&gt;45,Tabla1[[#This Row],[AGOSTO]]/45-1,0))</f>
        <v>0</v>
      </c>
      <c r="AM14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2" s="104">
        <f t="shared" si="6"/>
        <v>0</v>
      </c>
      <c r="AR142" s="9">
        <f t="shared" si="5"/>
        <v>0</v>
      </c>
      <c r="AS142" s="60">
        <f>IF(Tabla1[[#This Row],[MESES DE ADEUDO DEL AÑO EN CURSO ]]&gt;0,1,0)</f>
        <v>0</v>
      </c>
      <c r="AT142" s="42"/>
      <c r="AU142" s="42"/>
      <c r="AV142" s="42"/>
      <c r="AW142" s="43"/>
    </row>
    <row r="143" spans="1:49" ht="21.75" thickBot="1" x14ac:dyDescent="0.35">
      <c r="A143" s="109">
        <v>137</v>
      </c>
      <c r="B143" s="5" t="s">
        <v>607</v>
      </c>
      <c r="C143" s="2" t="s">
        <v>530</v>
      </c>
      <c r="D143" s="32"/>
      <c r="E143" s="35" t="s">
        <v>455</v>
      </c>
      <c r="F143" s="34">
        <v>0</v>
      </c>
      <c r="G143" s="34">
        <v>0</v>
      </c>
      <c r="H143" s="34">
        <v>0</v>
      </c>
      <c r="I143" s="34">
        <v>45</v>
      </c>
      <c r="J143" s="34">
        <v>45</v>
      </c>
      <c r="K143" s="34">
        <v>45</v>
      </c>
      <c r="L143" s="34">
        <v>45</v>
      </c>
      <c r="M143" s="34">
        <v>45</v>
      </c>
      <c r="N143" s="34">
        <v>45</v>
      </c>
      <c r="O143" s="34">
        <v>45</v>
      </c>
      <c r="P143" s="34">
        <v>45</v>
      </c>
      <c r="Q143" s="34">
        <v>45</v>
      </c>
      <c r="R143" s="24">
        <f>SUM(Tabla1[[#This Row],[ENERO ]:[DICIEMBRE]])</f>
        <v>405</v>
      </c>
      <c r="S143" t="s">
        <v>626</v>
      </c>
      <c r="T143" t="s">
        <v>434</v>
      </c>
      <c r="U143" t="s">
        <v>625</v>
      </c>
      <c r="V143" t="s">
        <v>3</v>
      </c>
      <c r="W143" s="65">
        <v>0</v>
      </c>
      <c r="X143" s="21">
        <f>COUNTIF(Tabla1[[#This Row],[ENERO ]:[DICIEMBRE]],0)-(AQ143)-IF(Tabla1[[#This Row],[BAJAS]]="BAJA",IF(Tabla1[[#This Row],[ALTAS]]="ALTA",VLOOKUP(Tabla1[[#This Row],[MES DE ALTA ]],$AT$6:$AU$17,2,FALSE),12)-VLOOKUP(Tabla1[[#This Row],[MES DE BAJA ]],$AT$6:$AU$17,2,FALSE),0)</f>
        <v>0</v>
      </c>
      <c r="Y143" s="69">
        <f>SUM(Tabla1[[#This Row],[MES ADEUDO DE AÑOS PASADOS ]:[MESES DE ADEUDO DEL AÑO EN CURSO ]])</f>
        <v>0</v>
      </c>
      <c r="Z143" s="15">
        <f>IF(Tabla1[[#This Row],[TIPO DE CONSUMIDOR]]="COMPLETO",W143*$T$2,W143*($T$2/2))</f>
        <v>0</v>
      </c>
      <c r="AA143" s="15">
        <f>IF(Tabla1[[#This Row],[TIPO DE CONSUMIDOR]]="COMPLETO",Tabla1[[#This Row],[MESES DE ADEUDO DEL AÑO EN CURSO ]]*$T$2,Tabla1[[#This Row],[MESES DE ADEUDO DEL AÑO EN CURSO ]]*($T$2/2))</f>
        <v>0</v>
      </c>
      <c r="AB143" s="70">
        <f>SUM(Tabla1[[#This Row],[DEUDA DE LOS MESES PASADOS EN $$]:[DEUDA DEL AÑO 2013 $$ ]])</f>
        <v>0</v>
      </c>
      <c r="AE143" s="103">
        <f>IF(Tabla1[[#This Row],[TIPO DE CONSUMIDOR]]="MEDIO",IF(Tabla1[[#This Row],[ENERO ]]&gt;22.5,Tabla1[[#This Row],[ENERO ]]/22.5-1,0),IF(Tabla1[[#This Row],[ENERO ]]&gt;45,Tabla1[[#This Row],[ENERO ]]/45-1,0))</f>
        <v>0</v>
      </c>
      <c r="AF14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3" s="103">
        <f>IF(Tabla1[[#This Row],[TIPO DE CONSUMIDOR]]="MEDIO",IF(Tabla1[[#This Row],[MARZO]]&gt;22.5,Tabla1[[#This Row],[MARZO]]/22.5-1,0),IF(Tabla1[[#This Row],[MARZO]]&gt;45,Tabla1[[#This Row],[MARZO]]/45-1,0))</f>
        <v>0</v>
      </c>
      <c r="AH143" s="103">
        <f>IF(Tabla1[[#This Row],[TIPO DE CONSUMIDOR]]="MEDIO",IF(Tabla1[[#This Row],[ABRIL]]&gt;22.5,Tabla1[[#This Row],[ABRIL]]/22.5-1,0),IF(Tabla1[[#This Row],[ABRIL]]&gt;45,Tabla1[[#This Row],[ABRIL]]/45-1,0))</f>
        <v>0</v>
      </c>
      <c r="AI143" s="103">
        <f>IF(Tabla1[[#This Row],[TIPO DE CONSUMIDOR]]="MEDIO",IF(Tabla1[[#This Row],[MAYO ]]&gt;22.5,Tabla1[[#This Row],[MAYO ]]/22.5-1,0),IF(Tabla1[[#This Row],[MAYO ]]&gt;45,Tabla1[[#This Row],[MAYO ]]/45-1,0))</f>
        <v>0</v>
      </c>
      <c r="AJ143" s="103">
        <f>IF(Tabla1[[#This Row],[TIPO DE CONSUMIDOR]]="MEDIO",IF(Tabla1[[#This Row],[JUNIO ]]&gt;22.5,Tabla1[[#This Row],[JUNIO ]]/22.5-1,0),IF(Tabla1[[#This Row],[JUNIO ]]&gt;45,Tabla1[[#This Row],[JUNIO ]]/45-1,0))</f>
        <v>0</v>
      </c>
      <c r="AK143" s="103">
        <f>IF(Tabla1[[#This Row],[TIPO DE CONSUMIDOR]]="MEDIO",IF(Tabla1[[#This Row],[JULIO ]]&gt;22.5,Tabla1[[#This Row],[JULIO ]]/22.5-1,0),IF(Tabla1[[#This Row],[JULIO ]]&gt;45,Tabla1[[#This Row],[JULIO ]]/45-1,0))</f>
        <v>0</v>
      </c>
      <c r="AL143" s="103">
        <f>IF(Tabla1[[#This Row],[TIPO DE CONSUMIDOR]]="MEDIO",IF(Tabla1[[#This Row],[AGOSTO]]&gt;22.5,Tabla1[[#This Row],[AGOSTO]]/22.5-1,0),IF(Tabla1[[#This Row],[AGOSTO]]&gt;45,Tabla1[[#This Row],[AGOSTO]]/45-1,0))</f>
        <v>0</v>
      </c>
      <c r="AM14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3" s="104">
        <f t="shared" si="6"/>
        <v>0</v>
      </c>
      <c r="AR143" s="9">
        <f t="shared" si="5"/>
        <v>0</v>
      </c>
      <c r="AS143" s="60">
        <f>IF(Tabla1[[#This Row],[MESES DE ADEUDO DEL AÑO EN CURSO ]]&gt;0,1,0)</f>
        <v>0</v>
      </c>
      <c r="AT143" s="42"/>
      <c r="AU143" s="42"/>
      <c r="AV143" s="42"/>
      <c r="AW143" s="43"/>
    </row>
    <row r="144" spans="1:49" ht="21.75" thickBot="1" x14ac:dyDescent="0.35">
      <c r="A144" s="109">
        <v>138</v>
      </c>
      <c r="B144" s="5" t="s">
        <v>184</v>
      </c>
      <c r="C144" s="2" t="s">
        <v>530</v>
      </c>
      <c r="D144" s="32"/>
      <c r="E144" s="35" t="s">
        <v>455</v>
      </c>
      <c r="F144" s="34">
        <v>45</v>
      </c>
      <c r="G144" s="34">
        <v>45</v>
      </c>
      <c r="H144" s="34">
        <v>45</v>
      </c>
      <c r="I144" s="34">
        <v>45</v>
      </c>
      <c r="J144" s="34">
        <v>45</v>
      </c>
      <c r="K144" s="34">
        <v>45</v>
      </c>
      <c r="L144" s="34">
        <v>45</v>
      </c>
      <c r="M144" s="34">
        <v>45</v>
      </c>
      <c r="N144" s="34">
        <v>45</v>
      </c>
      <c r="O144" s="34">
        <v>45</v>
      </c>
      <c r="P144" s="34">
        <v>45</v>
      </c>
      <c r="Q144" s="34">
        <v>45</v>
      </c>
      <c r="R144" s="24">
        <f>SUM(Tabla1[[#This Row],[ENERO ]:[DICIEMBRE]])</f>
        <v>540</v>
      </c>
      <c r="W144" s="65">
        <v>0</v>
      </c>
      <c r="X144" s="21">
        <f>COUNTIF(Tabla1[[#This Row],[ENERO ]:[DICIEMBRE]],0)-(AQ144)-IF(Tabla1[[#This Row],[BAJAS]]="BAJA",IF(Tabla1[[#This Row],[ALTAS]]="ALTA",VLOOKUP(Tabla1[[#This Row],[MES DE ALTA ]],$AT$6:$AU$17,2,FALSE),12)-VLOOKUP(Tabla1[[#This Row],[MES DE BAJA ]],$AT$6:$AU$17,2,FALSE),0)</f>
        <v>0</v>
      </c>
      <c r="Y144" s="69">
        <f>SUM(Tabla1[[#This Row],[MES ADEUDO DE AÑOS PASADOS ]:[MESES DE ADEUDO DEL AÑO EN CURSO ]])</f>
        <v>0</v>
      </c>
      <c r="Z144" s="15">
        <f>IF(Tabla1[[#This Row],[TIPO DE CONSUMIDOR]]="COMPLETO",W144*$T$2,W144*($T$2/2))</f>
        <v>0</v>
      </c>
      <c r="AA144" s="15">
        <f>IF(Tabla1[[#This Row],[TIPO DE CONSUMIDOR]]="COMPLETO",Tabla1[[#This Row],[MESES DE ADEUDO DEL AÑO EN CURSO ]]*$T$2,Tabla1[[#This Row],[MESES DE ADEUDO DEL AÑO EN CURSO ]]*($T$2/2))</f>
        <v>0</v>
      </c>
      <c r="AB144" s="70">
        <f>SUM(Tabla1[[#This Row],[DEUDA DE LOS MESES PASADOS EN $$]:[DEUDA DEL AÑO 2013 $$ ]])</f>
        <v>0</v>
      </c>
      <c r="AE144" s="103">
        <f>IF(Tabla1[[#This Row],[TIPO DE CONSUMIDOR]]="MEDIO",IF(Tabla1[[#This Row],[ENERO ]]&gt;22.5,Tabla1[[#This Row],[ENERO ]]/22.5-1,0),IF(Tabla1[[#This Row],[ENERO ]]&gt;45,Tabla1[[#This Row],[ENERO ]]/45-1,0))</f>
        <v>0</v>
      </c>
      <c r="AF14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4" s="103">
        <f>IF(Tabla1[[#This Row],[TIPO DE CONSUMIDOR]]="MEDIO",IF(Tabla1[[#This Row],[MARZO]]&gt;22.5,Tabla1[[#This Row],[MARZO]]/22.5-1,0),IF(Tabla1[[#This Row],[MARZO]]&gt;45,Tabla1[[#This Row],[MARZO]]/45-1,0))</f>
        <v>0</v>
      </c>
      <c r="AH144" s="103">
        <f>IF(Tabla1[[#This Row],[TIPO DE CONSUMIDOR]]="MEDIO",IF(Tabla1[[#This Row],[ABRIL]]&gt;22.5,Tabla1[[#This Row],[ABRIL]]/22.5-1,0),IF(Tabla1[[#This Row],[ABRIL]]&gt;45,Tabla1[[#This Row],[ABRIL]]/45-1,0))</f>
        <v>0</v>
      </c>
      <c r="AI144" s="103">
        <f>IF(Tabla1[[#This Row],[TIPO DE CONSUMIDOR]]="MEDIO",IF(Tabla1[[#This Row],[MAYO ]]&gt;22.5,Tabla1[[#This Row],[MAYO ]]/22.5-1,0),IF(Tabla1[[#This Row],[MAYO ]]&gt;45,Tabla1[[#This Row],[MAYO ]]/45-1,0))</f>
        <v>0</v>
      </c>
      <c r="AJ144" s="103">
        <f>IF(Tabla1[[#This Row],[TIPO DE CONSUMIDOR]]="MEDIO",IF(Tabla1[[#This Row],[JUNIO ]]&gt;22.5,Tabla1[[#This Row],[JUNIO ]]/22.5-1,0),IF(Tabla1[[#This Row],[JUNIO ]]&gt;45,Tabla1[[#This Row],[JUNIO ]]/45-1,0))</f>
        <v>0</v>
      </c>
      <c r="AK144" s="103">
        <f>IF(Tabla1[[#This Row],[TIPO DE CONSUMIDOR]]="MEDIO",IF(Tabla1[[#This Row],[JULIO ]]&gt;22.5,Tabla1[[#This Row],[JULIO ]]/22.5-1,0),IF(Tabla1[[#This Row],[JULIO ]]&gt;45,Tabla1[[#This Row],[JULIO ]]/45-1,0))</f>
        <v>0</v>
      </c>
      <c r="AL144" s="103">
        <f>IF(Tabla1[[#This Row],[TIPO DE CONSUMIDOR]]="MEDIO",IF(Tabla1[[#This Row],[AGOSTO]]&gt;22.5,Tabla1[[#This Row],[AGOSTO]]/22.5-1,0),IF(Tabla1[[#This Row],[AGOSTO]]&gt;45,Tabla1[[#This Row],[AGOSTO]]/45-1,0))</f>
        <v>0</v>
      </c>
      <c r="AM14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4" s="104">
        <f t="shared" si="6"/>
        <v>0</v>
      </c>
      <c r="AR144" s="9">
        <f t="shared" si="5"/>
        <v>0</v>
      </c>
      <c r="AS144" s="60">
        <f>IF(Tabla1[[#This Row],[MESES DE ADEUDO DEL AÑO EN CURSO ]]&gt;0,1,0)</f>
        <v>0</v>
      </c>
      <c r="AT144" s="42"/>
      <c r="AU144" s="42"/>
      <c r="AV144" s="42"/>
      <c r="AW144" s="43"/>
    </row>
    <row r="145" spans="1:49" ht="21.75" thickBot="1" x14ac:dyDescent="0.35">
      <c r="A145" s="109">
        <v>139</v>
      </c>
      <c r="B145" s="5" t="s">
        <v>164</v>
      </c>
      <c r="C145" s="2" t="s">
        <v>530</v>
      </c>
      <c r="D145" s="32"/>
      <c r="E145" s="35" t="s">
        <v>455</v>
      </c>
      <c r="F145" s="34">
        <v>45</v>
      </c>
      <c r="G145" s="34">
        <v>45</v>
      </c>
      <c r="H145" s="34">
        <v>45</v>
      </c>
      <c r="I145" s="34">
        <v>45</v>
      </c>
      <c r="J145" s="34">
        <v>45</v>
      </c>
      <c r="K145" s="34">
        <v>45</v>
      </c>
      <c r="L145" s="34">
        <v>45</v>
      </c>
      <c r="M145" s="34">
        <v>45</v>
      </c>
      <c r="N145" s="34">
        <v>45</v>
      </c>
      <c r="O145" s="34">
        <v>45</v>
      </c>
      <c r="P145" s="34">
        <v>45</v>
      </c>
      <c r="Q145" s="34">
        <v>45</v>
      </c>
      <c r="R145" s="24">
        <f>SUM(Tabla1[[#This Row],[ENERO ]:[DICIEMBRE]])</f>
        <v>540</v>
      </c>
      <c r="W145" s="65">
        <v>0</v>
      </c>
      <c r="X145" s="21">
        <f>COUNTIF(Tabla1[[#This Row],[ENERO ]:[DICIEMBRE]],0)-(AQ145)-IF(Tabla1[[#This Row],[BAJAS]]="BAJA",IF(Tabla1[[#This Row],[ALTAS]]="ALTA",VLOOKUP(Tabla1[[#This Row],[MES DE ALTA ]],$AT$6:$AU$17,2,FALSE),12)-VLOOKUP(Tabla1[[#This Row],[MES DE BAJA ]],$AT$6:$AU$17,2,FALSE),0)</f>
        <v>0</v>
      </c>
      <c r="Y145" s="69">
        <f>SUM(Tabla1[[#This Row],[MES ADEUDO DE AÑOS PASADOS ]:[MESES DE ADEUDO DEL AÑO EN CURSO ]])</f>
        <v>0</v>
      </c>
      <c r="Z145" s="15">
        <f>IF(Tabla1[[#This Row],[TIPO DE CONSUMIDOR]]="COMPLETO",W145*$T$2,W145*($T$2/2))</f>
        <v>0</v>
      </c>
      <c r="AA145" s="15">
        <f>IF(Tabla1[[#This Row],[TIPO DE CONSUMIDOR]]="COMPLETO",Tabla1[[#This Row],[MESES DE ADEUDO DEL AÑO EN CURSO ]]*$T$2,Tabla1[[#This Row],[MESES DE ADEUDO DEL AÑO EN CURSO ]]*($T$2/2))</f>
        <v>0</v>
      </c>
      <c r="AB145" s="70">
        <f>SUM(Tabla1[[#This Row],[DEUDA DE LOS MESES PASADOS EN $$]:[DEUDA DEL AÑO 2013 $$ ]])</f>
        <v>0</v>
      </c>
      <c r="AE145" s="103">
        <f>IF(Tabla1[[#This Row],[TIPO DE CONSUMIDOR]]="MEDIO",IF(Tabla1[[#This Row],[ENERO ]]&gt;22.5,Tabla1[[#This Row],[ENERO ]]/22.5-1,0),IF(Tabla1[[#This Row],[ENERO ]]&gt;45,Tabla1[[#This Row],[ENERO ]]/45-1,0))</f>
        <v>0</v>
      </c>
      <c r="AF14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5" s="103">
        <f>IF(Tabla1[[#This Row],[TIPO DE CONSUMIDOR]]="MEDIO",IF(Tabla1[[#This Row],[MARZO]]&gt;22.5,Tabla1[[#This Row],[MARZO]]/22.5-1,0),IF(Tabla1[[#This Row],[MARZO]]&gt;45,Tabla1[[#This Row],[MARZO]]/45-1,0))</f>
        <v>0</v>
      </c>
      <c r="AH145" s="103">
        <f>IF(Tabla1[[#This Row],[TIPO DE CONSUMIDOR]]="MEDIO",IF(Tabla1[[#This Row],[ABRIL]]&gt;22.5,Tabla1[[#This Row],[ABRIL]]/22.5-1,0),IF(Tabla1[[#This Row],[ABRIL]]&gt;45,Tabla1[[#This Row],[ABRIL]]/45-1,0))</f>
        <v>0</v>
      </c>
      <c r="AI145" s="103">
        <f>IF(Tabla1[[#This Row],[TIPO DE CONSUMIDOR]]="MEDIO",IF(Tabla1[[#This Row],[MAYO ]]&gt;22.5,Tabla1[[#This Row],[MAYO ]]/22.5-1,0),IF(Tabla1[[#This Row],[MAYO ]]&gt;45,Tabla1[[#This Row],[MAYO ]]/45-1,0))</f>
        <v>0</v>
      </c>
      <c r="AJ145" s="103">
        <f>IF(Tabla1[[#This Row],[TIPO DE CONSUMIDOR]]="MEDIO",IF(Tabla1[[#This Row],[JUNIO ]]&gt;22.5,Tabla1[[#This Row],[JUNIO ]]/22.5-1,0),IF(Tabla1[[#This Row],[JUNIO ]]&gt;45,Tabla1[[#This Row],[JUNIO ]]/45-1,0))</f>
        <v>0</v>
      </c>
      <c r="AK145" s="103">
        <f>IF(Tabla1[[#This Row],[TIPO DE CONSUMIDOR]]="MEDIO",IF(Tabla1[[#This Row],[JULIO ]]&gt;22.5,Tabla1[[#This Row],[JULIO ]]/22.5-1,0),IF(Tabla1[[#This Row],[JULIO ]]&gt;45,Tabla1[[#This Row],[JULIO ]]/45-1,0))</f>
        <v>0</v>
      </c>
      <c r="AL145" s="103">
        <f>IF(Tabla1[[#This Row],[TIPO DE CONSUMIDOR]]="MEDIO",IF(Tabla1[[#This Row],[AGOSTO]]&gt;22.5,Tabla1[[#This Row],[AGOSTO]]/22.5-1,0),IF(Tabla1[[#This Row],[AGOSTO]]&gt;45,Tabla1[[#This Row],[AGOSTO]]/45-1,0))</f>
        <v>0</v>
      </c>
      <c r="AM14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5" s="104">
        <f t="shared" si="6"/>
        <v>0</v>
      </c>
      <c r="AR145" s="9">
        <f t="shared" si="5"/>
        <v>0</v>
      </c>
      <c r="AS145" s="60">
        <f>IF(Tabla1[[#This Row],[MESES DE ADEUDO DEL AÑO EN CURSO ]]&gt;0,1,0)</f>
        <v>0</v>
      </c>
      <c r="AT145" s="42"/>
      <c r="AU145" s="42"/>
      <c r="AV145" s="42"/>
      <c r="AW145" s="43"/>
    </row>
    <row r="146" spans="1:49" ht="21.75" thickBot="1" x14ac:dyDescent="0.35">
      <c r="A146" s="109">
        <v>140</v>
      </c>
      <c r="B146" s="5" t="s">
        <v>193</v>
      </c>
      <c r="C146" s="2" t="s">
        <v>530</v>
      </c>
      <c r="D146" s="32"/>
      <c r="E146" s="35" t="s">
        <v>455</v>
      </c>
      <c r="F146" s="34">
        <v>45</v>
      </c>
      <c r="G146" s="34">
        <v>45</v>
      </c>
      <c r="H146" s="34">
        <v>45</v>
      </c>
      <c r="I146" s="34">
        <v>45</v>
      </c>
      <c r="J146" s="34">
        <v>45</v>
      </c>
      <c r="K146" s="34">
        <v>45</v>
      </c>
      <c r="L146" s="34">
        <v>45</v>
      </c>
      <c r="M146" s="34">
        <v>45</v>
      </c>
      <c r="N146" s="34">
        <v>45</v>
      </c>
      <c r="O146" s="34">
        <v>45</v>
      </c>
      <c r="P146" s="34">
        <v>45</v>
      </c>
      <c r="Q146" s="34">
        <v>45</v>
      </c>
      <c r="R146" s="24">
        <f>SUM(Tabla1[[#This Row],[ENERO ]:[DICIEMBRE]])</f>
        <v>540</v>
      </c>
      <c r="W146" s="65">
        <v>0</v>
      </c>
      <c r="X146" s="21">
        <f>COUNTIF(Tabla1[[#This Row],[ENERO ]:[DICIEMBRE]],0)-(AQ146)-IF(Tabla1[[#This Row],[BAJAS]]="BAJA",IF(Tabla1[[#This Row],[ALTAS]]="ALTA",VLOOKUP(Tabla1[[#This Row],[MES DE ALTA ]],$AT$6:$AU$17,2,FALSE),12)-VLOOKUP(Tabla1[[#This Row],[MES DE BAJA ]],$AT$6:$AU$17,2,FALSE),0)</f>
        <v>0</v>
      </c>
      <c r="Y146" s="69">
        <f>SUM(Tabla1[[#This Row],[MES ADEUDO DE AÑOS PASADOS ]:[MESES DE ADEUDO DEL AÑO EN CURSO ]])</f>
        <v>0</v>
      </c>
      <c r="Z146" s="15">
        <f>IF(Tabla1[[#This Row],[TIPO DE CONSUMIDOR]]="COMPLETO",W146*$T$2,W146*($T$2/2))</f>
        <v>0</v>
      </c>
      <c r="AA146" s="15">
        <f>IF(Tabla1[[#This Row],[TIPO DE CONSUMIDOR]]="COMPLETO",Tabla1[[#This Row],[MESES DE ADEUDO DEL AÑO EN CURSO ]]*$T$2,Tabla1[[#This Row],[MESES DE ADEUDO DEL AÑO EN CURSO ]]*($T$2/2))</f>
        <v>0</v>
      </c>
      <c r="AB146" s="70">
        <f>SUM(Tabla1[[#This Row],[DEUDA DE LOS MESES PASADOS EN $$]:[DEUDA DEL AÑO 2013 $$ ]])</f>
        <v>0</v>
      </c>
      <c r="AE146" s="103">
        <f>IF(Tabla1[[#This Row],[TIPO DE CONSUMIDOR]]="MEDIO",IF(Tabla1[[#This Row],[ENERO ]]&gt;22.5,Tabla1[[#This Row],[ENERO ]]/22.5-1,0),IF(Tabla1[[#This Row],[ENERO ]]&gt;45,Tabla1[[#This Row],[ENERO ]]/45-1,0))</f>
        <v>0</v>
      </c>
      <c r="AF14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6" s="103">
        <f>IF(Tabla1[[#This Row],[TIPO DE CONSUMIDOR]]="MEDIO",IF(Tabla1[[#This Row],[MARZO]]&gt;22.5,Tabla1[[#This Row],[MARZO]]/22.5-1,0),IF(Tabla1[[#This Row],[MARZO]]&gt;45,Tabla1[[#This Row],[MARZO]]/45-1,0))</f>
        <v>0</v>
      </c>
      <c r="AH146" s="103">
        <f>IF(Tabla1[[#This Row],[TIPO DE CONSUMIDOR]]="MEDIO",IF(Tabla1[[#This Row],[ABRIL]]&gt;22.5,Tabla1[[#This Row],[ABRIL]]/22.5-1,0),IF(Tabla1[[#This Row],[ABRIL]]&gt;45,Tabla1[[#This Row],[ABRIL]]/45-1,0))</f>
        <v>0</v>
      </c>
      <c r="AI146" s="103">
        <f>IF(Tabla1[[#This Row],[TIPO DE CONSUMIDOR]]="MEDIO",IF(Tabla1[[#This Row],[MAYO ]]&gt;22.5,Tabla1[[#This Row],[MAYO ]]/22.5-1,0),IF(Tabla1[[#This Row],[MAYO ]]&gt;45,Tabla1[[#This Row],[MAYO ]]/45-1,0))</f>
        <v>0</v>
      </c>
      <c r="AJ146" s="103">
        <f>IF(Tabla1[[#This Row],[TIPO DE CONSUMIDOR]]="MEDIO",IF(Tabla1[[#This Row],[JUNIO ]]&gt;22.5,Tabla1[[#This Row],[JUNIO ]]/22.5-1,0),IF(Tabla1[[#This Row],[JUNIO ]]&gt;45,Tabla1[[#This Row],[JUNIO ]]/45-1,0))</f>
        <v>0</v>
      </c>
      <c r="AK146" s="103">
        <f>IF(Tabla1[[#This Row],[TIPO DE CONSUMIDOR]]="MEDIO",IF(Tabla1[[#This Row],[JULIO ]]&gt;22.5,Tabla1[[#This Row],[JULIO ]]/22.5-1,0),IF(Tabla1[[#This Row],[JULIO ]]&gt;45,Tabla1[[#This Row],[JULIO ]]/45-1,0))</f>
        <v>0</v>
      </c>
      <c r="AL146" s="103">
        <f>IF(Tabla1[[#This Row],[TIPO DE CONSUMIDOR]]="MEDIO",IF(Tabla1[[#This Row],[AGOSTO]]&gt;22.5,Tabla1[[#This Row],[AGOSTO]]/22.5-1,0),IF(Tabla1[[#This Row],[AGOSTO]]&gt;45,Tabla1[[#This Row],[AGOSTO]]/45-1,0))</f>
        <v>0</v>
      </c>
      <c r="AM14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6" s="104">
        <f t="shared" si="6"/>
        <v>0</v>
      </c>
      <c r="AR146" s="9">
        <f t="shared" si="5"/>
        <v>0</v>
      </c>
      <c r="AS146" s="60">
        <f>IF(Tabla1[[#This Row],[MESES DE ADEUDO DEL AÑO EN CURSO ]]&gt;0,1,0)</f>
        <v>0</v>
      </c>
      <c r="AT146" s="42"/>
      <c r="AU146" s="42"/>
      <c r="AV146" s="42"/>
      <c r="AW146" s="43"/>
    </row>
    <row r="147" spans="1:49" ht="21.75" thickBot="1" x14ac:dyDescent="0.35">
      <c r="A147" s="109">
        <v>141</v>
      </c>
      <c r="B147" s="5" t="s">
        <v>582</v>
      </c>
      <c r="C147" s="2" t="s">
        <v>530</v>
      </c>
      <c r="D147" s="32"/>
      <c r="E147" s="35" t="s">
        <v>455</v>
      </c>
      <c r="F147" s="34">
        <v>45</v>
      </c>
      <c r="G147" s="34">
        <v>45</v>
      </c>
      <c r="H147" s="34">
        <v>45</v>
      </c>
      <c r="I147" s="34">
        <v>45</v>
      </c>
      <c r="J147" s="34">
        <v>45</v>
      </c>
      <c r="K147" s="34">
        <v>45</v>
      </c>
      <c r="L147" s="34">
        <v>45</v>
      </c>
      <c r="M147" s="34">
        <v>45</v>
      </c>
      <c r="N147" s="34">
        <v>45</v>
      </c>
      <c r="O147" s="34">
        <v>45</v>
      </c>
      <c r="P147" s="34">
        <v>45</v>
      </c>
      <c r="Q147" s="34">
        <v>45</v>
      </c>
      <c r="R147" s="24">
        <f>SUM(Tabla1[[#This Row],[ENERO ]:[DICIEMBRE]])</f>
        <v>540</v>
      </c>
      <c r="W147" s="65">
        <v>0</v>
      </c>
      <c r="X147" s="21">
        <f>COUNTIF(Tabla1[[#This Row],[ENERO ]:[DICIEMBRE]],0)-(AQ147)-IF(Tabla1[[#This Row],[BAJAS]]="BAJA",IF(Tabla1[[#This Row],[ALTAS]]="ALTA",VLOOKUP(Tabla1[[#This Row],[MES DE ALTA ]],$AT$6:$AU$17,2,FALSE),12)-VLOOKUP(Tabla1[[#This Row],[MES DE BAJA ]],$AT$6:$AU$17,2,FALSE),0)</f>
        <v>0</v>
      </c>
      <c r="Y147" s="69">
        <f>SUM(Tabla1[[#This Row],[MES ADEUDO DE AÑOS PASADOS ]:[MESES DE ADEUDO DEL AÑO EN CURSO ]])</f>
        <v>0</v>
      </c>
      <c r="Z147" s="15">
        <f>IF(Tabla1[[#This Row],[TIPO DE CONSUMIDOR]]="COMPLETO",W147*$T$2,W147*($T$2/2))</f>
        <v>0</v>
      </c>
      <c r="AA147" s="15">
        <f>IF(Tabla1[[#This Row],[TIPO DE CONSUMIDOR]]="COMPLETO",Tabla1[[#This Row],[MESES DE ADEUDO DEL AÑO EN CURSO ]]*$T$2,Tabla1[[#This Row],[MESES DE ADEUDO DEL AÑO EN CURSO ]]*($T$2/2))</f>
        <v>0</v>
      </c>
      <c r="AB147" s="70">
        <f>SUM(Tabla1[[#This Row],[DEUDA DE LOS MESES PASADOS EN $$]:[DEUDA DEL AÑO 2013 $$ ]])</f>
        <v>0</v>
      </c>
      <c r="AE147" s="103">
        <f>IF(Tabla1[[#This Row],[TIPO DE CONSUMIDOR]]="MEDIO",IF(Tabla1[[#This Row],[ENERO ]]&gt;22.5,Tabla1[[#This Row],[ENERO ]]/22.5-1,0),IF(Tabla1[[#This Row],[ENERO ]]&gt;45,Tabla1[[#This Row],[ENERO ]]/45-1,0))</f>
        <v>0</v>
      </c>
      <c r="AF14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7" s="103">
        <f>IF(Tabla1[[#This Row],[TIPO DE CONSUMIDOR]]="MEDIO",IF(Tabla1[[#This Row],[MARZO]]&gt;22.5,Tabla1[[#This Row],[MARZO]]/22.5-1,0),IF(Tabla1[[#This Row],[MARZO]]&gt;45,Tabla1[[#This Row],[MARZO]]/45-1,0))</f>
        <v>0</v>
      </c>
      <c r="AH147" s="103">
        <f>IF(Tabla1[[#This Row],[TIPO DE CONSUMIDOR]]="MEDIO",IF(Tabla1[[#This Row],[ABRIL]]&gt;22.5,Tabla1[[#This Row],[ABRIL]]/22.5-1,0),IF(Tabla1[[#This Row],[ABRIL]]&gt;45,Tabla1[[#This Row],[ABRIL]]/45-1,0))</f>
        <v>0</v>
      </c>
      <c r="AI147" s="103">
        <f>IF(Tabla1[[#This Row],[TIPO DE CONSUMIDOR]]="MEDIO",IF(Tabla1[[#This Row],[MAYO ]]&gt;22.5,Tabla1[[#This Row],[MAYO ]]/22.5-1,0),IF(Tabla1[[#This Row],[MAYO ]]&gt;45,Tabla1[[#This Row],[MAYO ]]/45-1,0))</f>
        <v>0</v>
      </c>
      <c r="AJ147" s="103">
        <f>IF(Tabla1[[#This Row],[TIPO DE CONSUMIDOR]]="MEDIO",IF(Tabla1[[#This Row],[JUNIO ]]&gt;22.5,Tabla1[[#This Row],[JUNIO ]]/22.5-1,0),IF(Tabla1[[#This Row],[JUNIO ]]&gt;45,Tabla1[[#This Row],[JUNIO ]]/45-1,0))</f>
        <v>0</v>
      </c>
      <c r="AK147" s="103">
        <f>IF(Tabla1[[#This Row],[TIPO DE CONSUMIDOR]]="MEDIO",IF(Tabla1[[#This Row],[JULIO ]]&gt;22.5,Tabla1[[#This Row],[JULIO ]]/22.5-1,0),IF(Tabla1[[#This Row],[JULIO ]]&gt;45,Tabla1[[#This Row],[JULIO ]]/45-1,0))</f>
        <v>0</v>
      </c>
      <c r="AL147" s="103">
        <f>IF(Tabla1[[#This Row],[TIPO DE CONSUMIDOR]]="MEDIO",IF(Tabla1[[#This Row],[AGOSTO]]&gt;22.5,Tabla1[[#This Row],[AGOSTO]]/22.5-1,0),IF(Tabla1[[#This Row],[AGOSTO]]&gt;45,Tabla1[[#This Row],[AGOSTO]]/45-1,0))</f>
        <v>0</v>
      </c>
      <c r="AM14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7" s="104">
        <f t="shared" si="6"/>
        <v>0</v>
      </c>
      <c r="AR147" s="9">
        <f t="shared" si="5"/>
        <v>0</v>
      </c>
      <c r="AS147" s="60">
        <f>IF(Tabla1[[#This Row],[MESES DE ADEUDO DEL AÑO EN CURSO ]]&gt;0,1,0)</f>
        <v>0</v>
      </c>
      <c r="AT147" s="42"/>
      <c r="AU147" s="42"/>
      <c r="AV147" s="42"/>
      <c r="AW147" s="43"/>
    </row>
    <row r="148" spans="1:49" ht="21.75" thickBot="1" x14ac:dyDescent="0.35">
      <c r="A148" s="109">
        <v>142</v>
      </c>
      <c r="B148" s="5" t="s">
        <v>211</v>
      </c>
      <c r="C148" s="2" t="s">
        <v>530</v>
      </c>
      <c r="D148" s="32"/>
      <c r="E148" s="35" t="s">
        <v>455</v>
      </c>
      <c r="F148" s="34">
        <v>45</v>
      </c>
      <c r="G148" s="34">
        <v>45</v>
      </c>
      <c r="H148" s="34">
        <v>45</v>
      </c>
      <c r="I148" s="34">
        <v>45</v>
      </c>
      <c r="J148" s="34">
        <v>45</v>
      </c>
      <c r="K148" s="34">
        <v>45</v>
      </c>
      <c r="L148" s="34">
        <v>45</v>
      </c>
      <c r="M148" s="34">
        <v>45</v>
      </c>
      <c r="N148" s="34">
        <v>45</v>
      </c>
      <c r="O148" s="34">
        <v>45</v>
      </c>
      <c r="P148" s="34">
        <v>45</v>
      </c>
      <c r="Q148" s="34">
        <v>45</v>
      </c>
      <c r="R148" s="24">
        <f>SUM(Tabla1[[#This Row],[ENERO ]:[DICIEMBRE]])</f>
        <v>540</v>
      </c>
      <c r="W148" s="65">
        <v>0</v>
      </c>
      <c r="X148" s="21">
        <f>COUNTIF(Tabla1[[#This Row],[ENERO ]:[DICIEMBRE]],0)-(AQ148)-IF(Tabla1[[#This Row],[BAJAS]]="BAJA",IF(Tabla1[[#This Row],[ALTAS]]="ALTA",VLOOKUP(Tabla1[[#This Row],[MES DE ALTA ]],$AT$6:$AU$17,2,FALSE),12)-VLOOKUP(Tabla1[[#This Row],[MES DE BAJA ]],$AT$6:$AU$17,2,FALSE),0)</f>
        <v>0</v>
      </c>
      <c r="Y148" s="69">
        <f>SUM(Tabla1[[#This Row],[MES ADEUDO DE AÑOS PASADOS ]:[MESES DE ADEUDO DEL AÑO EN CURSO ]])</f>
        <v>0</v>
      </c>
      <c r="Z148" s="15">
        <f>IF(Tabla1[[#This Row],[TIPO DE CONSUMIDOR]]="COMPLETO",W148*$T$2,W148*($T$2/2))</f>
        <v>0</v>
      </c>
      <c r="AA148" s="15">
        <f>IF(Tabla1[[#This Row],[TIPO DE CONSUMIDOR]]="COMPLETO",Tabla1[[#This Row],[MESES DE ADEUDO DEL AÑO EN CURSO ]]*$T$2,Tabla1[[#This Row],[MESES DE ADEUDO DEL AÑO EN CURSO ]]*($T$2/2))</f>
        <v>0</v>
      </c>
      <c r="AB148" s="70">
        <f>SUM(Tabla1[[#This Row],[DEUDA DE LOS MESES PASADOS EN $$]:[DEUDA DEL AÑO 2013 $$ ]])</f>
        <v>0</v>
      </c>
      <c r="AE148" s="103">
        <f>IF(Tabla1[[#This Row],[TIPO DE CONSUMIDOR]]="MEDIO",IF(Tabla1[[#This Row],[ENERO ]]&gt;22.5,Tabla1[[#This Row],[ENERO ]]/22.5-1,0),IF(Tabla1[[#This Row],[ENERO ]]&gt;45,Tabla1[[#This Row],[ENERO ]]/45-1,0))</f>
        <v>0</v>
      </c>
      <c r="AF14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8" s="103">
        <f>IF(Tabla1[[#This Row],[TIPO DE CONSUMIDOR]]="MEDIO",IF(Tabla1[[#This Row],[MARZO]]&gt;22.5,Tabla1[[#This Row],[MARZO]]/22.5-1,0),IF(Tabla1[[#This Row],[MARZO]]&gt;45,Tabla1[[#This Row],[MARZO]]/45-1,0))</f>
        <v>0</v>
      </c>
      <c r="AH148" s="103">
        <f>IF(Tabla1[[#This Row],[TIPO DE CONSUMIDOR]]="MEDIO",IF(Tabla1[[#This Row],[ABRIL]]&gt;22.5,Tabla1[[#This Row],[ABRIL]]/22.5-1,0),IF(Tabla1[[#This Row],[ABRIL]]&gt;45,Tabla1[[#This Row],[ABRIL]]/45-1,0))</f>
        <v>0</v>
      </c>
      <c r="AI148" s="103">
        <f>IF(Tabla1[[#This Row],[TIPO DE CONSUMIDOR]]="MEDIO",IF(Tabla1[[#This Row],[MAYO ]]&gt;22.5,Tabla1[[#This Row],[MAYO ]]/22.5-1,0),IF(Tabla1[[#This Row],[MAYO ]]&gt;45,Tabla1[[#This Row],[MAYO ]]/45-1,0))</f>
        <v>0</v>
      </c>
      <c r="AJ148" s="103">
        <f>IF(Tabla1[[#This Row],[TIPO DE CONSUMIDOR]]="MEDIO",IF(Tabla1[[#This Row],[JUNIO ]]&gt;22.5,Tabla1[[#This Row],[JUNIO ]]/22.5-1,0),IF(Tabla1[[#This Row],[JUNIO ]]&gt;45,Tabla1[[#This Row],[JUNIO ]]/45-1,0))</f>
        <v>0</v>
      </c>
      <c r="AK148" s="103">
        <f>IF(Tabla1[[#This Row],[TIPO DE CONSUMIDOR]]="MEDIO",IF(Tabla1[[#This Row],[JULIO ]]&gt;22.5,Tabla1[[#This Row],[JULIO ]]/22.5-1,0),IF(Tabla1[[#This Row],[JULIO ]]&gt;45,Tabla1[[#This Row],[JULIO ]]/45-1,0))</f>
        <v>0</v>
      </c>
      <c r="AL148" s="103">
        <f>IF(Tabla1[[#This Row],[TIPO DE CONSUMIDOR]]="MEDIO",IF(Tabla1[[#This Row],[AGOSTO]]&gt;22.5,Tabla1[[#This Row],[AGOSTO]]/22.5-1,0),IF(Tabla1[[#This Row],[AGOSTO]]&gt;45,Tabla1[[#This Row],[AGOSTO]]/45-1,0))</f>
        <v>0</v>
      </c>
      <c r="AM14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8" s="104">
        <f t="shared" si="6"/>
        <v>0</v>
      </c>
      <c r="AR148" s="9">
        <f t="shared" si="5"/>
        <v>0</v>
      </c>
      <c r="AS148" s="60">
        <f>IF(Tabla1[[#This Row],[MESES DE ADEUDO DEL AÑO EN CURSO ]]&gt;0,1,0)</f>
        <v>0</v>
      </c>
      <c r="AT148" s="42"/>
      <c r="AU148" s="42"/>
      <c r="AV148" s="42"/>
      <c r="AW148" s="43"/>
    </row>
    <row r="149" spans="1:49" ht="21.75" thickBot="1" x14ac:dyDescent="0.35">
      <c r="A149" s="109">
        <v>143</v>
      </c>
      <c r="B149" s="5" t="s">
        <v>253</v>
      </c>
      <c r="C149" s="2" t="s">
        <v>530</v>
      </c>
      <c r="D149" s="32"/>
      <c r="E149" s="35" t="s">
        <v>455</v>
      </c>
      <c r="F149" s="34">
        <v>45</v>
      </c>
      <c r="G149" s="34">
        <v>45</v>
      </c>
      <c r="H149" s="34">
        <v>45</v>
      </c>
      <c r="I149" s="34">
        <v>45</v>
      </c>
      <c r="J149" s="34">
        <v>45</v>
      </c>
      <c r="K149" s="34">
        <v>45</v>
      </c>
      <c r="L149" s="34">
        <v>45</v>
      </c>
      <c r="M149" s="34">
        <v>45</v>
      </c>
      <c r="N149" s="34">
        <v>45</v>
      </c>
      <c r="O149" s="34">
        <v>45</v>
      </c>
      <c r="P149" s="34">
        <v>45</v>
      </c>
      <c r="Q149" s="34">
        <v>45</v>
      </c>
      <c r="R149" s="24">
        <f>SUM(Tabla1[[#This Row],[ENERO ]:[DICIEMBRE]])</f>
        <v>540</v>
      </c>
      <c r="W149" s="65">
        <v>0</v>
      </c>
      <c r="X149" s="21">
        <f>COUNTIF(Tabla1[[#This Row],[ENERO ]:[DICIEMBRE]],0)-(AQ149)-IF(Tabla1[[#This Row],[BAJAS]]="BAJA",IF(Tabla1[[#This Row],[ALTAS]]="ALTA",VLOOKUP(Tabla1[[#This Row],[MES DE ALTA ]],$AT$6:$AU$17,2,FALSE),12)-VLOOKUP(Tabla1[[#This Row],[MES DE BAJA ]],$AT$6:$AU$17,2,FALSE),0)</f>
        <v>0</v>
      </c>
      <c r="Y149" s="69">
        <f>SUM(Tabla1[[#This Row],[MES ADEUDO DE AÑOS PASADOS ]:[MESES DE ADEUDO DEL AÑO EN CURSO ]])</f>
        <v>0</v>
      </c>
      <c r="Z149" s="15">
        <f>IF(Tabla1[[#This Row],[TIPO DE CONSUMIDOR]]="COMPLETO",W149*$T$2,W149*($T$2/2))</f>
        <v>0</v>
      </c>
      <c r="AA149" s="15">
        <f>IF(Tabla1[[#This Row],[TIPO DE CONSUMIDOR]]="COMPLETO",Tabla1[[#This Row],[MESES DE ADEUDO DEL AÑO EN CURSO ]]*$T$2,Tabla1[[#This Row],[MESES DE ADEUDO DEL AÑO EN CURSO ]]*($T$2/2))</f>
        <v>0</v>
      </c>
      <c r="AB149" s="70">
        <f>SUM(Tabla1[[#This Row],[DEUDA DE LOS MESES PASADOS EN $$]:[DEUDA DEL AÑO 2013 $$ ]])</f>
        <v>0</v>
      </c>
      <c r="AE149" s="103">
        <f>IF(Tabla1[[#This Row],[TIPO DE CONSUMIDOR]]="MEDIO",IF(Tabla1[[#This Row],[ENERO ]]&gt;22.5,Tabla1[[#This Row],[ENERO ]]/22.5-1,0),IF(Tabla1[[#This Row],[ENERO ]]&gt;45,Tabla1[[#This Row],[ENERO ]]/45-1,0))</f>
        <v>0</v>
      </c>
      <c r="AF14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49" s="103">
        <f>IF(Tabla1[[#This Row],[TIPO DE CONSUMIDOR]]="MEDIO",IF(Tabla1[[#This Row],[MARZO]]&gt;22.5,Tabla1[[#This Row],[MARZO]]/22.5-1,0),IF(Tabla1[[#This Row],[MARZO]]&gt;45,Tabla1[[#This Row],[MARZO]]/45-1,0))</f>
        <v>0</v>
      </c>
      <c r="AH149" s="103">
        <f>IF(Tabla1[[#This Row],[TIPO DE CONSUMIDOR]]="MEDIO",IF(Tabla1[[#This Row],[ABRIL]]&gt;22.5,Tabla1[[#This Row],[ABRIL]]/22.5-1,0),IF(Tabla1[[#This Row],[ABRIL]]&gt;45,Tabla1[[#This Row],[ABRIL]]/45-1,0))</f>
        <v>0</v>
      </c>
      <c r="AI149" s="103">
        <f>IF(Tabla1[[#This Row],[TIPO DE CONSUMIDOR]]="MEDIO",IF(Tabla1[[#This Row],[MAYO ]]&gt;22.5,Tabla1[[#This Row],[MAYO ]]/22.5-1,0),IF(Tabla1[[#This Row],[MAYO ]]&gt;45,Tabla1[[#This Row],[MAYO ]]/45-1,0))</f>
        <v>0</v>
      </c>
      <c r="AJ149" s="103">
        <f>IF(Tabla1[[#This Row],[TIPO DE CONSUMIDOR]]="MEDIO",IF(Tabla1[[#This Row],[JUNIO ]]&gt;22.5,Tabla1[[#This Row],[JUNIO ]]/22.5-1,0),IF(Tabla1[[#This Row],[JUNIO ]]&gt;45,Tabla1[[#This Row],[JUNIO ]]/45-1,0))</f>
        <v>0</v>
      </c>
      <c r="AK149" s="103">
        <f>IF(Tabla1[[#This Row],[TIPO DE CONSUMIDOR]]="MEDIO",IF(Tabla1[[#This Row],[JULIO ]]&gt;22.5,Tabla1[[#This Row],[JULIO ]]/22.5-1,0),IF(Tabla1[[#This Row],[JULIO ]]&gt;45,Tabla1[[#This Row],[JULIO ]]/45-1,0))</f>
        <v>0</v>
      </c>
      <c r="AL149" s="103">
        <f>IF(Tabla1[[#This Row],[TIPO DE CONSUMIDOR]]="MEDIO",IF(Tabla1[[#This Row],[AGOSTO]]&gt;22.5,Tabla1[[#This Row],[AGOSTO]]/22.5-1,0),IF(Tabla1[[#This Row],[AGOSTO]]&gt;45,Tabla1[[#This Row],[AGOSTO]]/45-1,0))</f>
        <v>0</v>
      </c>
      <c r="AM14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4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4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4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49" s="104">
        <f t="shared" si="6"/>
        <v>0</v>
      </c>
      <c r="AR149" s="9">
        <f t="shared" si="5"/>
        <v>0</v>
      </c>
      <c r="AS149" s="60">
        <f>IF(Tabla1[[#This Row],[MESES DE ADEUDO DEL AÑO EN CURSO ]]&gt;0,1,0)</f>
        <v>0</v>
      </c>
      <c r="AT149" s="42"/>
      <c r="AU149" s="42"/>
      <c r="AV149" s="42"/>
      <c r="AW149" s="43"/>
    </row>
    <row r="150" spans="1:49" ht="21.75" thickBot="1" x14ac:dyDescent="0.35">
      <c r="A150" s="109">
        <v>144</v>
      </c>
      <c r="B150" s="5" t="s">
        <v>245</v>
      </c>
      <c r="C150" s="2" t="s">
        <v>530</v>
      </c>
      <c r="D150" s="32"/>
      <c r="E150" s="35" t="s">
        <v>455</v>
      </c>
      <c r="F150" s="34">
        <v>45</v>
      </c>
      <c r="G150" s="34">
        <v>45</v>
      </c>
      <c r="H150" s="34">
        <v>45</v>
      </c>
      <c r="I150" s="34">
        <v>45</v>
      </c>
      <c r="J150" s="34">
        <v>45</v>
      </c>
      <c r="K150" s="34">
        <v>45</v>
      </c>
      <c r="L150" s="34">
        <v>45</v>
      </c>
      <c r="M150" s="34">
        <v>45</v>
      </c>
      <c r="N150" s="34">
        <v>45</v>
      </c>
      <c r="O150" s="34">
        <v>45</v>
      </c>
      <c r="P150" s="34">
        <v>45</v>
      </c>
      <c r="Q150" s="34">
        <v>45</v>
      </c>
      <c r="R150" s="24">
        <f>SUM(Tabla1[[#This Row],[ENERO ]:[DICIEMBRE]])</f>
        <v>540</v>
      </c>
      <c r="W150" s="65">
        <v>0</v>
      </c>
      <c r="X150" s="21">
        <f>COUNTIF(Tabla1[[#This Row],[ENERO ]:[DICIEMBRE]],0)-(AQ150)-IF(Tabla1[[#This Row],[BAJAS]]="BAJA",IF(Tabla1[[#This Row],[ALTAS]]="ALTA",VLOOKUP(Tabla1[[#This Row],[MES DE ALTA ]],$AT$6:$AU$17,2,FALSE),12)-VLOOKUP(Tabla1[[#This Row],[MES DE BAJA ]],$AT$6:$AU$17,2,FALSE),0)</f>
        <v>0</v>
      </c>
      <c r="Y150" s="69">
        <f>SUM(Tabla1[[#This Row],[MES ADEUDO DE AÑOS PASADOS ]:[MESES DE ADEUDO DEL AÑO EN CURSO ]])</f>
        <v>0</v>
      </c>
      <c r="Z150" s="15">
        <f>IF(Tabla1[[#This Row],[TIPO DE CONSUMIDOR]]="COMPLETO",W150*$T$2,W150*($T$2/2))</f>
        <v>0</v>
      </c>
      <c r="AA150" s="15">
        <f>IF(Tabla1[[#This Row],[TIPO DE CONSUMIDOR]]="COMPLETO",Tabla1[[#This Row],[MESES DE ADEUDO DEL AÑO EN CURSO ]]*$T$2,Tabla1[[#This Row],[MESES DE ADEUDO DEL AÑO EN CURSO ]]*($T$2/2))</f>
        <v>0</v>
      </c>
      <c r="AB150" s="70">
        <f>SUM(Tabla1[[#This Row],[DEUDA DE LOS MESES PASADOS EN $$]:[DEUDA DEL AÑO 2013 $$ ]])</f>
        <v>0</v>
      </c>
      <c r="AE150" s="103">
        <f>IF(Tabla1[[#This Row],[TIPO DE CONSUMIDOR]]="MEDIO",IF(Tabla1[[#This Row],[ENERO ]]&gt;22.5,Tabla1[[#This Row],[ENERO ]]/22.5-1,0),IF(Tabla1[[#This Row],[ENERO ]]&gt;45,Tabla1[[#This Row],[ENERO ]]/45-1,0))</f>
        <v>0</v>
      </c>
      <c r="AF15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0" s="103">
        <f>IF(Tabla1[[#This Row],[TIPO DE CONSUMIDOR]]="MEDIO",IF(Tabla1[[#This Row],[MARZO]]&gt;22.5,Tabla1[[#This Row],[MARZO]]/22.5-1,0),IF(Tabla1[[#This Row],[MARZO]]&gt;45,Tabla1[[#This Row],[MARZO]]/45-1,0))</f>
        <v>0</v>
      </c>
      <c r="AH150" s="103">
        <f>IF(Tabla1[[#This Row],[TIPO DE CONSUMIDOR]]="MEDIO",IF(Tabla1[[#This Row],[ABRIL]]&gt;22.5,Tabla1[[#This Row],[ABRIL]]/22.5-1,0),IF(Tabla1[[#This Row],[ABRIL]]&gt;45,Tabla1[[#This Row],[ABRIL]]/45-1,0))</f>
        <v>0</v>
      </c>
      <c r="AI150" s="103">
        <f>IF(Tabla1[[#This Row],[TIPO DE CONSUMIDOR]]="MEDIO",IF(Tabla1[[#This Row],[MAYO ]]&gt;22.5,Tabla1[[#This Row],[MAYO ]]/22.5-1,0),IF(Tabla1[[#This Row],[MAYO ]]&gt;45,Tabla1[[#This Row],[MAYO ]]/45-1,0))</f>
        <v>0</v>
      </c>
      <c r="AJ150" s="103">
        <f>IF(Tabla1[[#This Row],[TIPO DE CONSUMIDOR]]="MEDIO",IF(Tabla1[[#This Row],[JUNIO ]]&gt;22.5,Tabla1[[#This Row],[JUNIO ]]/22.5-1,0),IF(Tabla1[[#This Row],[JUNIO ]]&gt;45,Tabla1[[#This Row],[JUNIO ]]/45-1,0))</f>
        <v>0</v>
      </c>
      <c r="AK150" s="103">
        <f>IF(Tabla1[[#This Row],[TIPO DE CONSUMIDOR]]="MEDIO",IF(Tabla1[[#This Row],[JULIO ]]&gt;22.5,Tabla1[[#This Row],[JULIO ]]/22.5-1,0),IF(Tabla1[[#This Row],[JULIO ]]&gt;45,Tabla1[[#This Row],[JULIO ]]/45-1,0))</f>
        <v>0</v>
      </c>
      <c r="AL150" s="103">
        <f>IF(Tabla1[[#This Row],[TIPO DE CONSUMIDOR]]="MEDIO",IF(Tabla1[[#This Row],[AGOSTO]]&gt;22.5,Tabla1[[#This Row],[AGOSTO]]/22.5-1,0),IF(Tabla1[[#This Row],[AGOSTO]]&gt;45,Tabla1[[#This Row],[AGOSTO]]/45-1,0))</f>
        <v>0</v>
      </c>
      <c r="AM15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0" s="104">
        <f t="shared" si="6"/>
        <v>0</v>
      </c>
      <c r="AR150" s="9">
        <f t="shared" si="5"/>
        <v>0</v>
      </c>
      <c r="AS150" s="60">
        <f>IF(Tabla1[[#This Row],[MESES DE ADEUDO DEL AÑO EN CURSO ]]&gt;0,1,0)</f>
        <v>0</v>
      </c>
      <c r="AT150" s="42"/>
      <c r="AU150" s="42"/>
      <c r="AV150" s="42"/>
      <c r="AW150" s="43"/>
    </row>
    <row r="151" spans="1:49" ht="21.75" thickBot="1" x14ac:dyDescent="0.35">
      <c r="A151" s="109">
        <v>145</v>
      </c>
      <c r="B151" s="5" t="s">
        <v>217</v>
      </c>
      <c r="C151" s="2" t="s">
        <v>530</v>
      </c>
      <c r="D151" s="32"/>
      <c r="E151" s="35" t="s">
        <v>455</v>
      </c>
      <c r="F151" s="34">
        <v>45</v>
      </c>
      <c r="G151" s="34">
        <v>45</v>
      </c>
      <c r="H151" s="34">
        <v>45</v>
      </c>
      <c r="I151" s="34">
        <v>45</v>
      </c>
      <c r="J151" s="34">
        <v>45</v>
      </c>
      <c r="K151" s="34">
        <v>45</v>
      </c>
      <c r="L151" s="34">
        <v>45</v>
      </c>
      <c r="M151" s="34">
        <v>45</v>
      </c>
      <c r="N151" s="34">
        <v>45</v>
      </c>
      <c r="O151" s="34">
        <v>45</v>
      </c>
      <c r="P151" s="34">
        <v>45</v>
      </c>
      <c r="Q151" s="34">
        <v>45</v>
      </c>
      <c r="R151" s="24">
        <f>SUM(Tabla1[[#This Row],[ENERO ]:[DICIEMBRE]])</f>
        <v>540</v>
      </c>
      <c r="W151" s="65">
        <v>0</v>
      </c>
      <c r="X151" s="21">
        <f>COUNTIF(Tabla1[[#This Row],[ENERO ]:[DICIEMBRE]],0)-(AQ151)-IF(Tabla1[[#This Row],[BAJAS]]="BAJA",IF(Tabla1[[#This Row],[ALTAS]]="ALTA",VLOOKUP(Tabla1[[#This Row],[MES DE ALTA ]],$AT$6:$AU$17,2,FALSE),12)-VLOOKUP(Tabla1[[#This Row],[MES DE BAJA ]],$AT$6:$AU$17,2,FALSE),0)</f>
        <v>0</v>
      </c>
      <c r="Y151" s="69">
        <f>SUM(Tabla1[[#This Row],[MES ADEUDO DE AÑOS PASADOS ]:[MESES DE ADEUDO DEL AÑO EN CURSO ]])</f>
        <v>0</v>
      </c>
      <c r="Z151" s="15">
        <f>IF(Tabla1[[#This Row],[TIPO DE CONSUMIDOR]]="COMPLETO",W151*$T$2,W151*($T$2/2))</f>
        <v>0</v>
      </c>
      <c r="AA151" s="15">
        <f>IF(Tabla1[[#This Row],[TIPO DE CONSUMIDOR]]="COMPLETO",Tabla1[[#This Row],[MESES DE ADEUDO DEL AÑO EN CURSO ]]*$T$2,Tabla1[[#This Row],[MESES DE ADEUDO DEL AÑO EN CURSO ]]*($T$2/2))</f>
        <v>0</v>
      </c>
      <c r="AB151" s="70">
        <f>SUM(Tabla1[[#This Row],[DEUDA DE LOS MESES PASADOS EN $$]:[DEUDA DEL AÑO 2013 $$ ]])</f>
        <v>0</v>
      </c>
      <c r="AE151" s="103">
        <f>IF(Tabla1[[#This Row],[TIPO DE CONSUMIDOR]]="MEDIO",IF(Tabla1[[#This Row],[ENERO ]]&gt;22.5,Tabla1[[#This Row],[ENERO ]]/22.5-1,0),IF(Tabla1[[#This Row],[ENERO ]]&gt;45,Tabla1[[#This Row],[ENERO ]]/45-1,0))</f>
        <v>0</v>
      </c>
      <c r="AF15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1" s="103">
        <f>IF(Tabla1[[#This Row],[TIPO DE CONSUMIDOR]]="MEDIO",IF(Tabla1[[#This Row],[MARZO]]&gt;22.5,Tabla1[[#This Row],[MARZO]]/22.5-1,0),IF(Tabla1[[#This Row],[MARZO]]&gt;45,Tabla1[[#This Row],[MARZO]]/45-1,0))</f>
        <v>0</v>
      </c>
      <c r="AH151" s="103">
        <f>IF(Tabla1[[#This Row],[TIPO DE CONSUMIDOR]]="MEDIO",IF(Tabla1[[#This Row],[ABRIL]]&gt;22.5,Tabla1[[#This Row],[ABRIL]]/22.5-1,0),IF(Tabla1[[#This Row],[ABRIL]]&gt;45,Tabla1[[#This Row],[ABRIL]]/45-1,0))</f>
        <v>0</v>
      </c>
      <c r="AI151" s="103">
        <f>IF(Tabla1[[#This Row],[TIPO DE CONSUMIDOR]]="MEDIO",IF(Tabla1[[#This Row],[MAYO ]]&gt;22.5,Tabla1[[#This Row],[MAYO ]]/22.5-1,0),IF(Tabla1[[#This Row],[MAYO ]]&gt;45,Tabla1[[#This Row],[MAYO ]]/45-1,0))</f>
        <v>0</v>
      </c>
      <c r="AJ151" s="103">
        <f>IF(Tabla1[[#This Row],[TIPO DE CONSUMIDOR]]="MEDIO",IF(Tabla1[[#This Row],[JUNIO ]]&gt;22.5,Tabla1[[#This Row],[JUNIO ]]/22.5-1,0),IF(Tabla1[[#This Row],[JUNIO ]]&gt;45,Tabla1[[#This Row],[JUNIO ]]/45-1,0))</f>
        <v>0</v>
      </c>
      <c r="AK151" s="103">
        <f>IF(Tabla1[[#This Row],[TIPO DE CONSUMIDOR]]="MEDIO",IF(Tabla1[[#This Row],[JULIO ]]&gt;22.5,Tabla1[[#This Row],[JULIO ]]/22.5-1,0),IF(Tabla1[[#This Row],[JULIO ]]&gt;45,Tabla1[[#This Row],[JULIO ]]/45-1,0))</f>
        <v>0</v>
      </c>
      <c r="AL151" s="103">
        <f>IF(Tabla1[[#This Row],[TIPO DE CONSUMIDOR]]="MEDIO",IF(Tabla1[[#This Row],[AGOSTO]]&gt;22.5,Tabla1[[#This Row],[AGOSTO]]/22.5-1,0),IF(Tabla1[[#This Row],[AGOSTO]]&gt;45,Tabla1[[#This Row],[AGOSTO]]/45-1,0))</f>
        <v>0</v>
      </c>
      <c r="AM15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1" s="104">
        <f t="shared" si="6"/>
        <v>0</v>
      </c>
      <c r="AR151" s="9">
        <f t="shared" si="5"/>
        <v>0</v>
      </c>
      <c r="AS151" s="60">
        <f>IF(Tabla1[[#This Row],[MESES DE ADEUDO DEL AÑO EN CURSO ]]&gt;0,1,0)</f>
        <v>0</v>
      </c>
      <c r="AT151" s="42"/>
      <c r="AU151" s="42"/>
      <c r="AV151" s="42"/>
      <c r="AW151" s="43"/>
    </row>
    <row r="152" spans="1:49" ht="21.75" thickBot="1" x14ac:dyDescent="0.35">
      <c r="A152" s="109">
        <v>146</v>
      </c>
      <c r="B152" s="5" t="s">
        <v>609</v>
      </c>
      <c r="C152" s="2" t="s">
        <v>530</v>
      </c>
      <c r="D152" s="32"/>
      <c r="E152" s="35" t="s">
        <v>455</v>
      </c>
      <c r="F152" s="34">
        <v>45</v>
      </c>
      <c r="G152" s="34">
        <v>45</v>
      </c>
      <c r="H152" s="34">
        <v>45</v>
      </c>
      <c r="I152" s="34">
        <v>45</v>
      </c>
      <c r="J152" s="34">
        <v>45</v>
      </c>
      <c r="K152" s="34">
        <v>45</v>
      </c>
      <c r="L152" s="34">
        <v>45</v>
      </c>
      <c r="M152" s="34">
        <v>45</v>
      </c>
      <c r="N152" s="34">
        <v>45</v>
      </c>
      <c r="O152" s="34">
        <v>45</v>
      </c>
      <c r="P152" s="34">
        <v>45</v>
      </c>
      <c r="Q152" s="34">
        <v>45</v>
      </c>
      <c r="R152" s="24">
        <f>SUM(Tabla1[[#This Row],[ENERO ]:[DICIEMBRE]])</f>
        <v>540</v>
      </c>
      <c r="W152" s="65">
        <v>0</v>
      </c>
      <c r="X152" s="21">
        <f>COUNTIF(Tabla1[[#This Row],[ENERO ]:[DICIEMBRE]],0)-(AQ152)-IF(Tabla1[[#This Row],[BAJAS]]="BAJA",IF(Tabla1[[#This Row],[ALTAS]]="ALTA",VLOOKUP(Tabla1[[#This Row],[MES DE ALTA ]],$AT$6:$AU$17,2,FALSE),12)-VLOOKUP(Tabla1[[#This Row],[MES DE BAJA ]],$AT$6:$AU$17,2,FALSE),0)</f>
        <v>0</v>
      </c>
      <c r="Y152" s="69">
        <f>SUM(Tabla1[[#This Row],[MES ADEUDO DE AÑOS PASADOS ]:[MESES DE ADEUDO DEL AÑO EN CURSO ]])</f>
        <v>0</v>
      </c>
      <c r="Z152" s="15">
        <f>IF(Tabla1[[#This Row],[TIPO DE CONSUMIDOR]]="COMPLETO",W152*$T$2,W152*($T$2/2))</f>
        <v>0</v>
      </c>
      <c r="AA152" s="15">
        <f>IF(Tabla1[[#This Row],[TIPO DE CONSUMIDOR]]="COMPLETO",Tabla1[[#This Row],[MESES DE ADEUDO DEL AÑO EN CURSO ]]*$T$2,Tabla1[[#This Row],[MESES DE ADEUDO DEL AÑO EN CURSO ]]*($T$2/2))</f>
        <v>0</v>
      </c>
      <c r="AB152" s="70">
        <f>SUM(Tabla1[[#This Row],[DEUDA DE LOS MESES PASADOS EN $$]:[DEUDA DEL AÑO 2013 $$ ]])</f>
        <v>0</v>
      </c>
      <c r="AE152" s="103">
        <f>IF(Tabla1[[#This Row],[TIPO DE CONSUMIDOR]]="MEDIO",IF(Tabla1[[#This Row],[ENERO ]]&gt;22.5,Tabla1[[#This Row],[ENERO ]]/22.5-1,0),IF(Tabla1[[#This Row],[ENERO ]]&gt;45,Tabla1[[#This Row],[ENERO ]]/45-1,0))</f>
        <v>0</v>
      </c>
      <c r="AF15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2" s="103">
        <f>IF(Tabla1[[#This Row],[TIPO DE CONSUMIDOR]]="MEDIO",IF(Tabla1[[#This Row],[MARZO]]&gt;22.5,Tabla1[[#This Row],[MARZO]]/22.5-1,0),IF(Tabla1[[#This Row],[MARZO]]&gt;45,Tabla1[[#This Row],[MARZO]]/45-1,0))</f>
        <v>0</v>
      </c>
      <c r="AH152" s="103">
        <f>IF(Tabla1[[#This Row],[TIPO DE CONSUMIDOR]]="MEDIO",IF(Tabla1[[#This Row],[ABRIL]]&gt;22.5,Tabla1[[#This Row],[ABRIL]]/22.5-1,0),IF(Tabla1[[#This Row],[ABRIL]]&gt;45,Tabla1[[#This Row],[ABRIL]]/45-1,0))</f>
        <v>0</v>
      </c>
      <c r="AI152" s="103">
        <f>IF(Tabla1[[#This Row],[TIPO DE CONSUMIDOR]]="MEDIO",IF(Tabla1[[#This Row],[MAYO ]]&gt;22.5,Tabla1[[#This Row],[MAYO ]]/22.5-1,0),IF(Tabla1[[#This Row],[MAYO ]]&gt;45,Tabla1[[#This Row],[MAYO ]]/45-1,0))</f>
        <v>0</v>
      </c>
      <c r="AJ152" s="103">
        <f>IF(Tabla1[[#This Row],[TIPO DE CONSUMIDOR]]="MEDIO",IF(Tabla1[[#This Row],[JUNIO ]]&gt;22.5,Tabla1[[#This Row],[JUNIO ]]/22.5-1,0),IF(Tabla1[[#This Row],[JUNIO ]]&gt;45,Tabla1[[#This Row],[JUNIO ]]/45-1,0))</f>
        <v>0</v>
      </c>
      <c r="AK152" s="103">
        <f>IF(Tabla1[[#This Row],[TIPO DE CONSUMIDOR]]="MEDIO",IF(Tabla1[[#This Row],[JULIO ]]&gt;22.5,Tabla1[[#This Row],[JULIO ]]/22.5-1,0),IF(Tabla1[[#This Row],[JULIO ]]&gt;45,Tabla1[[#This Row],[JULIO ]]/45-1,0))</f>
        <v>0</v>
      </c>
      <c r="AL152" s="103">
        <f>IF(Tabla1[[#This Row],[TIPO DE CONSUMIDOR]]="MEDIO",IF(Tabla1[[#This Row],[AGOSTO]]&gt;22.5,Tabla1[[#This Row],[AGOSTO]]/22.5-1,0),IF(Tabla1[[#This Row],[AGOSTO]]&gt;45,Tabla1[[#This Row],[AGOSTO]]/45-1,0))</f>
        <v>0</v>
      </c>
      <c r="AM15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2" s="104">
        <f t="shared" si="6"/>
        <v>0</v>
      </c>
      <c r="AR152" s="9">
        <f t="shared" si="5"/>
        <v>0</v>
      </c>
      <c r="AS152" s="60">
        <f>IF(Tabla1[[#This Row],[MESES DE ADEUDO DEL AÑO EN CURSO ]]&gt;0,1,0)</f>
        <v>0</v>
      </c>
      <c r="AT152" s="42"/>
      <c r="AU152" s="42"/>
      <c r="AV152" s="42"/>
      <c r="AW152" s="43"/>
    </row>
    <row r="153" spans="1:49" ht="21.75" thickBot="1" x14ac:dyDescent="0.35">
      <c r="A153" s="109">
        <v>147</v>
      </c>
      <c r="B153" s="5" t="s">
        <v>283</v>
      </c>
      <c r="C153" s="2" t="s">
        <v>530</v>
      </c>
      <c r="D153" s="32"/>
      <c r="E153" s="35" t="s">
        <v>455</v>
      </c>
      <c r="F153" s="34">
        <v>45</v>
      </c>
      <c r="G153" s="34">
        <v>45</v>
      </c>
      <c r="H153" s="34">
        <v>45</v>
      </c>
      <c r="I153" s="34">
        <v>45</v>
      </c>
      <c r="J153" s="34">
        <v>45</v>
      </c>
      <c r="K153" s="34">
        <v>45</v>
      </c>
      <c r="L153" s="34">
        <v>45</v>
      </c>
      <c r="M153" s="34">
        <v>45</v>
      </c>
      <c r="N153" s="34">
        <v>45</v>
      </c>
      <c r="O153" s="34">
        <v>45</v>
      </c>
      <c r="P153" s="34">
        <v>45</v>
      </c>
      <c r="Q153" s="34">
        <v>45</v>
      </c>
      <c r="R153" s="24">
        <f>SUM(Tabla1[[#This Row],[ENERO ]:[DICIEMBRE]])</f>
        <v>540</v>
      </c>
      <c r="W153" s="65">
        <v>0</v>
      </c>
      <c r="X153" s="21">
        <f>COUNTIF(Tabla1[[#This Row],[ENERO ]:[DICIEMBRE]],0)-(AQ153)-IF(Tabla1[[#This Row],[BAJAS]]="BAJA",IF(Tabla1[[#This Row],[ALTAS]]="ALTA",VLOOKUP(Tabla1[[#This Row],[MES DE ALTA ]],$AT$6:$AU$17,2,FALSE),12)-VLOOKUP(Tabla1[[#This Row],[MES DE BAJA ]],$AT$6:$AU$17,2,FALSE),0)</f>
        <v>0</v>
      </c>
      <c r="Y153" s="69">
        <f>SUM(Tabla1[[#This Row],[MES ADEUDO DE AÑOS PASADOS ]:[MESES DE ADEUDO DEL AÑO EN CURSO ]])</f>
        <v>0</v>
      </c>
      <c r="Z153" s="15">
        <f>IF(Tabla1[[#This Row],[TIPO DE CONSUMIDOR]]="COMPLETO",W153*$T$2,W153*($T$2/2))</f>
        <v>0</v>
      </c>
      <c r="AA153" s="15">
        <f>IF(Tabla1[[#This Row],[TIPO DE CONSUMIDOR]]="COMPLETO",Tabla1[[#This Row],[MESES DE ADEUDO DEL AÑO EN CURSO ]]*$T$2,Tabla1[[#This Row],[MESES DE ADEUDO DEL AÑO EN CURSO ]]*($T$2/2))</f>
        <v>0</v>
      </c>
      <c r="AB153" s="70">
        <f>SUM(Tabla1[[#This Row],[DEUDA DE LOS MESES PASADOS EN $$]:[DEUDA DEL AÑO 2013 $$ ]])</f>
        <v>0</v>
      </c>
      <c r="AE153" s="103">
        <f>IF(Tabla1[[#This Row],[TIPO DE CONSUMIDOR]]="MEDIO",IF(Tabla1[[#This Row],[ENERO ]]&gt;22.5,Tabla1[[#This Row],[ENERO ]]/22.5-1,0),IF(Tabla1[[#This Row],[ENERO ]]&gt;45,Tabla1[[#This Row],[ENERO ]]/45-1,0))</f>
        <v>0</v>
      </c>
      <c r="AF15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3" s="103">
        <f>IF(Tabla1[[#This Row],[TIPO DE CONSUMIDOR]]="MEDIO",IF(Tabla1[[#This Row],[MARZO]]&gt;22.5,Tabla1[[#This Row],[MARZO]]/22.5-1,0),IF(Tabla1[[#This Row],[MARZO]]&gt;45,Tabla1[[#This Row],[MARZO]]/45-1,0))</f>
        <v>0</v>
      </c>
      <c r="AH153" s="103">
        <f>IF(Tabla1[[#This Row],[TIPO DE CONSUMIDOR]]="MEDIO",IF(Tabla1[[#This Row],[ABRIL]]&gt;22.5,Tabla1[[#This Row],[ABRIL]]/22.5-1,0),IF(Tabla1[[#This Row],[ABRIL]]&gt;45,Tabla1[[#This Row],[ABRIL]]/45-1,0))</f>
        <v>0</v>
      </c>
      <c r="AI153" s="103">
        <f>IF(Tabla1[[#This Row],[TIPO DE CONSUMIDOR]]="MEDIO",IF(Tabla1[[#This Row],[MAYO ]]&gt;22.5,Tabla1[[#This Row],[MAYO ]]/22.5-1,0),IF(Tabla1[[#This Row],[MAYO ]]&gt;45,Tabla1[[#This Row],[MAYO ]]/45-1,0))</f>
        <v>0</v>
      </c>
      <c r="AJ153" s="103">
        <f>IF(Tabla1[[#This Row],[TIPO DE CONSUMIDOR]]="MEDIO",IF(Tabla1[[#This Row],[JUNIO ]]&gt;22.5,Tabla1[[#This Row],[JUNIO ]]/22.5-1,0),IF(Tabla1[[#This Row],[JUNIO ]]&gt;45,Tabla1[[#This Row],[JUNIO ]]/45-1,0))</f>
        <v>0</v>
      </c>
      <c r="AK153" s="103">
        <f>IF(Tabla1[[#This Row],[TIPO DE CONSUMIDOR]]="MEDIO",IF(Tabla1[[#This Row],[JULIO ]]&gt;22.5,Tabla1[[#This Row],[JULIO ]]/22.5-1,0),IF(Tabla1[[#This Row],[JULIO ]]&gt;45,Tabla1[[#This Row],[JULIO ]]/45-1,0))</f>
        <v>0</v>
      </c>
      <c r="AL153" s="103">
        <f>IF(Tabla1[[#This Row],[TIPO DE CONSUMIDOR]]="MEDIO",IF(Tabla1[[#This Row],[AGOSTO]]&gt;22.5,Tabla1[[#This Row],[AGOSTO]]/22.5-1,0),IF(Tabla1[[#This Row],[AGOSTO]]&gt;45,Tabla1[[#This Row],[AGOSTO]]/45-1,0))</f>
        <v>0</v>
      </c>
      <c r="AM15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3" s="104">
        <f t="shared" si="6"/>
        <v>0</v>
      </c>
      <c r="AR153" s="9">
        <f t="shared" si="5"/>
        <v>0</v>
      </c>
      <c r="AS153" s="60">
        <f>IF(Tabla1[[#This Row],[MESES DE ADEUDO DEL AÑO EN CURSO ]]&gt;0,1,0)</f>
        <v>0</v>
      </c>
      <c r="AT153" s="42"/>
      <c r="AU153" s="42"/>
      <c r="AV153" s="42"/>
      <c r="AW153" s="43"/>
    </row>
    <row r="154" spans="1:49" ht="21.75" thickBot="1" x14ac:dyDescent="0.35">
      <c r="A154" s="109">
        <v>148</v>
      </c>
      <c r="B154" s="5" t="s">
        <v>611</v>
      </c>
      <c r="C154" s="2" t="s">
        <v>530</v>
      </c>
      <c r="D154" s="32"/>
      <c r="E154" s="35" t="s">
        <v>455</v>
      </c>
      <c r="F154" s="34">
        <v>45</v>
      </c>
      <c r="G154" s="34">
        <v>45</v>
      </c>
      <c r="H154" s="34">
        <v>45</v>
      </c>
      <c r="I154" s="34">
        <v>45</v>
      </c>
      <c r="J154" s="34">
        <v>45</v>
      </c>
      <c r="K154" s="34">
        <v>45</v>
      </c>
      <c r="L154" s="34">
        <v>45</v>
      </c>
      <c r="M154" s="34">
        <v>45</v>
      </c>
      <c r="N154" s="34">
        <v>45</v>
      </c>
      <c r="O154" s="34">
        <v>45</v>
      </c>
      <c r="P154" s="34">
        <v>45</v>
      </c>
      <c r="Q154" s="34">
        <v>45</v>
      </c>
      <c r="R154" s="24">
        <f>SUM(Tabla1[[#This Row],[ENERO ]:[DICIEMBRE]])</f>
        <v>540</v>
      </c>
      <c r="W154" s="65">
        <v>0</v>
      </c>
      <c r="X154" s="21">
        <f>COUNTIF(Tabla1[[#This Row],[ENERO ]:[DICIEMBRE]],0)-(AQ154)-IF(Tabla1[[#This Row],[BAJAS]]="BAJA",IF(Tabla1[[#This Row],[ALTAS]]="ALTA",VLOOKUP(Tabla1[[#This Row],[MES DE ALTA ]],$AT$6:$AU$17,2,FALSE),12)-VLOOKUP(Tabla1[[#This Row],[MES DE BAJA ]],$AT$6:$AU$17,2,FALSE),0)</f>
        <v>0</v>
      </c>
      <c r="Y154" s="69">
        <f>SUM(Tabla1[[#This Row],[MES ADEUDO DE AÑOS PASADOS ]:[MESES DE ADEUDO DEL AÑO EN CURSO ]])</f>
        <v>0</v>
      </c>
      <c r="Z154" s="15">
        <f>IF(Tabla1[[#This Row],[TIPO DE CONSUMIDOR]]="COMPLETO",W154*$T$2,W154*($T$2/2))</f>
        <v>0</v>
      </c>
      <c r="AA154" s="15">
        <f>IF(Tabla1[[#This Row],[TIPO DE CONSUMIDOR]]="COMPLETO",Tabla1[[#This Row],[MESES DE ADEUDO DEL AÑO EN CURSO ]]*$T$2,Tabla1[[#This Row],[MESES DE ADEUDO DEL AÑO EN CURSO ]]*($T$2/2))</f>
        <v>0</v>
      </c>
      <c r="AB154" s="70">
        <f>SUM(Tabla1[[#This Row],[DEUDA DE LOS MESES PASADOS EN $$]:[DEUDA DEL AÑO 2013 $$ ]])</f>
        <v>0</v>
      </c>
      <c r="AE154" s="103">
        <f>IF(Tabla1[[#This Row],[TIPO DE CONSUMIDOR]]="MEDIO",IF(Tabla1[[#This Row],[ENERO ]]&gt;22.5,Tabla1[[#This Row],[ENERO ]]/22.5-1,0),IF(Tabla1[[#This Row],[ENERO ]]&gt;45,Tabla1[[#This Row],[ENERO ]]/45-1,0))</f>
        <v>0</v>
      </c>
      <c r="AF15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4" s="103">
        <f>IF(Tabla1[[#This Row],[TIPO DE CONSUMIDOR]]="MEDIO",IF(Tabla1[[#This Row],[MARZO]]&gt;22.5,Tabla1[[#This Row],[MARZO]]/22.5-1,0),IF(Tabla1[[#This Row],[MARZO]]&gt;45,Tabla1[[#This Row],[MARZO]]/45-1,0))</f>
        <v>0</v>
      </c>
      <c r="AH154" s="103">
        <f>IF(Tabla1[[#This Row],[TIPO DE CONSUMIDOR]]="MEDIO",IF(Tabla1[[#This Row],[ABRIL]]&gt;22.5,Tabla1[[#This Row],[ABRIL]]/22.5-1,0),IF(Tabla1[[#This Row],[ABRIL]]&gt;45,Tabla1[[#This Row],[ABRIL]]/45-1,0))</f>
        <v>0</v>
      </c>
      <c r="AI154" s="103">
        <f>IF(Tabla1[[#This Row],[TIPO DE CONSUMIDOR]]="MEDIO",IF(Tabla1[[#This Row],[MAYO ]]&gt;22.5,Tabla1[[#This Row],[MAYO ]]/22.5-1,0),IF(Tabla1[[#This Row],[MAYO ]]&gt;45,Tabla1[[#This Row],[MAYO ]]/45-1,0))</f>
        <v>0</v>
      </c>
      <c r="AJ154" s="103">
        <f>IF(Tabla1[[#This Row],[TIPO DE CONSUMIDOR]]="MEDIO",IF(Tabla1[[#This Row],[JUNIO ]]&gt;22.5,Tabla1[[#This Row],[JUNIO ]]/22.5-1,0),IF(Tabla1[[#This Row],[JUNIO ]]&gt;45,Tabla1[[#This Row],[JUNIO ]]/45-1,0))</f>
        <v>0</v>
      </c>
      <c r="AK154" s="103">
        <f>IF(Tabla1[[#This Row],[TIPO DE CONSUMIDOR]]="MEDIO",IF(Tabla1[[#This Row],[JULIO ]]&gt;22.5,Tabla1[[#This Row],[JULIO ]]/22.5-1,0),IF(Tabla1[[#This Row],[JULIO ]]&gt;45,Tabla1[[#This Row],[JULIO ]]/45-1,0))</f>
        <v>0</v>
      </c>
      <c r="AL154" s="103">
        <f>IF(Tabla1[[#This Row],[TIPO DE CONSUMIDOR]]="MEDIO",IF(Tabla1[[#This Row],[AGOSTO]]&gt;22.5,Tabla1[[#This Row],[AGOSTO]]/22.5-1,0),IF(Tabla1[[#This Row],[AGOSTO]]&gt;45,Tabla1[[#This Row],[AGOSTO]]/45-1,0))</f>
        <v>0</v>
      </c>
      <c r="AM15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4" s="104">
        <f t="shared" si="6"/>
        <v>0</v>
      </c>
      <c r="AR154" s="9">
        <f t="shared" si="5"/>
        <v>0</v>
      </c>
      <c r="AS154" s="60">
        <f>IF(Tabla1[[#This Row],[MESES DE ADEUDO DEL AÑO EN CURSO ]]&gt;0,1,0)</f>
        <v>0</v>
      </c>
      <c r="AT154" s="42"/>
      <c r="AU154" s="42"/>
      <c r="AV154" s="42"/>
      <c r="AW154" s="43"/>
    </row>
    <row r="155" spans="1:49" ht="21.75" thickBot="1" x14ac:dyDescent="0.35">
      <c r="A155" s="109">
        <v>149</v>
      </c>
      <c r="B155" s="5" t="s">
        <v>612</v>
      </c>
      <c r="C155" s="2" t="s">
        <v>530</v>
      </c>
      <c r="D155" s="32"/>
      <c r="E155" s="35" t="s">
        <v>489</v>
      </c>
      <c r="F155" s="34">
        <v>22.5</v>
      </c>
      <c r="G155" s="34">
        <v>22.5</v>
      </c>
      <c r="H155" s="34">
        <v>22.5</v>
      </c>
      <c r="I155" s="34">
        <v>22.5</v>
      </c>
      <c r="J155" s="34">
        <v>22.5</v>
      </c>
      <c r="K155" s="34">
        <v>22.5</v>
      </c>
      <c r="L155" s="34">
        <v>22.5</v>
      </c>
      <c r="M155" s="34">
        <v>22.5</v>
      </c>
      <c r="N155" s="34">
        <v>22.5</v>
      </c>
      <c r="O155" s="34">
        <v>22.5</v>
      </c>
      <c r="P155" s="34">
        <v>22.5</v>
      </c>
      <c r="Q155" s="34">
        <v>22.5</v>
      </c>
      <c r="R155" s="24">
        <f>SUM(Tabla1[[#This Row],[ENERO ]:[DICIEMBRE]])</f>
        <v>270</v>
      </c>
      <c r="W155" s="65">
        <v>0</v>
      </c>
      <c r="X155" s="21">
        <f>COUNTIF(Tabla1[[#This Row],[ENERO ]:[DICIEMBRE]],0)-(AQ155)-IF(Tabla1[[#This Row],[BAJAS]]="BAJA",IF(Tabla1[[#This Row],[ALTAS]]="ALTA",VLOOKUP(Tabla1[[#This Row],[MES DE ALTA ]],$AT$6:$AU$17,2,FALSE),12)-VLOOKUP(Tabla1[[#This Row],[MES DE BAJA ]],$AT$6:$AU$17,2,FALSE),0)</f>
        <v>0</v>
      </c>
      <c r="Y155" s="69">
        <f>SUM(Tabla1[[#This Row],[MES ADEUDO DE AÑOS PASADOS ]:[MESES DE ADEUDO DEL AÑO EN CURSO ]])</f>
        <v>0</v>
      </c>
      <c r="Z155" s="15">
        <f>IF(Tabla1[[#This Row],[TIPO DE CONSUMIDOR]]="COMPLETO",W155*$T$2,W155*($T$2/2))</f>
        <v>0</v>
      </c>
      <c r="AA155" s="15">
        <f>IF(Tabla1[[#This Row],[TIPO DE CONSUMIDOR]]="COMPLETO",Tabla1[[#This Row],[MESES DE ADEUDO DEL AÑO EN CURSO ]]*$T$2,Tabla1[[#This Row],[MESES DE ADEUDO DEL AÑO EN CURSO ]]*($T$2/2))</f>
        <v>0</v>
      </c>
      <c r="AB155" s="70">
        <f>SUM(Tabla1[[#This Row],[DEUDA DE LOS MESES PASADOS EN $$]:[DEUDA DEL AÑO 2013 $$ ]])</f>
        <v>0</v>
      </c>
      <c r="AE155" s="103">
        <f>IF(Tabla1[[#This Row],[TIPO DE CONSUMIDOR]]="MEDIO",IF(Tabla1[[#This Row],[ENERO ]]&gt;22.5,Tabla1[[#This Row],[ENERO ]]/22.5-1,0),IF(Tabla1[[#This Row],[ENERO ]]&gt;45,Tabla1[[#This Row],[ENERO ]]/45-1,0))</f>
        <v>0</v>
      </c>
      <c r="AF15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5" s="103">
        <f>IF(Tabla1[[#This Row],[TIPO DE CONSUMIDOR]]="MEDIO",IF(Tabla1[[#This Row],[MARZO]]&gt;22.5,Tabla1[[#This Row],[MARZO]]/22.5-1,0),IF(Tabla1[[#This Row],[MARZO]]&gt;45,Tabla1[[#This Row],[MARZO]]/45-1,0))</f>
        <v>0</v>
      </c>
      <c r="AH155" s="103">
        <f>IF(Tabla1[[#This Row],[TIPO DE CONSUMIDOR]]="MEDIO",IF(Tabla1[[#This Row],[ABRIL]]&gt;22.5,Tabla1[[#This Row],[ABRIL]]/22.5-1,0),IF(Tabla1[[#This Row],[ABRIL]]&gt;45,Tabla1[[#This Row],[ABRIL]]/45-1,0))</f>
        <v>0</v>
      </c>
      <c r="AI155" s="103">
        <f>IF(Tabla1[[#This Row],[TIPO DE CONSUMIDOR]]="MEDIO",IF(Tabla1[[#This Row],[MAYO ]]&gt;22.5,Tabla1[[#This Row],[MAYO ]]/22.5-1,0),IF(Tabla1[[#This Row],[MAYO ]]&gt;45,Tabla1[[#This Row],[MAYO ]]/45-1,0))</f>
        <v>0</v>
      </c>
      <c r="AJ155" s="103">
        <f>IF(Tabla1[[#This Row],[TIPO DE CONSUMIDOR]]="MEDIO",IF(Tabla1[[#This Row],[JUNIO ]]&gt;22.5,Tabla1[[#This Row],[JUNIO ]]/22.5-1,0),IF(Tabla1[[#This Row],[JUNIO ]]&gt;45,Tabla1[[#This Row],[JUNIO ]]/45-1,0))</f>
        <v>0</v>
      </c>
      <c r="AK155" s="103">
        <f>IF(Tabla1[[#This Row],[TIPO DE CONSUMIDOR]]="MEDIO",IF(Tabla1[[#This Row],[JULIO ]]&gt;22.5,Tabla1[[#This Row],[JULIO ]]/22.5-1,0),IF(Tabla1[[#This Row],[JULIO ]]&gt;45,Tabla1[[#This Row],[JULIO ]]/45-1,0))</f>
        <v>0</v>
      </c>
      <c r="AL155" s="103">
        <f>IF(Tabla1[[#This Row],[TIPO DE CONSUMIDOR]]="MEDIO",IF(Tabla1[[#This Row],[AGOSTO]]&gt;22.5,Tabla1[[#This Row],[AGOSTO]]/22.5-1,0),IF(Tabla1[[#This Row],[AGOSTO]]&gt;45,Tabla1[[#This Row],[AGOSTO]]/45-1,0))</f>
        <v>0</v>
      </c>
      <c r="AM15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5" s="104">
        <f t="shared" si="6"/>
        <v>0</v>
      </c>
      <c r="AR155" s="9">
        <f t="shared" si="5"/>
        <v>0</v>
      </c>
      <c r="AS155" s="60">
        <f>IF(Tabla1[[#This Row],[MESES DE ADEUDO DEL AÑO EN CURSO ]]&gt;0,1,0)</f>
        <v>0</v>
      </c>
      <c r="AT155" s="42"/>
      <c r="AU155" s="42"/>
      <c r="AV155" s="42"/>
      <c r="AW155" s="43"/>
    </row>
    <row r="156" spans="1:49" ht="21.75" thickBot="1" x14ac:dyDescent="0.35">
      <c r="A156" s="109">
        <v>150</v>
      </c>
      <c r="B156" s="5" t="s">
        <v>299</v>
      </c>
      <c r="C156" s="2" t="s">
        <v>530</v>
      </c>
      <c r="D156" s="32"/>
      <c r="E156" s="35" t="s">
        <v>455</v>
      </c>
      <c r="F156" s="34">
        <v>45</v>
      </c>
      <c r="G156" s="34">
        <v>45</v>
      </c>
      <c r="H156" s="34">
        <v>45</v>
      </c>
      <c r="I156" s="34">
        <v>45</v>
      </c>
      <c r="J156" s="34">
        <v>45</v>
      </c>
      <c r="K156" s="34">
        <v>45</v>
      </c>
      <c r="L156" s="34">
        <v>45</v>
      </c>
      <c r="M156" s="34">
        <v>45</v>
      </c>
      <c r="N156" s="34">
        <v>45</v>
      </c>
      <c r="O156" s="34">
        <v>45</v>
      </c>
      <c r="P156" s="34">
        <v>45</v>
      </c>
      <c r="Q156" s="34">
        <v>45</v>
      </c>
      <c r="R156" s="24">
        <f>SUM(Tabla1[[#This Row],[ENERO ]:[DICIEMBRE]])</f>
        <v>540</v>
      </c>
      <c r="W156" s="65">
        <v>0</v>
      </c>
      <c r="X156" s="21">
        <f>COUNTIF(Tabla1[[#This Row],[ENERO ]:[DICIEMBRE]],0)-(AQ156)-IF(Tabla1[[#This Row],[BAJAS]]="BAJA",IF(Tabla1[[#This Row],[ALTAS]]="ALTA",VLOOKUP(Tabla1[[#This Row],[MES DE ALTA ]],$AT$6:$AU$17,2,FALSE),12)-VLOOKUP(Tabla1[[#This Row],[MES DE BAJA ]],$AT$6:$AU$17,2,FALSE),0)</f>
        <v>0</v>
      </c>
      <c r="Y156" s="69">
        <f>SUM(Tabla1[[#This Row],[MES ADEUDO DE AÑOS PASADOS ]:[MESES DE ADEUDO DEL AÑO EN CURSO ]])</f>
        <v>0</v>
      </c>
      <c r="Z156" s="15">
        <f>IF(Tabla1[[#This Row],[TIPO DE CONSUMIDOR]]="COMPLETO",W156*$T$2,W156*($T$2/2))</f>
        <v>0</v>
      </c>
      <c r="AA156" s="15">
        <f>IF(Tabla1[[#This Row],[TIPO DE CONSUMIDOR]]="COMPLETO",Tabla1[[#This Row],[MESES DE ADEUDO DEL AÑO EN CURSO ]]*$T$2,Tabla1[[#This Row],[MESES DE ADEUDO DEL AÑO EN CURSO ]]*($T$2/2))</f>
        <v>0</v>
      </c>
      <c r="AB156" s="70">
        <f>SUM(Tabla1[[#This Row],[DEUDA DE LOS MESES PASADOS EN $$]:[DEUDA DEL AÑO 2013 $$ ]])</f>
        <v>0</v>
      </c>
      <c r="AE156" s="103">
        <f>IF(Tabla1[[#This Row],[TIPO DE CONSUMIDOR]]="MEDIO",IF(Tabla1[[#This Row],[ENERO ]]&gt;22.5,Tabla1[[#This Row],[ENERO ]]/22.5-1,0),IF(Tabla1[[#This Row],[ENERO ]]&gt;45,Tabla1[[#This Row],[ENERO ]]/45-1,0))</f>
        <v>0</v>
      </c>
      <c r="AF15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6" s="103">
        <f>IF(Tabla1[[#This Row],[TIPO DE CONSUMIDOR]]="MEDIO",IF(Tabla1[[#This Row],[MARZO]]&gt;22.5,Tabla1[[#This Row],[MARZO]]/22.5-1,0),IF(Tabla1[[#This Row],[MARZO]]&gt;45,Tabla1[[#This Row],[MARZO]]/45-1,0))</f>
        <v>0</v>
      </c>
      <c r="AH156" s="103">
        <f>IF(Tabla1[[#This Row],[TIPO DE CONSUMIDOR]]="MEDIO",IF(Tabla1[[#This Row],[ABRIL]]&gt;22.5,Tabla1[[#This Row],[ABRIL]]/22.5-1,0),IF(Tabla1[[#This Row],[ABRIL]]&gt;45,Tabla1[[#This Row],[ABRIL]]/45-1,0))</f>
        <v>0</v>
      </c>
      <c r="AI156" s="103">
        <f>IF(Tabla1[[#This Row],[TIPO DE CONSUMIDOR]]="MEDIO",IF(Tabla1[[#This Row],[MAYO ]]&gt;22.5,Tabla1[[#This Row],[MAYO ]]/22.5-1,0),IF(Tabla1[[#This Row],[MAYO ]]&gt;45,Tabla1[[#This Row],[MAYO ]]/45-1,0))</f>
        <v>0</v>
      </c>
      <c r="AJ156" s="103">
        <f>IF(Tabla1[[#This Row],[TIPO DE CONSUMIDOR]]="MEDIO",IF(Tabla1[[#This Row],[JUNIO ]]&gt;22.5,Tabla1[[#This Row],[JUNIO ]]/22.5-1,0),IF(Tabla1[[#This Row],[JUNIO ]]&gt;45,Tabla1[[#This Row],[JUNIO ]]/45-1,0))</f>
        <v>0</v>
      </c>
      <c r="AK156" s="103">
        <f>IF(Tabla1[[#This Row],[TIPO DE CONSUMIDOR]]="MEDIO",IF(Tabla1[[#This Row],[JULIO ]]&gt;22.5,Tabla1[[#This Row],[JULIO ]]/22.5-1,0),IF(Tabla1[[#This Row],[JULIO ]]&gt;45,Tabla1[[#This Row],[JULIO ]]/45-1,0))</f>
        <v>0</v>
      </c>
      <c r="AL156" s="103">
        <f>IF(Tabla1[[#This Row],[TIPO DE CONSUMIDOR]]="MEDIO",IF(Tabla1[[#This Row],[AGOSTO]]&gt;22.5,Tabla1[[#This Row],[AGOSTO]]/22.5-1,0),IF(Tabla1[[#This Row],[AGOSTO]]&gt;45,Tabla1[[#This Row],[AGOSTO]]/45-1,0))</f>
        <v>0</v>
      </c>
      <c r="AM15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6" s="104">
        <f t="shared" si="6"/>
        <v>0</v>
      </c>
      <c r="AR156" s="9">
        <f t="shared" si="5"/>
        <v>0</v>
      </c>
      <c r="AS156" s="60">
        <f>IF(Tabla1[[#This Row],[MESES DE ADEUDO DEL AÑO EN CURSO ]]&gt;0,1,0)</f>
        <v>0</v>
      </c>
      <c r="AT156" s="42"/>
      <c r="AU156" s="42"/>
      <c r="AV156" s="42"/>
      <c r="AW156" s="43"/>
    </row>
    <row r="157" spans="1:49" ht="21.75" thickBot="1" x14ac:dyDescent="0.35">
      <c r="A157" s="109">
        <v>151</v>
      </c>
      <c r="B157" s="5" t="s">
        <v>539</v>
      </c>
      <c r="C157" s="2" t="s">
        <v>530</v>
      </c>
      <c r="D157" s="32"/>
      <c r="E157" s="35" t="s">
        <v>455</v>
      </c>
      <c r="F157" s="34">
        <v>45</v>
      </c>
      <c r="G157" s="34">
        <v>45</v>
      </c>
      <c r="H157" s="34">
        <v>45</v>
      </c>
      <c r="I157" s="34">
        <v>45</v>
      </c>
      <c r="J157" s="34">
        <v>45</v>
      </c>
      <c r="K157" s="34">
        <v>45</v>
      </c>
      <c r="L157" s="34">
        <v>45</v>
      </c>
      <c r="M157" s="34">
        <v>45</v>
      </c>
      <c r="N157" s="34">
        <v>45</v>
      </c>
      <c r="O157" s="34">
        <v>45</v>
      </c>
      <c r="P157" s="34">
        <v>45</v>
      </c>
      <c r="Q157" s="34">
        <v>45</v>
      </c>
      <c r="R157" s="24">
        <f>SUM(Tabla1[[#This Row],[ENERO ]:[DICIEMBRE]])</f>
        <v>540</v>
      </c>
      <c r="W157" s="65">
        <v>0</v>
      </c>
      <c r="X157" s="21">
        <f>COUNTIF(Tabla1[[#This Row],[ENERO ]:[DICIEMBRE]],0)-(AQ157)-IF(Tabla1[[#This Row],[BAJAS]]="BAJA",IF(Tabla1[[#This Row],[ALTAS]]="ALTA",VLOOKUP(Tabla1[[#This Row],[MES DE ALTA ]],$AT$6:$AU$17,2,FALSE),12)-VLOOKUP(Tabla1[[#This Row],[MES DE BAJA ]],$AT$6:$AU$17,2,FALSE),0)</f>
        <v>0</v>
      </c>
      <c r="Y157" s="69">
        <f>SUM(Tabla1[[#This Row],[MES ADEUDO DE AÑOS PASADOS ]:[MESES DE ADEUDO DEL AÑO EN CURSO ]])</f>
        <v>0</v>
      </c>
      <c r="Z157" s="15">
        <f>IF(Tabla1[[#This Row],[TIPO DE CONSUMIDOR]]="COMPLETO",W157*$T$2,W157*($T$2/2))</f>
        <v>0</v>
      </c>
      <c r="AA157" s="15">
        <f>IF(Tabla1[[#This Row],[TIPO DE CONSUMIDOR]]="COMPLETO",Tabla1[[#This Row],[MESES DE ADEUDO DEL AÑO EN CURSO ]]*$T$2,Tabla1[[#This Row],[MESES DE ADEUDO DEL AÑO EN CURSO ]]*($T$2/2))</f>
        <v>0</v>
      </c>
      <c r="AB157" s="70">
        <f>SUM(Tabla1[[#This Row],[DEUDA DE LOS MESES PASADOS EN $$]:[DEUDA DEL AÑO 2013 $$ ]])</f>
        <v>0</v>
      </c>
      <c r="AE157" s="103">
        <f>IF(Tabla1[[#This Row],[TIPO DE CONSUMIDOR]]="MEDIO",IF(Tabla1[[#This Row],[ENERO ]]&gt;22.5,Tabla1[[#This Row],[ENERO ]]/22.5-1,0),IF(Tabla1[[#This Row],[ENERO ]]&gt;45,Tabla1[[#This Row],[ENERO ]]/45-1,0))</f>
        <v>0</v>
      </c>
      <c r="AF15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7" s="103">
        <f>IF(Tabla1[[#This Row],[TIPO DE CONSUMIDOR]]="MEDIO",IF(Tabla1[[#This Row],[MARZO]]&gt;22.5,Tabla1[[#This Row],[MARZO]]/22.5-1,0),IF(Tabla1[[#This Row],[MARZO]]&gt;45,Tabla1[[#This Row],[MARZO]]/45-1,0))</f>
        <v>0</v>
      </c>
      <c r="AH157" s="103">
        <f>IF(Tabla1[[#This Row],[TIPO DE CONSUMIDOR]]="MEDIO",IF(Tabla1[[#This Row],[ABRIL]]&gt;22.5,Tabla1[[#This Row],[ABRIL]]/22.5-1,0),IF(Tabla1[[#This Row],[ABRIL]]&gt;45,Tabla1[[#This Row],[ABRIL]]/45-1,0))</f>
        <v>0</v>
      </c>
      <c r="AI157" s="103">
        <f>IF(Tabla1[[#This Row],[TIPO DE CONSUMIDOR]]="MEDIO",IF(Tabla1[[#This Row],[MAYO ]]&gt;22.5,Tabla1[[#This Row],[MAYO ]]/22.5-1,0),IF(Tabla1[[#This Row],[MAYO ]]&gt;45,Tabla1[[#This Row],[MAYO ]]/45-1,0))</f>
        <v>0</v>
      </c>
      <c r="AJ157" s="103">
        <f>IF(Tabla1[[#This Row],[TIPO DE CONSUMIDOR]]="MEDIO",IF(Tabla1[[#This Row],[JUNIO ]]&gt;22.5,Tabla1[[#This Row],[JUNIO ]]/22.5-1,0),IF(Tabla1[[#This Row],[JUNIO ]]&gt;45,Tabla1[[#This Row],[JUNIO ]]/45-1,0))</f>
        <v>0</v>
      </c>
      <c r="AK157" s="103">
        <f>IF(Tabla1[[#This Row],[TIPO DE CONSUMIDOR]]="MEDIO",IF(Tabla1[[#This Row],[JULIO ]]&gt;22.5,Tabla1[[#This Row],[JULIO ]]/22.5-1,0),IF(Tabla1[[#This Row],[JULIO ]]&gt;45,Tabla1[[#This Row],[JULIO ]]/45-1,0))</f>
        <v>0</v>
      </c>
      <c r="AL157" s="103">
        <f>IF(Tabla1[[#This Row],[TIPO DE CONSUMIDOR]]="MEDIO",IF(Tabla1[[#This Row],[AGOSTO]]&gt;22.5,Tabla1[[#This Row],[AGOSTO]]/22.5-1,0),IF(Tabla1[[#This Row],[AGOSTO]]&gt;45,Tabla1[[#This Row],[AGOSTO]]/45-1,0))</f>
        <v>0</v>
      </c>
      <c r="AM15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7" s="104">
        <f t="shared" si="6"/>
        <v>0</v>
      </c>
      <c r="AR157" s="9">
        <f t="shared" si="5"/>
        <v>0</v>
      </c>
      <c r="AS157" s="60">
        <f>IF(Tabla1[[#This Row],[MESES DE ADEUDO DEL AÑO EN CURSO ]]&gt;0,1,0)</f>
        <v>0</v>
      </c>
      <c r="AT157" s="42"/>
      <c r="AU157" s="42"/>
      <c r="AV157" s="42"/>
      <c r="AW157" s="43"/>
    </row>
    <row r="158" spans="1:49" ht="21.75" thickBot="1" x14ac:dyDescent="0.35">
      <c r="A158" s="109">
        <v>152</v>
      </c>
      <c r="B158" s="5" t="s">
        <v>292</v>
      </c>
      <c r="C158" s="2" t="s">
        <v>530</v>
      </c>
      <c r="D158" s="32"/>
      <c r="E158" s="35" t="s">
        <v>455</v>
      </c>
      <c r="F158" s="34">
        <v>45</v>
      </c>
      <c r="G158" s="34">
        <v>45</v>
      </c>
      <c r="H158" s="34">
        <v>45</v>
      </c>
      <c r="I158" s="34">
        <v>45</v>
      </c>
      <c r="J158" s="34">
        <v>45</v>
      </c>
      <c r="K158" s="34">
        <v>45</v>
      </c>
      <c r="L158" s="34">
        <v>45</v>
      </c>
      <c r="M158" s="34">
        <v>45</v>
      </c>
      <c r="N158" s="34">
        <v>45</v>
      </c>
      <c r="O158" s="34">
        <v>45</v>
      </c>
      <c r="P158" s="34">
        <v>45</v>
      </c>
      <c r="Q158" s="34">
        <v>45</v>
      </c>
      <c r="R158" s="24">
        <f>SUM(Tabla1[[#This Row],[ENERO ]:[DICIEMBRE]])</f>
        <v>540</v>
      </c>
      <c r="W158" s="65">
        <v>0</v>
      </c>
      <c r="X158" s="21">
        <f>COUNTIF(Tabla1[[#This Row],[ENERO ]:[DICIEMBRE]],0)-(AQ158)-IF(Tabla1[[#This Row],[BAJAS]]="BAJA",IF(Tabla1[[#This Row],[ALTAS]]="ALTA",VLOOKUP(Tabla1[[#This Row],[MES DE ALTA ]],$AT$6:$AU$17,2,FALSE),12)-VLOOKUP(Tabla1[[#This Row],[MES DE BAJA ]],$AT$6:$AU$17,2,FALSE),0)</f>
        <v>0</v>
      </c>
      <c r="Y158" s="69">
        <f>SUM(Tabla1[[#This Row],[MES ADEUDO DE AÑOS PASADOS ]:[MESES DE ADEUDO DEL AÑO EN CURSO ]])</f>
        <v>0</v>
      </c>
      <c r="Z158" s="15">
        <f>IF(Tabla1[[#This Row],[TIPO DE CONSUMIDOR]]="COMPLETO",W158*$T$2,W158*($T$2/2))</f>
        <v>0</v>
      </c>
      <c r="AA158" s="15">
        <f>IF(Tabla1[[#This Row],[TIPO DE CONSUMIDOR]]="COMPLETO",Tabla1[[#This Row],[MESES DE ADEUDO DEL AÑO EN CURSO ]]*$T$2,Tabla1[[#This Row],[MESES DE ADEUDO DEL AÑO EN CURSO ]]*($T$2/2))</f>
        <v>0</v>
      </c>
      <c r="AB158" s="70">
        <f>SUM(Tabla1[[#This Row],[DEUDA DE LOS MESES PASADOS EN $$]:[DEUDA DEL AÑO 2013 $$ ]])</f>
        <v>0</v>
      </c>
      <c r="AE158" s="103">
        <f>IF(Tabla1[[#This Row],[TIPO DE CONSUMIDOR]]="MEDIO",IF(Tabla1[[#This Row],[ENERO ]]&gt;22.5,Tabla1[[#This Row],[ENERO ]]/22.5-1,0),IF(Tabla1[[#This Row],[ENERO ]]&gt;45,Tabla1[[#This Row],[ENERO ]]/45-1,0))</f>
        <v>0</v>
      </c>
      <c r="AF15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8" s="103">
        <f>IF(Tabla1[[#This Row],[TIPO DE CONSUMIDOR]]="MEDIO",IF(Tabla1[[#This Row],[MARZO]]&gt;22.5,Tabla1[[#This Row],[MARZO]]/22.5-1,0),IF(Tabla1[[#This Row],[MARZO]]&gt;45,Tabla1[[#This Row],[MARZO]]/45-1,0))</f>
        <v>0</v>
      </c>
      <c r="AH158" s="103">
        <f>IF(Tabla1[[#This Row],[TIPO DE CONSUMIDOR]]="MEDIO",IF(Tabla1[[#This Row],[ABRIL]]&gt;22.5,Tabla1[[#This Row],[ABRIL]]/22.5-1,0),IF(Tabla1[[#This Row],[ABRIL]]&gt;45,Tabla1[[#This Row],[ABRIL]]/45-1,0))</f>
        <v>0</v>
      </c>
      <c r="AI158" s="103">
        <f>IF(Tabla1[[#This Row],[TIPO DE CONSUMIDOR]]="MEDIO",IF(Tabla1[[#This Row],[MAYO ]]&gt;22.5,Tabla1[[#This Row],[MAYO ]]/22.5-1,0),IF(Tabla1[[#This Row],[MAYO ]]&gt;45,Tabla1[[#This Row],[MAYO ]]/45-1,0))</f>
        <v>0</v>
      </c>
      <c r="AJ158" s="103">
        <f>IF(Tabla1[[#This Row],[TIPO DE CONSUMIDOR]]="MEDIO",IF(Tabla1[[#This Row],[JUNIO ]]&gt;22.5,Tabla1[[#This Row],[JUNIO ]]/22.5-1,0),IF(Tabla1[[#This Row],[JUNIO ]]&gt;45,Tabla1[[#This Row],[JUNIO ]]/45-1,0))</f>
        <v>0</v>
      </c>
      <c r="AK158" s="103">
        <f>IF(Tabla1[[#This Row],[TIPO DE CONSUMIDOR]]="MEDIO",IF(Tabla1[[#This Row],[JULIO ]]&gt;22.5,Tabla1[[#This Row],[JULIO ]]/22.5-1,0),IF(Tabla1[[#This Row],[JULIO ]]&gt;45,Tabla1[[#This Row],[JULIO ]]/45-1,0))</f>
        <v>0</v>
      </c>
      <c r="AL158" s="103">
        <f>IF(Tabla1[[#This Row],[TIPO DE CONSUMIDOR]]="MEDIO",IF(Tabla1[[#This Row],[AGOSTO]]&gt;22.5,Tabla1[[#This Row],[AGOSTO]]/22.5-1,0),IF(Tabla1[[#This Row],[AGOSTO]]&gt;45,Tabla1[[#This Row],[AGOSTO]]/45-1,0))</f>
        <v>0</v>
      </c>
      <c r="AM15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8" s="104">
        <f t="shared" si="6"/>
        <v>0</v>
      </c>
      <c r="AR158" s="9">
        <f t="shared" si="5"/>
        <v>0</v>
      </c>
      <c r="AS158" s="60">
        <f>IF(Tabla1[[#This Row],[MESES DE ADEUDO DEL AÑO EN CURSO ]]&gt;0,1,0)</f>
        <v>0</v>
      </c>
      <c r="AT158" s="42"/>
      <c r="AU158" s="42"/>
      <c r="AV158" s="42"/>
      <c r="AW158" s="43"/>
    </row>
    <row r="159" spans="1:49" ht="21.75" thickBot="1" x14ac:dyDescent="0.35">
      <c r="A159" s="109">
        <v>153</v>
      </c>
      <c r="B159" s="5" t="s">
        <v>289</v>
      </c>
      <c r="C159" s="2" t="s">
        <v>530</v>
      </c>
      <c r="D159" s="32"/>
      <c r="E159" s="35" t="s">
        <v>455</v>
      </c>
      <c r="F159" s="34">
        <v>45</v>
      </c>
      <c r="G159" s="56">
        <v>45</v>
      </c>
      <c r="H159" s="56">
        <v>45</v>
      </c>
      <c r="I159" s="56">
        <v>45</v>
      </c>
      <c r="J159" s="56">
        <v>45</v>
      </c>
      <c r="K159" s="56">
        <v>45</v>
      </c>
      <c r="L159" s="56">
        <v>45</v>
      </c>
      <c r="M159" s="56">
        <v>45</v>
      </c>
      <c r="N159" s="56">
        <v>45</v>
      </c>
      <c r="O159" s="56">
        <v>45</v>
      </c>
      <c r="P159" s="56">
        <v>45</v>
      </c>
      <c r="Q159" s="57">
        <v>45</v>
      </c>
      <c r="R159" s="24">
        <f>SUM(Tabla1[[#This Row],[ENERO ]:[DICIEMBRE]])</f>
        <v>540</v>
      </c>
      <c r="W159" s="65">
        <v>0</v>
      </c>
      <c r="X159" s="21">
        <f>COUNTIF(Tabla1[[#This Row],[ENERO ]:[DICIEMBRE]],0)-(AQ159)-IF(Tabla1[[#This Row],[BAJAS]]="BAJA",IF(Tabla1[[#This Row],[ALTAS]]="ALTA",VLOOKUP(Tabla1[[#This Row],[MES DE ALTA ]],$AT$6:$AU$17,2,FALSE),12)-VLOOKUP(Tabla1[[#This Row],[MES DE BAJA ]],$AT$6:$AU$17,2,FALSE),0)</f>
        <v>0</v>
      </c>
      <c r="Y159" s="69">
        <f>SUM(Tabla1[[#This Row],[MES ADEUDO DE AÑOS PASADOS ]:[MESES DE ADEUDO DEL AÑO EN CURSO ]])</f>
        <v>0</v>
      </c>
      <c r="Z159" s="15">
        <f>IF(Tabla1[[#This Row],[TIPO DE CONSUMIDOR]]="COMPLETO",W159*$T$2,W159*($T$2/2))</f>
        <v>0</v>
      </c>
      <c r="AA159" s="15">
        <f>IF(Tabla1[[#This Row],[TIPO DE CONSUMIDOR]]="COMPLETO",Tabla1[[#This Row],[MESES DE ADEUDO DEL AÑO EN CURSO ]]*$T$2,Tabla1[[#This Row],[MESES DE ADEUDO DEL AÑO EN CURSO ]]*($T$2/2))</f>
        <v>0</v>
      </c>
      <c r="AB159" s="70">
        <f>SUM(Tabla1[[#This Row],[DEUDA DE LOS MESES PASADOS EN $$]:[DEUDA DEL AÑO 2013 $$ ]])</f>
        <v>0</v>
      </c>
      <c r="AE159" s="103">
        <f>IF(Tabla1[[#This Row],[TIPO DE CONSUMIDOR]]="MEDIO",IF(Tabla1[[#This Row],[ENERO ]]&gt;22.5,Tabla1[[#This Row],[ENERO ]]/22.5-1,0),IF(Tabla1[[#This Row],[ENERO ]]&gt;45,Tabla1[[#This Row],[ENERO ]]/45-1,0))</f>
        <v>0</v>
      </c>
      <c r="AF15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59" s="103">
        <f>IF(Tabla1[[#This Row],[TIPO DE CONSUMIDOR]]="MEDIO",IF(Tabla1[[#This Row],[MARZO]]&gt;22.5,Tabla1[[#This Row],[MARZO]]/22.5-1,0),IF(Tabla1[[#This Row],[MARZO]]&gt;45,Tabla1[[#This Row],[MARZO]]/45-1,0))</f>
        <v>0</v>
      </c>
      <c r="AH159" s="103">
        <f>IF(Tabla1[[#This Row],[TIPO DE CONSUMIDOR]]="MEDIO",IF(Tabla1[[#This Row],[ABRIL]]&gt;22.5,Tabla1[[#This Row],[ABRIL]]/22.5-1,0),IF(Tabla1[[#This Row],[ABRIL]]&gt;45,Tabla1[[#This Row],[ABRIL]]/45-1,0))</f>
        <v>0</v>
      </c>
      <c r="AI159" s="103">
        <f>IF(Tabla1[[#This Row],[TIPO DE CONSUMIDOR]]="MEDIO",IF(Tabla1[[#This Row],[MAYO ]]&gt;22.5,Tabla1[[#This Row],[MAYO ]]/22.5-1,0),IF(Tabla1[[#This Row],[MAYO ]]&gt;45,Tabla1[[#This Row],[MAYO ]]/45-1,0))</f>
        <v>0</v>
      </c>
      <c r="AJ159" s="103">
        <f>IF(Tabla1[[#This Row],[TIPO DE CONSUMIDOR]]="MEDIO",IF(Tabla1[[#This Row],[JUNIO ]]&gt;22.5,Tabla1[[#This Row],[JUNIO ]]/22.5-1,0),IF(Tabla1[[#This Row],[JUNIO ]]&gt;45,Tabla1[[#This Row],[JUNIO ]]/45-1,0))</f>
        <v>0</v>
      </c>
      <c r="AK159" s="103">
        <f>IF(Tabla1[[#This Row],[TIPO DE CONSUMIDOR]]="MEDIO",IF(Tabla1[[#This Row],[JULIO ]]&gt;22.5,Tabla1[[#This Row],[JULIO ]]/22.5-1,0),IF(Tabla1[[#This Row],[JULIO ]]&gt;45,Tabla1[[#This Row],[JULIO ]]/45-1,0))</f>
        <v>0</v>
      </c>
      <c r="AL159" s="103">
        <f>IF(Tabla1[[#This Row],[TIPO DE CONSUMIDOR]]="MEDIO",IF(Tabla1[[#This Row],[AGOSTO]]&gt;22.5,Tabla1[[#This Row],[AGOSTO]]/22.5-1,0),IF(Tabla1[[#This Row],[AGOSTO]]&gt;45,Tabla1[[#This Row],[AGOSTO]]/45-1,0))</f>
        <v>0</v>
      </c>
      <c r="AM15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5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5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5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59" s="104">
        <f t="shared" si="6"/>
        <v>0</v>
      </c>
      <c r="AR159" s="9">
        <f t="shared" si="5"/>
        <v>0</v>
      </c>
      <c r="AS159" s="60">
        <f>IF(Tabla1[[#This Row],[MESES DE ADEUDO DEL AÑO EN CURSO ]]&gt;0,1,0)</f>
        <v>0</v>
      </c>
      <c r="AT159" s="42"/>
      <c r="AU159" s="42"/>
      <c r="AV159" s="42"/>
      <c r="AW159" s="43"/>
    </row>
    <row r="160" spans="1:49" ht="21.75" thickBot="1" x14ac:dyDescent="0.35">
      <c r="A160" s="109">
        <v>154</v>
      </c>
      <c r="B160" s="5" t="s">
        <v>317</v>
      </c>
      <c r="C160" s="2" t="s">
        <v>530</v>
      </c>
      <c r="D160" s="32"/>
      <c r="E160" s="35" t="s">
        <v>455</v>
      </c>
      <c r="F160" s="34">
        <v>45</v>
      </c>
      <c r="G160" s="34">
        <v>45</v>
      </c>
      <c r="H160" s="34">
        <v>45</v>
      </c>
      <c r="I160" s="34">
        <v>45</v>
      </c>
      <c r="J160" s="34">
        <v>45</v>
      </c>
      <c r="K160" s="34">
        <v>45</v>
      </c>
      <c r="L160" s="34">
        <v>45</v>
      </c>
      <c r="M160" s="34">
        <v>45</v>
      </c>
      <c r="N160" s="34">
        <v>45</v>
      </c>
      <c r="O160" s="34">
        <v>45</v>
      </c>
      <c r="P160" s="34">
        <v>45</v>
      </c>
      <c r="Q160" s="34">
        <v>45</v>
      </c>
      <c r="R160" s="24">
        <f>SUM(Tabla1[[#This Row],[ENERO ]:[DICIEMBRE]])</f>
        <v>540</v>
      </c>
      <c r="W160" s="65">
        <v>0</v>
      </c>
      <c r="X160" s="21">
        <f>COUNTIF(Tabla1[[#This Row],[ENERO ]:[DICIEMBRE]],0)-(AQ160)-IF(Tabla1[[#This Row],[BAJAS]]="BAJA",IF(Tabla1[[#This Row],[ALTAS]]="ALTA",VLOOKUP(Tabla1[[#This Row],[MES DE ALTA ]],$AT$6:$AU$17,2,FALSE),12)-VLOOKUP(Tabla1[[#This Row],[MES DE BAJA ]],$AT$6:$AU$17,2,FALSE),0)</f>
        <v>0</v>
      </c>
      <c r="Y160" s="69">
        <f>SUM(Tabla1[[#This Row],[MES ADEUDO DE AÑOS PASADOS ]:[MESES DE ADEUDO DEL AÑO EN CURSO ]])</f>
        <v>0</v>
      </c>
      <c r="Z160" s="15">
        <f>IF(Tabla1[[#This Row],[TIPO DE CONSUMIDOR]]="COMPLETO",W160*$T$2,W160*($T$2/2))</f>
        <v>0</v>
      </c>
      <c r="AA160" s="15">
        <f>IF(Tabla1[[#This Row],[TIPO DE CONSUMIDOR]]="COMPLETO",Tabla1[[#This Row],[MESES DE ADEUDO DEL AÑO EN CURSO ]]*$T$2,Tabla1[[#This Row],[MESES DE ADEUDO DEL AÑO EN CURSO ]]*($T$2/2))</f>
        <v>0</v>
      </c>
      <c r="AB160" s="70">
        <f>SUM(Tabla1[[#This Row],[DEUDA DE LOS MESES PASADOS EN $$]:[DEUDA DEL AÑO 2013 $$ ]])</f>
        <v>0</v>
      </c>
      <c r="AE160" s="103">
        <f>IF(Tabla1[[#This Row],[TIPO DE CONSUMIDOR]]="MEDIO",IF(Tabla1[[#This Row],[ENERO ]]&gt;22.5,Tabla1[[#This Row],[ENERO ]]/22.5-1,0),IF(Tabla1[[#This Row],[ENERO ]]&gt;45,Tabla1[[#This Row],[ENERO ]]/45-1,0))</f>
        <v>0</v>
      </c>
      <c r="AF16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0" s="103">
        <f>IF(Tabla1[[#This Row],[TIPO DE CONSUMIDOR]]="MEDIO",IF(Tabla1[[#This Row],[MARZO]]&gt;22.5,Tabla1[[#This Row],[MARZO]]/22.5-1,0),IF(Tabla1[[#This Row],[MARZO]]&gt;45,Tabla1[[#This Row],[MARZO]]/45-1,0))</f>
        <v>0</v>
      </c>
      <c r="AH160" s="103">
        <f>IF(Tabla1[[#This Row],[TIPO DE CONSUMIDOR]]="MEDIO",IF(Tabla1[[#This Row],[ABRIL]]&gt;22.5,Tabla1[[#This Row],[ABRIL]]/22.5-1,0),IF(Tabla1[[#This Row],[ABRIL]]&gt;45,Tabla1[[#This Row],[ABRIL]]/45-1,0))</f>
        <v>0</v>
      </c>
      <c r="AI160" s="103">
        <f>IF(Tabla1[[#This Row],[TIPO DE CONSUMIDOR]]="MEDIO",IF(Tabla1[[#This Row],[MAYO ]]&gt;22.5,Tabla1[[#This Row],[MAYO ]]/22.5-1,0),IF(Tabla1[[#This Row],[MAYO ]]&gt;45,Tabla1[[#This Row],[MAYO ]]/45-1,0))</f>
        <v>0</v>
      </c>
      <c r="AJ160" s="103">
        <f>IF(Tabla1[[#This Row],[TIPO DE CONSUMIDOR]]="MEDIO",IF(Tabla1[[#This Row],[JUNIO ]]&gt;22.5,Tabla1[[#This Row],[JUNIO ]]/22.5-1,0),IF(Tabla1[[#This Row],[JUNIO ]]&gt;45,Tabla1[[#This Row],[JUNIO ]]/45-1,0))</f>
        <v>0</v>
      </c>
      <c r="AK160" s="103">
        <f>IF(Tabla1[[#This Row],[TIPO DE CONSUMIDOR]]="MEDIO",IF(Tabla1[[#This Row],[JULIO ]]&gt;22.5,Tabla1[[#This Row],[JULIO ]]/22.5-1,0),IF(Tabla1[[#This Row],[JULIO ]]&gt;45,Tabla1[[#This Row],[JULIO ]]/45-1,0))</f>
        <v>0</v>
      </c>
      <c r="AL160" s="103">
        <f>IF(Tabla1[[#This Row],[TIPO DE CONSUMIDOR]]="MEDIO",IF(Tabla1[[#This Row],[AGOSTO]]&gt;22.5,Tabla1[[#This Row],[AGOSTO]]/22.5-1,0),IF(Tabla1[[#This Row],[AGOSTO]]&gt;45,Tabla1[[#This Row],[AGOSTO]]/45-1,0))</f>
        <v>0</v>
      </c>
      <c r="AM16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0" s="104">
        <f t="shared" si="6"/>
        <v>0</v>
      </c>
      <c r="AR160" s="9">
        <f t="shared" si="5"/>
        <v>0</v>
      </c>
      <c r="AS160" s="60">
        <f>IF(Tabla1[[#This Row],[MESES DE ADEUDO DEL AÑO EN CURSO ]]&gt;0,1,0)</f>
        <v>0</v>
      </c>
      <c r="AT160" s="42"/>
      <c r="AU160" s="42"/>
      <c r="AV160" s="42"/>
      <c r="AW160" s="43"/>
    </row>
    <row r="161" spans="1:49" ht="21.75" thickBot="1" x14ac:dyDescent="0.35">
      <c r="A161" s="109">
        <v>155</v>
      </c>
      <c r="B161" s="5" t="s">
        <v>315</v>
      </c>
      <c r="C161" s="2" t="s">
        <v>530</v>
      </c>
      <c r="D161" s="32"/>
      <c r="E161" s="35" t="s">
        <v>455</v>
      </c>
      <c r="F161" s="34">
        <v>45</v>
      </c>
      <c r="G161" s="34">
        <v>45</v>
      </c>
      <c r="H161" s="34">
        <v>45</v>
      </c>
      <c r="I161" s="34">
        <v>45</v>
      </c>
      <c r="J161" s="34">
        <v>45</v>
      </c>
      <c r="K161" s="34">
        <v>45</v>
      </c>
      <c r="L161" s="34">
        <v>45</v>
      </c>
      <c r="M161" s="34">
        <v>45</v>
      </c>
      <c r="N161" s="34">
        <v>45</v>
      </c>
      <c r="O161" s="34">
        <v>45</v>
      </c>
      <c r="P161" s="34">
        <v>45</v>
      </c>
      <c r="Q161" s="34">
        <v>45</v>
      </c>
      <c r="R161" s="58">
        <f>SUM(Tabla1[[#This Row],[ENERO ]:[DICIEMBRE]])</f>
        <v>540</v>
      </c>
      <c r="W161" s="65">
        <v>0</v>
      </c>
      <c r="X161" s="21">
        <f>COUNTIF(Tabla1[[#This Row],[ENERO ]:[DICIEMBRE]],0)-(AQ161)-IF(Tabla1[[#This Row],[BAJAS]]="BAJA",IF(Tabla1[[#This Row],[ALTAS]]="ALTA",VLOOKUP(Tabla1[[#This Row],[MES DE ALTA ]],$AT$6:$AU$17,2,FALSE),12)-VLOOKUP(Tabla1[[#This Row],[MES DE BAJA ]],$AT$6:$AU$17,2,FALSE),0)</f>
        <v>0</v>
      </c>
      <c r="Y161" s="69">
        <f>SUM(Tabla1[[#This Row],[MES ADEUDO DE AÑOS PASADOS ]:[MESES DE ADEUDO DEL AÑO EN CURSO ]])</f>
        <v>0</v>
      </c>
      <c r="Z161" s="15">
        <f>IF(Tabla1[[#This Row],[TIPO DE CONSUMIDOR]]="COMPLETO",W161*$T$2,W161*($T$2/2))</f>
        <v>0</v>
      </c>
      <c r="AA161" s="15">
        <f>IF(Tabla1[[#This Row],[TIPO DE CONSUMIDOR]]="COMPLETO",Tabla1[[#This Row],[MESES DE ADEUDO DEL AÑO EN CURSO ]]*$T$2,Tabla1[[#This Row],[MESES DE ADEUDO DEL AÑO EN CURSO ]]*($T$2/2))</f>
        <v>0</v>
      </c>
      <c r="AB161" s="70">
        <f>SUM(Tabla1[[#This Row],[DEUDA DE LOS MESES PASADOS EN $$]:[DEUDA DEL AÑO 2013 $$ ]])</f>
        <v>0</v>
      </c>
      <c r="AE161" s="103">
        <f>IF(Tabla1[[#This Row],[TIPO DE CONSUMIDOR]]="MEDIO",IF(Tabla1[[#This Row],[ENERO ]]&gt;22.5,Tabla1[[#This Row],[ENERO ]]/22.5-1,0),IF(Tabla1[[#This Row],[ENERO ]]&gt;45,Tabla1[[#This Row],[ENERO ]]/45-1,0))</f>
        <v>0</v>
      </c>
      <c r="AF16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1" s="103">
        <f>IF(Tabla1[[#This Row],[TIPO DE CONSUMIDOR]]="MEDIO",IF(Tabla1[[#This Row],[MARZO]]&gt;22.5,Tabla1[[#This Row],[MARZO]]/22.5-1,0),IF(Tabla1[[#This Row],[MARZO]]&gt;45,Tabla1[[#This Row],[MARZO]]/45-1,0))</f>
        <v>0</v>
      </c>
      <c r="AH161" s="103">
        <f>IF(Tabla1[[#This Row],[TIPO DE CONSUMIDOR]]="MEDIO",IF(Tabla1[[#This Row],[ABRIL]]&gt;22.5,Tabla1[[#This Row],[ABRIL]]/22.5-1,0),IF(Tabla1[[#This Row],[ABRIL]]&gt;45,Tabla1[[#This Row],[ABRIL]]/45-1,0))</f>
        <v>0</v>
      </c>
      <c r="AI161" s="103">
        <f>IF(Tabla1[[#This Row],[TIPO DE CONSUMIDOR]]="MEDIO",IF(Tabla1[[#This Row],[MAYO ]]&gt;22.5,Tabla1[[#This Row],[MAYO ]]/22.5-1,0),IF(Tabla1[[#This Row],[MAYO ]]&gt;45,Tabla1[[#This Row],[MAYO ]]/45-1,0))</f>
        <v>0</v>
      </c>
      <c r="AJ161" s="103">
        <f>IF(Tabla1[[#This Row],[TIPO DE CONSUMIDOR]]="MEDIO",IF(Tabla1[[#This Row],[JUNIO ]]&gt;22.5,Tabla1[[#This Row],[JUNIO ]]/22.5-1,0),IF(Tabla1[[#This Row],[JUNIO ]]&gt;45,Tabla1[[#This Row],[JUNIO ]]/45-1,0))</f>
        <v>0</v>
      </c>
      <c r="AK161" s="103">
        <f>IF(Tabla1[[#This Row],[TIPO DE CONSUMIDOR]]="MEDIO",IF(Tabla1[[#This Row],[JULIO ]]&gt;22.5,Tabla1[[#This Row],[JULIO ]]/22.5-1,0),IF(Tabla1[[#This Row],[JULIO ]]&gt;45,Tabla1[[#This Row],[JULIO ]]/45-1,0))</f>
        <v>0</v>
      </c>
      <c r="AL161" s="103">
        <f>IF(Tabla1[[#This Row],[TIPO DE CONSUMIDOR]]="MEDIO",IF(Tabla1[[#This Row],[AGOSTO]]&gt;22.5,Tabla1[[#This Row],[AGOSTO]]/22.5-1,0),IF(Tabla1[[#This Row],[AGOSTO]]&gt;45,Tabla1[[#This Row],[AGOSTO]]/45-1,0))</f>
        <v>0</v>
      </c>
      <c r="AM16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1" s="104">
        <f t="shared" si="6"/>
        <v>0</v>
      </c>
      <c r="AR161" s="9">
        <f t="shared" si="5"/>
        <v>0</v>
      </c>
      <c r="AS161" s="60">
        <f>IF(Tabla1[[#This Row],[MESES DE ADEUDO DEL AÑO EN CURSO ]]&gt;0,1,0)</f>
        <v>0</v>
      </c>
      <c r="AT161" s="42"/>
      <c r="AU161" s="42"/>
      <c r="AV161" s="42"/>
      <c r="AW161" s="43"/>
    </row>
    <row r="162" spans="1:49" ht="21.75" thickBot="1" x14ac:dyDescent="0.35">
      <c r="A162" s="109">
        <v>156</v>
      </c>
      <c r="B162" s="5" t="s">
        <v>300</v>
      </c>
      <c r="C162" s="2" t="s">
        <v>530</v>
      </c>
      <c r="D162" s="32"/>
      <c r="E162" s="35" t="s">
        <v>455</v>
      </c>
      <c r="F162" s="34">
        <v>45</v>
      </c>
      <c r="G162" s="34">
        <v>45</v>
      </c>
      <c r="H162" s="34">
        <v>45</v>
      </c>
      <c r="I162" s="34">
        <v>45</v>
      </c>
      <c r="J162" s="34">
        <v>45</v>
      </c>
      <c r="K162" s="34">
        <v>45</v>
      </c>
      <c r="L162" s="34">
        <v>45</v>
      </c>
      <c r="M162" s="34">
        <v>45</v>
      </c>
      <c r="N162" s="34">
        <v>45</v>
      </c>
      <c r="O162" s="34">
        <v>45</v>
      </c>
      <c r="P162" s="34">
        <v>45</v>
      </c>
      <c r="Q162" s="34">
        <v>45</v>
      </c>
      <c r="R162" s="24">
        <f>SUM(Tabla1[[#This Row],[ENERO ]:[DICIEMBRE]])</f>
        <v>540</v>
      </c>
      <c r="W162" s="65">
        <v>0</v>
      </c>
      <c r="X162" s="21">
        <f>COUNTIF(Tabla1[[#This Row],[ENERO ]:[DICIEMBRE]],0)-(AQ162)-IF(Tabla1[[#This Row],[BAJAS]]="BAJA",IF(Tabla1[[#This Row],[ALTAS]]="ALTA",VLOOKUP(Tabla1[[#This Row],[MES DE ALTA ]],$AT$6:$AU$17,2,FALSE),12)-VLOOKUP(Tabla1[[#This Row],[MES DE BAJA ]],$AT$6:$AU$17,2,FALSE),0)</f>
        <v>0</v>
      </c>
      <c r="Y162" s="69">
        <f>SUM(Tabla1[[#This Row],[MES ADEUDO DE AÑOS PASADOS ]:[MESES DE ADEUDO DEL AÑO EN CURSO ]])</f>
        <v>0</v>
      </c>
      <c r="Z162" s="15">
        <f>IF(Tabla1[[#This Row],[TIPO DE CONSUMIDOR]]="COMPLETO",W162*$T$2,W162*($T$2/2))</f>
        <v>0</v>
      </c>
      <c r="AA162" s="15">
        <f>IF(Tabla1[[#This Row],[TIPO DE CONSUMIDOR]]="COMPLETO",Tabla1[[#This Row],[MESES DE ADEUDO DEL AÑO EN CURSO ]]*$T$2,Tabla1[[#This Row],[MESES DE ADEUDO DEL AÑO EN CURSO ]]*($T$2/2))</f>
        <v>0</v>
      </c>
      <c r="AB162" s="70">
        <f>SUM(Tabla1[[#This Row],[DEUDA DE LOS MESES PASADOS EN $$]:[DEUDA DEL AÑO 2013 $$ ]])</f>
        <v>0</v>
      </c>
      <c r="AE162" s="103">
        <f>IF(Tabla1[[#This Row],[TIPO DE CONSUMIDOR]]="MEDIO",IF(Tabla1[[#This Row],[ENERO ]]&gt;22.5,Tabla1[[#This Row],[ENERO ]]/22.5-1,0),IF(Tabla1[[#This Row],[ENERO ]]&gt;45,Tabla1[[#This Row],[ENERO ]]/45-1,0))</f>
        <v>0</v>
      </c>
      <c r="AF16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2" s="103">
        <f>IF(Tabla1[[#This Row],[TIPO DE CONSUMIDOR]]="MEDIO",IF(Tabla1[[#This Row],[MARZO]]&gt;22.5,Tabla1[[#This Row],[MARZO]]/22.5-1,0),IF(Tabla1[[#This Row],[MARZO]]&gt;45,Tabla1[[#This Row],[MARZO]]/45-1,0))</f>
        <v>0</v>
      </c>
      <c r="AH162" s="103">
        <f>IF(Tabla1[[#This Row],[TIPO DE CONSUMIDOR]]="MEDIO",IF(Tabla1[[#This Row],[ABRIL]]&gt;22.5,Tabla1[[#This Row],[ABRIL]]/22.5-1,0),IF(Tabla1[[#This Row],[ABRIL]]&gt;45,Tabla1[[#This Row],[ABRIL]]/45-1,0))</f>
        <v>0</v>
      </c>
      <c r="AI162" s="103">
        <f>IF(Tabla1[[#This Row],[TIPO DE CONSUMIDOR]]="MEDIO",IF(Tabla1[[#This Row],[MAYO ]]&gt;22.5,Tabla1[[#This Row],[MAYO ]]/22.5-1,0),IF(Tabla1[[#This Row],[MAYO ]]&gt;45,Tabla1[[#This Row],[MAYO ]]/45-1,0))</f>
        <v>0</v>
      </c>
      <c r="AJ162" s="103">
        <f>IF(Tabla1[[#This Row],[TIPO DE CONSUMIDOR]]="MEDIO",IF(Tabla1[[#This Row],[JUNIO ]]&gt;22.5,Tabla1[[#This Row],[JUNIO ]]/22.5-1,0),IF(Tabla1[[#This Row],[JUNIO ]]&gt;45,Tabla1[[#This Row],[JUNIO ]]/45-1,0))</f>
        <v>0</v>
      </c>
      <c r="AK162" s="103">
        <f>IF(Tabla1[[#This Row],[TIPO DE CONSUMIDOR]]="MEDIO",IF(Tabla1[[#This Row],[JULIO ]]&gt;22.5,Tabla1[[#This Row],[JULIO ]]/22.5-1,0),IF(Tabla1[[#This Row],[JULIO ]]&gt;45,Tabla1[[#This Row],[JULIO ]]/45-1,0))</f>
        <v>0</v>
      </c>
      <c r="AL162" s="103">
        <f>IF(Tabla1[[#This Row],[TIPO DE CONSUMIDOR]]="MEDIO",IF(Tabla1[[#This Row],[AGOSTO]]&gt;22.5,Tabla1[[#This Row],[AGOSTO]]/22.5-1,0),IF(Tabla1[[#This Row],[AGOSTO]]&gt;45,Tabla1[[#This Row],[AGOSTO]]/45-1,0))</f>
        <v>0</v>
      </c>
      <c r="AM16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2" s="104">
        <f t="shared" si="6"/>
        <v>0</v>
      </c>
      <c r="AR162" s="9">
        <f t="shared" si="5"/>
        <v>0</v>
      </c>
      <c r="AS162" s="60">
        <f>IF(Tabla1[[#This Row],[MESES DE ADEUDO DEL AÑO EN CURSO ]]&gt;0,1,0)</f>
        <v>0</v>
      </c>
      <c r="AT162" s="42"/>
      <c r="AU162" s="42"/>
      <c r="AV162" s="42"/>
      <c r="AW162" s="43"/>
    </row>
    <row r="163" spans="1:49" ht="21.75" thickBot="1" x14ac:dyDescent="0.35">
      <c r="A163" s="109">
        <v>157</v>
      </c>
      <c r="B163" s="5" t="s">
        <v>347</v>
      </c>
      <c r="C163" s="2" t="s">
        <v>530</v>
      </c>
      <c r="D163" s="32"/>
      <c r="E163" s="35" t="s">
        <v>455</v>
      </c>
      <c r="F163" s="34">
        <v>45</v>
      </c>
      <c r="G163" s="34">
        <v>45</v>
      </c>
      <c r="H163" s="34">
        <v>45</v>
      </c>
      <c r="I163" s="34">
        <v>45</v>
      </c>
      <c r="J163" s="34">
        <v>45</v>
      </c>
      <c r="K163" s="34">
        <v>45</v>
      </c>
      <c r="L163" s="34">
        <v>45</v>
      </c>
      <c r="M163" s="34">
        <v>45</v>
      </c>
      <c r="N163" s="34">
        <v>45</v>
      </c>
      <c r="O163" s="34">
        <v>45</v>
      </c>
      <c r="P163" s="34">
        <v>45</v>
      </c>
      <c r="Q163" s="34">
        <v>45</v>
      </c>
      <c r="R163" s="58">
        <f>SUM(Tabla1[[#This Row],[ENERO ]:[DICIEMBRE]])</f>
        <v>540</v>
      </c>
      <c r="W163" s="65">
        <v>0</v>
      </c>
      <c r="X163" s="21">
        <f>COUNTIF(Tabla1[[#This Row],[ENERO ]:[DICIEMBRE]],0)-(AQ163)-IF(Tabla1[[#This Row],[BAJAS]]="BAJA",IF(Tabla1[[#This Row],[ALTAS]]="ALTA",VLOOKUP(Tabla1[[#This Row],[MES DE ALTA ]],$AT$6:$AU$17,2,FALSE),12)-VLOOKUP(Tabla1[[#This Row],[MES DE BAJA ]],$AT$6:$AU$17,2,FALSE),0)</f>
        <v>0</v>
      </c>
      <c r="Y163" s="69">
        <f>SUM(Tabla1[[#This Row],[MES ADEUDO DE AÑOS PASADOS ]:[MESES DE ADEUDO DEL AÑO EN CURSO ]])</f>
        <v>0</v>
      </c>
      <c r="Z163" s="15">
        <f>IF(Tabla1[[#This Row],[TIPO DE CONSUMIDOR]]="COMPLETO",W163*$T$2,W163*($T$2/2))</f>
        <v>0</v>
      </c>
      <c r="AA163" s="15">
        <f>IF(Tabla1[[#This Row],[TIPO DE CONSUMIDOR]]="COMPLETO",Tabla1[[#This Row],[MESES DE ADEUDO DEL AÑO EN CURSO ]]*$T$2,Tabla1[[#This Row],[MESES DE ADEUDO DEL AÑO EN CURSO ]]*($T$2/2))</f>
        <v>0</v>
      </c>
      <c r="AB163" s="70">
        <f>SUM(Tabla1[[#This Row],[DEUDA DE LOS MESES PASADOS EN $$]:[DEUDA DEL AÑO 2013 $$ ]])</f>
        <v>0</v>
      </c>
      <c r="AE163" s="103">
        <f>IF(Tabla1[[#This Row],[TIPO DE CONSUMIDOR]]="MEDIO",IF(Tabla1[[#This Row],[ENERO ]]&gt;22.5,Tabla1[[#This Row],[ENERO ]]/22.5-1,0),IF(Tabla1[[#This Row],[ENERO ]]&gt;45,Tabla1[[#This Row],[ENERO ]]/45-1,0))</f>
        <v>0</v>
      </c>
      <c r="AF16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3" s="103">
        <f>IF(Tabla1[[#This Row],[TIPO DE CONSUMIDOR]]="MEDIO",IF(Tabla1[[#This Row],[MARZO]]&gt;22.5,Tabla1[[#This Row],[MARZO]]/22.5-1,0),IF(Tabla1[[#This Row],[MARZO]]&gt;45,Tabla1[[#This Row],[MARZO]]/45-1,0))</f>
        <v>0</v>
      </c>
      <c r="AH163" s="103">
        <f>IF(Tabla1[[#This Row],[TIPO DE CONSUMIDOR]]="MEDIO",IF(Tabla1[[#This Row],[ABRIL]]&gt;22.5,Tabla1[[#This Row],[ABRIL]]/22.5-1,0),IF(Tabla1[[#This Row],[ABRIL]]&gt;45,Tabla1[[#This Row],[ABRIL]]/45-1,0))</f>
        <v>0</v>
      </c>
      <c r="AI163" s="103">
        <f>IF(Tabla1[[#This Row],[TIPO DE CONSUMIDOR]]="MEDIO",IF(Tabla1[[#This Row],[MAYO ]]&gt;22.5,Tabla1[[#This Row],[MAYO ]]/22.5-1,0),IF(Tabla1[[#This Row],[MAYO ]]&gt;45,Tabla1[[#This Row],[MAYO ]]/45-1,0))</f>
        <v>0</v>
      </c>
      <c r="AJ163" s="103">
        <f>IF(Tabla1[[#This Row],[TIPO DE CONSUMIDOR]]="MEDIO",IF(Tabla1[[#This Row],[JUNIO ]]&gt;22.5,Tabla1[[#This Row],[JUNIO ]]/22.5-1,0),IF(Tabla1[[#This Row],[JUNIO ]]&gt;45,Tabla1[[#This Row],[JUNIO ]]/45-1,0))</f>
        <v>0</v>
      </c>
      <c r="AK163" s="103">
        <f>IF(Tabla1[[#This Row],[TIPO DE CONSUMIDOR]]="MEDIO",IF(Tabla1[[#This Row],[JULIO ]]&gt;22.5,Tabla1[[#This Row],[JULIO ]]/22.5-1,0),IF(Tabla1[[#This Row],[JULIO ]]&gt;45,Tabla1[[#This Row],[JULIO ]]/45-1,0))</f>
        <v>0</v>
      </c>
      <c r="AL163" s="103">
        <f>IF(Tabla1[[#This Row],[TIPO DE CONSUMIDOR]]="MEDIO",IF(Tabla1[[#This Row],[AGOSTO]]&gt;22.5,Tabla1[[#This Row],[AGOSTO]]/22.5-1,0),IF(Tabla1[[#This Row],[AGOSTO]]&gt;45,Tabla1[[#This Row],[AGOSTO]]/45-1,0))</f>
        <v>0</v>
      </c>
      <c r="AM16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3" s="104">
        <f t="shared" si="6"/>
        <v>0</v>
      </c>
      <c r="AR163" s="9">
        <f t="shared" si="5"/>
        <v>0</v>
      </c>
      <c r="AS163" s="60">
        <f>IF(Tabla1[[#This Row],[MESES DE ADEUDO DEL AÑO EN CURSO ]]&gt;0,1,0)</f>
        <v>0</v>
      </c>
      <c r="AT163" s="42"/>
      <c r="AU163" s="42"/>
      <c r="AV163" s="42"/>
      <c r="AW163" s="43"/>
    </row>
    <row r="164" spans="1:49" ht="21.75" thickBot="1" x14ac:dyDescent="0.35">
      <c r="A164" s="109">
        <v>158</v>
      </c>
      <c r="B164" s="5" t="s">
        <v>356</v>
      </c>
      <c r="C164" s="2" t="s">
        <v>530</v>
      </c>
      <c r="D164" s="32"/>
      <c r="E164" s="35" t="s">
        <v>455</v>
      </c>
      <c r="F164" s="34">
        <v>45</v>
      </c>
      <c r="G164" s="34">
        <v>45</v>
      </c>
      <c r="H164" s="34">
        <v>45</v>
      </c>
      <c r="I164" s="34">
        <v>45</v>
      </c>
      <c r="J164" s="34">
        <v>45</v>
      </c>
      <c r="K164" s="34">
        <v>45</v>
      </c>
      <c r="L164" s="34">
        <v>45</v>
      </c>
      <c r="M164" s="34">
        <v>45</v>
      </c>
      <c r="N164" s="34">
        <v>45</v>
      </c>
      <c r="O164" s="34">
        <v>45</v>
      </c>
      <c r="P164" s="34">
        <v>45</v>
      </c>
      <c r="Q164" s="34">
        <v>45</v>
      </c>
      <c r="R164" s="24">
        <f>SUM(Tabla1[[#This Row],[ENERO ]:[DICIEMBRE]])</f>
        <v>540</v>
      </c>
      <c r="W164" s="65">
        <v>0</v>
      </c>
      <c r="X164" s="21">
        <f>COUNTIF(Tabla1[[#This Row],[ENERO ]:[DICIEMBRE]],0)-(AQ164)-IF(Tabla1[[#This Row],[BAJAS]]="BAJA",IF(Tabla1[[#This Row],[ALTAS]]="ALTA",VLOOKUP(Tabla1[[#This Row],[MES DE ALTA ]],$AT$6:$AU$17,2,FALSE),12)-VLOOKUP(Tabla1[[#This Row],[MES DE BAJA ]],$AT$6:$AU$17,2,FALSE),0)</f>
        <v>0</v>
      </c>
      <c r="Y164" s="69">
        <f>SUM(Tabla1[[#This Row],[MES ADEUDO DE AÑOS PASADOS ]:[MESES DE ADEUDO DEL AÑO EN CURSO ]])</f>
        <v>0</v>
      </c>
      <c r="Z164" s="15">
        <f>IF(Tabla1[[#This Row],[TIPO DE CONSUMIDOR]]="COMPLETO",W164*$T$2,W164*($T$2/2))</f>
        <v>0</v>
      </c>
      <c r="AA164" s="15">
        <f>IF(Tabla1[[#This Row],[TIPO DE CONSUMIDOR]]="COMPLETO",Tabla1[[#This Row],[MESES DE ADEUDO DEL AÑO EN CURSO ]]*$T$2,Tabla1[[#This Row],[MESES DE ADEUDO DEL AÑO EN CURSO ]]*($T$2/2))</f>
        <v>0</v>
      </c>
      <c r="AB164" s="70">
        <f>SUM(Tabla1[[#This Row],[DEUDA DE LOS MESES PASADOS EN $$]:[DEUDA DEL AÑO 2013 $$ ]])</f>
        <v>0</v>
      </c>
      <c r="AE164" s="103">
        <f>IF(Tabla1[[#This Row],[TIPO DE CONSUMIDOR]]="MEDIO",IF(Tabla1[[#This Row],[ENERO ]]&gt;22.5,Tabla1[[#This Row],[ENERO ]]/22.5-1,0),IF(Tabla1[[#This Row],[ENERO ]]&gt;45,Tabla1[[#This Row],[ENERO ]]/45-1,0))</f>
        <v>0</v>
      </c>
      <c r="AF16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4" s="103">
        <f>IF(Tabla1[[#This Row],[TIPO DE CONSUMIDOR]]="MEDIO",IF(Tabla1[[#This Row],[MARZO]]&gt;22.5,Tabla1[[#This Row],[MARZO]]/22.5-1,0),IF(Tabla1[[#This Row],[MARZO]]&gt;45,Tabla1[[#This Row],[MARZO]]/45-1,0))</f>
        <v>0</v>
      </c>
      <c r="AH164" s="103">
        <f>IF(Tabla1[[#This Row],[TIPO DE CONSUMIDOR]]="MEDIO",IF(Tabla1[[#This Row],[ABRIL]]&gt;22.5,Tabla1[[#This Row],[ABRIL]]/22.5-1,0),IF(Tabla1[[#This Row],[ABRIL]]&gt;45,Tabla1[[#This Row],[ABRIL]]/45-1,0))</f>
        <v>0</v>
      </c>
      <c r="AI164" s="103">
        <f>IF(Tabla1[[#This Row],[TIPO DE CONSUMIDOR]]="MEDIO",IF(Tabla1[[#This Row],[MAYO ]]&gt;22.5,Tabla1[[#This Row],[MAYO ]]/22.5-1,0),IF(Tabla1[[#This Row],[MAYO ]]&gt;45,Tabla1[[#This Row],[MAYO ]]/45-1,0))</f>
        <v>0</v>
      </c>
      <c r="AJ164" s="103">
        <f>IF(Tabla1[[#This Row],[TIPO DE CONSUMIDOR]]="MEDIO",IF(Tabla1[[#This Row],[JUNIO ]]&gt;22.5,Tabla1[[#This Row],[JUNIO ]]/22.5-1,0),IF(Tabla1[[#This Row],[JUNIO ]]&gt;45,Tabla1[[#This Row],[JUNIO ]]/45-1,0))</f>
        <v>0</v>
      </c>
      <c r="AK164" s="103">
        <f>IF(Tabla1[[#This Row],[TIPO DE CONSUMIDOR]]="MEDIO",IF(Tabla1[[#This Row],[JULIO ]]&gt;22.5,Tabla1[[#This Row],[JULIO ]]/22.5-1,0),IF(Tabla1[[#This Row],[JULIO ]]&gt;45,Tabla1[[#This Row],[JULIO ]]/45-1,0))</f>
        <v>0</v>
      </c>
      <c r="AL164" s="103">
        <f>IF(Tabla1[[#This Row],[TIPO DE CONSUMIDOR]]="MEDIO",IF(Tabla1[[#This Row],[AGOSTO]]&gt;22.5,Tabla1[[#This Row],[AGOSTO]]/22.5-1,0),IF(Tabla1[[#This Row],[AGOSTO]]&gt;45,Tabla1[[#This Row],[AGOSTO]]/45-1,0))</f>
        <v>0</v>
      </c>
      <c r="AM16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4" s="104">
        <f t="shared" si="6"/>
        <v>0</v>
      </c>
      <c r="AR164" s="9">
        <f t="shared" si="5"/>
        <v>0</v>
      </c>
      <c r="AS164" s="60">
        <f>IF(Tabla1[[#This Row],[MESES DE ADEUDO DEL AÑO EN CURSO ]]&gt;0,1,0)</f>
        <v>0</v>
      </c>
      <c r="AT164" s="42"/>
      <c r="AU164" s="42"/>
      <c r="AV164" s="42"/>
      <c r="AW164" s="43"/>
    </row>
    <row r="165" spans="1:49" ht="21.75" thickBot="1" x14ac:dyDescent="0.35">
      <c r="A165" s="109">
        <v>159</v>
      </c>
      <c r="B165" s="5" t="s">
        <v>371</v>
      </c>
      <c r="C165" s="2" t="s">
        <v>530</v>
      </c>
      <c r="D165" s="32"/>
      <c r="E165" s="35" t="s">
        <v>455</v>
      </c>
      <c r="F165" s="34">
        <v>45</v>
      </c>
      <c r="G165" s="34">
        <v>45</v>
      </c>
      <c r="H165" s="34">
        <v>45</v>
      </c>
      <c r="I165" s="34">
        <v>45</v>
      </c>
      <c r="J165" s="34">
        <v>45</v>
      </c>
      <c r="K165" s="34">
        <v>45</v>
      </c>
      <c r="L165" s="34">
        <v>45</v>
      </c>
      <c r="M165" s="34">
        <v>45</v>
      </c>
      <c r="N165" s="34">
        <v>45</v>
      </c>
      <c r="O165" s="34">
        <v>45</v>
      </c>
      <c r="P165" s="34">
        <v>45</v>
      </c>
      <c r="Q165" s="34">
        <v>45</v>
      </c>
      <c r="R165" s="24">
        <f>SUM(Tabla1[[#This Row],[ENERO ]:[DICIEMBRE]])</f>
        <v>540</v>
      </c>
      <c r="W165" s="65">
        <v>0</v>
      </c>
      <c r="X165" s="21">
        <f>COUNTIF(Tabla1[[#This Row],[ENERO ]:[DICIEMBRE]],0)-(AQ165)-IF(Tabla1[[#This Row],[BAJAS]]="BAJA",IF(Tabla1[[#This Row],[ALTAS]]="ALTA",VLOOKUP(Tabla1[[#This Row],[MES DE ALTA ]],$AT$6:$AU$17,2,FALSE),12)-VLOOKUP(Tabla1[[#This Row],[MES DE BAJA ]],$AT$6:$AU$17,2,FALSE),0)</f>
        <v>0</v>
      </c>
      <c r="Y165" s="69">
        <f>SUM(Tabla1[[#This Row],[MES ADEUDO DE AÑOS PASADOS ]:[MESES DE ADEUDO DEL AÑO EN CURSO ]])</f>
        <v>0</v>
      </c>
      <c r="Z165" s="15">
        <f>IF(Tabla1[[#This Row],[TIPO DE CONSUMIDOR]]="COMPLETO",W165*$T$2,W165*($T$2/2))</f>
        <v>0</v>
      </c>
      <c r="AA165" s="15">
        <f>IF(Tabla1[[#This Row],[TIPO DE CONSUMIDOR]]="COMPLETO",Tabla1[[#This Row],[MESES DE ADEUDO DEL AÑO EN CURSO ]]*$T$2,Tabla1[[#This Row],[MESES DE ADEUDO DEL AÑO EN CURSO ]]*($T$2/2))</f>
        <v>0</v>
      </c>
      <c r="AB165" s="70">
        <f>SUM(Tabla1[[#This Row],[DEUDA DE LOS MESES PASADOS EN $$]:[DEUDA DEL AÑO 2013 $$ ]])</f>
        <v>0</v>
      </c>
      <c r="AE165" s="103">
        <f>IF(Tabla1[[#This Row],[TIPO DE CONSUMIDOR]]="MEDIO",IF(Tabla1[[#This Row],[ENERO ]]&gt;22.5,Tabla1[[#This Row],[ENERO ]]/22.5-1,0),IF(Tabla1[[#This Row],[ENERO ]]&gt;45,Tabla1[[#This Row],[ENERO ]]/45-1,0))</f>
        <v>0</v>
      </c>
      <c r="AF16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5" s="103">
        <f>IF(Tabla1[[#This Row],[TIPO DE CONSUMIDOR]]="MEDIO",IF(Tabla1[[#This Row],[MARZO]]&gt;22.5,Tabla1[[#This Row],[MARZO]]/22.5-1,0),IF(Tabla1[[#This Row],[MARZO]]&gt;45,Tabla1[[#This Row],[MARZO]]/45-1,0))</f>
        <v>0</v>
      </c>
      <c r="AH165" s="103">
        <f>IF(Tabla1[[#This Row],[TIPO DE CONSUMIDOR]]="MEDIO",IF(Tabla1[[#This Row],[ABRIL]]&gt;22.5,Tabla1[[#This Row],[ABRIL]]/22.5-1,0),IF(Tabla1[[#This Row],[ABRIL]]&gt;45,Tabla1[[#This Row],[ABRIL]]/45-1,0))</f>
        <v>0</v>
      </c>
      <c r="AI165" s="103">
        <f>IF(Tabla1[[#This Row],[TIPO DE CONSUMIDOR]]="MEDIO",IF(Tabla1[[#This Row],[MAYO ]]&gt;22.5,Tabla1[[#This Row],[MAYO ]]/22.5-1,0),IF(Tabla1[[#This Row],[MAYO ]]&gt;45,Tabla1[[#This Row],[MAYO ]]/45-1,0))</f>
        <v>0</v>
      </c>
      <c r="AJ165" s="103">
        <f>IF(Tabla1[[#This Row],[TIPO DE CONSUMIDOR]]="MEDIO",IF(Tabla1[[#This Row],[JUNIO ]]&gt;22.5,Tabla1[[#This Row],[JUNIO ]]/22.5-1,0),IF(Tabla1[[#This Row],[JUNIO ]]&gt;45,Tabla1[[#This Row],[JUNIO ]]/45-1,0))</f>
        <v>0</v>
      </c>
      <c r="AK165" s="103">
        <f>IF(Tabla1[[#This Row],[TIPO DE CONSUMIDOR]]="MEDIO",IF(Tabla1[[#This Row],[JULIO ]]&gt;22.5,Tabla1[[#This Row],[JULIO ]]/22.5-1,0),IF(Tabla1[[#This Row],[JULIO ]]&gt;45,Tabla1[[#This Row],[JULIO ]]/45-1,0))</f>
        <v>0</v>
      </c>
      <c r="AL165" s="103">
        <f>IF(Tabla1[[#This Row],[TIPO DE CONSUMIDOR]]="MEDIO",IF(Tabla1[[#This Row],[AGOSTO]]&gt;22.5,Tabla1[[#This Row],[AGOSTO]]/22.5-1,0),IF(Tabla1[[#This Row],[AGOSTO]]&gt;45,Tabla1[[#This Row],[AGOSTO]]/45-1,0))</f>
        <v>0</v>
      </c>
      <c r="AM16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5" s="104">
        <f t="shared" si="6"/>
        <v>0</v>
      </c>
      <c r="AR165" s="9">
        <f t="shared" si="5"/>
        <v>0</v>
      </c>
      <c r="AS165" s="60">
        <f>IF(Tabla1[[#This Row],[MESES DE ADEUDO DEL AÑO EN CURSO ]]&gt;0,1,0)</f>
        <v>0</v>
      </c>
      <c r="AT165" s="42"/>
      <c r="AU165" s="42"/>
      <c r="AV165" s="42"/>
      <c r="AW165" s="43"/>
    </row>
    <row r="166" spans="1:49" ht="21.75" thickBot="1" x14ac:dyDescent="0.35">
      <c r="A166" s="109">
        <v>160</v>
      </c>
      <c r="B166" s="5" t="s">
        <v>542</v>
      </c>
      <c r="C166" s="2" t="s">
        <v>530</v>
      </c>
      <c r="D166" s="32"/>
      <c r="E166" s="35" t="s">
        <v>455</v>
      </c>
      <c r="F166" s="34">
        <v>0</v>
      </c>
      <c r="G166" s="34">
        <v>0</v>
      </c>
      <c r="H166" s="34">
        <v>0</v>
      </c>
      <c r="I166" s="34">
        <v>0</v>
      </c>
      <c r="J166" s="34">
        <v>0</v>
      </c>
      <c r="K166" s="34">
        <v>0</v>
      </c>
      <c r="L166" s="34">
        <v>0</v>
      </c>
      <c r="M166" s="34">
        <v>0</v>
      </c>
      <c r="N166" s="34">
        <v>0</v>
      </c>
      <c r="O166" s="34">
        <v>0</v>
      </c>
      <c r="P166" s="34">
        <v>0</v>
      </c>
      <c r="Q166" s="34">
        <v>0</v>
      </c>
      <c r="R166" s="24">
        <f>SUM(Tabla1[[#This Row],[ENERO ]:[DICIEMBRE]])</f>
        <v>0</v>
      </c>
      <c r="S166" t="s">
        <v>626</v>
      </c>
      <c r="T166" t="s">
        <v>434</v>
      </c>
      <c r="W166" s="65">
        <v>0</v>
      </c>
      <c r="X166" s="21">
        <f>COUNTIF(Tabla1[[#This Row],[ENERO ]:[DICIEMBRE]],0)-(AQ166)-IF(Tabla1[[#This Row],[BAJAS]]="BAJA",IF(Tabla1[[#This Row],[ALTAS]]="ALTA",VLOOKUP(Tabla1[[#This Row],[MES DE ALTA ]],$AT$6:$AU$17,2,FALSE),12)-VLOOKUP(Tabla1[[#This Row],[MES DE BAJA ]],$AT$6:$AU$17,2,FALSE),0)</f>
        <v>0</v>
      </c>
      <c r="Y166" s="69">
        <f>SUM(Tabla1[[#This Row],[MES ADEUDO DE AÑOS PASADOS ]:[MESES DE ADEUDO DEL AÑO EN CURSO ]])</f>
        <v>0</v>
      </c>
      <c r="Z166" s="15">
        <f>IF(Tabla1[[#This Row],[TIPO DE CONSUMIDOR]]="COMPLETO",W166*$T$2,W166*($T$2/2))</f>
        <v>0</v>
      </c>
      <c r="AA166" s="15">
        <f>IF(Tabla1[[#This Row],[TIPO DE CONSUMIDOR]]="COMPLETO",Tabla1[[#This Row],[MESES DE ADEUDO DEL AÑO EN CURSO ]]*$T$2,Tabla1[[#This Row],[MESES DE ADEUDO DEL AÑO EN CURSO ]]*($T$2/2))</f>
        <v>0</v>
      </c>
      <c r="AB166" s="70">
        <f>SUM(Tabla1[[#This Row],[DEUDA DE LOS MESES PASADOS EN $$]:[DEUDA DEL AÑO 2013 $$ ]])</f>
        <v>0</v>
      </c>
      <c r="AE166" s="103">
        <f>IF(Tabla1[[#This Row],[TIPO DE CONSUMIDOR]]="MEDIO",IF(Tabla1[[#This Row],[ENERO ]]&gt;22.5,Tabla1[[#This Row],[ENERO ]]/22.5-1,0),IF(Tabla1[[#This Row],[ENERO ]]&gt;45,Tabla1[[#This Row],[ENERO ]]/45-1,0))</f>
        <v>0</v>
      </c>
      <c r="AF16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6" s="103">
        <f>IF(Tabla1[[#This Row],[TIPO DE CONSUMIDOR]]="MEDIO",IF(Tabla1[[#This Row],[MARZO]]&gt;22.5,Tabla1[[#This Row],[MARZO]]/22.5-1,0),IF(Tabla1[[#This Row],[MARZO]]&gt;45,Tabla1[[#This Row],[MARZO]]/45-1,0))</f>
        <v>0</v>
      </c>
      <c r="AH166" s="103">
        <f>IF(Tabla1[[#This Row],[TIPO DE CONSUMIDOR]]="MEDIO",IF(Tabla1[[#This Row],[ABRIL]]&gt;22.5,Tabla1[[#This Row],[ABRIL]]/22.5-1,0),IF(Tabla1[[#This Row],[ABRIL]]&gt;45,Tabla1[[#This Row],[ABRIL]]/45-1,0))</f>
        <v>0</v>
      </c>
      <c r="AI166" s="103">
        <f>IF(Tabla1[[#This Row],[TIPO DE CONSUMIDOR]]="MEDIO",IF(Tabla1[[#This Row],[MAYO ]]&gt;22.5,Tabla1[[#This Row],[MAYO ]]/22.5-1,0),IF(Tabla1[[#This Row],[MAYO ]]&gt;45,Tabla1[[#This Row],[MAYO ]]/45-1,0))</f>
        <v>0</v>
      </c>
      <c r="AJ166" s="103">
        <f>IF(Tabla1[[#This Row],[TIPO DE CONSUMIDOR]]="MEDIO",IF(Tabla1[[#This Row],[JUNIO ]]&gt;22.5,Tabla1[[#This Row],[JUNIO ]]/22.5-1,0),IF(Tabla1[[#This Row],[JUNIO ]]&gt;45,Tabla1[[#This Row],[JUNIO ]]/45-1,0))</f>
        <v>0</v>
      </c>
      <c r="AK166" s="103">
        <f>IF(Tabla1[[#This Row],[TIPO DE CONSUMIDOR]]="MEDIO",IF(Tabla1[[#This Row],[JULIO ]]&gt;22.5,Tabla1[[#This Row],[JULIO ]]/22.5-1,0),IF(Tabla1[[#This Row],[JULIO ]]&gt;45,Tabla1[[#This Row],[JULIO ]]/45-1,0))</f>
        <v>0</v>
      </c>
      <c r="AL166" s="103">
        <f>IF(Tabla1[[#This Row],[TIPO DE CONSUMIDOR]]="MEDIO",IF(Tabla1[[#This Row],[AGOSTO]]&gt;22.5,Tabla1[[#This Row],[AGOSTO]]/22.5-1,0),IF(Tabla1[[#This Row],[AGOSTO]]&gt;45,Tabla1[[#This Row],[AGOSTO]]/45-1,0))</f>
        <v>0</v>
      </c>
      <c r="AM16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6" s="104">
        <f t="shared" si="6"/>
        <v>0</v>
      </c>
      <c r="AR166" s="9">
        <f t="shared" si="5"/>
        <v>0</v>
      </c>
      <c r="AS166" s="60">
        <f>IF(Tabla1[[#This Row],[MESES DE ADEUDO DEL AÑO EN CURSO ]]&gt;0,1,0)</f>
        <v>0</v>
      </c>
      <c r="AT166" s="42"/>
      <c r="AU166" s="42"/>
      <c r="AV166" s="42"/>
      <c r="AW166" s="43"/>
    </row>
    <row r="167" spans="1:49" ht="21.75" thickBot="1" x14ac:dyDescent="0.35">
      <c r="A167" s="109">
        <v>161</v>
      </c>
      <c r="B167" s="5" t="s">
        <v>372</v>
      </c>
      <c r="C167" s="2" t="s">
        <v>530</v>
      </c>
      <c r="D167" s="32"/>
      <c r="E167" s="35" t="s">
        <v>455</v>
      </c>
      <c r="F167" s="34">
        <v>45</v>
      </c>
      <c r="G167" s="34">
        <v>45</v>
      </c>
      <c r="H167" s="34">
        <v>45</v>
      </c>
      <c r="I167" s="34">
        <v>45</v>
      </c>
      <c r="J167" s="34">
        <v>45</v>
      </c>
      <c r="K167" s="34">
        <v>45</v>
      </c>
      <c r="L167" s="34">
        <v>45</v>
      </c>
      <c r="M167" s="34">
        <v>45</v>
      </c>
      <c r="N167" s="34">
        <v>45</v>
      </c>
      <c r="O167" s="34">
        <v>45</v>
      </c>
      <c r="P167" s="34">
        <v>45</v>
      </c>
      <c r="Q167" s="34">
        <v>45</v>
      </c>
      <c r="R167" s="24">
        <f>SUM(Tabla1[[#This Row],[ENERO ]:[DICIEMBRE]])</f>
        <v>540</v>
      </c>
      <c r="W167" s="65">
        <v>0</v>
      </c>
      <c r="X167" s="21">
        <f>COUNTIF(Tabla1[[#This Row],[ENERO ]:[DICIEMBRE]],0)-(AQ167)-IF(Tabla1[[#This Row],[BAJAS]]="BAJA",IF(Tabla1[[#This Row],[ALTAS]]="ALTA",VLOOKUP(Tabla1[[#This Row],[MES DE ALTA ]],$AT$6:$AU$17,2,FALSE),12)-VLOOKUP(Tabla1[[#This Row],[MES DE BAJA ]],$AT$6:$AU$17,2,FALSE),0)</f>
        <v>0</v>
      </c>
      <c r="Y167" s="69">
        <f>SUM(Tabla1[[#This Row],[MES ADEUDO DE AÑOS PASADOS ]:[MESES DE ADEUDO DEL AÑO EN CURSO ]])</f>
        <v>0</v>
      </c>
      <c r="Z167" s="15">
        <f>IF(Tabla1[[#This Row],[TIPO DE CONSUMIDOR]]="COMPLETO",W167*$T$2,W167*($T$2/2))</f>
        <v>0</v>
      </c>
      <c r="AA167" s="15">
        <f>IF(Tabla1[[#This Row],[TIPO DE CONSUMIDOR]]="COMPLETO",Tabla1[[#This Row],[MESES DE ADEUDO DEL AÑO EN CURSO ]]*$T$2,Tabla1[[#This Row],[MESES DE ADEUDO DEL AÑO EN CURSO ]]*($T$2/2))</f>
        <v>0</v>
      </c>
      <c r="AB167" s="70">
        <f>SUM(Tabla1[[#This Row],[DEUDA DE LOS MESES PASADOS EN $$]:[DEUDA DEL AÑO 2013 $$ ]])</f>
        <v>0</v>
      </c>
      <c r="AE167" s="103">
        <f>IF(Tabla1[[#This Row],[TIPO DE CONSUMIDOR]]="MEDIO",IF(Tabla1[[#This Row],[ENERO ]]&gt;22.5,Tabla1[[#This Row],[ENERO ]]/22.5-1,0),IF(Tabla1[[#This Row],[ENERO ]]&gt;45,Tabla1[[#This Row],[ENERO ]]/45-1,0))</f>
        <v>0</v>
      </c>
      <c r="AF16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7" s="103">
        <f>IF(Tabla1[[#This Row],[TIPO DE CONSUMIDOR]]="MEDIO",IF(Tabla1[[#This Row],[MARZO]]&gt;22.5,Tabla1[[#This Row],[MARZO]]/22.5-1,0),IF(Tabla1[[#This Row],[MARZO]]&gt;45,Tabla1[[#This Row],[MARZO]]/45-1,0))</f>
        <v>0</v>
      </c>
      <c r="AH167" s="103">
        <f>IF(Tabla1[[#This Row],[TIPO DE CONSUMIDOR]]="MEDIO",IF(Tabla1[[#This Row],[ABRIL]]&gt;22.5,Tabla1[[#This Row],[ABRIL]]/22.5-1,0),IF(Tabla1[[#This Row],[ABRIL]]&gt;45,Tabla1[[#This Row],[ABRIL]]/45-1,0))</f>
        <v>0</v>
      </c>
      <c r="AI167" s="103">
        <f>IF(Tabla1[[#This Row],[TIPO DE CONSUMIDOR]]="MEDIO",IF(Tabla1[[#This Row],[MAYO ]]&gt;22.5,Tabla1[[#This Row],[MAYO ]]/22.5-1,0),IF(Tabla1[[#This Row],[MAYO ]]&gt;45,Tabla1[[#This Row],[MAYO ]]/45-1,0))</f>
        <v>0</v>
      </c>
      <c r="AJ167" s="103">
        <f>IF(Tabla1[[#This Row],[TIPO DE CONSUMIDOR]]="MEDIO",IF(Tabla1[[#This Row],[JUNIO ]]&gt;22.5,Tabla1[[#This Row],[JUNIO ]]/22.5-1,0),IF(Tabla1[[#This Row],[JUNIO ]]&gt;45,Tabla1[[#This Row],[JUNIO ]]/45-1,0))</f>
        <v>0</v>
      </c>
      <c r="AK167" s="103">
        <f>IF(Tabla1[[#This Row],[TIPO DE CONSUMIDOR]]="MEDIO",IF(Tabla1[[#This Row],[JULIO ]]&gt;22.5,Tabla1[[#This Row],[JULIO ]]/22.5-1,0),IF(Tabla1[[#This Row],[JULIO ]]&gt;45,Tabla1[[#This Row],[JULIO ]]/45-1,0))</f>
        <v>0</v>
      </c>
      <c r="AL167" s="103">
        <f>IF(Tabla1[[#This Row],[TIPO DE CONSUMIDOR]]="MEDIO",IF(Tabla1[[#This Row],[AGOSTO]]&gt;22.5,Tabla1[[#This Row],[AGOSTO]]/22.5-1,0),IF(Tabla1[[#This Row],[AGOSTO]]&gt;45,Tabla1[[#This Row],[AGOSTO]]/45-1,0))</f>
        <v>0</v>
      </c>
      <c r="AM16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7" s="104">
        <f t="shared" si="6"/>
        <v>0</v>
      </c>
      <c r="AR167" s="9">
        <f t="shared" si="5"/>
        <v>0</v>
      </c>
      <c r="AS167" s="60">
        <f>IF(Tabla1[[#This Row],[MESES DE ADEUDO DEL AÑO EN CURSO ]]&gt;0,1,0)</f>
        <v>0</v>
      </c>
      <c r="AT167" s="42"/>
      <c r="AU167" s="42"/>
      <c r="AV167" s="42"/>
      <c r="AW167" s="43"/>
    </row>
    <row r="168" spans="1:49" ht="21.75" thickBot="1" x14ac:dyDescent="0.35">
      <c r="A168" s="109">
        <v>162</v>
      </c>
      <c r="B168" s="5" t="s">
        <v>385</v>
      </c>
      <c r="C168" s="2" t="s">
        <v>530</v>
      </c>
      <c r="D168" s="32"/>
      <c r="E168" s="35" t="s">
        <v>455</v>
      </c>
      <c r="F168" s="34">
        <v>45</v>
      </c>
      <c r="G168" s="34">
        <v>45</v>
      </c>
      <c r="H168" s="34">
        <v>45</v>
      </c>
      <c r="I168" s="34">
        <v>45</v>
      </c>
      <c r="J168" s="34">
        <v>45</v>
      </c>
      <c r="K168" s="34">
        <v>45</v>
      </c>
      <c r="L168" s="34">
        <v>45</v>
      </c>
      <c r="M168" s="34">
        <v>45</v>
      </c>
      <c r="N168" s="34">
        <v>45</v>
      </c>
      <c r="O168" s="34">
        <v>45</v>
      </c>
      <c r="P168" s="34">
        <v>45</v>
      </c>
      <c r="Q168" s="34">
        <v>45</v>
      </c>
      <c r="R168" s="24">
        <f>SUM(Tabla1[[#This Row],[ENERO ]:[DICIEMBRE]])</f>
        <v>540</v>
      </c>
      <c r="W168" s="65">
        <v>0</v>
      </c>
      <c r="X168" s="21">
        <f>COUNTIF(Tabla1[[#This Row],[ENERO ]:[DICIEMBRE]],0)-(AQ168)-IF(Tabla1[[#This Row],[BAJAS]]="BAJA",IF(Tabla1[[#This Row],[ALTAS]]="ALTA",VLOOKUP(Tabla1[[#This Row],[MES DE ALTA ]],$AT$6:$AU$17,2,FALSE),12)-VLOOKUP(Tabla1[[#This Row],[MES DE BAJA ]],$AT$6:$AU$17,2,FALSE),0)</f>
        <v>0</v>
      </c>
      <c r="Y168" s="69">
        <f>SUM(Tabla1[[#This Row],[MES ADEUDO DE AÑOS PASADOS ]:[MESES DE ADEUDO DEL AÑO EN CURSO ]])</f>
        <v>0</v>
      </c>
      <c r="Z168" s="15">
        <f>IF(Tabla1[[#This Row],[TIPO DE CONSUMIDOR]]="COMPLETO",W168*$T$2,W168*($T$2/2))</f>
        <v>0</v>
      </c>
      <c r="AA168" s="15">
        <f>IF(Tabla1[[#This Row],[TIPO DE CONSUMIDOR]]="COMPLETO",Tabla1[[#This Row],[MESES DE ADEUDO DEL AÑO EN CURSO ]]*$T$2,Tabla1[[#This Row],[MESES DE ADEUDO DEL AÑO EN CURSO ]]*($T$2/2))</f>
        <v>0</v>
      </c>
      <c r="AB168" s="70">
        <f>SUM(Tabla1[[#This Row],[DEUDA DE LOS MESES PASADOS EN $$]:[DEUDA DEL AÑO 2013 $$ ]])</f>
        <v>0</v>
      </c>
      <c r="AE168" s="103">
        <f>IF(Tabla1[[#This Row],[TIPO DE CONSUMIDOR]]="MEDIO",IF(Tabla1[[#This Row],[ENERO ]]&gt;22.5,Tabla1[[#This Row],[ENERO ]]/22.5-1,0),IF(Tabla1[[#This Row],[ENERO ]]&gt;45,Tabla1[[#This Row],[ENERO ]]/45-1,0))</f>
        <v>0</v>
      </c>
      <c r="AF16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8" s="103">
        <f>IF(Tabla1[[#This Row],[TIPO DE CONSUMIDOR]]="MEDIO",IF(Tabla1[[#This Row],[MARZO]]&gt;22.5,Tabla1[[#This Row],[MARZO]]/22.5-1,0),IF(Tabla1[[#This Row],[MARZO]]&gt;45,Tabla1[[#This Row],[MARZO]]/45-1,0))</f>
        <v>0</v>
      </c>
      <c r="AH168" s="103">
        <f>IF(Tabla1[[#This Row],[TIPO DE CONSUMIDOR]]="MEDIO",IF(Tabla1[[#This Row],[ABRIL]]&gt;22.5,Tabla1[[#This Row],[ABRIL]]/22.5-1,0),IF(Tabla1[[#This Row],[ABRIL]]&gt;45,Tabla1[[#This Row],[ABRIL]]/45-1,0))</f>
        <v>0</v>
      </c>
      <c r="AI168" s="103">
        <f>IF(Tabla1[[#This Row],[TIPO DE CONSUMIDOR]]="MEDIO",IF(Tabla1[[#This Row],[MAYO ]]&gt;22.5,Tabla1[[#This Row],[MAYO ]]/22.5-1,0),IF(Tabla1[[#This Row],[MAYO ]]&gt;45,Tabla1[[#This Row],[MAYO ]]/45-1,0))</f>
        <v>0</v>
      </c>
      <c r="AJ168" s="103">
        <f>IF(Tabla1[[#This Row],[TIPO DE CONSUMIDOR]]="MEDIO",IF(Tabla1[[#This Row],[JUNIO ]]&gt;22.5,Tabla1[[#This Row],[JUNIO ]]/22.5-1,0),IF(Tabla1[[#This Row],[JUNIO ]]&gt;45,Tabla1[[#This Row],[JUNIO ]]/45-1,0))</f>
        <v>0</v>
      </c>
      <c r="AK168" s="103">
        <f>IF(Tabla1[[#This Row],[TIPO DE CONSUMIDOR]]="MEDIO",IF(Tabla1[[#This Row],[JULIO ]]&gt;22.5,Tabla1[[#This Row],[JULIO ]]/22.5-1,0),IF(Tabla1[[#This Row],[JULIO ]]&gt;45,Tabla1[[#This Row],[JULIO ]]/45-1,0))</f>
        <v>0</v>
      </c>
      <c r="AL168" s="103">
        <f>IF(Tabla1[[#This Row],[TIPO DE CONSUMIDOR]]="MEDIO",IF(Tabla1[[#This Row],[AGOSTO]]&gt;22.5,Tabla1[[#This Row],[AGOSTO]]/22.5-1,0),IF(Tabla1[[#This Row],[AGOSTO]]&gt;45,Tabla1[[#This Row],[AGOSTO]]/45-1,0))</f>
        <v>0</v>
      </c>
      <c r="AM16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8" s="104">
        <f t="shared" si="6"/>
        <v>0</v>
      </c>
      <c r="AR168" s="9">
        <f t="shared" si="5"/>
        <v>0</v>
      </c>
      <c r="AS168" s="60">
        <f>IF(Tabla1[[#This Row],[MESES DE ADEUDO DEL AÑO EN CURSO ]]&gt;0,1,0)</f>
        <v>0</v>
      </c>
      <c r="AT168" s="42"/>
      <c r="AU168" s="42"/>
      <c r="AV168" s="42"/>
      <c r="AW168" s="43"/>
    </row>
    <row r="169" spans="1:49" ht="21.75" thickBot="1" x14ac:dyDescent="0.35">
      <c r="A169" s="109">
        <v>163</v>
      </c>
      <c r="B169" s="5" t="s">
        <v>367</v>
      </c>
      <c r="C169" s="2" t="s">
        <v>530</v>
      </c>
      <c r="D169" s="32"/>
      <c r="E169" s="35" t="s">
        <v>455</v>
      </c>
      <c r="F169" s="34">
        <v>45</v>
      </c>
      <c r="G169" s="34">
        <v>45</v>
      </c>
      <c r="H169" s="34">
        <v>45</v>
      </c>
      <c r="I169" s="34">
        <v>45</v>
      </c>
      <c r="J169" s="34">
        <v>45</v>
      </c>
      <c r="K169" s="34">
        <v>45</v>
      </c>
      <c r="L169" s="34">
        <v>45</v>
      </c>
      <c r="M169" s="34">
        <v>45</v>
      </c>
      <c r="N169" s="34">
        <v>45</v>
      </c>
      <c r="O169" s="34">
        <v>45</v>
      </c>
      <c r="P169" s="34">
        <v>45</v>
      </c>
      <c r="Q169" s="34">
        <v>45</v>
      </c>
      <c r="R169" s="58">
        <f>SUM(Tabla1[[#This Row],[ENERO ]:[DICIEMBRE]])</f>
        <v>540</v>
      </c>
      <c r="W169" s="65">
        <v>0</v>
      </c>
      <c r="X169" s="21">
        <f>COUNTIF(Tabla1[[#This Row],[ENERO ]:[DICIEMBRE]],0)-(AQ169)-IF(Tabla1[[#This Row],[BAJAS]]="BAJA",IF(Tabla1[[#This Row],[ALTAS]]="ALTA",VLOOKUP(Tabla1[[#This Row],[MES DE ALTA ]],$AT$6:$AU$17,2,FALSE),12)-VLOOKUP(Tabla1[[#This Row],[MES DE BAJA ]],$AT$6:$AU$17,2,FALSE),0)</f>
        <v>0</v>
      </c>
      <c r="Y169" s="69">
        <f>SUM(Tabla1[[#This Row],[MES ADEUDO DE AÑOS PASADOS ]:[MESES DE ADEUDO DEL AÑO EN CURSO ]])</f>
        <v>0</v>
      </c>
      <c r="Z169" s="15">
        <f>IF(Tabla1[[#This Row],[TIPO DE CONSUMIDOR]]="COMPLETO",W169*$T$2,W169*($T$2/2))</f>
        <v>0</v>
      </c>
      <c r="AA169" s="15">
        <f>IF(Tabla1[[#This Row],[TIPO DE CONSUMIDOR]]="COMPLETO",Tabla1[[#This Row],[MESES DE ADEUDO DEL AÑO EN CURSO ]]*$T$2,Tabla1[[#This Row],[MESES DE ADEUDO DEL AÑO EN CURSO ]]*($T$2/2))</f>
        <v>0</v>
      </c>
      <c r="AB169" s="70">
        <f>SUM(Tabla1[[#This Row],[DEUDA DE LOS MESES PASADOS EN $$]:[DEUDA DEL AÑO 2013 $$ ]])</f>
        <v>0</v>
      </c>
      <c r="AE169" s="103">
        <f>IF(Tabla1[[#This Row],[TIPO DE CONSUMIDOR]]="MEDIO",IF(Tabla1[[#This Row],[ENERO ]]&gt;22.5,Tabla1[[#This Row],[ENERO ]]/22.5-1,0),IF(Tabla1[[#This Row],[ENERO ]]&gt;45,Tabla1[[#This Row],[ENERO ]]/45-1,0))</f>
        <v>0</v>
      </c>
      <c r="AF16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69" s="103">
        <f>IF(Tabla1[[#This Row],[TIPO DE CONSUMIDOR]]="MEDIO",IF(Tabla1[[#This Row],[MARZO]]&gt;22.5,Tabla1[[#This Row],[MARZO]]/22.5-1,0),IF(Tabla1[[#This Row],[MARZO]]&gt;45,Tabla1[[#This Row],[MARZO]]/45-1,0))</f>
        <v>0</v>
      </c>
      <c r="AH169" s="103">
        <f>IF(Tabla1[[#This Row],[TIPO DE CONSUMIDOR]]="MEDIO",IF(Tabla1[[#This Row],[ABRIL]]&gt;22.5,Tabla1[[#This Row],[ABRIL]]/22.5-1,0),IF(Tabla1[[#This Row],[ABRIL]]&gt;45,Tabla1[[#This Row],[ABRIL]]/45-1,0))</f>
        <v>0</v>
      </c>
      <c r="AI169" s="103">
        <f>IF(Tabla1[[#This Row],[TIPO DE CONSUMIDOR]]="MEDIO",IF(Tabla1[[#This Row],[MAYO ]]&gt;22.5,Tabla1[[#This Row],[MAYO ]]/22.5-1,0),IF(Tabla1[[#This Row],[MAYO ]]&gt;45,Tabla1[[#This Row],[MAYO ]]/45-1,0))</f>
        <v>0</v>
      </c>
      <c r="AJ169" s="103">
        <f>IF(Tabla1[[#This Row],[TIPO DE CONSUMIDOR]]="MEDIO",IF(Tabla1[[#This Row],[JUNIO ]]&gt;22.5,Tabla1[[#This Row],[JUNIO ]]/22.5-1,0),IF(Tabla1[[#This Row],[JUNIO ]]&gt;45,Tabla1[[#This Row],[JUNIO ]]/45-1,0))</f>
        <v>0</v>
      </c>
      <c r="AK169" s="103">
        <f>IF(Tabla1[[#This Row],[TIPO DE CONSUMIDOR]]="MEDIO",IF(Tabla1[[#This Row],[JULIO ]]&gt;22.5,Tabla1[[#This Row],[JULIO ]]/22.5-1,0),IF(Tabla1[[#This Row],[JULIO ]]&gt;45,Tabla1[[#This Row],[JULIO ]]/45-1,0))</f>
        <v>0</v>
      </c>
      <c r="AL169" s="103">
        <f>IF(Tabla1[[#This Row],[TIPO DE CONSUMIDOR]]="MEDIO",IF(Tabla1[[#This Row],[AGOSTO]]&gt;22.5,Tabla1[[#This Row],[AGOSTO]]/22.5-1,0),IF(Tabla1[[#This Row],[AGOSTO]]&gt;45,Tabla1[[#This Row],[AGOSTO]]/45-1,0))</f>
        <v>0</v>
      </c>
      <c r="AM16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6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6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6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69" s="104">
        <f t="shared" si="6"/>
        <v>0</v>
      </c>
      <c r="AR169" s="9">
        <f t="shared" si="5"/>
        <v>0</v>
      </c>
      <c r="AS169" s="60">
        <f>IF(Tabla1[[#This Row],[MESES DE ADEUDO DEL AÑO EN CURSO ]]&gt;0,1,0)</f>
        <v>0</v>
      </c>
      <c r="AT169" s="42"/>
      <c r="AU169" s="42"/>
      <c r="AV169" s="42"/>
      <c r="AW169" s="43"/>
    </row>
    <row r="170" spans="1:49" ht="21.75" thickBot="1" x14ac:dyDescent="0.35">
      <c r="A170" s="109">
        <v>164</v>
      </c>
      <c r="B170" s="5" t="s">
        <v>420</v>
      </c>
      <c r="C170" s="2" t="s">
        <v>530</v>
      </c>
      <c r="D170" s="32"/>
      <c r="E170" s="35" t="s">
        <v>455</v>
      </c>
      <c r="F170" s="34">
        <v>45</v>
      </c>
      <c r="G170" s="34">
        <v>45</v>
      </c>
      <c r="H170" s="34">
        <v>45</v>
      </c>
      <c r="I170" s="34">
        <v>45</v>
      </c>
      <c r="J170" s="34">
        <v>45</v>
      </c>
      <c r="K170" s="34">
        <v>45</v>
      </c>
      <c r="L170" s="34">
        <v>45</v>
      </c>
      <c r="M170" s="34">
        <v>45</v>
      </c>
      <c r="N170" s="34">
        <v>45</v>
      </c>
      <c r="O170" s="34">
        <v>45</v>
      </c>
      <c r="P170" s="34">
        <v>45</v>
      </c>
      <c r="Q170" s="34">
        <v>45</v>
      </c>
      <c r="R170" s="24">
        <f>SUM(Tabla1[[#This Row],[ENERO ]:[DICIEMBRE]])</f>
        <v>540</v>
      </c>
      <c r="W170" s="65">
        <v>0</v>
      </c>
      <c r="X170" s="21">
        <f>COUNTIF(Tabla1[[#This Row],[ENERO ]:[DICIEMBRE]],0)-(AQ170)-IF(Tabla1[[#This Row],[BAJAS]]="BAJA",IF(Tabla1[[#This Row],[ALTAS]]="ALTA",VLOOKUP(Tabla1[[#This Row],[MES DE ALTA ]],$AT$6:$AU$17,2,FALSE),12)-VLOOKUP(Tabla1[[#This Row],[MES DE BAJA ]],$AT$6:$AU$17,2,FALSE),0)</f>
        <v>0</v>
      </c>
      <c r="Y170" s="69">
        <f>SUM(Tabla1[[#This Row],[MES ADEUDO DE AÑOS PASADOS ]:[MESES DE ADEUDO DEL AÑO EN CURSO ]])</f>
        <v>0</v>
      </c>
      <c r="Z170" s="15">
        <f>IF(Tabla1[[#This Row],[TIPO DE CONSUMIDOR]]="COMPLETO",W170*$T$2,W170*($T$2/2))</f>
        <v>0</v>
      </c>
      <c r="AA170" s="15">
        <f>IF(Tabla1[[#This Row],[TIPO DE CONSUMIDOR]]="COMPLETO",Tabla1[[#This Row],[MESES DE ADEUDO DEL AÑO EN CURSO ]]*$T$2,Tabla1[[#This Row],[MESES DE ADEUDO DEL AÑO EN CURSO ]]*($T$2/2))</f>
        <v>0</v>
      </c>
      <c r="AB170" s="70">
        <f>SUM(Tabla1[[#This Row],[DEUDA DE LOS MESES PASADOS EN $$]:[DEUDA DEL AÑO 2013 $$ ]])</f>
        <v>0</v>
      </c>
      <c r="AE170" s="103">
        <f>IF(Tabla1[[#This Row],[TIPO DE CONSUMIDOR]]="MEDIO",IF(Tabla1[[#This Row],[ENERO ]]&gt;22.5,Tabla1[[#This Row],[ENERO ]]/22.5-1,0),IF(Tabla1[[#This Row],[ENERO ]]&gt;45,Tabla1[[#This Row],[ENERO ]]/45-1,0))</f>
        <v>0</v>
      </c>
      <c r="AF17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0" s="103">
        <f>IF(Tabla1[[#This Row],[TIPO DE CONSUMIDOR]]="MEDIO",IF(Tabla1[[#This Row],[MARZO]]&gt;22.5,Tabla1[[#This Row],[MARZO]]/22.5-1,0),IF(Tabla1[[#This Row],[MARZO]]&gt;45,Tabla1[[#This Row],[MARZO]]/45-1,0))</f>
        <v>0</v>
      </c>
      <c r="AH170" s="103">
        <f>IF(Tabla1[[#This Row],[TIPO DE CONSUMIDOR]]="MEDIO",IF(Tabla1[[#This Row],[ABRIL]]&gt;22.5,Tabla1[[#This Row],[ABRIL]]/22.5-1,0),IF(Tabla1[[#This Row],[ABRIL]]&gt;45,Tabla1[[#This Row],[ABRIL]]/45-1,0))</f>
        <v>0</v>
      </c>
      <c r="AI170" s="103">
        <f>IF(Tabla1[[#This Row],[TIPO DE CONSUMIDOR]]="MEDIO",IF(Tabla1[[#This Row],[MAYO ]]&gt;22.5,Tabla1[[#This Row],[MAYO ]]/22.5-1,0),IF(Tabla1[[#This Row],[MAYO ]]&gt;45,Tabla1[[#This Row],[MAYO ]]/45-1,0))</f>
        <v>0</v>
      </c>
      <c r="AJ170" s="103">
        <f>IF(Tabla1[[#This Row],[TIPO DE CONSUMIDOR]]="MEDIO",IF(Tabla1[[#This Row],[JUNIO ]]&gt;22.5,Tabla1[[#This Row],[JUNIO ]]/22.5-1,0),IF(Tabla1[[#This Row],[JUNIO ]]&gt;45,Tabla1[[#This Row],[JUNIO ]]/45-1,0))</f>
        <v>0</v>
      </c>
      <c r="AK170" s="103">
        <f>IF(Tabla1[[#This Row],[TIPO DE CONSUMIDOR]]="MEDIO",IF(Tabla1[[#This Row],[JULIO ]]&gt;22.5,Tabla1[[#This Row],[JULIO ]]/22.5-1,0),IF(Tabla1[[#This Row],[JULIO ]]&gt;45,Tabla1[[#This Row],[JULIO ]]/45-1,0))</f>
        <v>0</v>
      </c>
      <c r="AL170" s="103">
        <f>IF(Tabla1[[#This Row],[TIPO DE CONSUMIDOR]]="MEDIO",IF(Tabla1[[#This Row],[AGOSTO]]&gt;22.5,Tabla1[[#This Row],[AGOSTO]]/22.5-1,0),IF(Tabla1[[#This Row],[AGOSTO]]&gt;45,Tabla1[[#This Row],[AGOSTO]]/45-1,0))</f>
        <v>0</v>
      </c>
      <c r="AM17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0" s="104">
        <f t="shared" si="6"/>
        <v>0</v>
      </c>
      <c r="AR170" s="9">
        <f t="shared" si="5"/>
        <v>0</v>
      </c>
      <c r="AS170" s="60">
        <f>IF(Tabla1[[#This Row],[MESES DE ADEUDO DEL AÑO EN CURSO ]]&gt;0,1,0)</f>
        <v>0</v>
      </c>
      <c r="AT170" s="42"/>
      <c r="AU170" s="42"/>
      <c r="AV170" s="42"/>
      <c r="AW170" s="43"/>
    </row>
    <row r="171" spans="1:49" ht="21.75" thickBot="1" x14ac:dyDescent="0.35">
      <c r="A171" s="109">
        <v>165</v>
      </c>
      <c r="B171" s="5" t="s">
        <v>409</v>
      </c>
      <c r="C171" s="2" t="s">
        <v>530</v>
      </c>
      <c r="D171" s="32"/>
      <c r="E171" s="35" t="s">
        <v>455</v>
      </c>
      <c r="F171" s="34">
        <v>45</v>
      </c>
      <c r="G171" s="34">
        <v>45</v>
      </c>
      <c r="H171" s="34">
        <v>45</v>
      </c>
      <c r="I171" s="34">
        <v>45</v>
      </c>
      <c r="J171" s="34">
        <v>45</v>
      </c>
      <c r="K171" s="34">
        <v>45</v>
      </c>
      <c r="L171" s="34">
        <v>45</v>
      </c>
      <c r="M171" s="34">
        <v>45</v>
      </c>
      <c r="N171" s="34">
        <v>45</v>
      </c>
      <c r="O171" s="34">
        <v>45</v>
      </c>
      <c r="P171" s="34">
        <v>45</v>
      </c>
      <c r="Q171" s="34">
        <v>45</v>
      </c>
      <c r="R171" s="24">
        <f>SUM(Tabla1[[#This Row],[ENERO ]:[DICIEMBRE]])</f>
        <v>540</v>
      </c>
      <c r="W171" s="65">
        <v>0</v>
      </c>
      <c r="X171" s="21">
        <f>COUNTIF(Tabla1[[#This Row],[ENERO ]:[DICIEMBRE]],0)-(AQ171)-IF(Tabla1[[#This Row],[BAJAS]]="BAJA",IF(Tabla1[[#This Row],[ALTAS]]="ALTA",VLOOKUP(Tabla1[[#This Row],[MES DE ALTA ]],$AT$6:$AU$17,2,FALSE),12)-VLOOKUP(Tabla1[[#This Row],[MES DE BAJA ]],$AT$6:$AU$17,2,FALSE),0)</f>
        <v>0</v>
      </c>
      <c r="Y171" s="69">
        <f>SUM(Tabla1[[#This Row],[MES ADEUDO DE AÑOS PASADOS ]:[MESES DE ADEUDO DEL AÑO EN CURSO ]])</f>
        <v>0</v>
      </c>
      <c r="Z171" s="15">
        <f>IF(Tabla1[[#This Row],[TIPO DE CONSUMIDOR]]="COMPLETO",W171*$T$2,W171*($T$2/2))</f>
        <v>0</v>
      </c>
      <c r="AA171" s="15">
        <f>IF(Tabla1[[#This Row],[TIPO DE CONSUMIDOR]]="COMPLETO",Tabla1[[#This Row],[MESES DE ADEUDO DEL AÑO EN CURSO ]]*$T$2,Tabla1[[#This Row],[MESES DE ADEUDO DEL AÑO EN CURSO ]]*($T$2/2))</f>
        <v>0</v>
      </c>
      <c r="AB171" s="70">
        <f>SUM(Tabla1[[#This Row],[DEUDA DE LOS MESES PASADOS EN $$]:[DEUDA DEL AÑO 2013 $$ ]])</f>
        <v>0</v>
      </c>
      <c r="AE171" s="103">
        <f>IF(Tabla1[[#This Row],[TIPO DE CONSUMIDOR]]="MEDIO",IF(Tabla1[[#This Row],[ENERO ]]&gt;22.5,Tabla1[[#This Row],[ENERO ]]/22.5-1,0),IF(Tabla1[[#This Row],[ENERO ]]&gt;45,Tabla1[[#This Row],[ENERO ]]/45-1,0))</f>
        <v>0</v>
      </c>
      <c r="AF17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1" s="103">
        <f>IF(Tabla1[[#This Row],[TIPO DE CONSUMIDOR]]="MEDIO",IF(Tabla1[[#This Row],[MARZO]]&gt;22.5,Tabla1[[#This Row],[MARZO]]/22.5-1,0),IF(Tabla1[[#This Row],[MARZO]]&gt;45,Tabla1[[#This Row],[MARZO]]/45-1,0))</f>
        <v>0</v>
      </c>
      <c r="AH171" s="103">
        <f>IF(Tabla1[[#This Row],[TIPO DE CONSUMIDOR]]="MEDIO",IF(Tabla1[[#This Row],[ABRIL]]&gt;22.5,Tabla1[[#This Row],[ABRIL]]/22.5-1,0),IF(Tabla1[[#This Row],[ABRIL]]&gt;45,Tabla1[[#This Row],[ABRIL]]/45-1,0))</f>
        <v>0</v>
      </c>
      <c r="AI171" s="103">
        <f>IF(Tabla1[[#This Row],[TIPO DE CONSUMIDOR]]="MEDIO",IF(Tabla1[[#This Row],[MAYO ]]&gt;22.5,Tabla1[[#This Row],[MAYO ]]/22.5-1,0),IF(Tabla1[[#This Row],[MAYO ]]&gt;45,Tabla1[[#This Row],[MAYO ]]/45-1,0))</f>
        <v>0</v>
      </c>
      <c r="AJ171" s="103">
        <f>IF(Tabla1[[#This Row],[TIPO DE CONSUMIDOR]]="MEDIO",IF(Tabla1[[#This Row],[JUNIO ]]&gt;22.5,Tabla1[[#This Row],[JUNIO ]]/22.5-1,0),IF(Tabla1[[#This Row],[JUNIO ]]&gt;45,Tabla1[[#This Row],[JUNIO ]]/45-1,0))</f>
        <v>0</v>
      </c>
      <c r="AK171" s="103">
        <f>IF(Tabla1[[#This Row],[TIPO DE CONSUMIDOR]]="MEDIO",IF(Tabla1[[#This Row],[JULIO ]]&gt;22.5,Tabla1[[#This Row],[JULIO ]]/22.5-1,0),IF(Tabla1[[#This Row],[JULIO ]]&gt;45,Tabla1[[#This Row],[JULIO ]]/45-1,0))</f>
        <v>0</v>
      </c>
      <c r="AL171" s="103">
        <f>IF(Tabla1[[#This Row],[TIPO DE CONSUMIDOR]]="MEDIO",IF(Tabla1[[#This Row],[AGOSTO]]&gt;22.5,Tabla1[[#This Row],[AGOSTO]]/22.5-1,0),IF(Tabla1[[#This Row],[AGOSTO]]&gt;45,Tabla1[[#This Row],[AGOSTO]]/45-1,0))</f>
        <v>0</v>
      </c>
      <c r="AM17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1" s="104">
        <f t="shared" si="6"/>
        <v>0</v>
      </c>
      <c r="AR171" s="9">
        <f t="shared" si="5"/>
        <v>0</v>
      </c>
      <c r="AS171" s="60">
        <f>IF(Tabla1[[#This Row],[MESES DE ADEUDO DEL AÑO EN CURSO ]]&gt;0,1,0)</f>
        <v>0</v>
      </c>
      <c r="AT171" s="42"/>
      <c r="AU171" s="42"/>
      <c r="AV171" s="42"/>
      <c r="AW171" s="43"/>
    </row>
    <row r="172" spans="1:49" ht="21.75" customHeight="1" thickBot="1" x14ac:dyDescent="0.35">
      <c r="A172" s="109">
        <v>166</v>
      </c>
      <c r="B172" s="5" t="s">
        <v>418</v>
      </c>
      <c r="C172" s="2" t="s">
        <v>530</v>
      </c>
      <c r="D172" s="32"/>
      <c r="E172" s="35" t="s">
        <v>455</v>
      </c>
      <c r="F172" s="34">
        <v>45</v>
      </c>
      <c r="G172" s="34">
        <v>45</v>
      </c>
      <c r="H172" s="34">
        <v>45</v>
      </c>
      <c r="I172" s="34">
        <v>45</v>
      </c>
      <c r="J172" s="34">
        <v>45</v>
      </c>
      <c r="K172" s="34">
        <v>45</v>
      </c>
      <c r="L172" s="34">
        <v>45</v>
      </c>
      <c r="M172" s="34">
        <v>45</v>
      </c>
      <c r="N172" s="34">
        <v>45</v>
      </c>
      <c r="O172" s="34">
        <v>45</v>
      </c>
      <c r="P172" s="34">
        <v>45</v>
      </c>
      <c r="Q172" s="34">
        <v>45</v>
      </c>
      <c r="R172" s="58">
        <f>SUM(Tabla1[[#This Row],[ENERO ]:[DICIEMBRE]])</f>
        <v>540</v>
      </c>
      <c r="W172" s="65">
        <v>0</v>
      </c>
      <c r="X172" s="21">
        <f>COUNTIF(Tabla1[[#This Row],[ENERO ]:[DICIEMBRE]],0)-(AQ172)-IF(Tabla1[[#This Row],[BAJAS]]="BAJA",IF(Tabla1[[#This Row],[ALTAS]]="ALTA",VLOOKUP(Tabla1[[#This Row],[MES DE ALTA ]],$AT$6:$AU$17,2,FALSE),12)-VLOOKUP(Tabla1[[#This Row],[MES DE BAJA ]],$AT$6:$AU$17,2,FALSE),0)</f>
        <v>0</v>
      </c>
      <c r="Y172" s="69">
        <f>SUM(Tabla1[[#This Row],[MES ADEUDO DE AÑOS PASADOS ]:[MESES DE ADEUDO DEL AÑO EN CURSO ]])</f>
        <v>0</v>
      </c>
      <c r="Z172" s="15">
        <f>IF(Tabla1[[#This Row],[TIPO DE CONSUMIDOR]]="COMPLETO",W172*$T$2,W172*($T$2/2))</f>
        <v>0</v>
      </c>
      <c r="AA172" s="15">
        <f>IF(Tabla1[[#This Row],[TIPO DE CONSUMIDOR]]="COMPLETO",Tabla1[[#This Row],[MESES DE ADEUDO DEL AÑO EN CURSO ]]*$T$2,Tabla1[[#This Row],[MESES DE ADEUDO DEL AÑO EN CURSO ]]*($T$2/2))</f>
        <v>0</v>
      </c>
      <c r="AB172" s="70">
        <f>SUM(Tabla1[[#This Row],[DEUDA DE LOS MESES PASADOS EN $$]:[DEUDA DEL AÑO 2013 $$ ]])</f>
        <v>0</v>
      </c>
      <c r="AE172" s="103">
        <f>IF(Tabla1[[#This Row],[TIPO DE CONSUMIDOR]]="MEDIO",IF(Tabla1[[#This Row],[ENERO ]]&gt;22.5,Tabla1[[#This Row],[ENERO ]]/22.5-1,0),IF(Tabla1[[#This Row],[ENERO ]]&gt;45,Tabla1[[#This Row],[ENERO ]]/45-1,0))</f>
        <v>0</v>
      </c>
      <c r="AF17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2" s="103">
        <f>IF(Tabla1[[#This Row],[TIPO DE CONSUMIDOR]]="MEDIO",IF(Tabla1[[#This Row],[MARZO]]&gt;22.5,Tabla1[[#This Row],[MARZO]]/22.5-1,0),IF(Tabla1[[#This Row],[MARZO]]&gt;45,Tabla1[[#This Row],[MARZO]]/45-1,0))</f>
        <v>0</v>
      </c>
      <c r="AH172" s="103">
        <f>IF(Tabla1[[#This Row],[TIPO DE CONSUMIDOR]]="MEDIO",IF(Tabla1[[#This Row],[ABRIL]]&gt;22.5,Tabla1[[#This Row],[ABRIL]]/22.5-1,0),IF(Tabla1[[#This Row],[ABRIL]]&gt;45,Tabla1[[#This Row],[ABRIL]]/45-1,0))</f>
        <v>0</v>
      </c>
      <c r="AI172" s="103">
        <f>IF(Tabla1[[#This Row],[TIPO DE CONSUMIDOR]]="MEDIO",IF(Tabla1[[#This Row],[MAYO ]]&gt;22.5,Tabla1[[#This Row],[MAYO ]]/22.5-1,0),IF(Tabla1[[#This Row],[MAYO ]]&gt;45,Tabla1[[#This Row],[MAYO ]]/45-1,0))</f>
        <v>0</v>
      </c>
      <c r="AJ172" s="103">
        <f>IF(Tabla1[[#This Row],[TIPO DE CONSUMIDOR]]="MEDIO",IF(Tabla1[[#This Row],[JUNIO ]]&gt;22.5,Tabla1[[#This Row],[JUNIO ]]/22.5-1,0),IF(Tabla1[[#This Row],[JUNIO ]]&gt;45,Tabla1[[#This Row],[JUNIO ]]/45-1,0))</f>
        <v>0</v>
      </c>
      <c r="AK172" s="103">
        <f>IF(Tabla1[[#This Row],[TIPO DE CONSUMIDOR]]="MEDIO",IF(Tabla1[[#This Row],[JULIO ]]&gt;22.5,Tabla1[[#This Row],[JULIO ]]/22.5-1,0),IF(Tabla1[[#This Row],[JULIO ]]&gt;45,Tabla1[[#This Row],[JULIO ]]/45-1,0))</f>
        <v>0</v>
      </c>
      <c r="AL172" s="103">
        <f>IF(Tabla1[[#This Row],[TIPO DE CONSUMIDOR]]="MEDIO",IF(Tabla1[[#This Row],[AGOSTO]]&gt;22.5,Tabla1[[#This Row],[AGOSTO]]/22.5-1,0),IF(Tabla1[[#This Row],[AGOSTO]]&gt;45,Tabla1[[#This Row],[AGOSTO]]/45-1,0))</f>
        <v>0</v>
      </c>
      <c r="AM17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2" s="104">
        <f t="shared" si="6"/>
        <v>0</v>
      </c>
      <c r="AR172" s="9">
        <f t="shared" si="5"/>
        <v>0</v>
      </c>
      <c r="AS172" s="60">
        <f>IF(Tabla1[[#This Row],[MESES DE ADEUDO DEL AÑO EN CURSO ]]&gt;0,1,0)</f>
        <v>0</v>
      </c>
      <c r="AT172" s="42"/>
      <c r="AU172" s="42"/>
      <c r="AV172" s="42"/>
      <c r="AW172" s="43"/>
    </row>
    <row r="173" spans="1:49" ht="21.75" customHeight="1" thickBot="1" x14ac:dyDescent="0.3">
      <c r="A173" s="109">
        <v>167</v>
      </c>
      <c r="B173" s="48" t="s">
        <v>544</v>
      </c>
      <c r="C173" s="2" t="s">
        <v>530</v>
      </c>
      <c r="D173" s="32"/>
      <c r="E173" s="35" t="s">
        <v>455</v>
      </c>
      <c r="F173" s="34">
        <v>45</v>
      </c>
      <c r="G173" s="34">
        <v>45</v>
      </c>
      <c r="H173" s="34">
        <v>45</v>
      </c>
      <c r="I173" s="34">
        <v>45</v>
      </c>
      <c r="J173" s="34">
        <v>45</v>
      </c>
      <c r="K173" s="34">
        <v>45</v>
      </c>
      <c r="L173" s="34">
        <v>45</v>
      </c>
      <c r="M173" s="34">
        <v>45</v>
      </c>
      <c r="N173" s="34">
        <v>45</v>
      </c>
      <c r="O173" s="34">
        <v>45</v>
      </c>
      <c r="P173" s="34">
        <v>45</v>
      </c>
      <c r="Q173" s="34">
        <v>45</v>
      </c>
      <c r="R173" s="24">
        <f>SUM(Tabla1[[#This Row],[ENERO ]:[DICIEMBRE]])</f>
        <v>540</v>
      </c>
      <c r="W173" s="65">
        <v>0</v>
      </c>
      <c r="X173" s="21">
        <f>COUNTIF(Tabla1[[#This Row],[ENERO ]:[DICIEMBRE]],0)-(AQ173)-IF(Tabla1[[#This Row],[BAJAS]]="BAJA",IF(Tabla1[[#This Row],[ALTAS]]="ALTA",VLOOKUP(Tabla1[[#This Row],[MES DE ALTA ]],$AT$6:$AU$17,2,FALSE),12)-VLOOKUP(Tabla1[[#This Row],[MES DE BAJA ]],$AT$6:$AU$17,2,FALSE),0)</f>
        <v>0</v>
      </c>
      <c r="Y173" s="69">
        <f>SUM(Tabla1[[#This Row],[MES ADEUDO DE AÑOS PASADOS ]:[MESES DE ADEUDO DEL AÑO EN CURSO ]])</f>
        <v>0</v>
      </c>
      <c r="Z173" s="15">
        <f>IF(Tabla1[[#This Row],[TIPO DE CONSUMIDOR]]="COMPLETO",W173*$T$2,W173*($T$2/2))</f>
        <v>0</v>
      </c>
      <c r="AA173" s="15">
        <f>IF(Tabla1[[#This Row],[TIPO DE CONSUMIDOR]]="COMPLETO",Tabla1[[#This Row],[MESES DE ADEUDO DEL AÑO EN CURSO ]]*$T$2,Tabla1[[#This Row],[MESES DE ADEUDO DEL AÑO EN CURSO ]]*($T$2/2))</f>
        <v>0</v>
      </c>
      <c r="AB173" s="70">
        <f>SUM(Tabla1[[#This Row],[DEUDA DE LOS MESES PASADOS EN $$]:[DEUDA DEL AÑO 2013 $$ ]])</f>
        <v>0</v>
      </c>
      <c r="AE173" s="103">
        <f>IF(Tabla1[[#This Row],[TIPO DE CONSUMIDOR]]="MEDIO",IF(Tabla1[[#This Row],[ENERO ]]&gt;22.5,Tabla1[[#This Row],[ENERO ]]/22.5-1,0),IF(Tabla1[[#This Row],[ENERO ]]&gt;45,Tabla1[[#This Row],[ENERO ]]/45-1,0))</f>
        <v>0</v>
      </c>
      <c r="AF17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3" s="103">
        <f>IF(Tabla1[[#This Row],[TIPO DE CONSUMIDOR]]="MEDIO",IF(Tabla1[[#This Row],[MARZO]]&gt;22.5,Tabla1[[#This Row],[MARZO]]/22.5-1,0),IF(Tabla1[[#This Row],[MARZO]]&gt;45,Tabla1[[#This Row],[MARZO]]/45-1,0))</f>
        <v>0</v>
      </c>
      <c r="AH173" s="103">
        <f>IF(Tabla1[[#This Row],[TIPO DE CONSUMIDOR]]="MEDIO",IF(Tabla1[[#This Row],[ABRIL]]&gt;22.5,Tabla1[[#This Row],[ABRIL]]/22.5-1,0),IF(Tabla1[[#This Row],[ABRIL]]&gt;45,Tabla1[[#This Row],[ABRIL]]/45-1,0))</f>
        <v>0</v>
      </c>
      <c r="AI173" s="103">
        <f>IF(Tabla1[[#This Row],[TIPO DE CONSUMIDOR]]="MEDIO",IF(Tabla1[[#This Row],[MAYO ]]&gt;22.5,Tabla1[[#This Row],[MAYO ]]/22.5-1,0),IF(Tabla1[[#This Row],[MAYO ]]&gt;45,Tabla1[[#This Row],[MAYO ]]/45-1,0))</f>
        <v>0</v>
      </c>
      <c r="AJ173" s="103">
        <f>IF(Tabla1[[#This Row],[TIPO DE CONSUMIDOR]]="MEDIO",IF(Tabla1[[#This Row],[JUNIO ]]&gt;22.5,Tabla1[[#This Row],[JUNIO ]]/22.5-1,0),IF(Tabla1[[#This Row],[JUNIO ]]&gt;45,Tabla1[[#This Row],[JUNIO ]]/45-1,0))</f>
        <v>0</v>
      </c>
      <c r="AK173" s="103">
        <f>IF(Tabla1[[#This Row],[TIPO DE CONSUMIDOR]]="MEDIO",IF(Tabla1[[#This Row],[JULIO ]]&gt;22.5,Tabla1[[#This Row],[JULIO ]]/22.5-1,0),IF(Tabla1[[#This Row],[JULIO ]]&gt;45,Tabla1[[#This Row],[JULIO ]]/45-1,0))</f>
        <v>0</v>
      </c>
      <c r="AL173" s="103">
        <f>IF(Tabla1[[#This Row],[TIPO DE CONSUMIDOR]]="MEDIO",IF(Tabla1[[#This Row],[AGOSTO]]&gt;22.5,Tabla1[[#This Row],[AGOSTO]]/22.5-1,0),IF(Tabla1[[#This Row],[AGOSTO]]&gt;45,Tabla1[[#This Row],[AGOSTO]]/45-1,0))</f>
        <v>0</v>
      </c>
      <c r="AM17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3" s="104">
        <f t="shared" si="6"/>
        <v>0</v>
      </c>
      <c r="AR173" s="9">
        <f t="shared" si="5"/>
        <v>0</v>
      </c>
      <c r="AS173" s="60">
        <f>IF(Tabla1[[#This Row],[MESES DE ADEUDO DEL AÑO EN CURSO ]]&gt;0,1,0)</f>
        <v>0</v>
      </c>
      <c r="AT173" s="42"/>
      <c r="AU173" s="42"/>
      <c r="AV173" s="42"/>
      <c r="AW173" s="43"/>
    </row>
    <row r="174" spans="1:49" ht="21.75" thickBot="1" x14ac:dyDescent="0.35">
      <c r="A174" s="109">
        <v>168</v>
      </c>
      <c r="B174" s="5" t="s">
        <v>15</v>
      </c>
      <c r="C174" s="2" t="s">
        <v>530</v>
      </c>
      <c r="D174" s="46"/>
      <c r="E174" s="36" t="s">
        <v>455</v>
      </c>
      <c r="F174" s="34">
        <v>45</v>
      </c>
      <c r="G174" s="34">
        <v>45</v>
      </c>
      <c r="H174" s="34">
        <v>45</v>
      </c>
      <c r="I174" s="34">
        <v>45</v>
      </c>
      <c r="J174" s="34">
        <v>45</v>
      </c>
      <c r="K174" s="34">
        <v>45</v>
      </c>
      <c r="L174" s="34">
        <v>45</v>
      </c>
      <c r="M174" s="34">
        <v>45</v>
      </c>
      <c r="N174" s="34">
        <v>45</v>
      </c>
      <c r="O174" s="34">
        <v>45</v>
      </c>
      <c r="P174" s="34">
        <v>45</v>
      </c>
      <c r="Q174" s="34">
        <v>45</v>
      </c>
      <c r="R174" s="24">
        <f>SUM(Tabla1[[#This Row],[ENERO ]:[DICIEMBRE]])</f>
        <v>540</v>
      </c>
      <c r="W174" s="65">
        <v>0</v>
      </c>
      <c r="X174" s="21">
        <f>COUNTIF(Tabla1[[#This Row],[ENERO ]:[DICIEMBRE]],0)-(AQ174)-IF(Tabla1[[#This Row],[BAJAS]]="BAJA",IF(Tabla1[[#This Row],[ALTAS]]="ALTA",VLOOKUP(Tabla1[[#This Row],[MES DE ALTA ]],$AT$6:$AU$17,2,FALSE),12)-VLOOKUP(Tabla1[[#This Row],[MES DE BAJA ]],$AT$6:$AU$17,2,FALSE),0)</f>
        <v>0</v>
      </c>
      <c r="Y174" s="69">
        <f>SUM(Tabla1[[#This Row],[MES ADEUDO DE AÑOS PASADOS ]:[MESES DE ADEUDO DEL AÑO EN CURSO ]])</f>
        <v>0</v>
      </c>
      <c r="Z174" s="15">
        <f>IF(Tabla1[[#This Row],[TIPO DE CONSUMIDOR]]="COMPLETO",W174*$T$2,W174*($T$2/2))</f>
        <v>0</v>
      </c>
      <c r="AA174" s="15">
        <f>IF(Tabla1[[#This Row],[TIPO DE CONSUMIDOR]]="COMPLETO",Tabla1[[#This Row],[MESES DE ADEUDO DEL AÑO EN CURSO ]]*$T$2,Tabla1[[#This Row],[MESES DE ADEUDO DEL AÑO EN CURSO ]]*($T$2/2))</f>
        <v>0</v>
      </c>
      <c r="AB174" s="70">
        <f>SUM(Tabla1[[#This Row],[DEUDA DE LOS MESES PASADOS EN $$]:[DEUDA DEL AÑO 2013 $$ ]])</f>
        <v>0</v>
      </c>
      <c r="AE174" s="103">
        <f>IF(Tabla1[[#This Row],[TIPO DE CONSUMIDOR]]="MEDIO",IF(Tabla1[[#This Row],[ENERO ]]&gt;22.5,Tabla1[[#This Row],[ENERO ]]/22.5-1,0),IF(Tabla1[[#This Row],[ENERO ]]&gt;45,Tabla1[[#This Row],[ENERO ]]/45-1,0))</f>
        <v>0</v>
      </c>
      <c r="AF17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4" s="103">
        <f>IF(Tabla1[[#This Row],[TIPO DE CONSUMIDOR]]="MEDIO",IF(Tabla1[[#This Row],[MARZO]]&gt;22.5,Tabla1[[#This Row],[MARZO]]/22.5-1,0),IF(Tabla1[[#This Row],[MARZO]]&gt;45,Tabla1[[#This Row],[MARZO]]/45-1,0))</f>
        <v>0</v>
      </c>
      <c r="AH174" s="103">
        <f>IF(Tabla1[[#This Row],[TIPO DE CONSUMIDOR]]="MEDIO",IF(Tabla1[[#This Row],[ABRIL]]&gt;22.5,Tabla1[[#This Row],[ABRIL]]/22.5-1,0),IF(Tabla1[[#This Row],[ABRIL]]&gt;45,Tabla1[[#This Row],[ABRIL]]/45-1,0))</f>
        <v>0</v>
      </c>
      <c r="AI174" s="103">
        <f>IF(Tabla1[[#This Row],[TIPO DE CONSUMIDOR]]="MEDIO",IF(Tabla1[[#This Row],[MAYO ]]&gt;22.5,Tabla1[[#This Row],[MAYO ]]/22.5-1,0),IF(Tabla1[[#This Row],[MAYO ]]&gt;45,Tabla1[[#This Row],[MAYO ]]/45-1,0))</f>
        <v>0</v>
      </c>
      <c r="AJ174" s="103">
        <f>IF(Tabla1[[#This Row],[TIPO DE CONSUMIDOR]]="MEDIO",IF(Tabla1[[#This Row],[JUNIO ]]&gt;22.5,Tabla1[[#This Row],[JUNIO ]]/22.5-1,0),IF(Tabla1[[#This Row],[JUNIO ]]&gt;45,Tabla1[[#This Row],[JUNIO ]]/45-1,0))</f>
        <v>0</v>
      </c>
      <c r="AK174" s="103">
        <f>IF(Tabla1[[#This Row],[TIPO DE CONSUMIDOR]]="MEDIO",IF(Tabla1[[#This Row],[JULIO ]]&gt;22.5,Tabla1[[#This Row],[JULIO ]]/22.5-1,0),IF(Tabla1[[#This Row],[JULIO ]]&gt;45,Tabla1[[#This Row],[JULIO ]]/45-1,0))</f>
        <v>0</v>
      </c>
      <c r="AL174" s="103">
        <f>IF(Tabla1[[#This Row],[TIPO DE CONSUMIDOR]]="MEDIO",IF(Tabla1[[#This Row],[AGOSTO]]&gt;22.5,Tabla1[[#This Row],[AGOSTO]]/22.5-1,0),IF(Tabla1[[#This Row],[AGOSTO]]&gt;45,Tabla1[[#This Row],[AGOSTO]]/45-1,0))</f>
        <v>0</v>
      </c>
      <c r="AM17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4" s="104">
        <f t="shared" si="6"/>
        <v>0</v>
      </c>
      <c r="AR174" s="9">
        <f t="shared" si="5"/>
        <v>0</v>
      </c>
      <c r="AS174" s="60">
        <f>IF(Tabla1[[#This Row],[MESES DE ADEUDO DEL AÑO EN CURSO ]]&gt;0,1,0)</f>
        <v>0</v>
      </c>
      <c r="AT174" s="42"/>
      <c r="AU174" s="42"/>
      <c r="AV174" s="42"/>
      <c r="AW174" s="43"/>
    </row>
    <row r="175" spans="1:49" ht="21.75" thickBot="1" x14ac:dyDescent="0.35">
      <c r="A175" s="109">
        <v>169</v>
      </c>
      <c r="B175" s="5" t="s">
        <v>21</v>
      </c>
      <c r="C175" s="2" t="s">
        <v>545</v>
      </c>
      <c r="D175" s="32"/>
      <c r="E175" s="35" t="s">
        <v>455</v>
      </c>
      <c r="F175" s="34">
        <v>45</v>
      </c>
      <c r="G175" s="34">
        <v>45</v>
      </c>
      <c r="H175" s="34">
        <v>45</v>
      </c>
      <c r="I175" s="34">
        <v>45</v>
      </c>
      <c r="J175" s="34">
        <v>45</v>
      </c>
      <c r="K175" s="34">
        <v>45</v>
      </c>
      <c r="L175" s="34">
        <v>45</v>
      </c>
      <c r="M175" s="34">
        <v>45</v>
      </c>
      <c r="N175" s="34">
        <v>45</v>
      </c>
      <c r="O175" s="34">
        <v>45</v>
      </c>
      <c r="P175" s="34">
        <v>45</v>
      </c>
      <c r="Q175" s="34">
        <v>45</v>
      </c>
      <c r="R175" s="24">
        <f>SUM(Tabla1[[#This Row],[ENERO ]:[DICIEMBRE]])</f>
        <v>540</v>
      </c>
      <c r="W175" s="65">
        <v>0</v>
      </c>
      <c r="X175" s="21">
        <f>COUNTIF(Tabla1[[#This Row],[ENERO ]:[DICIEMBRE]],0)-(AQ175)-IF(Tabla1[[#This Row],[BAJAS]]="BAJA",IF(Tabla1[[#This Row],[ALTAS]]="ALTA",VLOOKUP(Tabla1[[#This Row],[MES DE ALTA ]],$AT$6:$AU$17,2,FALSE),12)-VLOOKUP(Tabla1[[#This Row],[MES DE BAJA ]],$AT$6:$AU$17,2,FALSE),0)</f>
        <v>0</v>
      </c>
      <c r="Y175" s="69">
        <f>SUM(Tabla1[[#This Row],[MES ADEUDO DE AÑOS PASADOS ]:[MESES DE ADEUDO DEL AÑO EN CURSO ]])</f>
        <v>0</v>
      </c>
      <c r="Z175" s="15">
        <f>IF(Tabla1[[#This Row],[TIPO DE CONSUMIDOR]]="COMPLETO",W175*$T$2,W175*($T$2/2))</f>
        <v>0</v>
      </c>
      <c r="AA175" s="15">
        <f>IF(Tabla1[[#This Row],[TIPO DE CONSUMIDOR]]="COMPLETO",Tabla1[[#This Row],[MESES DE ADEUDO DEL AÑO EN CURSO ]]*$T$2,Tabla1[[#This Row],[MESES DE ADEUDO DEL AÑO EN CURSO ]]*($T$2/2))</f>
        <v>0</v>
      </c>
      <c r="AB175" s="70">
        <f>SUM(Tabla1[[#This Row],[DEUDA DE LOS MESES PASADOS EN $$]:[DEUDA DEL AÑO 2013 $$ ]])</f>
        <v>0</v>
      </c>
      <c r="AE175" s="103">
        <f>IF(Tabla1[[#This Row],[TIPO DE CONSUMIDOR]]="MEDIO",IF(Tabla1[[#This Row],[ENERO ]]&gt;22.5,Tabla1[[#This Row],[ENERO ]]/22.5-1,0),IF(Tabla1[[#This Row],[ENERO ]]&gt;45,Tabla1[[#This Row],[ENERO ]]/45-1,0))</f>
        <v>0</v>
      </c>
      <c r="AF17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5" s="103">
        <f>IF(Tabla1[[#This Row],[TIPO DE CONSUMIDOR]]="MEDIO",IF(Tabla1[[#This Row],[MARZO]]&gt;22.5,Tabla1[[#This Row],[MARZO]]/22.5-1,0),IF(Tabla1[[#This Row],[MARZO]]&gt;45,Tabla1[[#This Row],[MARZO]]/45-1,0))</f>
        <v>0</v>
      </c>
      <c r="AH175" s="103">
        <f>IF(Tabla1[[#This Row],[TIPO DE CONSUMIDOR]]="MEDIO",IF(Tabla1[[#This Row],[ABRIL]]&gt;22.5,Tabla1[[#This Row],[ABRIL]]/22.5-1,0),IF(Tabla1[[#This Row],[ABRIL]]&gt;45,Tabla1[[#This Row],[ABRIL]]/45-1,0))</f>
        <v>0</v>
      </c>
      <c r="AI175" s="103">
        <f>IF(Tabla1[[#This Row],[TIPO DE CONSUMIDOR]]="MEDIO",IF(Tabla1[[#This Row],[MAYO ]]&gt;22.5,Tabla1[[#This Row],[MAYO ]]/22.5-1,0),IF(Tabla1[[#This Row],[MAYO ]]&gt;45,Tabla1[[#This Row],[MAYO ]]/45-1,0))</f>
        <v>0</v>
      </c>
      <c r="AJ175" s="103">
        <f>IF(Tabla1[[#This Row],[TIPO DE CONSUMIDOR]]="MEDIO",IF(Tabla1[[#This Row],[JUNIO ]]&gt;22.5,Tabla1[[#This Row],[JUNIO ]]/22.5-1,0),IF(Tabla1[[#This Row],[JUNIO ]]&gt;45,Tabla1[[#This Row],[JUNIO ]]/45-1,0))</f>
        <v>0</v>
      </c>
      <c r="AK175" s="103">
        <f>IF(Tabla1[[#This Row],[TIPO DE CONSUMIDOR]]="MEDIO",IF(Tabla1[[#This Row],[JULIO ]]&gt;22.5,Tabla1[[#This Row],[JULIO ]]/22.5-1,0),IF(Tabla1[[#This Row],[JULIO ]]&gt;45,Tabla1[[#This Row],[JULIO ]]/45-1,0))</f>
        <v>0</v>
      </c>
      <c r="AL175" s="103">
        <f>IF(Tabla1[[#This Row],[TIPO DE CONSUMIDOR]]="MEDIO",IF(Tabla1[[#This Row],[AGOSTO]]&gt;22.5,Tabla1[[#This Row],[AGOSTO]]/22.5-1,0),IF(Tabla1[[#This Row],[AGOSTO]]&gt;45,Tabla1[[#This Row],[AGOSTO]]/45-1,0))</f>
        <v>0</v>
      </c>
      <c r="AM17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5" s="104">
        <f t="shared" si="6"/>
        <v>0</v>
      </c>
      <c r="AR175" s="9">
        <f t="shared" si="5"/>
        <v>0</v>
      </c>
      <c r="AS175" s="60">
        <f>IF(Tabla1[[#This Row],[MESES DE ADEUDO DEL AÑO EN CURSO ]]&gt;0,1,0)</f>
        <v>0</v>
      </c>
      <c r="AT175" s="42"/>
      <c r="AU175" s="42"/>
      <c r="AV175" s="42"/>
      <c r="AW175" s="43"/>
    </row>
    <row r="176" spans="1:49" ht="21.75" thickBot="1" x14ac:dyDescent="0.35">
      <c r="A176" s="109">
        <v>170</v>
      </c>
      <c r="B176" s="5" t="s">
        <v>69</v>
      </c>
      <c r="C176" s="2" t="s">
        <v>545</v>
      </c>
      <c r="D176" s="32"/>
      <c r="E176" s="35" t="s">
        <v>455</v>
      </c>
      <c r="F176" s="34">
        <v>45</v>
      </c>
      <c r="G176" s="34">
        <v>45</v>
      </c>
      <c r="H176" s="34">
        <v>45</v>
      </c>
      <c r="I176" s="34">
        <v>45</v>
      </c>
      <c r="J176" s="34">
        <v>45</v>
      </c>
      <c r="K176" s="34">
        <v>45</v>
      </c>
      <c r="L176" s="34">
        <v>45</v>
      </c>
      <c r="M176" s="34">
        <v>45</v>
      </c>
      <c r="N176" s="34">
        <v>45</v>
      </c>
      <c r="O176" s="34">
        <v>45</v>
      </c>
      <c r="P176" s="34">
        <v>45</v>
      </c>
      <c r="Q176" s="34">
        <v>45</v>
      </c>
      <c r="R176" s="24">
        <f>SUM(Tabla1[[#This Row],[ENERO ]:[DICIEMBRE]])</f>
        <v>540</v>
      </c>
      <c r="W176" s="65">
        <v>0</v>
      </c>
      <c r="X176" s="21">
        <f>COUNTIF(Tabla1[[#This Row],[ENERO ]:[DICIEMBRE]],0)-(AQ176)-IF(Tabla1[[#This Row],[BAJAS]]="BAJA",IF(Tabla1[[#This Row],[ALTAS]]="ALTA",VLOOKUP(Tabla1[[#This Row],[MES DE ALTA ]],$AT$6:$AU$17,2,FALSE),12)-VLOOKUP(Tabla1[[#This Row],[MES DE BAJA ]],$AT$6:$AU$17,2,FALSE),0)</f>
        <v>0</v>
      </c>
      <c r="Y176" s="69">
        <f>SUM(Tabla1[[#This Row],[MES ADEUDO DE AÑOS PASADOS ]:[MESES DE ADEUDO DEL AÑO EN CURSO ]])</f>
        <v>0</v>
      </c>
      <c r="Z176" s="15">
        <f>IF(Tabla1[[#This Row],[TIPO DE CONSUMIDOR]]="COMPLETO",W176*$T$2,W176*($T$2/2))</f>
        <v>0</v>
      </c>
      <c r="AA176" s="15">
        <f>IF(Tabla1[[#This Row],[TIPO DE CONSUMIDOR]]="COMPLETO",Tabla1[[#This Row],[MESES DE ADEUDO DEL AÑO EN CURSO ]]*$T$2,Tabla1[[#This Row],[MESES DE ADEUDO DEL AÑO EN CURSO ]]*($T$2/2))</f>
        <v>0</v>
      </c>
      <c r="AB176" s="70">
        <f>SUM(Tabla1[[#This Row],[DEUDA DE LOS MESES PASADOS EN $$]:[DEUDA DEL AÑO 2013 $$ ]])</f>
        <v>0</v>
      </c>
      <c r="AE176" s="103">
        <f>IF(Tabla1[[#This Row],[TIPO DE CONSUMIDOR]]="MEDIO",IF(Tabla1[[#This Row],[ENERO ]]&gt;22.5,Tabla1[[#This Row],[ENERO ]]/22.5-1,0),IF(Tabla1[[#This Row],[ENERO ]]&gt;45,Tabla1[[#This Row],[ENERO ]]/45-1,0))</f>
        <v>0</v>
      </c>
      <c r="AF17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6" s="103">
        <f>IF(Tabla1[[#This Row],[TIPO DE CONSUMIDOR]]="MEDIO",IF(Tabla1[[#This Row],[MARZO]]&gt;22.5,Tabla1[[#This Row],[MARZO]]/22.5-1,0),IF(Tabla1[[#This Row],[MARZO]]&gt;45,Tabla1[[#This Row],[MARZO]]/45-1,0))</f>
        <v>0</v>
      </c>
      <c r="AH176" s="103">
        <f>IF(Tabla1[[#This Row],[TIPO DE CONSUMIDOR]]="MEDIO",IF(Tabla1[[#This Row],[ABRIL]]&gt;22.5,Tabla1[[#This Row],[ABRIL]]/22.5-1,0),IF(Tabla1[[#This Row],[ABRIL]]&gt;45,Tabla1[[#This Row],[ABRIL]]/45-1,0))</f>
        <v>0</v>
      </c>
      <c r="AI176" s="103">
        <f>IF(Tabla1[[#This Row],[TIPO DE CONSUMIDOR]]="MEDIO",IF(Tabla1[[#This Row],[MAYO ]]&gt;22.5,Tabla1[[#This Row],[MAYO ]]/22.5-1,0),IF(Tabla1[[#This Row],[MAYO ]]&gt;45,Tabla1[[#This Row],[MAYO ]]/45-1,0))</f>
        <v>0</v>
      </c>
      <c r="AJ176" s="103">
        <f>IF(Tabla1[[#This Row],[TIPO DE CONSUMIDOR]]="MEDIO",IF(Tabla1[[#This Row],[JUNIO ]]&gt;22.5,Tabla1[[#This Row],[JUNIO ]]/22.5-1,0),IF(Tabla1[[#This Row],[JUNIO ]]&gt;45,Tabla1[[#This Row],[JUNIO ]]/45-1,0))</f>
        <v>0</v>
      </c>
      <c r="AK176" s="103">
        <f>IF(Tabla1[[#This Row],[TIPO DE CONSUMIDOR]]="MEDIO",IF(Tabla1[[#This Row],[JULIO ]]&gt;22.5,Tabla1[[#This Row],[JULIO ]]/22.5-1,0),IF(Tabla1[[#This Row],[JULIO ]]&gt;45,Tabla1[[#This Row],[JULIO ]]/45-1,0))</f>
        <v>0</v>
      </c>
      <c r="AL176" s="103">
        <f>IF(Tabla1[[#This Row],[TIPO DE CONSUMIDOR]]="MEDIO",IF(Tabla1[[#This Row],[AGOSTO]]&gt;22.5,Tabla1[[#This Row],[AGOSTO]]/22.5-1,0),IF(Tabla1[[#This Row],[AGOSTO]]&gt;45,Tabla1[[#This Row],[AGOSTO]]/45-1,0))</f>
        <v>0</v>
      </c>
      <c r="AM17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6" s="104">
        <f t="shared" si="6"/>
        <v>0</v>
      </c>
      <c r="AR176" s="9">
        <f t="shared" si="5"/>
        <v>0</v>
      </c>
      <c r="AS176" s="60">
        <f>IF(Tabla1[[#This Row],[MESES DE ADEUDO DEL AÑO EN CURSO ]]&gt;0,1,0)</f>
        <v>0</v>
      </c>
      <c r="AT176" s="42"/>
      <c r="AU176" s="42"/>
      <c r="AV176" s="42"/>
      <c r="AW176" s="43"/>
    </row>
    <row r="177" spans="1:49" ht="21.75" thickBot="1" x14ac:dyDescent="0.35">
      <c r="A177" s="109">
        <v>171</v>
      </c>
      <c r="B177" s="5" t="s">
        <v>546</v>
      </c>
      <c r="C177" s="2" t="s">
        <v>545</v>
      </c>
      <c r="D177" s="32"/>
      <c r="E177" s="35" t="s">
        <v>455</v>
      </c>
      <c r="F177" s="34">
        <v>45</v>
      </c>
      <c r="G177" s="34">
        <v>45</v>
      </c>
      <c r="H177" s="34">
        <v>45</v>
      </c>
      <c r="I177" s="34">
        <v>45</v>
      </c>
      <c r="J177" s="34">
        <v>45</v>
      </c>
      <c r="K177" s="34">
        <v>45</v>
      </c>
      <c r="L177" s="34">
        <v>45</v>
      </c>
      <c r="M177" s="34">
        <v>45</v>
      </c>
      <c r="N177" s="34">
        <v>45</v>
      </c>
      <c r="O177" s="34">
        <v>45</v>
      </c>
      <c r="P177" s="34">
        <v>45</v>
      </c>
      <c r="Q177" s="34">
        <v>45</v>
      </c>
      <c r="R177" s="24">
        <f>SUM(Tabla1[[#This Row],[ENERO ]:[DICIEMBRE]])</f>
        <v>540</v>
      </c>
      <c r="W177" s="65">
        <v>0</v>
      </c>
      <c r="X177" s="21">
        <f>COUNTIF(Tabla1[[#This Row],[ENERO ]:[DICIEMBRE]],0)-(AQ177)-IF(Tabla1[[#This Row],[BAJAS]]="BAJA",IF(Tabla1[[#This Row],[ALTAS]]="ALTA",VLOOKUP(Tabla1[[#This Row],[MES DE ALTA ]],$AT$6:$AU$17,2,FALSE),12)-VLOOKUP(Tabla1[[#This Row],[MES DE BAJA ]],$AT$6:$AU$17,2,FALSE),0)</f>
        <v>0</v>
      </c>
      <c r="Y177" s="69">
        <f>SUM(Tabla1[[#This Row],[MES ADEUDO DE AÑOS PASADOS ]:[MESES DE ADEUDO DEL AÑO EN CURSO ]])</f>
        <v>0</v>
      </c>
      <c r="Z177" s="15">
        <f>IF(Tabla1[[#This Row],[TIPO DE CONSUMIDOR]]="COMPLETO",W177*$T$2,W177*($T$2/2))</f>
        <v>0</v>
      </c>
      <c r="AA177" s="15">
        <f>IF(Tabla1[[#This Row],[TIPO DE CONSUMIDOR]]="COMPLETO",Tabla1[[#This Row],[MESES DE ADEUDO DEL AÑO EN CURSO ]]*$T$2,Tabla1[[#This Row],[MESES DE ADEUDO DEL AÑO EN CURSO ]]*($T$2/2))</f>
        <v>0</v>
      </c>
      <c r="AB177" s="70">
        <f>SUM(Tabla1[[#This Row],[DEUDA DE LOS MESES PASADOS EN $$]:[DEUDA DEL AÑO 2013 $$ ]])</f>
        <v>0</v>
      </c>
      <c r="AE177" s="103">
        <f>IF(Tabla1[[#This Row],[TIPO DE CONSUMIDOR]]="MEDIO",IF(Tabla1[[#This Row],[ENERO ]]&gt;22.5,Tabla1[[#This Row],[ENERO ]]/22.5-1,0),IF(Tabla1[[#This Row],[ENERO ]]&gt;45,Tabla1[[#This Row],[ENERO ]]/45-1,0))</f>
        <v>0</v>
      </c>
      <c r="AF17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7" s="103">
        <f>IF(Tabla1[[#This Row],[TIPO DE CONSUMIDOR]]="MEDIO",IF(Tabla1[[#This Row],[MARZO]]&gt;22.5,Tabla1[[#This Row],[MARZO]]/22.5-1,0),IF(Tabla1[[#This Row],[MARZO]]&gt;45,Tabla1[[#This Row],[MARZO]]/45-1,0))</f>
        <v>0</v>
      </c>
      <c r="AH177" s="103">
        <f>IF(Tabla1[[#This Row],[TIPO DE CONSUMIDOR]]="MEDIO",IF(Tabla1[[#This Row],[ABRIL]]&gt;22.5,Tabla1[[#This Row],[ABRIL]]/22.5-1,0),IF(Tabla1[[#This Row],[ABRIL]]&gt;45,Tabla1[[#This Row],[ABRIL]]/45-1,0))</f>
        <v>0</v>
      </c>
      <c r="AI177" s="103">
        <f>IF(Tabla1[[#This Row],[TIPO DE CONSUMIDOR]]="MEDIO",IF(Tabla1[[#This Row],[MAYO ]]&gt;22.5,Tabla1[[#This Row],[MAYO ]]/22.5-1,0),IF(Tabla1[[#This Row],[MAYO ]]&gt;45,Tabla1[[#This Row],[MAYO ]]/45-1,0))</f>
        <v>0</v>
      </c>
      <c r="AJ177" s="103">
        <f>IF(Tabla1[[#This Row],[TIPO DE CONSUMIDOR]]="MEDIO",IF(Tabla1[[#This Row],[JUNIO ]]&gt;22.5,Tabla1[[#This Row],[JUNIO ]]/22.5-1,0),IF(Tabla1[[#This Row],[JUNIO ]]&gt;45,Tabla1[[#This Row],[JUNIO ]]/45-1,0))</f>
        <v>0</v>
      </c>
      <c r="AK177" s="103">
        <f>IF(Tabla1[[#This Row],[TIPO DE CONSUMIDOR]]="MEDIO",IF(Tabla1[[#This Row],[JULIO ]]&gt;22.5,Tabla1[[#This Row],[JULIO ]]/22.5-1,0),IF(Tabla1[[#This Row],[JULIO ]]&gt;45,Tabla1[[#This Row],[JULIO ]]/45-1,0))</f>
        <v>0</v>
      </c>
      <c r="AL177" s="103">
        <f>IF(Tabla1[[#This Row],[TIPO DE CONSUMIDOR]]="MEDIO",IF(Tabla1[[#This Row],[AGOSTO]]&gt;22.5,Tabla1[[#This Row],[AGOSTO]]/22.5-1,0),IF(Tabla1[[#This Row],[AGOSTO]]&gt;45,Tabla1[[#This Row],[AGOSTO]]/45-1,0))</f>
        <v>0</v>
      </c>
      <c r="AM17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7" s="104">
        <f t="shared" si="6"/>
        <v>0</v>
      </c>
      <c r="AR177" s="9">
        <f t="shared" si="5"/>
        <v>0</v>
      </c>
      <c r="AS177" s="60">
        <f>IF(Tabla1[[#This Row],[MESES DE ADEUDO DEL AÑO EN CURSO ]]&gt;0,1,0)</f>
        <v>0</v>
      </c>
      <c r="AT177" s="42"/>
      <c r="AU177" s="42"/>
      <c r="AV177" s="42"/>
      <c r="AW177" s="43"/>
    </row>
    <row r="178" spans="1:49" ht="21.75" thickBot="1" x14ac:dyDescent="0.35">
      <c r="A178" s="109">
        <v>172</v>
      </c>
      <c r="B178" s="5" t="s">
        <v>216</v>
      </c>
      <c r="C178" s="2" t="s">
        <v>545</v>
      </c>
      <c r="D178" s="32"/>
      <c r="E178" s="35" t="s">
        <v>455</v>
      </c>
      <c r="F178" s="34">
        <v>45</v>
      </c>
      <c r="G178" s="34">
        <v>45</v>
      </c>
      <c r="H178" s="34">
        <v>45</v>
      </c>
      <c r="I178" s="34">
        <v>45</v>
      </c>
      <c r="J178" s="34">
        <v>45</v>
      </c>
      <c r="K178" s="34">
        <v>45</v>
      </c>
      <c r="L178" s="34">
        <v>45</v>
      </c>
      <c r="M178" s="34">
        <v>45</v>
      </c>
      <c r="N178" s="34">
        <v>45</v>
      </c>
      <c r="O178" s="34">
        <v>45</v>
      </c>
      <c r="P178" s="34">
        <v>45</v>
      </c>
      <c r="Q178" s="34">
        <v>45</v>
      </c>
      <c r="R178" s="24">
        <f>SUM(Tabla1[[#This Row],[ENERO ]:[DICIEMBRE]])</f>
        <v>540</v>
      </c>
      <c r="W178" s="65">
        <v>0</v>
      </c>
      <c r="X178" s="21">
        <f>COUNTIF(Tabla1[[#This Row],[ENERO ]:[DICIEMBRE]],0)-(AQ178)-IF(Tabla1[[#This Row],[BAJAS]]="BAJA",IF(Tabla1[[#This Row],[ALTAS]]="ALTA",VLOOKUP(Tabla1[[#This Row],[MES DE ALTA ]],$AT$6:$AU$17,2,FALSE),12)-VLOOKUP(Tabla1[[#This Row],[MES DE BAJA ]],$AT$6:$AU$17,2,FALSE),0)</f>
        <v>0</v>
      </c>
      <c r="Y178" s="69">
        <f>SUM(Tabla1[[#This Row],[MES ADEUDO DE AÑOS PASADOS ]:[MESES DE ADEUDO DEL AÑO EN CURSO ]])</f>
        <v>0</v>
      </c>
      <c r="Z178" s="15">
        <f>IF(Tabla1[[#This Row],[TIPO DE CONSUMIDOR]]="COMPLETO",W178*$T$2,W178*($T$2/2))</f>
        <v>0</v>
      </c>
      <c r="AA178" s="15">
        <f>IF(Tabla1[[#This Row],[TIPO DE CONSUMIDOR]]="COMPLETO",Tabla1[[#This Row],[MESES DE ADEUDO DEL AÑO EN CURSO ]]*$T$2,Tabla1[[#This Row],[MESES DE ADEUDO DEL AÑO EN CURSO ]]*($T$2/2))</f>
        <v>0</v>
      </c>
      <c r="AB178" s="70">
        <f>SUM(Tabla1[[#This Row],[DEUDA DE LOS MESES PASADOS EN $$]:[DEUDA DEL AÑO 2013 $$ ]])</f>
        <v>0</v>
      </c>
      <c r="AE178" s="103">
        <f>IF(Tabla1[[#This Row],[TIPO DE CONSUMIDOR]]="MEDIO",IF(Tabla1[[#This Row],[ENERO ]]&gt;22.5,Tabla1[[#This Row],[ENERO ]]/22.5-1,0),IF(Tabla1[[#This Row],[ENERO ]]&gt;45,Tabla1[[#This Row],[ENERO ]]/45-1,0))</f>
        <v>0</v>
      </c>
      <c r="AF17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8" s="103">
        <f>IF(Tabla1[[#This Row],[TIPO DE CONSUMIDOR]]="MEDIO",IF(Tabla1[[#This Row],[MARZO]]&gt;22.5,Tabla1[[#This Row],[MARZO]]/22.5-1,0),IF(Tabla1[[#This Row],[MARZO]]&gt;45,Tabla1[[#This Row],[MARZO]]/45-1,0))</f>
        <v>0</v>
      </c>
      <c r="AH178" s="103">
        <f>IF(Tabla1[[#This Row],[TIPO DE CONSUMIDOR]]="MEDIO",IF(Tabla1[[#This Row],[ABRIL]]&gt;22.5,Tabla1[[#This Row],[ABRIL]]/22.5-1,0),IF(Tabla1[[#This Row],[ABRIL]]&gt;45,Tabla1[[#This Row],[ABRIL]]/45-1,0))</f>
        <v>0</v>
      </c>
      <c r="AI178" s="103">
        <f>IF(Tabla1[[#This Row],[TIPO DE CONSUMIDOR]]="MEDIO",IF(Tabla1[[#This Row],[MAYO ]]&gt;22.5,Tabla1[[#This Row],[MAYO ]]/22.5-1,0),IF(Tabla1[[#This Row],[MAYO ]]&gt;45,Tabla1[[#This Row],[MAYO ]]/45-1,0))</f>
        <v>0</v>
      </c>
      <c r="AJ178" s="103">
        <f>IF(Tabla1[[#This Row],[TIPO DE CONSUMIDOR]]="MEDIO",IF(Tabla1[[#This Row],[JUNIO ]]&gt;22.5,Tabla1[[#This Row],[JUNIO ]]/22.5-1,0),IF(Tabla1[[#This Row],[JUNIO ]]&gt;45,Tabla1[[#This Row],[JUNIO ]]/45-1,0))</f>
        <v>0</v>
      </c>
      <c r="AK178" s="103">
        <f>IF(Tabla1[[#This Row],[TIPO DE CONSUMIDOR]]="MEDIO",IF(Tabla1[[#This Row],[JULIO ]]&gt;22.5,Tabla1[[#This Row],[JULIO ]]/22.5-1,0),IF(Tabla1[[#This Row],[JULIO ]]&gt;45,Tabla1[[#This Row],[JULIO ]]/45-1,0))</f>
        <v>0</v>
      </c>
      <c r="AL178" s="103">
        <f>IF(Tabla1[[#This Row],[TIPO DE CONSUMIDOR]]="MEDIO",IF(Tabla1[[#This Row],[AGOSTO]]&gt;22.5,Tabla1[[#This Row],[AGOSTO]]/22.5-1,0),IF(Tabla1[[#This Row],[AGOSTO]]&gt;45,Tabla1[[#This Row],[AGOSTO]]/45-1,0))</f>
        <v>0</v>
      </c>
      <c r="AM17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8" s="104">
        <f t="shared" si="6"/>
        <v>0</v>
      </c>
      <c r="AR178" s="9">
        <f t="shared" si="5"/>
        <v>0</v>
      </c>
      <c r="AS178" s="60">
        <f>IF(Tabla1[[#This Row],[MESES DE ADEUDO DEL AÑO EN CURSO ]]&gt;0,1,0)</f>
        <v>0</v>
      </c>
      <c r="AT178" s="42"/>
      <c r="AU178" s="42"/>
      <c r="AV178" s="42"/>
      <c r="AW178" s="43"/>
    </row>
    <row r="179" spans="1:49" ht="21.75" thickBot="1" x14ac:dyDescent="0.35">
      <c r="A179" s="109">
        <v>173</v>
      </c>
      <c r="B179" s="5" t="s">
        <v>71</v>
      </c>
      <c r="C179" s="2" t="s">
        <v>549</v>
      </c>
      <c r="D179" s="32"/>
      <c r="E179" s="35" t="s">
        <v>455</v>
      </c>
      <c r="F179" s="34">
        <v>0</v>
      </c>
      <c r="G179" s="34">
        <v>0</v>
      </c>
      <c r="H179" s="34">
        <v>0</v>
      </c>
      <c r="I179" s="34">
        <v>0</v>
      </c>
      <c r="J179" s="34">
        <v>0</v>
      </c>
      <c r="K179" s="34">
        <v>0</v>
      </c>
      <c r="L179" s="34">
        <v>0</v>
      </c>
      <c r="M179" s="34">
        <v>0</v>
      </c>
      <c r="N179" s="34">
        <v>0</v>
      </c>
      <c r="O179" s="34">
        <v>0</v>
      </c>
      <c r="P179" s="34">
        <v>0</v>
      </c>
      <c r="Q179" s="34">
        <v>0</v>
      </c>
      <c r="R179" s="24">
        <f>SUM(Tabla1[[#This Row],[ENERO ]:[DICIEMBRE]])</f>
        <v>0</v>
      </c>
      <c r="S179" t="s">
        <v>626</v>
      </c>
      <c r="T179" t="s">
        <v>434</v>
      </c>
      <c r="W179" s="65">
        <v>0</v>
      </c>
      <c r="X179" s="21">
        <f>COUNTIF(Tabla1[[#This Row],[ENERO ]:[DICIEMBRE]],0)-(AQ179)-IF(Tabla1[[#This Row],[BAJAS]]="BAJA",IF(Tabla1[[#This Row],[ALTAS]]="ALTA",VLOOKUP(Tabla1[[#This Row],[MES DE ALTA ]],$AT$6:$AU$17,2,FALSE),12)-VLOOKUP(Tabla1[[#This Row],[MES DE BAJA ]],$AT$6:$AU$17,2,FALSE),0)</f>
        <v>0</v>
      </c>
      <c r="Y179" s="69">
        <f>SUM(Tabla1[[#This Row],[MES ADEUDO DE AÑOS PASADOS ]:[MESES DE ADEUDO DEL AÑO EN CURSO ]])</f>
        <v>0</v>
      </c>
      <c r="Z179" s="15">
        <f>IF(Tabla1[[#This Row],[TIPO DE CONSUMIDOR]]="COMPLETO",W179*$T$2,W179*($T$2/2))</f>
        <v>0</v>
      </c>
      <c r="AA179" s="15">
        <f>IF(Tabla1[[#This Row],[TIPO DE CONSUMIDOR]]="COMPLETO",Tabla1[[#This Row],[MESES DE ADEUDO DEL AÑO EN CURSO ]]*$T$2,Tabla1[[#This Row],[MESES DE ADEUDO DEL AÑO EN CURSO ]]*($T$2/2))</f>
        <v>0</v>
      </c>
      <c r="AB179" s="70">
        <f>SUM(Tabla1[[#This Row],[DEUDA DE LOS MESES PASADOS EN $$]:[DEUDA DEL AÑO 2013 $$ ]])</f>
        <v>0</v>
      </c>
      <c r="AE179" s="103">
        <f>IF(Tabla1[[#This Row],[TIPO DE CONSUMIDOR]]="MEDIO",IF(Tabla1[[#This Row],[ENERO ]]&gt;22.5,Tabla1[[#This Row],[ENERO ]]/22.5-1,0),IF(Tabla1[[#This Row],[ENERO ]]&gt;45,Tabla1[[#This Row],[ENERO ]]/45-1,0))</f>
        <v>0</v>
      </c>
      <c r="AF17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79" s="103">
        <f>IF(Tabla1[[#This Row],[TIPO DE CONSUMIDOR]]="MEDIO",IF(Tabla1[[#This Row],[MARZO]]&gt;22.5,Tabla1[[#This Row],[MARZO]]/22.5-1,0),IF(Tabla1[[#This Row],[MARZO]]&gt;45,Tabla1[[#This Row],[MARZO]]/45-1,0))</f>
        <v>0</v>
      </c>
      <c r="AH179" s="103">
        <f>IF(Tabla1[[#This Row],[TIPO DE CONSUMIDOR]]="MEDIO",IF(Tabla1[[#This Row],[ABRIL]]&gt;22.5,Tabla1[[#This Row],[ABRIL]]/22.5-1,0),IF(Tabla1[[#This Row],[ABRIL]]&gt;45,Tabla1[[#This Row],[ABRIL]]/45-1,0))</f>
        <v>0</v>
      </c>
      <c r="AI179" s="103">
        <f>IF(Tabla1[[#This Row],[TIPO DE CONSUMIDOR]]="MEDIO",IF(Tabla1[[#This Row],[MAYO ]]&gt;22.5,Tabla1[[#This Row],[MAYO ]]/22.5-1,0),IF(Tabla1[[#This Row],[MAYO ]]&gt;45,Tabla1[[#This Row],[MAYO ]]/45-1,0))</f>
        <v>0</v>
      </c>
      <c r="AJ179" s="103">
        <f>IF(Tabla1[[#This Row],[TIPO DE CONSUMIDOR]]="MEDIO",IF(Tabla1[[#This Row],[JUNIO ]]&gt;22.5,Tabla1[[#This Row],[JUNIO ]]/22.5-1,0),IF(Tabla1[[#This Row],[JUNIO ]]&gt;45,Tabla1[[#This Row],[JUNIO ]]/45-1,0))</f>
        <v>0</v>
      </c>
      <c r="AK179" s="103">
        <f>IF(Tabla1[[#This Row],[TIPO DE CONSUMIDOR]]="MEDIO",IF(Tabla1[[#This Row],[JULIO ]]&gt;22.5,Tabla1[[#This Row],[JULIO ]]/22.5-1,0),IF(Tabla1[[#This Row],[JULIO ]]&gt;45,Tabla1[[#This Row],[JULIO ]]/45-1,0))</f>
        <v>0</v>
      </c>
      <c r="AL179" s="103">
        <f>IF(Tabla1[[#This Row],[TIPO DE CONSUMIDOR]]="MEDIO",IF(Tabla1[[#This Row],[AGOSTO]]&gt;22.5,Tabla1[[#This Row],[AGOSTO]]/22.5-1,0),IF(Tabla1[[#This Row],[AGOSTO]]&gt;45,Tabla1[[#This Row],[AGOSTO]]/45-1,0))</f>
        <v>0</v>
      </c>
      <c r="AM17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7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7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7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79" s="104">
        <f t="shared" si="6"/>
        <v>0</v>
      </c>
      <c r="AR179" s="9">
        <f t="shared" si="5"/>
        <v>0</v>
      </c>
      <c r="AS179" s="60">
        <f>IF(Tabla1[[#This Row],[MESES DE ADEUDO DEL AÑO EN CURSO ]]&gt;0,1,0)</f>
        <v>0</v>
      </c>
      <c r="AT179" s="42"/>
      <c r="AU179" s="42"/>
      <c r="AV179" s="42"/>
      <c r="AW179" s="43"/>
    </row>
    <row r="180" spans="1:49" ht="21.75" thickBot="1" x14ac:dyDescent="0.35">
      <c r="A180" s="109">
        <v>174</v>
      </c>
      <c r="B180" s="5" t="s">
        <v>251</v>
      </c>
      <c r="C180" s="2" t="s">
        <v>549</v>
      </c>
      <c r="D180" s="32"/>
      <c r="E180" s="35" t="s">
        <v>455</v>
      </c>
      <c r="F180" s="34">
        <v>45</v>
      </c>
      <c r="G180" s="34">
        <v>45</v>
      </c>
      <c r="H180" s="34">
        <v>45</v>
      </c>
      <c r="I180" s="34">
        <v>45</v>
      </c>
      <c r="J180" s="34">
        <v>45</v>
      </c>
      <c r="K180" s="34">
        <v>45</v>
      </c>
      <c r="L180" s="34">
        <v>45</v>
      </c>
      <c r="M180" s="34">
        <v>45</v>
      </c>
      <c r="N180" s="34">
        <v>45</v>
      </c>
      <c r="O180" s="34">
        <v>45</v>
      </c>
      <c r="P180" s="34">
        <v>45</v>
      </c>
      <c r="Q180" s="34">
        <v>45</v>
      </c>
      <c r="R180" s="24">
        <f>SUM(Tabla1[[#This Row],[ENERO ]:[DICIEMBRE]])</f>
        <v>540</v>
      </c>
      <c r="W180" s="65">
        <v>0</v>
      </c>
      <c r="X180" s="21">
        <f>COUNTIF(Tabla1[[#This Row],[ENERO ]:[DICIEMBRE]],0)-(AQ180)-IF(Tabla1[[#This Row],[BAJAS]]="BAJA",IF(Tabla1[[#This Row],[ALTAS]]="ALTA",VLOOKUP(Tabla1[[#This Row],[MES DE ALTA ]],$AT$6:$AU$17,2,FALSE),12)-VLOOKUP(Tabla1[[#This Row],[MES DE BAJA ]],$AT$6:$AU$17,2,FALSE),0)</f>
        <v>0</v>
      </c>
      <c r="Y180" s="69">
        <f>SUM(Tabla1[[#This Row],[MES ADEUDO DE AÑOS PASADOS ]:[MESES DE ADEUDO DEL AÑO EN CURSO ]])</f>
        <v>0</v>
      </c>
      <c r="Z180" s="15">
        <f>IF(Tabla1[[#This Row],[TIPO DE CONSUMIDOR]]="COMPLETO",W180*$T$2,W180*($T$2/2))</f>
        <v>0</v>
      </c>
      <c r="AA180" s="15">
        <f>IF(Tabla1[[#This Row],[TIPO DE CONSUMIDOR]]="COMPLETO",Tabla1[[#This Row],[MESES DE ADEUDO DEL AÑO EN CURSO ]]*$T$2,Tabla1[[#This Row],[MESES DE ADEUDO DEL AÑO EN CURSO ]]*($T$2/2))</f>
        <v>0</v>
      </c>
      <c r="AB180" s="70">
        <f>SUM(Tabla1[[#This Row],[DEUDA DE LOS MESES PASADOS EN $$]:[DEUDA DEL AÑO 2013 $$ ]])</f>
        <v>0</v>
      </c>
      <c r="AE180" s="103">
        <f>IF(Tabla1[[#This Row],[TIPO DE CONSUMIDOR]]="MEDIO",IF(Tabla1[[#This Row],[ENERO ]]&gt;22.5,Tabla1[[#This Row],[ENERO ]]/22.5-1,0),IF(Tabla1[[#This Row],[ENERO ]]&gt;45,Tabla1[[#This Row],[ENERO ]]/45-1,0))</f>
        <v>0</v>
      </c>
      <c r="AF18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0" s="103">
        <f>IF(Tabla1[[#This Row],[TIPO DE CONSUMIDOR]]="MEDIO",IF(Tabla1[[#This Row],[MARZO]]&gt;22.5,Tabla1[[#This Row],[MARZO]]/22.5-1,0),IF(Tabla1[[#This Row],[MARZO]]&gt;45,Tabla1[[#This Row],[MARZO]]/45-1,0))</f>
        <v>0</v>
      </c>
      <c r="AH180" s="103">
        <f>IF(Tabla1[[#This Row],[TIPO DE CONSUMIDOR]]="MEDIO",IF(Tabla1[[#This Row],[ABRIL]]&gt;22.5,Tabla1[[#This Row],[ABRIL]]/22.5-1,0),IF(Tabla1[[#This Row],[ABRIL]]&gt;45,Tabla1[[#This Row],[ABRIL]]/45-1,0))</f>
        <v>0</v>
      </c>
      <c r="AI180" s="103">
        <f>IF(Tabla1[[#This Row],[TIPO DE CONSUMIDOR]]="MEDIO",IF(Tabla1[[#This Row],[MAYO ]]&gt;22.5,Tabla1[[#This Row],[MAYO ]]/22.5-1,0),IF(Tabla1[[#This Row],[MAYO ]]&gt;45,Tabla1[[#This Row],[MAYO ]]/45-1,0))</f>
        <v>0</v>
      </c>
      <c r="AJ180" s="103">
        <f>IF(Tabla1[[#This Row],[TIPO DE CONSUMIDOR]]="MEDIO",IF(Tabla1[[#This Row],[JUNIO ]]&gt;22.5,Tabla1[[#This Row],[JUNIO ]]/22.5-1,0),IF(Tabla1[[#This Row],[JUNIO ]]&gt;45,Tabla1[[#This Row],[JUNIO ]]/45-1,0))</f>
        <v>0</v>
      </c>
      <c r="AK180" s="103">
        <f>IF(Tabla1[[#This Row],[TIPO DE CONSUMIDOR]]="MEDIO",IF(Tabla1[[#This Row],[JULIO ]]&gt;22.5,Tabla1[[#This Row],[JULIO ]]/22.5-1,0),IF(Tabla1[[#This Row],[JULIO ]]&gt;45,Tabla1[[#This Row],[JULIO ]]/45-1,0))</f>
        <v>0</v>
      </c>
      <c r="AL180" s="103">
        <f>IF(Tabla1[[#This Row],[TIPO DE CONSUMIDOR]]="MEDIO",IF(Tabla1[[#This Row],[AGOSTO]]&gt;22.5,Tabla1[[#This Row],[AGOSTO]]/22.5-1,0),IF(Tabla1[[#This Row],[AGOSTO]]&gt;45,Tabla1[[#This Row],[AGOSTO]]/45-1,0))</f>
        <v>0</v>
      </c>
      <c r="AM18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0" s="104">
        <f t="shared" si="6"/>
        <v>0</v>
      </c>
      <c r="AR180" s="9">
        <f t="shared" si="5"/>
        <v>0</v>
      </c>
      <c r="AS180" s="60">
        <f>IF(Tabla1[[#This Row],[MESES DE ADEUDO DEL AÑO EN CURSO ]]&gt;0,1,0)</f>
        <v>0</v>
      </c>
      <c r="AT180" s="42"/>
      <c r="AU180" s="42"/>
      <c r="AV180" s="42"/>
      <c r="AW180" s="43"/>
    </row>
    <row r="181" spans="1:49" ht="21.75" thickBot="1" x14ac:dyDescent="0.35">
      <c r="A181" s="109">
        <v>175</v>
      </c>
      <c r="B181" s="5" t="s">
        <v>240</v>
      </c>
      <c r="C181" s="2" t="s">
        <v>549</v>
      </c>
      <c r="D181" s="32"/>
      <c r="E181" s="35" t="s">
        <v>455</v>
      </c>
      <c r="F181" s="34">
        <v>45</v>
      </c>
      <c r="G181" s="34">
        <v>45</v>
      </c>
      <c r="H181" s="34">
        <v>45</v>
      </c>
      <c r="I181" s="34">
        <v>45</v>
      </c>
      <c r="J181" s="34">
        <v>45</v>
      </c>
      <c r="K181" s="34">
        <v>45</v>
      </c>
      <c r="L181" s="34">
        <v>45</v>
      </c>
      <c r="M181" s="34">
        <v>45</v>
      </c>
      <c r="N181" s="34">
        <v>45</v>
      </c>
      <c r="O181" s="34">
        <v>45</v>
      </c>
      <c r="P181" s="34">
        <v>45</v>
      </c>
      <c r="Q181" s="34">
        <v>45</v>
      </c>
      <c r="R181" s="58">
        <f>SUM(Tabla1[[#This Row],[ENERO ]:[DICIEMBRE]])</f>
        <v>540</v>
      </c>
      <c r="W181" s="65">
        <v>0</v>
      </c>
      <c r="X181" s="21">
        <f>COUNTIF(Tabla1[[#This Row],[ENERO ]:[DICIEMBRE]],0)-(AQ181)-IF(Tabla1[[#This Row],[BAJAS]]="BAJA",IF(Tabla1[[#This Row],[ALTAS]]="ALTA",VLOOKUP(Tabla1[[#This Row],[MES DE ALTA ]],$AT$6:$AU$17,2,FALSE),12)-VLOOKUP(Tabla1[[#This Row],[MES DE BAJA ]],$AT$6:$AU$17,2,FALSE),0)</f>
        <v>0</v>
      </c>
      <c r="Y181" s="69">
        <f>SUM(Tabla1[[#This Row],[MES ADEUDO DE AÑOS PASADOS ]:[MESES DE ADEUDO DEL AÑO EN CURSO ]])</f>
        <v>0</v>
      </c>
      <c r="Z181" s="15">
        <f>IF(Tabla1[[#This Row],[TIPO DE CONSUMIDOR]]="COMPLETO",W181*$T$2,W181*($T$2/2))</f>
        <v>0</v>
      </c>
      <c r="AA181" s="15">
        <f>IF(Tabla1[[#This Row],[TIPO DE CONSUMIDOR]]="COMPLETO",Tabla1[[#This Row],[MESES DE ADEUDO DEL AÑO EN CURSO ]]*$T$2,Tabla1[[#This Row],[MESES DE ADEUDO DEL AÑO EN CURSO ]]*($T$2/2))</f>
        <v>0</v>
      </c>
      <c r="AB181" s="70">
        <f>SUM(Tabla1[[#This Row],[DEUDA DE LOS MESES PASADOS EN $$]:[DEUDA DEL AÑO 2013 $$ ]])</f>
        <v>0</v>
      </c>
      <c r="AE181" s="103">
        <f>IF(Tabla1[[#This Row],[TIPO DE CONSUMIDOR]]="MEDIO",IF(Tabla1[[#This Row],[ENERO ]]&gt;22.5,Tabla1[[#This Row],[ENERO ]]/22.5-1,0),IF(Tabla1[[#This Row],[ENERO ]]&gt;45,Tabla1[[#This Row],[ENERO ]]/45-1,0))</f>
        <v>0</v>
      </c>
      <c r="AF18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1" s="103">
        <f>IF(Tabla1[[#This Row],[TIPO DE CONSUMIDOR]]="MEDIO",IF(Tabla1[[#This Row],[MARZO]]&gt;22.5,Tabla1[[#This Row],[MARZO]]/22.5-1,0),IF(Tabla1[[#This Row],[MARZO]]&gt;45,Tabla1[[#This Row],[MARZO]]/45-1,0))</f>
        <v>0</v>
      </c>
      <c r="AH181" s="103">
        <f>IF(Tabla1[[#This Row],[TIPO DE CONSUMIDOR]]="MEDIO",IF(Tabla1[[#This Row],[ABRIL]]&gt;22.5,Tabla1[[#This Row],[ABRIL]]/22.5-1,0),IF(Tabla1[[#This Row],[ABRIL]]&gt;45,Tabla1[[#This Row],[ABRIL]]/45-1,0))</f>
        <v>0</v>
      </c>
      <c r="AI181" s="103">
        <f>IF(Tabla1[[#This Row],[TIPO DE CONSUMIDOR]]="MEDIO",IF(Tabla1[[#This Row],[MAYO ]]&gt;22.5,Tabla1[[#This Row],[MAYO ]]/22.5-1,0),IF(Tabla1[[#This Row],[MAYO ]]&gt;45,Tabla1[[#This Row],[MAYO ]]/45-1,0))</f>
        <v>0</v>
      </c>
      <c r="AJ181" s="103">
        <f>IF(Tabla1[[#This Row],[TIPO DE CONSUMIDOR]]="MEDIO",IF(Tabla1[[#This Row],[JUNIO ]]&gt;22.5,Tabla1[[#This Row],[JUNIO ]]/22.5-1,0),IF(Tabla1[[#This Row],[JUNIO ]]&gt;45,Tabla1[[#This Row],[JUNIO ]]/45-1,0))</f>
        <v>0</v>
      </c>
      <c r="AK181" s="103">
        <f>IF(Tabla1[[#This Row],[TIPO DE CONSUMIDOR]]="MEDIO",IF(Tabla1[[#This Row],[JULIO ]]&gt;22.5,Tabla1[[#This Row],[JULIO ]]/22.5-1,0),IF(Tabla1[[#This Row],[JULIO ]]&gt;45,Tabla1[[#This Row],[JULIO ]]/45-1,0))</f>
        <v>0</v>
      </c>
      <c r="AL181" s="103">
        <f>IF(Tabla1[[#This Row],[TIPO DE CONSUMIDOR]]="MEDIO",IF(Tabla1[[#This Row],[AGOSTO]]&gt;22.5,Tabla1[[#This Row],[AGOSTO]]/22.5-1,0),IF(Tabla1[[#This Row],[AGOSTO]]&gt;45,Tabla1[[#This Row],[AGOSTO]]/45-1,0))</f>
        <v>0</v>
      </c>
      <c r="AM18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1" s="104">
        <f t="shared" si="6"/>
        <v>0</v>
      </c>
      <c r="AR181" s="9">
        <f t="shared" si="5"/>
        <v>0</v>
      </c>
      <c r="AS181" s="60">
        <f>IF(Tabla1[[#This Row],[MESES DE ADEUDO DEL AÑO EN CURSO ]]&gt;0,1,0)</f>
        <v>0</v>
      </c>
      <c r="AT181" s="42"/>
      <c r="AU181" s="42"/>
      <c r="AV181" s="42"/>
      <c r="AW181" s="43"/>
    </row>
    <row r="182" spans="1:49" ht="21.75" thickBot="1" x14ac:dyDescent="0.35">
      <c r="A182" s="109">
        <v>176</v>
      </c>
      <c r="B182" s="5" t="s">
        <v>322</v>
      </c>
      <c r="C182" s="2" t="s">
        <v>549</v>
      </c>
      <c r="D182" s="32"/>
      <c r="E182" s="35" t="s">
        <v>455</v>
      </c>
      <c r="F182" s="34">
        <v>45</v>
      </c>
      <c r="G182" s="34">
        <v>45</v>
      </c>
      <c r="H182" s="34">
        <v>45</v>
      </c>
      <c r="I182" s="34">
        <v>45</v>
      </c>
      <c r="J182" s="34">
        <v>45</v>
      </c>
      <c r="K182" s="34">
        <v>45</v>
      </c>
      <c r="L182" s="34">
        <v>45</v>
      </c>
      <c r="M182" s="34">
        <v>45</v>
      </c>
      <c r="N182" s="34">
        <v>45</v>
      </c>
      <c r="O182" s="34">
        <v>45</v>
      </c>
      <c r="P182" s="34">
        <v>45</v>
      </c>
      <c r="Q182" s="34">
        <v>45</v>
      </c>
      <c r="R182" s="24">
        <f>SUM(Tabla1[[#This Row],[ENERO ]:[DICIEMBRE]])</f>
        <v>540</v>
      </c>
      <c r="W182" s="65">
        <v>0</v>
      </c>
      <c r="X182" s="21">
        <f>COUNTIF(Tabla1[[#This Row],[ENERO ]:[DICIEMBRE]],0)-(AQ182)-IF(Tabla1[[#This Row],[BAJAS]]="BAJA",IF(Tabla1[[#This Row],[ALTAS]]="ALTA",VLOOKUP(Tabla1[[#This Row],[MES DE ALTA ]],$AT$6:$AU$17,2,FALSE),12)-VLOOKUP(Tabla1[[#This Row],[MES DE BAJA ]],$AT$6:$AU$17,2,FALSE),0)</f>
        <v>0</v>
      </c>
      <c r="Y182" s="69">
        <f>SUM(Tabla1[[#This Row],[MES ADEUDO DE AÑOS PASADOS ]:[MESES DE ADEUDO DEL AÑO EN CURSO ]])</f>
        <v>0</v>
      </c>
      <c r="Z182" s="15">
        <f>IF(Tabla1[[#This Row],[TIPO DE CONSUMIDOR]]="COMPLETO",W182*$T$2,W182*($T$2/2))</f>
        <v>0</v>
      </c>
      <c r="AA182" s="15">
        <f>IF(Tabla1[[#This Row],[TIPO DE CONSUMIDOR]]="COMPLETO",Tabla1[[#This Row],[MESES DE ADEUDO DEL AÑO EN CURSO ]]*$T$2,Tabla1[[#This Row],[MESES DE ADEUDO DEL AÑO EN CURSO ]]*($T$2/2))</f>
        <v>0</v>
      </c>
      <c r="AB182" s="70">
        <f>SUM(Tabla1[[#This Row],[DEUDA DE LOS MESES PASADOS EN $$]:[DEUDA DEL AÑO 2013 $$ ]])</f>
        <v>0</v>
      </c>
      <c r="AE182" s="103">
        <f>IF(Tabla1[[#This Row],[TIPO DE CONSUMIDOR]]="MEDIO",IF(Tabla1[[#This Row],[ENERO ]]&gt;22.5,Tabla1[[#This Row],[ENERO ]]/22.5-1,0),IF(Tabla1[[#This Row],[ENERO ]]&gt;45,Tabla1[[#This Row],[ENERO ]]/45-1,0))</f>
        <v>0</v>
      </c>
      <c r="AF18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2" s="103">
        <f>IF(Tabla1[[#This Row],[TIPO DE CONSUMIDOR]]="MEDIO",IF(Tabla1[[#This Row],[MARZO]]&gt;22.5,Tabla1[[#This Row],[MARZO]]/22.5-1,0),IF(Tabla1[[#This Row],[MARZO]]&gt;45,Tabla1[[#This Row],[MARZO]]/45-1,0))</f>
        <v>0</v>
      </c>
      <c r="AH182" s="103">
        <f>IF(Tabla1[[#This Row],[TIPO DE CONSUMIDOR]]="MEDIO",IF(Tabla1[[#This Row],[ABRIL]]&gt;22.5,Tabla1[[#This Row],[ABRIL]]/22.5-1,0),IF(Tabla1[[#This Row],[ABRIL]]&gt;45,Tabla1[[#This Row],[ABRIL]]/45-1,0))</f>
        <v>0</v>
      </c>
      <c r="AI182" s="103">
        <f>IF(Tabla1[[#This Row],[TIPO DE CONSUMIDOR]]="MEDIO",IF(Tabla1[[#This Row],[MAYO ]]&gt;22.5,Tabla1[[#This Row],[MAYO ]]/22.5-1,0),IF(Tabla1[[#This Row],[MAYO ]]&gt;45,Tabla1[[#This Row],[MAYO ]]/45-1,0))</f>
        <v>0</v>
      </c>
      <c r="AJ182" s="103">
        <f>IF(Tabla1[[#This Row],[TIPO DE CONSUMIDOR]]="MEDIO",IF(Tabla1[[#This Row],[JUNIO ]]&gt;22.5,Tabla1[[#This Row],[JUNIO ]]/22.5-1,0),IF(Tabla1[[#This Row],[JUNIO ]]&gt;45,Tabla1[[#This Row],[JUNIO ]]/45-1,0))</f>
        <v>0</v>
      </c>
      <c r="AK182" s="103">
        <f>IF(Tabla1[[#This Row],[TIPO DE CONSUMIDOR]]="MEDIO",IF(Tabla1[[#This Row],[JULIO ]]&gt;22.5,Tabla1[[#This Row],[JULIO ]]/22.5-1,0),IF(Tabla1[[#This Row],[JULIO ]]&gt;45,Tabla1[[#This Row],[JULIO ]]/45-1,0))</f>
        <v>0</v>
      </c>
      <c r="AL182" s="103">
        <f>IF(Tabla1[[#This Row],[TIPO DE CONSUMIDOR]]="MEDIO",IF(Tabla1[[#This Row],[AGOSTO]]&gt;22.5,Tabla1[[#This Row],[AGOSTO]]/22.5-1,0),IF(Tabla1[[#This Row],[AGOSTO]]&gt;45,Tabla1[[#This Row],[AGOSTO]]/45-1,0))</f>
        <v>0</v>
      </c>
      <c r="AM18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2" s="104">
        <f t="shared" si="6"/>
        <v>0</v>
      </c>
      <c r="AR182" s="9">
        <f t="shared" si="5"/>
        <v>0</v>
      </c>
      <c r="AS182" s="60">
        <f>IF(Tabla1[[#This Row],[MESES DE ADEUDO DEL AÑO EN CURSO ]]&gt;0,1,0)</f>
        <v>0</v>
      </c>
      <c r="AT182" s="42"/>
      <c r="AU182" s="42"/>
      <c r="AV182" s="42"/>
      <c r="AW182" s="43"/>
    </row>
    <row r="183" spans="1:49" ht="21.75" thickBot="1" x14ac:dyDescent="0.35">
      <c r="A183" s="109">
        <v>177</v>
      </c>
      <c r="B183" s="5" t="s">
        <v>284</v>
      </c>
      <c r="C183" s="2" t="s">
        <v>549</v>
      </c>
      <c r="D183" s="32"/>
      <c r="E183" s="35" t="s">
        <v>455</v>
      </c>
      <c r="F183" s="34">
        <v>45</v>
      </c>
      <c r="G183" s="34">
        <v>45</v>
      </c>
      <c r="H183" s="34">
        <v>45</v>
      </c>
      <c r="I183" s="34">
        <v>45</v>
      </c>
      <c r="J183" s="34">
        <v>45</v>
      </c>
      <c r="K183" s="34">
        <v>45</v>
      </c>
      <c r="L183" s="34">
        <v>45</v>
      </c>
      <c r="M183" s="34">
        <v>45</v>
      </c>
      <c r="N183" s="34">
        <v>45</v>
      </c>
      <c r="O183" s="34">
        <v>45</v>
      </c>
      <c r="P183" s="34">
        <v>45</v>
      </c>
      <c r="Q183" s="34">
        <v>45</v>
      </c>
      <c r="R183" s="24">
        <f>SUM(Tabla1[[#This Row],[ENERO ]:[DICIEMBRE]])</f>
        <v>540</v>
      </c>
      <c r="W183" s="65">
        <v>0</v>
      </c>
      <c r="X183" s="21">
        <f>COUNTIF(Tabla1[[#This Row],[ENERO ]:[DICIEMBRE]],0)-(AQ183)-IF(Tabla1[[#This Row],[BAJAS]]="BAJA",IF(Tabla1[[#This Row],[ALTAS]]="ALTA",VLOOKUP(Tabla1[[#This Row],[MES DE ALTA ]],$AT$6:$AU$17,2,FALSE),12)-VLOOKUP(Tabla1[[#This Row],[MES DE BAJA ]],$AT$6:$AU$17,2,FALSE),0)</f>
        <v>0</v>
      </c>
      <c r="Y183" s="69">
        <f>SUM(Tabla1[[#This Row],[MES ADEUDO DE AÑOS PASADOS ]:[MESES DE ADEUDO DEL AÑO EN CURSO ]])</f>
        <v>0</v>
      </c>
      <c r="Z183" s="15">
        <f>IF(Tabla1[[#This Row],[TIPO DE CONSUMIDOR]]="COMPLETO",W183*$T$2,W183*($T$2/2))</f>
        <v>0</v>
      </c>
      <c r="AA183" s="15">
        <f>IF(Tabla1[[#This Row],[TIPO DE CONSUMIDOR]]="COMPLETO",Tabla1[[#This Row],[MESES DE ADEUDO DEL AÑO EN CURSO ]]*$T$2,Tabla1[[#This Row],[MESES DE ADEUDO DEL AÑO EN CURSO ]]*($T$2/2))</f>
        <v>0</v>
      </c>
      <c r="AB183" s="70">
        <f>SUM(Tabla1[[#This Row],[DEUDA DE LOS MESES PASADOS EN $$]:[DEUDA DEL AÑO 2013 $$ ]])</f>
        <v>0</v>
      </c>
      <c r="AE183" s="103">
        <f>IF(Tabla1[[#This Row],[TIPO DE CONSUMIDOR]]="MEDIO",IF(Tabla1[[#This Row],[ENERO ]]&gt;22.5,Tabla1[[#This Row],[ENERO ]]/22.5-1,0),IF(Tabla1[[#This Row],[ENERO ]]&gt;45,Tabla1[[#This Row],[ENERO ]]/45-1,0))</f>
        <v>0</v>
      </c>
      <c r="AF18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3" s="103">
        <f>IF(Tabla1[[#This Row],[TIPO DE CONSUMIDOR]]="MEDIO",IF(Tabla1[[#This Row],[MARZO]]&gt;22.5,Tabla1[[#This Row],[MARZO]]/22.5-1,0),IF(Tabla1[[#This Row],[MARZO]]&gt;45,Tabla1[[#This Row],[MARZO]]/45-1,0))</f>
        <v>0</v>
      </c>
      <c r="AH183" s="103">
        <f>IF(Tabla1[[#This Row],[TIPO DE CONSUMIDOR]]="MEDIO",IF(Tabla1[[#This Row],[ABRIL]]&gt;22.5,Tabla1[[#This Row],[ABRIL]]/22.5-1,0),IF(Tabla1[[#This Row],[ABRIL]]&gt;45,Tabla1[[#This Row],[ABRIL]]/45-1,0))</f>
        <v>0</v>
      </c>
      <c r="AI183" s="103">
        <f>IF(Tabla1[[#This Row],[TIPO DE CONSUMIDOR]]="MEDIO",IF(Tabla1[[#This Row],[MAYO ]]&gt;22.5,Tabla1[[#This Row],[MAYO ]]/22.5-1,0),IF(Tabla1[[#This Row],[MAYO ]]&gt;45,Tabla1[[#This Row],[MAYO ]]/45-1,0))</f>
        <v>0</v>
      </c>
      <c r="AJ183" s="103">
        <f>IF(Tabla1[[#This Row],[TIPO DE CONSUMIDOR]]="MEDIO",IF(Tabla1[[#This Row],[JUNIO ]]&gt;22.5,Tabla1[[#This Row],[JUNIO ]]/22.5-1,0),IF(Tabla1[[#This Row],[JUNIO ]]&gt;45,Tabla1[[#This Row],[JUNIO ]]/45-1,0))</f>
        <v>0</v>
      </c>
      <c r="AK183" s="103">
        <f>IF(Tabla1[[#This Row],[TIPO DE CONSUMIDOR]]="MEDIO",IF(Tabla1[[#This Row],[JULIO ]]&gt;22.5,Tabla1[[#This Row],[JULIO ]]/22.5-1,0),IF(Tabla1[[#This Row],[JULIO ]]&gt;45,Tabla1[[#This Row],[JULIO ]]/45-1,0))</f>
        <v>0</v>
      </c>
      <c r="AL183" s="103">
        <f>IF(Tabla1[[#This Row],[TIPO DE CONSUMIDOR]]="MEDIO",IF(Tabla1[[#This Row],[AGOSTO]]&gt;22.5,Tabla1[[#This Row],[AGOSTO]]/22.5-1,0),IF(Tabla1[[#This Row],[AGOSTO]]&gt;45,Tabla1[[#This Row],[AGOSTO]]/45-1,0))</f>
        <v>0</v>
      </c>
      <c r="AM18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3" s="104">
        <f t="shared" si="6"/>
        <v>0</v>
      </c>
      <c r="AR183" s="9">
        <f t="shared" si="5"/>
        <v>0</v>
      </c>
      <c r="AS183" s="60">
        <f>IF(Tabla1[[#This Row],[MESES DE ADEUDO DEL AÑO EN CURSO ]]&gt;0,1,0)</f>
        <v>0</v>
      </c>
      <c r="AT183" s="42"/>
      <c r="AU183" s="42"/>
      <c r="AV183" s="42"/>
      <c r="AW183" s="43"/>
    </row>
    <row r="184" spans="1:49" ht="21.75" thickBot="1" x14ac:dyDescent="0.35">
      <c r="A184" s="109">
        <v>178</v>
      </c>
      <c r="B184" s="5" t="s">
        <v>554</v>
      </c>
      <c r="C184" s="2" t="s">
        <v>549</v>
      </c>
      <c r="D184" s="32"/>
      <c r="E184" s="35" t="s">
        <v>455</v>
      </c>
      <c r="F184" s="34">
        <v>45</v>
      </c>
      <c r="G184" s="34">
        <v>45</v>
      </c>
      <c r="H184" s="34">
        <v>45</v>
      </c>
      <c r="I184" s="34">
        <v>45</v>
      </c>
      <c r="J184" s="34">
        <v>45</v>
      </c>
      <c r="K184" s="34">
        <v>45</v>
      </c>
      <c r="L184" s="34">
        <v>45</v>
      </c>
      <c r="M184" s="34">
        <v>45</v>
      </c>
      <c r="N184" s="34">
        <v>45</v>
      </c>
      <c r="O184" s="34">
        <v>45</v>
      </c>
      <c r="P184" s="34">
        <v>45</v>
      </c>
      <c r="Q184" s="34">
        <v>45</v>
      </c>
      <c r="R184" s="24">
        <f>SUM(Tabla1[[#This Row],[ENERO ]:[DICIEMBRE]])</f>
        <v>540</v>
      </c>
      <c r="W184" s="65">
        <v>0</v>
      </c>
      <c r="X184" s="21">
        <f>COUNTIF(Tabla1[[#This Row],[ENERO ]:[DICIEMBRE]],0)-(AQ184)-IF(Tabla1[[#This Row],[BAJAS]]="BAJA",IF(Tabla1[[#This Row],[ALTAS]]="ALTA",VLOOKUP(Tabla1[[#This Row],[MES DE ALTA ]],$AT$6:$AU$17,2,FALSE),12)-VLOOKUP(Tabla1[[#This Row],[MES DE BAJA ]],$AT$6:$AU$17,2,FALSE),0)</f>
        <v>0</v>
      </c>
      <c r="Y184" s="69">
        <f>SUM(Tabla1[[#This Row],[MES ADEUDO DE AÑOS PASADOS ]:[MESES DE ADEUDO DEL AÑO EN CURSO ]])</f>
        <v>0</v>
      </c>
      <c r="Z184" s="15">
        <f>IF(Tabla1[[#This Row],[TIPO DE CONSUMIDOR]]="COMPLETO",W184*$T$2,W184*($T$2/2))</f>
        <v>0</v>
      </c>
      <c r="AA184" s="15">
        <f>IF(Tabla1[[#This Row],[TIPO DE CONSUMIDOR]]="COMPLETO",Tabla1[[#This Row],[MESES DE ADEUDO DEL AÑO EN CURSO ]]*$T$2,Tabla1[[#This Row],[MESES DE ADEUDO DEL AÑO EN CURSO ]]*($T$2/2))</f>
        <v>0</v>
      </c>
      <c r="AB184" s="70">
        <f>SUM(Tabla1[[#This Row],[DEUDA DE LOS MESES PASADOS EN $$]:[DEUDA DEL AÑO 2013 $$ ]])</f>
        <v>0</v>
      </c>
      <c r="AE184" s="103">
        <f>IF(Tabla1[[#This Row],[TIPO DE CONSUMIDOR]]="MEDIO",IF(Tabla1[[#This Row],[ENERO ]]&gt;22.5,Tabla1[[#This Row],[ENERO ]]/22.5-1,0),IF(Tabla1[[#This Row],[ENERO ]]&gt;45,Tabla1[[#This Row],[ENERO ]]/45-1,0))</f>
        <v>0</v>
      </c>
      <c r="AF18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4" s="103">
        <f>IF(Tabla1[[#This Row],[TIPO DE CONSUMIDOR]]="MEDIO",IF(Tabla1[[#This Row],[MARZO]]&gt;22.5,Tabla1[[#This Row],[MARZO]]/22.5-1,0),IF(Tabla1[[#This Row],[MARZO]]&gt;45,Tabla1[[#This Row],[MARZO]]/45-1,0))</f>
        <v>0</v>
      </c>
      <c r="AH184" s="103">
        <f>IF(Tabla1[[#This Row],[TIPO DE CONSUMIDOR]]="MEDIO",IF(Tabla1[[#This Row],[ABRIL]]&gt;22.5,Tabla1[[#This Row],[ABRIL]]/22.5-1,0),IF(Tabla1[[#This Row],[ABRIL]]&gt;45,Tabla1[[#This Row],[ABRIL]]/45-1,0))</f>
        <v>0</v>
      </c>
      <c r="AI184" s="103">
        <f>IF(Tabla1[[#This Row],[TIPO DE CONSUMIDOR]]="MEDIO",IF(Tabla1[[#This Row],[MAYO ]]&gt;22.5,Tabla1[[#This Row],[MAYO ]]/22.5-1,0),IF(Tabla1[[#This Row],[MAYO ]]&gt;45,Tabla1[[#This Row],[MAYO ]]/45-1,0))</f>
        <v>0</v>
      </c>
      <c r="AJ184" s="103">
        <f>IF(Tabla1[[#This Row],[TIPO DE CONSUMIDOR]]="MEDIO",IF(Tabla1[[#This Row],[JUNIO ]]&gt;22.5,Tabla1[[#This Row],[JUNIO ]]/22.5-1,0),IF(Tabla1[[#This Row],[JUNIO ]]&gt;45,Tabla1[[#This Row],[JUNIO ]]/45-1,0))</f>
        <v>0</v>
      </c>
      <c r="AK184" s="103">
        <f>IF(Tabla1[[#This Row],[TIPO DE CONSUMIDOR]]="MEDIO",IF(Tabla1[[#This Row],[JULIO ]]&gt;22.5,Tabla1[[#This Row],[JULIO ]]/22.5-1,0),IF(Tabla1[[#This Row],[JULIO ]]&gt;45,Tabla1[[#This Row],[JULIO ]]/45-1,0))</f>
        <v>0</v>
      </c>
      <c r="AL184" s="103">
        <f>IF(Tabla1[[#This Row],[TIPO DE CONSUMIDOR]]="MEDIO",IF(Tabla1[[#This Row],[AGOSTO]]&gt;22.5,Tabla1[[#This Row],[AGOSTO]]/22.5-1,0),IF(Tabla1[[#This Row],[AGOSTO]]&gt;45,Tabla1[[#This Row],[AGOSTO]]/45-1,0))</f>
        <v>0</v>
      </c>
      <c r="AM18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4" s="104">
        <f t="shared" si="6"/>
        <v>0</v>
      </c>
      <c r="AR184" s="9">
        <f t="shared" si="5"/>
        <v>0</v>
      </c>
      <c r="AS184" s="60">
        <f>IF(Tabla1[[#This Row],[MESES DE ADEUDO DEL AÑO EN CURSO ]]&gt;0,1,0)</f>
        <v>0</v>
      </c>
      <c r="AT184" s="42"/>
      <c r="AU184" s="42"/>
      <c r="AV184" s="42"/>
      <c r="AW184" s="43"/>
    </row>
    <row r="185" spans="1:49" ht="21.75" thickBot="1" x14ac:dyDescent="0.35">
      <c r="A185" s="109">
        <v>179</v>
      </c>
      <c r="B185" s="5" t="s">
        <v>336</v>
      </c>
      <c r="C185" s="2" t="s">
        <v>549</v>
      </c>
      <c r="D185" s="32"/>
      <c r="E185" s="35" t="s">
        <v>455</v>
      </c>
      <c r="F185" s="34">
        <v>45</v>
      </c>
      <c r="G185" s="34">
        <v>45</v>
      </c>
      <c r="H185" s="34">
        <v>45</v>
      </c>
      <c r="I185" s="34">
        <v>45</v>
      </c>
      <c r="J185" s="34">
        <v>45</v>
      </c>
      <c r="K185" s="34">
        <v>45</v>
      </c>
      <c r="L185" s="34">
        <v>45</v>
      </c>
      <c r="M185" s="34">
        <v>45</v>
      </c>
      <c r="N185" s="34">
        <v>45</v>
      </c>
      <c r="O185" s="34">
        <v>45</v>
      </c>
      <c r="P185" s="34">
        <v>45</v>
      </c>
      <c r="Q185" s="34">
        <v>45</v>
      </c>
      <c r="R185" s="24">
        <f>SUM(Tabla1[[#This Row],[ENERO ]:[DICIEMBRE]])</f>
        <v>540</v>
      </c>
      <c r="W185" s="65">
        <v>0</v>
      </c>
      <c r="X185" s="21">
        <f>COUNTIF(Tabla1[[#This Row],[ENERO ]:[DICIEMBRE]],0)-(AQ185)-IF(Tabla1[[#This Row],[BAJAS]]="BAJA",IF(Tabla1[[#This Row],[ALTAS]]="ALTA",VLOOKUP(Tabla1[[#This Row],[MES DE ALTA ]],$AT$6:$AU$17,2,FALSE),12)-VLOOKUP(Tabla1[[#This Row],[MES DE BAJA ]],$AT$6:$AU$17,2,FALSE),0)</f>
        <v>0</v>
      </c>
      <c r="Y185" s="69">
        <f>SUM(Tabla1[[#This Row],[MES ADEUDO DE AÑOS PASADOS ]:[MESES DE ADEUDO DEL AÑO EN CURSO ]])</f>
        <v>0</v>
      </c>
      <c r="Z185" s="15">
        <f>IF(Tabla1[[#This Row],[TIPO DE CONSUMIDOR]]="COMPLETO",W185*$T$2,W185*($T$2/2))</f>
        <v>0</v>
      </c>
      <c r="AA185" s="15">
        <f>IF(Tabla1[[#This Row],[TIPO DE CONSUMIDOR]]="COMPLETO",Tabla1[[#This Row],[MESES DE ADEUDO DEL AÑO EN CURSO ]]*$T$2,Tabla1[[#This Row],[MESES DE ADEUDO DEL AÑO EN CURSO ]]*($T$2/2))</f>
        <v>0</v>
      </c>
      <c r="AB185" s="70">
        <f>SUM(Tabla1[[#This Row],[DEUDA DE LOS MESES PASADOS EN $$]:[DEUDA DEL AÑO 2013 $$ ]])</f>
        <v>0</v>
      </c>
      <c r="AE185" s="103">
        <f>IF(Tabla1[[#This Row],[TIPO DE CONSUMIDOR]]="MEDIO",IF(Tabla1[[#This Row],[ENERO ]]&gt;22.5,Tabla1[[#This Row],[ENERO ]]/22.5-1,0),IF(Tabla1[[#This Row],[ENERO ]]&gt;45,Tabla1[[#This Row],[ENERO ]]/45-1,0))</f>
        <v>0</v>
      </c>
      <c r="AF18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5" s="103">
        <f>IF(Tabla1[[#This Row],[TIPO DE CONSUMIDOR]]="MEDIO",IF(Tabla1[[#This Row],[MARZO]]&gt;22.5,Tabla1[[#This Row],[MARZO]]/22.5-1,0),IF(Tabla1[[#This Row],[MARZO]]&gt;45,Tabla1[[#This Row],[MARZO]]/45-1,0))</f>
        <v>0</v>
      </c>
      <c r="AH185" s="103">
        <f>IF(Tabla1[[#This Row],[TIPO DE CONSUMIDOR]]="MEDIO",IF(Tabla1[[#This Row],[ABRIL]]&gt;22.5,Tabla1[[#This Row],[ABRIL]]/22.5-1,0),IF(Tabla1[[#This Row],[ABRIL]]&gt;45,Tabla1[[#This Row],[ABRIL]]/45-1,0))</f>
        <v>0</v>
      </c>
      <c r="AI185" s="103">
        <f>IF(Tabla1[[#This Row],[TIPO DE CONSUMIDOR]]="MEDIO",IF(Tabla1[[#This Row],[MAYO ]]&gt;22.5,Tabla1[[#This Row],[MAYO ]]/22.5-1,0),IF(Tabla1[[#This Row],[MAYO ]]&gt;45,Tabla1[[#This Row],[MAYO ]]/45-1,0))</f>
        <v>0</v>
      </c>
      <c r="AJ185" s="103">
        <f>IF(Tabla1[[#This Row],[TIPO DE CONSUMIDOR]]="MEDIO",IF(Tabla1[[#This Row],[JUNIO ]]&gt;22.5,Tabla1[[#This Row],[JUNIO ]]/22.5-1,0),IF(Tabla1[[#This Row],[JUNIO ]]&gt;45,Tabla1[[#This Row],[JUNIO ]]/45-1,0))</f>
        <v>0</v>
      </c>
      <c r="AK185" s="103">
        <f>IF(Tabla1[[#This Row],[TIPO DE CONSUMIDOR]]="MEDIO",IF(Tabla1[[#This Row],[JULIO ]]&gt;22.5,Tabla1[[#This Row],[JULIO ]]/22.5-1,0),IF(Tabla1[[#This Row],[JULIO ]]&gt;45,Tabla1[[#This Row],[JULIO ]]/45-1,0))</f>
        <v>0</v>
      </c>
      <c r="AL185" s="103">
        <f>IF(Tabla1[[#This Row],[TIPO DE CONSUMIDOR]]="MEDIO",IF(Tabla1[[#This Row],[AGOSTO]]&gt;22.5,Tabla1[[#This Row],[AGOSTO]]/22.5-1,0),IF(Tabla1[[#This Row],[AGOSTO]]&gt;45,Tabla1[[#This Row],[AGOSTO]]/45-1,0))</f>
        <v>0</v>
      </c>
      <c r="AM18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5" s="104">
        <f t="shared" si="6"/>
        <v>0</v>
      </c>
      <c r="AR185" s="9">
        <f t="shared" si="5"/>
        <v>0</v>
      </c>
      <c r="AS185" s="60">
        <f>IF(Tabla1[[#This Row],[MESES DE ADEUDO DEL AÑO EN CURSO ]]&gt;0,1,0)</f>
        <v>0</v>
      </c>
      <c r="AT185" s="42"/>
      <c r="AU185" s="42"/>
      <c r="AV185" s="42"/>
      <c r="AW185" s="43"/>
    </row>
    <row r="186" spans="1:49" ht="21.75" thickBot="1" x14ac:dyDescent="0.35">
      <c r="A186" s="109">
        <v>180</v>
      </c>
      <c r="B186" s="5" t="s">
        <v>351</v>
      </c>
      <c r="C186" s="2" t="s">
        <v>549</v>
      </c>
      <c r="D186" s="32"/>
      <c r="E186" s="35" t="s">
        <v>455</v>
      </c>
      <c r="F186" s="34">
        <v>45</v>
      </c>
      <c r="G186" s="34">
        <v>45</v>
      </c>
      <c r="H186" s="34">
        <v>45</v>
      </c>
      <c r="I186" s="34">
        <v>45</v>
      </c>
      <c r="J186" s="34">
        <v>45</v>
      </c>
      <c r="K186" s="34">
        <v>45</v>
      </c>
      <c r="L186" s="34">
        <v>45</v>
      </c>
      <c r="M186" s="34">
        <v>45</v>
      </c>
      <c r="N186" s="34">
        <v>45</v>
      </c>
      <c r="O186" s="34">
        <v>45</v>
      </c>
      <c r="P186" s="34">
        <v>45</v>
      </c>
      <c r="Q186" s="34">
        <v>45</v>
      </c>
      <c r="R186" s="24">
        <f>SUM(Tabla1[[#This Row],[ENERO ]:[DICIEMBRE]])</f>
        <v>540</v>
      </c>
      <c r="W186" s="65">
        <v>0</v>
      </c>
      <c r="X186" s="21">
        <f>COUNTIF(Tabla1[[#This Row],[ENERO ]:[DICIEMBRE]],0)-(AQ186)-IF(Tabla1[[#This Row],[BAJAS]]="BAJA",IF(Tabla1[[#This Row],[ALTAS]]="ALTA",VLOOKUP(Tabla1[[#This Row],[MES DE ALTA ]],$AT$6:$AU$17,2,FALSE),12)-VLOOKUP(Tabla1[[#This Row],[MES DE BAJA ]],$AT$6:$AU$17,2,FALSE),0)</f>
        <v>0</v>
      </c>
      <c r="Y186" s="69">
        <f>SUM(Tabla1[[#This Row],[MES ADEUDO DE AÑOS PASADOS ]:[MESES DE ADEUDO DEL AÑO EN CURSO ]])</f>
        <v>0</v>
      </c>
      <c r="Z186" s="15">
        <f>IF(Tabla1[[#This Row],[TIPO DE CONSUMIDOR]]="COMPLETO",W186*$T$2,W186*($T$2/2))</f>
        <v>0</v>
      </c>
      <c r="AA186" s="15">
        <f>IF(Tabla1[[#This Row],[TIPO DE CONSUMIDOR]]="COMPLETO",Tabla1[[#This Row],[MESES DE ADEUDO DEL AÑO EN CURSO ]]*$T$2,Tabla1[[#This Row],[MESES DE ADEUDO DEL AÑO EN CURSO ]]*($T$2/2))</f>
        <v>0</v>
      </c>
      <c r="AB186" s="70">
        <f>SUM(Tabla1[[#This Row],[DEUDA DE LOS MESES PASADOS EN $$]:[DEUDA DEL AÑO 2013 $$ ]])</f>
        <v>0</v>
      </c>
      <c r="AE186" s="103">
        <f>IF(Tabla1[[#This Row],[TIPO DE CONSUMIDOR]]="MEDIO",IF(Tabla1[[#This Row],[ENERO ]]&gt;22.5,Tabla1[[#This Row],[ENERO ]]/22.5-1,0),IF(Tabla1[[#This Row],[ENERO ]]&gt;45,Tabla1[[#This Row],[ENERO ]]/45-1,0))</f>
        <v>0</v>
      </c>
      <c r="AF18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6" s="103">
        <f>IF(Tabla1[[#This Row],[TIPO DE CONSUMIDOR]]="MEDIO",IF(Tabla1[[#This Row],[MARZO]]&gt;22.5,Tabla1[[#This Row],[MARZO]]/22.5-1,0),IF(Tabla1[[#This Row],[MARZO]]&gt;45,Tabla1[[#This Row],[MARZO]]/45-1,0))</f>
        <v>0</v>
      </c>
      <c r="AH186" s="103">
        <f>IF(Tabla1[[#This Row],[TIPO DE CONSUMIDOR]]="MEDIO",IF(Tabla1[[#This Row],[ABRIL]]&gt;22.5,Tabla1[[#This Row],[ABRIL]]/22.5-1,0),IF(Tabla1[[#This Row],[ABRIL]]&gt;45,Tabla1[[#This Row],[ABRIL]]/45-1,0))</f>
        <v>0</v>
      </c>
      <c r="AI186" s="103">
        <f>IF(Tabla1[[#This Row],[TIPO DE CONSUMIDOR]]="MEDIO",IF(Tabla1[[#This Row],[MAYO ]]&gt;22.5,Tabla1[[#This Row],[MAYO ]]/22.5-1,0),IF(Tabla1[[#This Row],[MAYO ]]&gt;45,Tabla1[[#This Row],[MAYO ]]/45-1,0))</f>
        <v>0</v>
      </c>
      <c r="AJ186" s="103">
        <f>IF(Tabla1[[#This Row],[TIPO DE CONSUMIDOR]]="MEDIO",IF(Tabla1[[#This Row],[JUNIO ]]&gt;22.5,Tabla1[[#This Row],[JUNIO ]]/22.5-1,0),IF(Tabla1[[#This Row],[JUNIO ]]&gt;45,Tabla1[[#This Row],[JUNIO ]]/45-1,0))</f>
        <v>0</v>
      </c>
      <c r="AK186" s="103">
        <f>IF(Tabla1[[#This Row],[TIPO DE CONSUMIDOR]]="MEDIO",IF(Tabla1[[#This Row],[JULIO ]]&gt;22.5,Tabla1[[#This Row],[JULIO ]]/22.5-1,0),IF(Tabla1[[#This Row],[JULIO ]]&gt;45,Tabla1[[#This Row],[JULIO ]]/45-1,0))</f>
        <v>0</v>
      </c>
      <c r="AL186" s="103">
        <f>IF(Tabla1[[#This Row],[TIPO DE CONSUMIDOR]]="MEDIO",IF(Tabla1[[#This Row],[AGOSTO]]&gt;22.5,Tabla1[[#This Row],[AGOSTO]]/22.5-1,0),IF(Tabla1[[#This Row],[AGOSTO]]&gt;45,Tabla1[[#This Row],[AGOSTO]]/45-1,0))</f>
        <v>0</v>
      </c>
      <c r="AM18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6" s="104">
        <f t="shared" si="6"/>
        <v>0</v>
      </c>
      <c r="AR186" s="9">
        <f t="shared" si="5"/>
        <v>0</v>
      </c>
      <c r="AS186" s="60">
        <f>IF(Tabla1[[#This Row],[MESES DE ADEUDO DEL AÑO EN CURSO ]]&gt;0,1,0)</f>
        <v>0</v>
      </c>
      <c r="AT186" s="42"/>
      <c r="AU186" s="42"/>
      <c r="AV186" s="42"/>
      <c r="AW186" s="43"/>
    </row>
    <row r="187" spans="1:49" ht="21.75" thickBot="1" x14ac:dyDescent="0.35">
      <c r="A187" s="109">
        <v>181</v>
      </c>
      <c r="B187" s="5" t="s">
        <v>406</v>
      </c>
      <c r="C187" s="2" t="s">
        <v>549</v>
      </c>
      <c r="D187" s="32"/>
      <c r="E187" s="35" t="s">
        <v>455</v>
      </c>
      <c r="F187" s="34">
        <v>45</v>
      </c>
      <c r="G187" s="34">
        <v>45</v>
      </c>
      <c r="H187" s="34">
        <v>45</v>
      </c>
      <c r="I187" s="34">
        <v>45</v>
      </c>
      <c r="J187" s="34">
        <v>45</v>
      </c>
      <c r="K187" s="34">
        <v>45</v>
      </c>
      <c r="L187" s="34">
        <v>45</v>
      </c>
      <c r="M187" s="34">
        <v>45</v>
      </c>
      <c r="N187" s="34">
        <v>45</v>
      </c>
      <c r="O187" s="34">
        <v>45</v>
      </c>
      <c r="P187" s="34">
        <v>45</v>
      </c>
      <c r="Q187" s="34">
        <v>45</v>
      </c>
      <c r="R187" s="24">
        <f>SUM(Tabla1[[#This Row],[ENERO ]:[DICIEMBRE]])</f>
        <v>540</v>
      </c>
      <c r="W187" s="65">
        <v>0</v>
      </c>
      <c r="X187" s="21">
        <f>COUNTIF(Tabla1[[#This Row],[ENERO ]:[DICIEMBRE]],0)-(AQ187)-IF(Tabla1[[#This Row],[BAJAS]]="BAJA",IF(Tabla1[[#This Row],[ALTAS]]="ALTA",VLOOKUP(Tabla1[[#This Row],[MES DE ALTA ]],$AT$6:$AU$17,2,FALSE),12)-VLOOKUP(Tabla1[[#This Row],[MES DE BAJA ]],$AT$6:$AU$17,2,FALSE),0)</f>
        <v>0</v>
      </c>
      <c r="Y187" s="69">
        <f>SUM(Tabla1[[#This Row],[MES ADEUDO DE AÑOS PASADOS ]:[MESES DE ADEUDO DEL AÑO EN CURSO ]])</f>
        <v>0</v>
      </c>
      <c r="Z187" s="15">
        <f>IF(Tabla1[[#This Row],[TIPO DE CONSUMIDOR]]="COMPLETO",W187*$T$2,W187*($T$2/2))</f>
        <v>0</v>
      </c>
      <c r="AA187" s="15">
        <f>IF(Tabla1[[#This Row],[TIPO DE CONSUMIDOR]]="COMPLETO",Tabla1[[#This Row],[MESES DE ADEUDO DEL AÑO EN CURSO ]]*$T$2,Tabla1[[#This Row],[MESES DE ADEUDO DEL AÑO EN CURSO ]]*($T$2/2))</f>
        <v>0</v>
      </c>
      <c r="AB187" s="70">
        <f>SUM(Tabla1[[#This Row],[DEUDA DE LOS MESES PASADOS EN $$]:[DEUDA DEL AÑO 2013 $$ ]])</f>
        <v>0</v>
      </c>
      <c r="AE187" s="103">
        <f>IF(Tabla1[[#This Row],[TIPO DE CONSUMIDOR]]="MEDIO",IF(Tabla1[[#This Row],[ENERO ]]&gt;22.5,Tabla1[[#This Row],[ENERO ]]/22.5-1,0),IF(Tabla1[[#This Row],[ENERO ]]&gt;45,Tabla1[[#This Row],[ENERO ]]/45-1,0))</f>
        <v>0</v>
      </c>
      <c r="AF18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7" s="103">
        <f>IF(Tabla1[[#This Row],[TIPO DE CONSUMIDOR]]="MEDIO",IF(Tabla1[[#This Row],[MARZO]]&gt;22.5,Tabla1[[#This Row],[MARZO]]/22.5-1,0),IF(Tabla1[[#This Row],[MARZO]]&gt;45,Tabla1[[#This Row],[MARZO]]/45-1,0))</f>
        <v>0</v>
      </c>
      <c r="AH187" s="103">
        <f>IF(Tabla1[[#This Row],[TIPO DE CONSUMIDOR]]="MEDIO",IF(Tabla1[[#This Row],[ABRIL]]&gt;22.5,Tabla1[[#This Row],[ABRIL]]/22.5-1,0),IF(Tabla1[[#This Row],[ABRIL]]&gt;45,Tabla1[[#This Row],[ABRIL]]/45-1,0))</f>
        <v>0</v>
      </c>
      <c r="AI187" s="103">
        <f>IF(Tabla1[[#This Row],[TIPO DE CONSUMIDOR]]="MEDIO",IF(Tabla1[[#This Row],[MAYO ]]&gt;22.5,Tabla1[[#This Row],[MAYO ]]/22.5-1,0),IF(Tabla1[[#This Row],[MAYO ]]&gt;45,Tabla1[[#This Row],[MAYO ]]/45-1,0))</f>
        <v>0</v>
      </c>
      <c r="AJ187" s="103">
        <f>IF(Tabla1[[#This Row],[TIPO DE CONSUMIDOR]]="MEDIO",IF(Tabla1[[#This Row],[JUNIO ]]&gt;22.5,Tabla1[[#This Row],[JUNIO ]]/22.5-1,0),IF(Tabla1[[#This Row],[JUNIO ]]&gt;45,Tabla1[[#This Row],[JUNIO ]]/45-1,0))</f>
        <v>0</v>
      </c>
      <c r="AK187" s="103">
        <f>IF(Tabla1[[#This Row],[TIPO DE CONSUMIDOR]]="MEDIO",IF(Tabla1[[#This Row],[JULIO ]]&gt;22.5,Tabla1[[#This Row],[JULIO ]]/22.5-1,0),IF(Tabla1[[#This Row],[JULIO ]]&gt;45,Tabla1[[#This Row],[JULIO ]]/45-1,0))</f>
        <v>0</v>
      </c>
      <c r="AL187" s="103">
        <f>IF(Tabla1[[#This Row],[TIPO DE CONSUMIDOR]]="MEDIO",IF(Tabla1[[#This Row],[AGOSTO]]&gt;22.5,Tabla1[[#This Row],[AGOSTO]]/22.5-1,0),IF(Tabla1[[#This Row],[AGOSTO]]&gt;45,Tabla1[[#This Row],[AGOSTO]]/45-1,0))</f>
        <v>0</v>
      </c>
      <c r="AM18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7" s="104">
        <f t="shared" si="6"/>
        <v>0</v>
      </c>
      <c r="AR187" s="9">
        <f t="shared" si="5"/>
        <v>0</v>
      </c>
      <c r="AS187" s="60">
        <f>IF(Tabla1[[#This Row],[MESES DE ADEUDO DEL AÑO EN CURSO ]]&gt;0,1,0)</f>
        <v>0</v>
      </c>
      <c r="AT187" s="42"/>
      <c r="AU187" s="42"/>
      <c r="AV187" s="42"/>
      <c r="AW187" s="43"/>
    </row>
    <row r="188" spans="1:49" ht="21.75" thickBot="1" x14ac:dyDescent="0.35">
      <c r="A188" s="109">
        <v>182</v>
      </c>
      <c r="B188" s="5" t="s">
        <v>332</v>
      </c>
      <c r="C188" s="2" t="s">
        <v>562</v>
      </c>
      <c r="D188" s="32"/>
      <c r="E188" s="35" t="s">
        <v>455</v>
      </c>
      <c r="F188" s="34">
        <v>45</v>
      </c>
      <c r="G188" s="34">
        <v>45</v>
      </c>
      <c r="H188" s="34">
        <v>45</v>
      </c>
      <c r="I188" s="34">
        <v>45</v>
      </c>
      <c r="J188" s="34">
        <v>45</v>
      </c>
      <c r="K188" s="34">
        <v>45</v>
      </c>
      <c r="L188" s="34">
        <v>45</v>
      </c>
      <c r="M188" s="34">
        <v>45</v>
      </c>
      <c r="N188" s="34">
        <v>45</v>
      </c>
      <c r="O188" s="34">
        <v>45</v>
      </c>
      <c r="P188" s="34">
        <v>45</v>
      </c>
      <c r="Q188" s="34">
        <v>45</v>
      </c>
      <c r="R188" s="24">
        <f>SUM(Tabla1[[#This Row],[ENERO ]:[DICIEMBRE]])</f>
        <v>540</v>
      </c>
      <c r="W188" s="65"/>
      <c r="X188" s="21">
        <f>COUNTIF(Tabla1[[#This Row],[ENERO ]:[DICIEMBRE]],0)-(AQ188)-IF(Tabla1[[#This Row],[BAJAS]]="BAJA",IF(Tabla1[[#This Row],[ALTAS]]="ALTA",VLOOKUP(Tabla1[[#This Row],[MES DE ALTA ]],$AT$6:$AU$17,2,FALSE),12)-VLOOKUP(Tabla1[[#This Row],[MES DE BAJA ]],$AT$6:$AU$17,2,FALSE),0)</f>
        <v>0</v>
      </c>
      <c r="Y188" s="69">
        <f>SUM(Tabla1[[#This Row],[MES ADEUDO DE AÑOS PASADOS ]:[MESES DE ADEUDO DEL AÑO EN CURSO ]])</f>
        <v>0</v>
      </c>
      <c r="Z188" s="15">
        <f>IF(Tabla1[[#This Row],[TIPO DE CONSUMIDOR]]="COMPLETO",W188*$T$2,W188*($T$2/2))</f>
        <v>0</v>
      </c>
      <c r="AA188" s="15">
        <f>IF(Tabla1[[#This Row],[TIPO DE CONSUMIDOR]]="COMPLETO",Tabla1[[#This Row],[MESES DE ADEUDO DEL AÑO EN CURSO ]]*$T$2,Tabla1[[#This Row],[MESES DE ADEUDO DEL AÑO EN CURSO ]]*($T$2/2))</f>
        <v>0</v>
      </c>
      <c r="AB188" s="70">
        <f>SUM(Tabla1[[#This Row],[DEUDA DE LOS MESES PASADOS EN $$]:[DEUDA DEL AÑO 2013 $$ ]])</f>
        <v>0</v>
      </c>
      <c r="AE188" s="103">
        <f>IF(Tabla1[[#This Row],[TIPO DE CONSUMIDOR]]="MEDIO",IF(Tabla1[[#This Row],[ENERO ]]&gt;22.5,Tabla1[[#This Row],[ENERO ]]/22.5-1,0),IF(Tabla1[[#This Row],[ENERO ]]&gt;45,Tabla1[[#This Row],[ENERO ]]/45-1,0))</f>
        <v>0</v>
      </c>
      <c r="AF18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8" s="103">
        <f>IF(Tabla1[[#This Row],[TIPO DE CONSUMIDOR]]="MEDIO",IF(Tabla1[[#This Row],[MARZO]]&gt;22.5,Tabla1[[#This Row],[MARZO]]/22.5-1,0),IF(Tabla1[[#This Row],[MARZO]]&gt;45,Tabla1[[#This Row],[MARZO]]/45-1,0))</f>
        <v>0</v>
      </c>
      <c r="AH188" s="103">
        <f>IF(Tabla1[[#This Row],[TIPO DE CONSUMIDOR]]="MEDIO",IF(Tabla1[[#This Row],[ABRIL]]&gt;22.5,Tabla1[[#This Row],[ABRIL]]/22.5-1,0),IF(Tabla1[[#This Row],[ABRIL]]&gt;45,Tabla1[[#This Row],[ABRIL]]/45-1,0))</f>
        <v>0</v>
      </c>
      <c r="AI188" s="103">
        <f>IF(Tabla1[[#This Row],[TIPO DE CONSUMIDOR]]="MEDIO",IF(Tabla1[[#This Row],[MAYO ]]&gt;22.5,Tabla1[[#This Row],[MAYO ]]/22.5-1,0),IF(Tabla1[[#This Row],[MAYO ]]&gt;45,Tabla1[[#This Row],[MAYO ]]/45-1,0))</f>
        <v>0</v>
      </c>
      <c r="AJ188" s="103">
        <f>IF(Tabla1[[#This Row],[TIPO DE CONSUMIDOR]]="MEDIO",IF(Tabla1[[#This Row],[JUNIO ]]&gt;22.5,Tabla1[[#This Row],[JUNIO ]]/22.5-1,0),IF(Tabla1[[#This Row],[JUNIO ]]&gt;45,Tabla1[[#This Row],[JUNIO ]]/45-1,0))</f>
        <v>0</v>
      </c>
      <c r="AK188" s="103">
        <f>IF(Tabla1[[#This Row],[TIPO DE CONSUMIDOR]]="MEDIO",IF(Tabla1[[#This Row],[JULIO ]]&gt;22.5,Tabla1[[#This Row],[JULIO ]]/22.5-1,0),IF(Tabla1[[#This Row],[JULIO ]]&gt;45,Tabla1[[#This Row],[JULIO ]]/45-1,0))</f>
        <v>0</v>
      </c>
      <c r="AL188" s="103">
        <f>IF(Tabla1[[#This Row],[TIPO DE CONSUMIDOR]]="MEDIO",IF(Tabla1[[#This Row],[AGOSTO]]&gt;22.5,Tabla1[[#This Row],[AGOSTO]]/22.5-1,0),IF(Tabla1[[#This Row],[AGOSTO]]&gt;45,Tabla1[[#This Row],[AGOSTO]]/45-1,0))</f>
        <v>0</v>
      </c>
      <c r="AM18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8" s="104">
        <f t="shared" si="6"/>
        <v>0</v>
      </c>
      <c r="AR188" s="9">
        <f t="shared" si="5"/>
        <v>0</v>
      </c>
      <c r="AS188" s="60">
        <f>IF(Tabla1[[#This Row],[MESES DE ADEUDO DEL AÑO EN CURSO ]]&gt;0,1,0)</f>
        <v>0</v>
      </c>
      <c r="AT188" s="42"/>
      <c r="AU188" s="42"/>
      <c r="AV188" s="42"/>
      <c r="AW188" s="43"/>
    </row>
    <row r="189" spans="1:49" ht="21.75" thickBot="1" x14ac:dyDescent="0.35">
      <c r="A189" s="109">
        <v>183</v>
      </c>
      <c r="B189" s="5" t="s">
        <v>33</v>
      </c>
      <c r="C189" s="2" t="s">
        <v>556</v>
      </c>
      <c r="D189" s="32"/>
      <c r="E189" s="35" t="s">
        <v>489</v>
      </c>
      <c r="F189" s="34">
        <v>22.5</v>
      </c>
      <c r="G189" s="34">
        <v>22.5</v>
      </c>
      <c r="H189" s="34">
        <v>22.5</v>
      </c>
      <c r="I189" s="34">
        <v>22.5</v>
      </c>
      <c r="J189" s="34">
        <v>22.5</v>
      </c>
      <c r="K189" s="34">
        <v>22.5</v>
      </c>
      <c r="L189" s="34">
        <v>22.5</v>
      </c>
      <c r="M189" s="34">
        <v>22.5</v>
      </c>
      <c r="N189" s="34">
        <v>22.5</v>
      </c>
      <c r="O189" s="34">
        <v>22.5</v>
      </c>
      <c r="P189" s="34">
        <v>22.5</v>
      </c>
      <c r="Q189" s="34">
        <v>22.5</v>
      </c>
      <c r="R189" s="24">
        <f>SUM(Tabla1[[#This Row],[ENERO ]:[DICIEMBRE]])</f>
        <v>270</v>
      </c>
      <c r="W189" s="65">
        <v>0</v>
      </c>
      <c r="X189" s="21">
        <f>COUNTIF(Tabla1[[#This Row],[ENERO ]:[DICIEMBRE]],0)-(AQ189)-IF(Tabla1[[#This Row],[BAJAS]]="BAJA",IF(Tabla1[[#This Row],[ALTAS]]="ALTA",VLOOKUP(Tabla1[[#This Row],[MES DE ALTA ]],$AT$6:$AU$17,2,FALSE),12)-VLOOKUP(Tabla1[[#This Row],[MES DE BAJA ]],$AT$6:$AU$17,2,FALSE),0)</f>
        <v>0</v>
      </c>
      <c r="Y189" s="69">
        <f>SUM(Tabla1[[#This Row],[MES ADEUDO DE AÑOS PASADOS ]:[MESES DE ADEUDO DEL AÑO EN CURSO ]])</f>
        <v>0</v>
      </c>
      <c r="Z189" s="15">
        <f>IF(Tabla1[[#This Row],[TIPO DE CONSUMIDOR]]="COMPLETO",W189*$T$2,W189*($T$2/2))</f>
        <v>0</v>
      </c>
      <c r="AA189" s="15">
        <f>IF(Tabla1[[#This Row],[TIPO DE CONSUMIDOR]]="COMPLETO",Tabla1[[#This Row],[MESES DE ADEUDO DEL AÑO EN CURSO ]]*$T$2,Tabla1[[#This Row],[MESES DE ADEUDO DEL AÑO EN CURSO ]]*($T$2/2))</f>
        <v>0</v>
      </c>
      <c r="AB189" s="70">
        <f>SUM(Tabla1[[#This Row],[DEUDA DE LOS MESES PASADOS EN $$]:[DEUDA DEL AÑO 2013 $$ ]])</f>
        <v>0</v>
      </c>
      <c r="AE189" s="103">
        <f>IF(Tabla1[[#This Row],[TIPO DE CONSUMIDOR]]="MEDIO",IF(Tabla1[[#This Row],[ENERO ]]&gt;22.5,Tabla1[[#This Row],[ENERO ]]/22.5-1,0),IF(Tabla1[[#This Row],[ENERO ]]&gt;45,Tabla1[[#This Row],[ENERO ]]/45-1,0))</f>
        <v>0</v>
      </c>
      <c r="AF18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89" s="103">
        <f>IF(Tabla1[[#This Row],[TIPO DE CONSUMIDOR]]="MEDIO",IF(Tabla1[[#This Row],[MARZO]]&gt;22.5,Tabla1[[#This Row],[MARZO]]/22.5-1,0),IF(Tabla1[[#This Row],[MARZO]]&gt;45,Tabla1[[#This Row],[MARZO]]/45-1,0))</f>
        <v>0</v>
      </c>
      <c r="AH189" s="103">
        <f>IF(Tabla1[[#This Row],[TIPO DE CONSUMIDOR]]="MEDIO",IF(Tabla1[[#This Row],[ABRIL]]&gt;22.5,Tabla1[[#This Row],[ABRIL]]/22.5-1,0),IF(Tabla1[[#This Row],[ABRIL]]&gt;45,Tabla1[[#This Row],[ABRIL]]/45-1,0))</f>
        <v>0</v>
      </c>
      <c r="AI189" s="103">
        <f>IF(Tabla1[[#This Row],[TIPO DE CONSUMIDOR]]="MEDIO",IF(Tabla1[[#This Row],[MAYO ]]&gt;22.5,Tabla1[[#This Row],[MAYO ]]/22.5-1,0),IF(Tabla1[[#This Row],[MAYO ]]&gt;45,Tabla1[[#This Row],[MAYO ]]/45-1,0))</f>
        <v>0</v>
      </c>
      <c r="AJ189" s="103">
        <f>IF(Tabla1[[#This Row],[TIPO DE CONSUMIDOR]]="MEDIO",IF(Tabla1[[#This Row],[JUNIO ]]&gt;22.5,Tabla1[[#This Row],[JUNIO ]]/22.5-1,0),IF(Tabla1[[#This Row],[JUNIO ]]&gt;45,Tabla1[[#This Row],[JUNIO ]]/45-1,0))</f>
        <v>0</v>
      </c>
      <c r="AK189" s="103">
        <f>IF(Tabla1[[#This Row],[TIPO DE CONSUMIDOR]]="MEDIO",IF(Tabla1[[#This Row],[JULIO ]]&gt;22.5,Tabla1[[#This Row],[JULIO ]]/22.5-1,0),IF(Tabla1[[#This Row],[JULIO ]]&gt;45,Tabla1[[#This Row],[JULIO ]]/45-1,0))</f>
        <v>0</v>
      </c>
      <c r="AL189" s="103">
        <f>IF(Tabla1[[#This Row],[TIPO DE CONSUMIDOR]]="MEDIO",IF(Tabla1[[#This Row],[AGOSTO]]&gt;22.5,Tabla1[[#This Row],[AGOSTO]]/22.5-1,0),IF(Tabla1[[#This Row],[AGOSTO]]&gt;45,Tabla1[[#This Row],[AGOSTO]]/45-1,0))</f>
        <v>0</v>
      </c>
      <c r="AM18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8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8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8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89" s="104">
        <f t="shared" si="6"/>
        <v>0</v>
      </c>
      <c r="AR189" s="9">
        <f t="shared" si="5"/>
        <v>0</v>
      </c>
      <c r="AS189" s="60">
        <f>IF(Tabla1[[#This Row],[MESES DE ADEUDO DEL AÑO EN CURSO ]]&gt;0,1,0)</f>
        <v>0</v>
      </c>
      <c r="AT189" s="42"/>
      <c r="AU189" s="42"/>
      <c r="AV189" s="42"/>
      <c r="AW189" s="43"/>
    </row>
    <row r="190" spans="1:49" ht="21.75" thickBot="1" x14ac:dyDescent="0.35">
      <c r="A190" s="109">
        <v>184</v>
      </c>
      <c r="B190" s="5" t="s">
        <v>25</v>
      </c>
      <c r="C190" s="2" t="s">
        <v>556</v>
      </c>
      <c r="D190" s="32"/>
      <c r="E190" s="35" t="s">
        <v>455</v>
      </c>
      <c r="F190" s="34">
        <v>45</v>
      </c>
      <c r="G190" s="34">
        <v>45</v>
      </c>
      <c r="H190" s="34">
        <v>45</v>
      </c>
      <c r="I190" s="34">
        <v>45</v>
      </c>
      <c r="J190" s="34">
        <v>45</v>
      </c>
      <c r="K190" s="34">
        <v>45</v>
      </c>
      <c r="L190" s="34">
        <v>45</v>
      </c>
      <c r="M190" s="34">
        <v>45</v>
      </c>
      <c r="N190" s="34">
        <v>45</v>
      </c>
      <c r="O190" s="34">
        <v>45</v>
      </c>
      <c r="P190" s="34">
        <v>45</v>
      </c>
      <c r="Q190" s="34">
        <v>45</v>
      </c>
      <c r="R190" s="24">
        <f>SUM(Tabla1[[#This Row],[ENERO ]:[DICIEMBRE]])</f>
        <v>540</v>
      </c>
      <c r="W190" s="65">
        <v>0</v>
      </c>
      <c r="X190" s="21">
        <f>COUNTIF(Tabla1[[#This Row],[ENERO ]:[DICIEMBRE]],0)-(AQ190)-IF(Tabla1[[#This Row],[BAJAS]]="BAJA",IF(Tabla1[[#This Row],[ALTAS]]="ALTA",VLOOKUP(Tabla1[[#This Row],[MES DE ALTA ]],$AT$6:$AU$17,2,FALSE),12)-VLOOKUP(Tabla1[[#This Row],[MES DE BAJA ]],$AT$6:$AU$17,2,FALSE),0)</f>
        <v>0</v>
      </c>
      <c r="Y190" s="69">
        <f>SUM(Tabla1[[#This Row],[MES ADEUDO DE AÑOS PASADOS ]:[MESES DE ADEUDO DEL AÑO EN CURSO ]])</f>
        <v>0</v>
      </c>
      <c r="Z190" s="15">
        <f>IF(Tabla1[[#This Row],[TIPO DE CONSUMIDOR]]="COMPLETO",W190*$T$2,W190*($T$2/2))</f>
        <v>0</v>
      </c>
      <c r="AA190" s="15">
        <f>IF(Tabla1[[#This Row],[TIPO DE CONSUMIDOR]]="COMPLETO",Tabla1[[#This Row],[MESES DE ADEUDO DEL AÑO EN CURSO ]]*$T$2,Tabla1[[#This Row],[MESES DE ADEUDO DEL AÑO EN CURSO ]]*($T$2/2))</f>
        <v>0</v>
      </c>
      <c r="AB190" s="70">
        <f>SUM(Tabla1[[#This Row],[DEUDA DE LOS MESES PASADOS EN $$]:[DEUDA DEL AÑO 2013 $$ ]])</f>
        <v>0</v>
      </c>
      <c r="AE190" s="103">
        <f>IF(Tabla1[[#This Row],[TIPO DE CONSUMIDOR]]="MEDIO",IF(Tabla1[[#This Row],[ENERO ]]&gt;22.5,Tabla1[[#This Row],[ENERO ]]/22.5-1,0),IF(Tabla1[[#This Row],[ENERO ]]&gt;45,Tabla1[[#This Row],[ENERO ]]/45-1,0))</f>
        <v>0</v>
      </c>
      <c r="AF19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0" s="103">
        <f>IF(Tabla1[[#This Row],[TIPO DE CONSUMIDOR]]="MEDIO",IF(Tabla1[[#This Row],[MARZO]]&gt;22.5,Tabla1[[#This Row],[MARZO]]/22.5-1,0),IF(Tabla1[[#This Row],[MARZO]]&gt;45,Tabla1[[#This Row],[MARZO]]/45-1,0))</f>
        <v>0</v>
      </c>
      <c r="AH190" s="103">
        <f>IF(Tabla1[[#This Row],[TIPO DE CONSUMIDOR]]="MEDIO",IF(Tabla1[[#This Row],[ABRIL]]&gt;22.5,Tabla1[[#This Row],[ABRIL]]/22.5-1,0),IF(Tabla1[[#This Row],[ABRIL]]&gt;45,Tabla1[[#This Row],[ABRIL]]/45-1,0))</f>
        <v>0</v>
      </c>
      <c r="AI190" s="103">
        <f>IF(Tabla1[[#This Row],[TIPO DE CONSUMIDOR]]="MEDIO",IF(Tabla1[[#This Row],[MAYO ]]&gt;22.5,Tabla1[[#This Row],[MAYO ]]/22.5-1,0),IF(Tabla1[[#This Row],[MAYO ]]&gt;45,Tabla1[[#This Row],[MAYO ]]/45-1,0))</f>
        <v>0</v>
      </c>
      <c r="AJ190" s="103">
        <f>IF(Tabla1[[#This Row],[TIPO DE CONSUMIDOR]]="MEDIO",IF(Tabla1[[#This Row],[JUNIO ]]&gt;22.5,Tabla1[[#This Row],[JUNIO ]]/22.5-1,0),IF(Tabla1[[#This Row],[JUNIO ]]&gt;45,Tabla1[[#This Row],[JUNIO ]]/45-1,0))</f>
        <v>0</v>
      </c>
      <c r="AK190" s="103">
        <f>IF(Tabla1[[#This Row],[TIPO DE CONSUMIDOR]]="MEDIO",IF(Tabla1[[#This Row],[JULIO ]]&gt;22.5,Tabla1[[#This Row],[JULIO ]]/22.5-1,0),IF(Tabla1[[#This Row],[JULIO ]]&gt;45,Tabla1[[#This Row],[JULIO ]]/45-1,0))</f>
        <v>0</v>
      </c>
      <c r="AL190" s="103">
        <f>IF(Tabla1[[#This Row],[TIPO DE CONSUMIDOR]]="MEDIO",IF(Tabla1[[#This Row],[AGOSTO]]&gt;22.5,Tabla1[[#This Row],[AGOSTO]]/22.5-1,0),IF(Tabla1[[#This Row],[AGOSTO]]&gt;45,Tabla1[[#This Row],[AGOSTO]]/45-1,0))</f>
        <v>0</v>
      </c>
      <c r="AM19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0" s="104">
        <f t="shared" si="6"/>
        <v>0</v>
      </c>
      <c r="AR190" s="9">
        <f t="shared" si="5"/>
        <v>0</v>
      </c>
      <c r="AS190" s="60">
        <f>IF(Tabla1[[#This Row],[MESES DE ADEUDO DEL AÑO EN CURSO ]]&gt;0,1,0)</f>
        <v>0</v>
      </c>
      <c r="AT190" s="42"/>
      <c r="AU190" s="42"/>
      <c r="AV190" s="42"/>
      <c r="AW190" s="43"/>
    </row>
    <row r="191" spans="1:49" ht="21.75" thickBot="1" x14ac:dyDescent="0.35">
      <c r="A191" s="109">
        <v>185</v>
      </c>
      <c r="B191" s="5" t="s">
        <v>80</v>
      </c>
      <c r="C191" s="2" t="s">
        <v>556</v>
      </c>
      <c r="D191" s="32"/>
      <c r="E191" s="35" t="s">
        <v>455</v>
      </c>
      <c r="F191" s="34">
        <v>45</v>
      </c>
      <c r="G191" s="34">
        <v>45</v>
      </c>
      <c r="H191" s="34">
        <v>45</v>
      </c>
      <c r="I191" s="34">
        <v>45</v>
      </c>
      <c r="J191" s="34">
        <v>45</v>
      </c>
      <c r="K191" s="34">
        <v>45</v>
      </c>
      <c r="L191" s="34">
        <v>45</v>
      </c>
      <c r="M191" s="34">
        <v>45</v>
      </c>
      <c r="N191" s="34">
        <v>45</v>
      </c>
      <c r="O191" s="34">
        <v>45</v>
      </c>
      <c r="P191" s="34">
        <v>45</v>
      </c>
      <c r="Q191" s="34">
        <v>45</v>
      </c>
      <c r="R191" s="58">
        <f>SUM(Tabla1[[#This Row],[ENERO ]:[DICIEMBRE]])</f>
        <v>540</v>
      </c>
      <c r="W191" s="65">
        <v>0</v>
      </c>
      <c r="X191" s="21">
        <f>COUNTIF(Tabla1[[#This Row],[ENERO ]:[DICIEMBRE]],0)-(AQ191)-IF(Tabla1[[#This Row],[BAJAS]]="BAJA",IF(Tabla1[[#This Row],[ALTAS]]="ALTA",VLOOKUP(Tabla1[[#This Row],[MES DE ALTA ]],$AT$6:$AU$17,2,FALSE),12)-VLOOKUP(Tabla1[[#This Row],[MES DE BAJA ]],$AT$6:$AU$17,2,FALSE),0)</f>
        <v>0</v>
      </c>
      <c r="Y191" s="69">
        <f>SUM(Tabla1[[#This Row],[MES ADEUDO DE AÑOS PASADOS ]:[MESES DE ADEUDO DEL AÑO EN CURSO ]])</f>
        <v>0</v>
      </c>
      <c r="Z191" s="15">
        <f>IF(Tabla1[[#This Row],[TIPO DE CONSUMIDOR]]="COMPLETO",W191*$T$2,W191*($T$2/2))</f>
        <v>0</v>
      </c>
      <c r="AA191" s="15">
        <f>IF(Tabla1[[#This Row],[TIPO DE CONSUMIDOR]]="COMPLETO",Tabla1[[#This Row],[MESES DE ADEUDO DEL AÑO EN CURSO ]]*$T$2,Tabla1[[#This Row],[MESES DE ADEUDO DEL AÑO EN CURSO ]]*($T$2/2))</f>
        <v>0</v>
      </c>
      <c r="AB191" s="70">
        <f>SUM(Tabla1[[#This Row],[DEUDA DE LOS MESES PASADOS EN $$]:[DEUDA DEL AÑO 2013 $$ ]])</f>
        <v>0</v>
      </c>
      <c r="AE191" s="103">
        <f>IF(Tabla1[[#This Row],[TIPO DE CONSUMIDOR]]="MEDIO",IF(Tabla1[[#This Row],[ENERO ]]&gt;22.5,Tabla1[[#This Row],[ENERO ]]/22.5-1,0),IF(Tabla1[[#This Row],[ENERO ]]&gt;45,Tabla1[[#This Row],[ENERO ]]/45-1,0))</f>
        <v>0</v>
      </c>
      <c r="AF19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1" s="103">
        <f>IF(Tabla1[[#This Row],[TIPO DE CONSUMIDOR]]="MEDIO",IF(Tabla1[[#This Row],[MARZO]]&gt;22.5,Tabla1[[#This Row],[MARZO]]/22.5-1,0),IF(Tabla1[[#This Row],[MARZO]]&gt;45,Tabla1[[#This Row],[MARZO]]/45-1,0))</f>
        <v>0</v>
      </c>
      <c r="AH191" s="103">
        <f>IF(Tabla1[[#This Row],[TIPO DE CONSUMIDOR]]="MEDIO",IF(Tabla1[[#This Row],[ABRIL]]&gt;22.5,Tabla1[[#This Row],[ABRIL]]/22.5-1,0),IF(Tabla1[[#This Row],[ABRIL]]&gt;45,Tabla1[[#This Row],[ABRIL]]/45-1,0))</f>
        <v>0</v>
      </c>
      <c r="AI191" s="103">
        <f>IF(Tabla1[[#This Row],[TIPO DE CONSUMIDOR]]="MEDIO",IF(Tabla1[[#This Row],[MAYO ]]&gt;22.5,Tabla1[[#This Row],[MAYO ]]/22.5-1,0),IF(Tabla1[[#This Row],[MAYO ]]&gt;45,Tabla1[[#This Row],[MAYO ]]/45-1,0))</f>
        <v>0</v>
      </c>
      <c r="AJ191" s="103">
        <f>IF(Tabla1[[#This Row],[TIPO DE CONSUMIDOR]]="MEDIO",IF(Tabla1[[#This Row],[JUNIO ]]&gt;22.5,Tabla1[[#This Row],[JUNIO ]]/22.5-1,0),IF(Tabla1[[#This Row],[JUNIO ]]&gt;45,Tabla1[[#This Row],[JUNIO ]]/45-1,0))</f>
        <v>0</v>
      </c>
      <c r="AK191" s="103">
        <f>IF(Tabla1[[#This Row],[TIPO DE CONSUMIDOR]]="MEDIO",IF(Tabla1[[#This Row],[JULIO ]]&gt;22.5,Tabla1[[#This Row],[JULIO ]]/22.5-1,0),IF(Tabla1[[#This Row],[JULIO ]]&gt;45,Tabla1[[#This Row],[JULIO ]]/45-1,0))</f>
        <v>0</v>
      </c>
      <c r="AL191" s="103">
        <f>IF(Tabla1[[#This Row],[TIPO DE CONSUMIDOR]]="MEDIO",IF(Tabla1[[#This Row],[AGOSTO]]&gt;22.5,Tabla1[[#This Row],[AGOSTO]]/22.5-1,0),IF(Tabla1[[#This Row],[AGOSTO]]&gt;45,Tabla1[[#This Row],[AGOSTO]]/45-1,0))</f>
        <v>0</v>
      </c>
      <c r="AM19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1" s="104">
        <f t="shared" si="6"/>
        <v>0</v>
      </c>
      <c r="AR191" s="9">
        <f t="shared" si="5"/>
        <v>0</v>
      </c>
      <c r="AS191" s="60">
        <f>IF(Tabla1[[#This Row],[MESES DE ADEUDO DEL AÑO EN CURSO ]]&gt;0,1,0)</f>
        <v>0</v>
      </c>
      <c r="AT191" s="42"/>
      <c r="AU191" s="42"/>
      <c r="AV191" s="42"/>
      <c r="AW191" s="43"/>
    </row>
    <row r="192" spans="1:49" ht="21.75" thickBot="1" x14ac:dyDescent="0.35">
      <c r="A192" s="109">
        <v>186</v>
      </c>
      <c r="B192" s="5" t="s">
        <v>94</v>
      </c>
      <c r="C192" s="2" t="s">
        <v>556</v>
      </c>
      <c r="D192" s="32"/>
      <c r="E192" s="35" t="s">
        <v>455</v>
      </c>
      <c r="F192" s="34">
        <v>45</v>
      </c>
      <c r="G192" s="34">
        <v>45</v>
      </c>
      <c r="H192" s="34">
        <v>45</v>
      </c>
      <c r="I192" s="34">
        <v>45</v>
      </c>
      <c r="J192" s="34">
        <v>45</v>
      </c>
      <c r="K192" s="34">
        <v>45</v>
      </c>
      <c r="L192" s="34">
        <v>45</v>
      </c>
      <c r="M192" s="34">
        <v>45</v>
      </c>
      <c r="N192" s="34">
        <v>45</v>
      </c>
      <c r="O192" s="34">
        <v>45</v>
      </c>
      <c r="P192" s="34">
        <v>45</v>
      </c>
      <c r="Q192" s="34">
        <v>45</v>
      </c>
      <c r="R192" s="24">
        <f>SUM(Tabla1[[#This Row],[ENERO ]:[DICIEMBRE]])</f>
        <v>540</v>
      </c>
      <c r="W192" s="65">
        <v>0</v>
      </c>
      <c r="X192" s="21">
        <f>COUNTIF(Tabla1[[#This Row],[ENERO ]:[DICIEMBRE]],0)-(AQ192)-IF(Tabla1[[#This Row],[BAJAS]]="BAJA",IF(Tabla1[[#This Row],[ALTAS]]="ALTA",VLOOKUP(Tabla1[[#This Row],[MES DE ALTA ]],$AT$6:$AU$17,2,FALSE),12)-VLOOKUP(Tabla1[[#This Row],[MES DE BAJA ]],$AT$6:$AU$17,2,FALSE),0)</f>
        <v>0</v>
      </c>
      <c r="Y192" s="69">
        <f>SUM(Tabla1[[#This Row],[MES ADEUDO DE AÑOS PASADOS ]:[MESES DE ADEUDO DEL AÑO EN CURSO ]])</f>
        <v>0</v>
      </c>
      <c r="Z192" s="15">
        <f>IF(Tabla1[[#This Row],[TIPO DE CONSUMIDOR]]="COMPLETO",W192*$T$2,W192*($T$2/2))</f>
        <v>0</v>
      </c>
      <c r="AA192" s="15">
        <f>IF(Tabla1[[#This Row],[TIPO DE CONSUMIDOR]]="COMPLETO",Tabla1[[#This Row],[MESES DE ADEUDO DEL AÑO EN CURSO ]]*$T$2,Tabla1[[#This Row],[MESES DE ADEUDO DEL AÑO EN CURSO ]]*($T$2/2))</f>
        <v>0</v>
      </c>
      <c r="AB192" s="70">
        <f>SUM(Tabla1[[#This Row],[DEUDA DE LOS MESES PASADOS EN $$]:[DEUDA DEL AÑO 2013 $$ ]])</f>
        <v>0</v>
      </c>
      <c r="AE192" s="103">
        <f>IF(Tabla1[[#This Row],[TIPO DE CONSUMIDOR]]="MEDIO",IF(Tabla1[[#This Row],[ENERO ]]&gt;22.5,Tabla1[[#This Row],[ENERO ]]/22.5-1,0),IF(Tabla1[[#This Row],[ENERO ]]&gt;45,Tabla1[[#This Row],[ENERO ]]/45-1,0))</f>
        <v>0</v>
      </c>
      <c r="AF19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2" s="103">
        <f>IF(Tabla1[[#This Row],[TIPO DE CONSUMIDOR]]="MEDIO",IF(Tabla1[[#This Row],[MARZO]]&gt;22.5,Tabla1[[#This Row],[MARZO]]/22.5-1,0),IF(Tabla1[[#This Row],[MARZO]]&gt;45,Tabla1[[#This Row],[MARZO]]/45-1,0))</f>
        <v>0</v>
      </c>
      <c r="AH192" s="103">
        <f>IF(Tabla1[[#This Row],[TIPO DE CONSUMIDOR]]="MEDIO",IF(Tabla1[[#This Row],[ABRIL]]&gt;22.5,Tabla1[[#This Row],[ABRIL]]/22.5-1,0),IF(Tabla1[[#This Row],[ABRIL]]&gt;45,Tabla1[[#This Row],[ABRIL]]/45-1,0))</f>
        <v>0</v>
      </c>
      <c r="AI192" s="103">
        <f>IF(Tabla1[[#This Row],[TIPO DE CONSUMIDOR]]="MEDIO",IF(Tabla1[[#This Row],[MAYO ]]&gt;22.5,Tabla1[[#This Row],[MAYO ]]/22.5-1,0),IF(Tabla1[[#This Row],[MAYO ]]&gt;45,Tabla1[[#This Row],[MAYO ]]/45-1,0))</f>
        <v>0</v>
      </c>
      <c r="AJ192" s="103">
        <f>IF(Tabla1[[#This Row],[TIPO DE CONSUMIDOR]]="MEDIO",IF(Tabla1[[#This Row],[JUNIO ]]&gt;22.5,Tabla1[[#This Row],[JUNIO ]]/22.5-1,0),IF(Tabla1[[#This Row],[JUNIO ]]&gt;45,Tabla1[[#This Row],[JUNIO ]]/45-1,0))</f>
        <v>0</v>
      </c>
      <c r="AK192" s="103">
        <f>IF(Tabla1[[#This Row],[TIPO DE CONSUMIDOR]]="MEDIO",IF(Tabla1[[#This Row],[JULIO ]]&gt;22.5,Tabla1[[#This Row],[JULIO ]]/22.5-1,0),IF(Tabla1[[#This Row],[JULIO ]]&gt;45,Tabla1[[#This Row],[JULIO ]]/45-1,0))</f>
        <v>0</v>
      </c>
      <c r="AL192" s="103">
        <f>IF(Tabla1[[#This Row],[TIPO DE CONSUMIDOR]]="MEDIO",IF(Tabla1[[#This Row],[AGOSTO]]&gt;22.5,Tabla1[[#This Row],[AGOSTO]]/22.5-1,0),IF(Tabla1[[#This Row],[AGOSTO]]&gt;45,Tabla1[[#This Row],[AGOSTO]]/45-1,0))</f>
        <v>0</v>
      </c>
      <c r="AM19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2" s="104">
        <f t="shared" si="6"/>
        <v>0</v>
      </c>
      <c r="AR192" s="9">
        <f t="shared" si="5"/>
        <v>0</v>
      </c>
      <c r="AS192" s="60">
        <f>IF(Tabla1[[#This Row],[MESES DE ADEUDO DEL AÑO EN CURSO ]]&gt;0,1,0)</f>
        <v>0</v>
      </c>
      <c r="AT192" s="42"/>
      <c r="AU192" s="42"/>
      <c r="AV192" s="42"/>
      <c r="AW192" s="43"/>
    </row>
    <row r="193" spans="1:49" ht="21.75" thickBot="1" x14ac:dyDescent="0.35">
      <c r="A193" s="109">
        <v>187</v>
      </c>
      <c r="B193" s="5" t="s">
        <v>104</v>
      </c>
      <c r="C193" s="2" t="s">
        <v>556</v>
      </c>
      <c r="D193" s="32"/>
      <c r="E193" s="35" t="s">
        <v>455</v>
      </c>
      <c r="F193" s="34">
        <v>45</v>
      </c>
      <c r="G193" s="34">
        <v>45</v>
      </c>
      <c r="H193" s="34">
        <v>45</v>
      </c>
      <c r="I193" s="34">
        <v>45</v>
      </c>
      <c r="J193" s="34">
        <v>45</v>
      </c>
      <c r="K193" s="34">
        <v>45</v>
      </c>
      <c r="L193" s="34">
        <v>45</v>
      </c>
      <c r="M193" s="34">
        <v>45</v>
      </c>
      <c r="N193" s="34">
        <v>45</v>
      </c>
      <c r="O193" s="34">
        <v>45</v>
      </c>
      <c r="P193" s="34">
        <v>45</v>
      </c>
      <c r="Q193" s="34">
        <v>45</v>
      </c>
      <c r="R193" s="24">
        <f>SUM(Tabla1[[#This Row],[ENERO ]:[DICIEMBRE]])</f>
        <v>540</v>
      </c>
      <c r="W193" s="65">
        <v>0</v>
      </c>
      <c r="X193" s="21">
        <f>COUNTIF(Tabla1[[#This Row],[ENERO ]:[DICIEMBRE]],0)-(AQ193)-IF(Tabla1[[#This Row],[BAJAS]]="BAJA",IF(Tabla1[[#This Row],[ALTAS]]="ALTA",VLOOKUP(Tabla1[[#This Row],[MES DE ALTA ]],$AT$6:$AU$17,2,FALSE),12)-VLOOKUP(Tabla1[[#This Row],[MES DE BAJA ]],$AT$6:$AU$17,2,FALSE),0)</f>
        <v>0</v>
      </c>
      <c r="Y193" s="69">
        <f>SUM(Tabla1[[#This Row],[MES ADEUDO DE AÑOS PASADOS ]:[MESES DE ADEUDO DEL AÑO EN CURSO ]])</f>
        <v>0</v>
      </c>
      <c r="Z193" s="15">
        <f>IF(Tabla1[[#This Row],[TIPO DE CONSUMIDOR]]="COMPLETO",W193*$T$2,W193*($T$2/2))</f>
        <v>0</v>
      </c>
      <c r="AA193" s="15">
        <f>IF(Tabla1[[#This Row],[TIPO DE CONSUMIDOR]]="COMPLETO",Tabla1[[#This Row],[MESES DE ADEUDO DEL AÑO EN CURSO ]]*$T$2,Tabla1[[#This Row],[MESES DE ADEUDO DEL AÑO EN CURSO ]]*($T$2/2))</f>
        <v>0</v>
      </c>
      <c r="AB193" s="70">
        <f>SUM(Tabla1[[#This Row],[DEUDA DE LOS MESES PASADOS EN $$]:[DEUDA DEL AÑO 2013 $$ ]])</f>
        <v>0</v>
      </c>
      <c r="AE193" s="103">
        <f>IF(Tabla1[[#This Row],[TIPO DE CONSUMIDOR]]="MEDIO",IF(Tabla1[[#This Row],[ENERO ]]&gt;22.5,Tabla1[[#This Row],[ENERO ]]/22.5-1,0),IF(Tabla1[[#This Row],[ENERO ]]&gt;45,Tabla1[[#This Row],[ENERO ]]/45-1,0))</f>
        <v>0</v>
      </c>
      <c r="AF19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3" s="103">
        <f>IF(Tabla1[[#This Row],[TIPO DE CONSUMIDOR]]="MEDIO",IF(Tabla1[[#This Row],[MARZO]]&gt;22.5,Tabla1[[#This Row],[MARZO]]/22.5-1,0),IF(Tabla1[[#This Row],[MARZO]]&gt;45,Tabla1[[#This Row],[MARZO]]/45-1,0))</f>
        <v>0</v>
      </c>
      <c r="AH193" s="103">
        <f>IF(Tabla1[[#This Row],[TIPO DE CONSUMIDOR]]="MEDIO",IF(Tabla1[[#This Row],[ABRIL]]&gt;22.5,Tabla1[[#This Row],[ABRIL]]/22.5-1,0),IF(Tabla1[[#This Row],[ABRIL]]&gt;45,Tabla1[[#This Row],[ABRIL]]/45-1,0))</f>
        <v>0</v>
      </c>
      <c r="AI193" s="103">
        <f>IF(Tabla1[[#This Row],[TIPO DE CONSUMIDOR]]="MEDIO",IF(Tabla1[[#This Row],[MAYO ]]&gt;22.5,Tabla1[[#This Row],[MAYO ]]/22.5-1,0),IF(Tabla1[[#This Row],[MAYO ]]&gt;45,Tabla1[[#This Row],[MAYO ]]/45-1,0))</f>
        <v>0</v>
      </c>
      <c r="AJ193" s="103">
        <f>IF(Tabla1[[#This Row],[TIPO DE CONSUMIDOR]]="MEDIO",IF(Tabla1[[#This Row],[JUNIO ]]&gt;22.5,Tabla1[[#This Row],[JUNIO ]]/22.5-1,0),IF(Tabla1[[#This Row],[JUNIO ]]&gt;45,Tabla1[[#This Row],[JUNIO ]]/45-1,0))</f>
        <v>0</v>
      </c>
      <c r="AK193" s="103">
        <f>IF(Tabla1[[#This Row],[TIPO DE CONSUMIDOR]]="MEDIO",IF(Tabla1[[#This Row],[JULIO ]]&gt;22.5,Tabla1[[#This Row],[JULIO ]]/22.5-1,0),IF(Tabla1[[#This Row],[JULIO ]]&gt;45,Tabla1[[#This Row],[JULIO ]]/45-1,0))</f>
        <v>0</v>
      </c>
      <c r="AL193" s="103">
        <f>IF(Tabla1[[#This Row],[TIPO DE CONSUMIDOR]]="MEDIO",IF(Tabla1[[#This Row],[AGOSTO]]&gt;22.5,Tabla1[[#This Row],[AGOSTO]]/22.5-1,0),IF(Tabla1[[#This Row],[AGOSTO]]&gt;45,Tabla1[[#This Row],[AGOSTO]]/45-1,0))</f>
        <v>0</v>
      </c>
      <c r="AM19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3" s="104">
        <f t="shared" si="6"/>
        <v>0</v>
      </c>
      <c r="AR193" s="9">
        <f t="shared" si="5"/>
        <v>0</v>
      </c>
      <c r="AS193" s="60">
        <f>IF(Tabla1[[#This Row],[MESES DE ADEUDO DEL AÑO EN CURSO ]]&gt;0,1,0)</f>
        <v>0</v>
      </c>
      <c r="AT193" s="42"/>
      <c r="AU193" s="42"/>
      <c r="AV193" s="42"/>
      <c r="AW193" s="43"/>
    </row>
    <row r="194" spans="1:49" ht="21.75" thickBot="1" x14ac:dyDescent="0.35">
      <c r="A194" s="109">
        <v>188</v>
      </c>
      <c r="B194" s="5" t="s">
        <v>558</v>
      </c>
      <c r="C194" s="2" t="s">
        <v>556</v>
      </c>
      <c r="D194" s="32"/>
      <c r="E194" s="35" t="s">
        <v>455</v>
      </c>
      <c r="F194" s="34">
        <v>45</v>
      </c>
      <c r="G194" s="34">
        <v>45</v>
      </c>
      <c r="H194" s="34">
        <v>45</v>
      </c>
      <c r="I194" s="34">
        <v>45</v>
      </c>
      <c r="J194" s="34">
        <v>45</v>
      </c>
      <c r="K194" s="34">
        <v>45</v>
      </c>
      <c r="L194" s="34">
        <v>45</v>
      </c>
      <c r="M194" s="34">
        <v>45</v>
      </c>
      <c r="N194" s="34">
        <v>45</v>
      </c>
      <c r="O194" s="34">
        <v>45</v>
      </c>
      <c r="P194" s="34">
        <v>45</v>
      </c>
      <c r="Q194" s="34">
        <v>45</v>
      </c>
      <c r="R194" s="24">
        <f>SUM(Tabla1[[#This Row],[ENERO ]:[DICIEMBRE]])</f>
        <v>540</v>
      </c>
      <c r="W194" s="65">
        <v>0</v>
      </c>
      <c r="X194" s="21">
        <f>COUNTIF(Tabla1[[#This Row],[ENERO ]:[DICIEMBRE]],0)-(AQ194)-IF(Tabla1[[#This Row],[BAJAS]]="BAJA",IF(Tabla1[[#This Row],[ALTAS]]="ALTA",VLOOKUP(Tabla1[[#This Row],[MES DE ALTA ]],$AT$6:$AU$17,2,FALSE),12)-VLOOKUP(Tabla1[[#This Row],[MES DE BAJA ]],$AT$6:$AU$17,2,FALSE),0)</f>
        <v>0</v>
      </c>
      <c r="Y194" s="69">
        <f>SUM(Tabla1[[#This Row],[MES ADEUDO DE AÑOS PASADOS ]:[MESES DE ADEUDO DEL AÑO EN CURSO ]])</f>
        <v>0</v>
      </c>
      <c r="Z194" s="15">
        <f>IF(Tabla1[[#This Row],[TIPO DE CONSUMIDOR]]="COMPLETO",W194*$T$2,W194*($T$2/2))</f>
        <v>0</v>
      </c>
      <c r="AA194" s="15">
        <f>IF(Tabla1[[#This Row],[TIPO DE CONSUMIDOR]]="COMPLETO",Tabla1[[#This Row],[MESES DE ADEUDO DEL AÑO EN CURSO ]]*$T$2,Tabla1[[#This Row],[MESES DE ADEUDO DEL AÑO EN CURSO ]]*($T$2/2))</f>
        <v>0</v>
      </c>
      <c r="AB194" s="70">
        <f>SUM(Tabla1[[#This Row],[DEUDA DE LOS MESES PASADOS EN $$]:[DEUDA DEL AÑO 2013 $$ ]])</f>
        <v>0</v>
      </c>
      <c r="AE194" s="103">
        <f>IF(Tabla1[[#This Row],[TIPO DE CONSUMIDOR]]="MEDIO",IF(Tabla1[[#This Row],[ENERO ]]&gt;22.5,Tabla1[[#This Row],[ENERO ]]/22.5-1,0),IF(Tabla1[[#This Row],[ENERO ]]&gt;45,Tabla1[[#This Row],[ENERO ]]/45-1,0))</f>
        <v>0</v>
      </c>
      <c r="AF19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4" s="103">
        <f>IF(Tabla1[[#This Row],[TIPO DE CONSUMIDOR]]="MEDIO",IF(Tabla1[[#This Row],[MARZO]]&gt;22.5,Tabla1[[#This Row],[MARZO]]/22.5-1,0),IF(Tabla1[[#This Row],[MARZO]]&gt;45,Tabla1[[#This Row],[MARZO]]/45-1,0))</f>
        <v>0</v>
      </c>
      <c r="AH194" s="103">
        <f>IF(Tabla1[[#This Row],[TIPO DE CONSUMIDOR]]="MEDIO",IF(Tabla1[[#This Row],[ABRIL]]&gt;22.5,Tabla1[[#This Row],[ABRIL]]/22.5-1,0),IF(Tabla1[[#This Row],[ABRIL]]&gt;45,Tabla1[[#This Row],[ABRIL]]/45-1,0))</f>
        <v>0</v>
      </c>
      <c r="AI194" s="103">
        <f>IF(Tabla1[[#This Row],[TIPO DE CONSUMIDOR]]="MEDIO",IF(Tabla1[[#This Row],[MAYO ]]&gt;22.5,Tabla1[[#This Row],[MAYO ]]/22.5-1,0),IF(Tabla1[[#This Row],[MAYO ]]&gt;45,Tabla1[[#This Row],[MAYO ]]/45-1,0))</f>
        <v>0</v>
      </c>
      <c r="AJ194" s="103">
        <f>IF(Tabla1[[#This Row],[TIPO DE CONSUMIDOR]]="MEDIO",IF(Tabla1[[#This Row],[JUNIO ]]&gt;22.5,Tabla1[[#This Row],[JUNIO ]]/22.5-1,0),IF(Tabla1[[#This Row],[JUNIO ]]&gt;45,Tabla1[[#This Row],[JUNIO ]]/45-1,0))</f>
        <v>0</v>
      </c>
      <c r="AK194" s="103">
        <f>IF(Tabla1[[#This Row],[TIPO DE CONSUMIDOR]]="MEDIO",IF(Tabla1[[#This Row],[JULIO ]]&gt;22.5,Tabla1[[#This Row],[JULIO ]]/22.5-1,0),IF(Tabla1[[#This Row],[JULIO ]]&gt;45,Tabla1[[#This Row],[JULIO ]]/45-1,0))</f>
        <v>0</v>
      </c>
      <c r="AL194" s="103">
        <f>IF(Tabla1[[#This Row],[TIPO DE CONSUMIDOR]]="MEDIO",IF(Tabla1[[#This Row],[AGOSTO]]&gt;22.5,Tabla1[[#This Row],[AGOSTO]]/22.5-1,0),IF(Tabla1[[#This Row],[AGOSTO]]&gt;45,Tabla1[[#This Row],[AGOSTO]]/45-1,0))</f>
        <v>0</v>
      </c>
      <c r="AM19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4" s="104">
        <f t="shared" si="6"/>
        <v>0</v>
      </c>
      <c r="AR194" s="9">
        <f t="shared" si="5"/>
        <v>0</v>
      </c>
      <c r="AS194" s="60">
        <f>IF(Tabla1[[#This Row],[MESES DE ADEUDO DEL AÑO EN CURSO ]]&gt;0,1,0)</f>
        <v>0</v>
      </c>
      <c r="AT194" s="42"/>
      <c r="AU194" s="42"/>
      <c r="AV194" s="42"/>
      <c r="AW194" s="43"/>
    </row>
    <row r="195" spans="1:49" ht="21.75" thickBot="1" x14ac:dyDescent="0.35">
      <c r="A195" s="109">
        <v>189</v>
      </c>
      <c r="B195" s="5" t="s">
        <v>161</v>
      </c>
      <c r="C195" s="2" t="s">
        <v>556</v>
      </c>
      <c r="D195" s="32"/>
      <c r="E195" s="35" t="s">
        <v>455</v>
      </c>
      <c r="F195" s="34">
        <v>45</v>
      </c>
      <c r="G195" s="34">
        <v>45</v>
      </c>
      <c r="H195" s="34">
        <v>45</v>
      </c>
      <c r="I195" s="34">
        <v>45</v>
      </c>
      <c r="J195" s="34">
        <v>45</v>
      </c>
      <c r="K195" s="34">
        <v>45</v>
      </c>
      <c r="L195" s="34">
        <v>45</v>
      </c>
      <c r="M195" s="34">
        <v>45</v>
      </c>
      <c r="N195" s="34">
        <v>45</v>
      </c>
      <c r="O195" s="34">
        <v>45</v>
      </c>
      <c r="P195" s="34">
        <v>45</v>
      </c>
      <c r="Q195" s="34">
        <v>45</v>
      </c>
      <c r="R195" s="24">
        <f>SUM(Tabla1[[#This Row],[ENERO ]:[DICIEMBRE]])</f>
        <v>540</v>
      </c>
      <c r="W195" s="65">
        <v>0</v>
      </c>
      <c r="X195" s="21">
        <f>COUNTIF(Tabla1[[#This Row],[ENERO ]:[DICIEMBRE]],0)-(AQ195)-IF(Tabla1[[#This Row],[BAJAS]]="BAJA",IF(Tabla1[[#This Row],[ALTAS]]="ALTA",VLOOKUP(Tabla1[[#This Row],[MES DE ALTA ]],$AT$6:$AU$17,2,FALSE),12)-VLOOKUP(Tabla1[[#This Row],[MES DE BAJA ]],$AT$6:$AU$17,2,FALSE),0)</f>
        <v>0</v>
      </c>
      <c r="Y195" s="69">
        <f>SUM(Tabla1[[#This Row],[MES ADEUDO DE AÑOS PASADOS ]:[MESES DE ADEUDO DEL AÑO EN CURSO ]])</f>
        <v>0</v>
      </c>
      <c r="Z195" s="15">
        <f>IF(Tabla1[[#This Row],[TIPO DE CONSUMIDOR]]="COMPLETO",W195*$T$2,W195*($T$2/2))</f>
        <v>0</v>
      </c>
      <c r="AA195" s="15">
        <f>IF(Tabla1[[#This Row],[TIPO DE CONSUMIDOR]]="COMPLETO",Tabla1[[#This Row],[MESES DE ADEUDO DEL AÑO EN CURSO ]]*$T$2,Tabla1[[#This Row],[MESES DE ADEUDO DEL AÑO EN CURSO ]]*($T$2/2))</f>
        <v>0</v>
      </c>
      <c r="AB195" s="70">
        <f>SUM(Tabla1[[#This Row],[DEUDA DE LOS MESES PASADOS EN $$]:[DEUDA DEL AÑO 2013 $$ ]])</f>
        <v>0</v>
      </c>
      <c r="AE195" s="103">
        <f>IF(Tabla1[[#This Row],[TIPO DE CONSUMIDOR]]="MEDIO",IF(Tabla1[[#This Row],[ENERO ]]&gt;22.5,Tabla1[[#This Row],[ENERO ]]/22.5-1,0),IF(Tabla1[[#This Row],[ENERO ]]&gt;45,Tabla1[[#This Row],[ENERO ]]/45-1,0))</f>
        <v>0</v>
      </c>
      <c r="AF19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5" s="103">
        <f>IF(Tabla1[[#This Row],[TIPO DE CONSUMIDOR]]="MEDIO",IF(Tabla1[[#This Row],[MARZO]]&gt;22.5,Tabla1[[#This Row],[MARZO]]/22.5-1,0),IF(Tabla1[[#This Row],[MARZO]]&gt;45,Tabla1[[#This Row],[MARZO]]/45-1,0))</f>
        <v>0</v>
      </c>
      <c r="AH195" s="103">
        <f>IF(Tabla1[[#This Row],[TIPO DE CONSUMIDOR]]="MEDIO",IF(Tabla1[[#This Row],[ABRIL]]&gt;22.5,Tabla1[[#This Row],[ABRIL]]/22.5-1,0),IF(Tabla1[[#This Row],[ABRIL]]&gt;45,Tabla1[[#This Row],[ABRIL]]/45-1,0))</f>
        <v>0</v>
      </c>
      <c r="AI195" s="103">
        <f>IF(Tabla1[[#This Row],[TIPO DE CONSUMIDOR]]="MEDIO",IF(Tabla1[[#This Row],[MAYO ]]&gt;22.5,Tabla1[[#This Row],[MAYO ]]/22.5-1,0),IF(Tabla1[[#This Row],[MAYO ]]&gt;45,Tabla1[[#This Row],[MAYO ]]/45-1,0))</f>
        <v>0</v>
      </c>
      <c r="AJ195" s="103">
        <f>IF(Tabla1[[#This Row],[TIPO DE CONSUMIDOR]]="MEDIO",IF(Tabla1[[#This Row],[JUNIO ]]&gt;22.5,Tabla1[[#This Row],[JUNIO ]]/22.5-1,0),IF(Tabla1[[#This Row],[JUNIO ]]&gt;45,Tabla1[[#This Row],[JUNIO ]]/45-1,0))</f>
        <v>0</v>
      </c>
      <c r="AK195" s="103">
        <f>IF(Tabla1[[#This Row],[TIPO DE CONSUMIDOR]]="MEDIO",IF(Tabla1[[#This Row],[JULIO ]]&gt;22.5,Tabla1[[#This Row],[JULIO ]]/22.5-1,0),IF(Tabla1[[#This Row],[JULIO ]]&gt;45,Tabla1[[#This Row],[JULIO ]]/45-1,0))</f>
        <v>0</v>
      </c>
      <c r="AL195" s="103">
        <f>IF(Tabla1[[#This Row],[TIPO DE CONSUMIDOR]]="MEDIO",IF(Tabla1[[#This Row],[AGOSTO]]&gt;22.5,Tabla1[[#This Row],[AGOSTO]]/22.5-1,0),IF(Tabla1[[#This Row],[AGOSTO]]&gt;45,Tabla1[[#This Row],[AGOSTO]]/45-1,0))</f>
        <v>0</v>
      </c>
      <c r="AM19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5" s="104">
        <f t="shared" si="6"/>
        <v>0</v>
      </c>
      <c r="AR195" s="9">
        <f t="shared" si="5"/>
        <v>0</v>
      </c>
      <c r="AS195" s="60">
        <f>IF(Tabla1[[#This Row],[MESES DE ADEUDO DEL AÑO EN CURSO ]]&gt;0,1,0)</f>
        <v>0</v>
      </c>
      <c r="AT195" s="42"/>
      <c r="AU195" s="42"/>
      <c r="AV195" s="42"/>
      <c r="AW195" s="43"/>
    </row>
    <row r="196" spans="1:49" ht="21.75" thickBot="1" x14ac:dyDescent="0.35">
      <c r="A196" s="109">
        <v>190</v>
      </c>
      <c r="B196" s="5" t="s">
        <v>208</v>
      </c>
      <c r="C196" s="2" t="s">
        <v>556</v>
      </c>
      <c r="D196" s="32"/>
      <c r="E196" s="35" t="s">
        <v>455</v>
      </c>
      <c r="F196" s="34">
        <v>45</v>
      </c>
      <c r="G196" s="34">
        <v>45</v>
      </c>
      <c r="H196" s="34">
        <v>45</v>
      </c>
      <c r="I196" s="34">
        <v>45</v>
      </c>
      <c r="J196" s="34">
        <v>45</v>
      </c>
      <c r="K196" s="34">
        <v>45</v>
      </c>
      <c r="L196" s="34">
        <v>45</v>
      </c>
      <c r="M196" s="34">
        <v>45</v>
      </c>
      <c r="N196" s="34">
        <v>45</v>
      </c>
      <c r="O196" s="34">
        <v>45</v>
      </c>
      <c r="P196" s="34">
        <v>45</v>
      </c>
      <c r="Q196" s="34">
        <v>45</v>
      </c>
      <c r="R196" s="58">
        <f>SUM(Tabla1[[#This Row],[ENERO ]:[DICIEMBRE]])</f>
        <v>540</v>
      </c>
      <c r="W196" s="65">
        <v>0</v>
      </c>
      <c r="X196" s="21">
        <f>COUNTIF(Tabla1[[#This Row],[ENERO ]:[DICIEMBRE]],0)-(AQ196)-IF(Tabla1[[#This Row],[BAJAS]]="BAJA",IF(Tabla1[[#This Row],[ALTAS]]="ALTA",VLOOKUP(Tabla1[[#This Row],[MES DE ALTA ]],$AT$6:$AU$17,2,FALSE),12)-VLOOKUP(Tabla1[[#This Row],[MES DE BAJA ]],$AT$6:$AU$17,2,FALSE),0)</f>
        <v>0</v>
      </c>
      <c r="Y196" s="69">
        <f>SUM(Tabla1[[#This Row],[MES ADEUDO DE AÑOS PASADOS ]:[MESES DE ADEUDO DEL AÑO EN CURSO ]])</f>
        <v>0</v>
      </c>
      <c r="Z196" s="15">
        <f>IF(Tabla1[[#This Row],[TIPO DE CONSUMIDOR]]="COMPLETO",W196*$T$2,W196*($T$2/2))</f>
        <v>0</v>
      </c>
      <c r="AA196" s="15">
        <f>IF(Tabla1[[#This Row],[TIPO DE CONSUMIDOR]]="COMPLETO",Tabla1[[#This Row],[MESES DE ADEUDO DEL AÑO EN CURSO ]]*$T$2,Tabla1[[#This Row],[MESES DE ADEUDO DEL AÑO EN CURSO ]]*($T$2/2))</f>
        <v>0</v>
      </c>
      <c r="AB196" s="70">
        <f>SUM(Tabla1[[#This Row],[DEUDA DE LOS MESES PASADOS EN $$]:[DEUDA DEL AÑO 2013 $$ ]])</f>
        <v>0</v>
      </c>
      <c r="AE196" s="103">
        <f>IF(Tabla1[[#This Row],[TIPO DE CONSUMIDOR]]="MEDIO",IF(Tabla1[[#This Row],[ENERO ]]&gt;22.5,Tabla1[[#This Row],[ENERO ]]/22.5-1,0),IF(Tabla1[[#This Row],[ENERO ]]&gt;45,Tabla1[[#This Row],[ENERO ]]/45-1,0))</f>
        <v>0</v>
      </c>
      <c r="AF19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6" s="103">
        <f>IF(Tabla1[[#This Row],[TIPO DE CONSUMIDOR]]="MEDIO",IF(Tabla1[[#This Row],[MARZO]]&gt;22.5,Tabla1[[#This Row],[MARZO]]/22.5-1,0),IF(Tabla1[[#This Row],[MARZO]]&gt;45,Tabla1[[#This Row],[MARZO]]/45-1,0))</f>
        <v>0</v>
      </c>
      <c r="AH196" s="103">
        <f>IF(Tabla1[[#This Row],[TIPO DE CONSUMIDOR]]="MEDIO",IF(Tabla1[[#This Row],[ABRIL]]&gt;22.5,Tabla1[[#This Row],[ABRIL]]/22.5-1,0),IF(Tabla1[[#This Row],[ABRIL]]&gt;45,Tabla1[[#This Row],[ABRIL]]/45-1,0))</f>
        <v>0</v>
      </c>
      <c r="AI196" s="103">
        <f>IF(Tabla1[[#This Row],[TIPO DE CONSUMIDOR]]="MEDIO",IF(Tabla1[[#This Row],[MAYO ]]&gt;22.5,Tabla1[[#This Row],[MAYO ]]/22.5-1,0),IF(Tabla1[[#This Row],[MAYO ]]&gt;45,Tabla1[[#This Row],[MAYO ]]/45-1,0))</f>
        <v>0</v>
      </c>
      <c r="AJ196" s="103">
        <f>IF(Tabla1[[#This Row],[TIPO DE CONSUMIDOR]]="MEDIO",IF(Tabla1[[#This Row],[JUNIO ]]&gt;22.5,Tabla1[[#This Row],[JUNIO ]]/22.5-1,0),IF(Tabla1[[#This Row],[JUNIO ]]&gt;45,Tabla1[[#This Row],[JUNIO ]]/45-1,0))</f>
        <v>0</v>
      </c>
      <c r="AK196" s="103">
        <f>IF(Tabla1[[#This Row],[TIPO DE CONSUMIDOR]]="MEDIO",IF(Tabla1[[#This Row],[JULIO ]]&gt;22.5,Tabla1[[#This Row],[JULIO ]]/22.5-1,0),IF(Tabla1[[#This Row],[JULIO ]]&gt;45,Tabla1[[#This Row],[JULIO ]]/45-1,0))</f>
        <v>0</v>
      </c>
      <c r="AL196" s="103">
        <f>IF(Tabla1[[#This Row],[TIPO DE CONSUMIDOR]]="MEDIO",IF(Tabla1[[#This Row],[AGOSTO]]&gt;22.5,Tabla1[[#This Row],[AGOSTO]]/22.5-1,0),IF(Tabla1[[#This Row],[AGOSTO]]&gt;45,Tabla1[[#This Row],[AGOSTO]]/45-1,0))</f>
        <v>0</v>
      </c>
      <c r="AM19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6" s="104">
        <f t="shared" si="6"/>
        <v>0</v>
      </c>
      <c r="AR196" s="9">
        <f t="shared" si="5"/>
        <v>0</v>
      </c>
      <c r="AS196" s="60">
        <f>IF(Tabla1[[#This Row],[MESES DE ADEUDO DEL AÑO EN CURSO ]]&gt;0,1,0)</f>
        <v>0</v>
      </c>
      <c r="AT196" s="42"/>
      <c r="AU196" s="42"/>
      <c r="AV196" s="42"/>
      <c r="AW196" s="43"/>
    </row>
    <row r="197" spans="1:49" ht="21.75" thickBot="1" x14ac:dyDescent="0.35">
      <c r="A197" s="109">
        <v>191</v>
      </c>
      <c r="B197" s="5" t="s">
        <v>561</v>
      </c>
      <c r="C197" s="2" t="s">
        <v>556</v>
      </c>
      <c r="D197" s="32"/>
      <c r="E197" s="35" t="s">
        <v>455</v>
      </c>
      <c r="F197" s="34">
        <v>45</v>
      </c>
      <c r="G197" s="34">
        <v>45</v>
      </c>
      <c r="H197" s="34">
        <v>45</v>
      </c>
      <c r="I197" s="34">
        <v>45</v>
      </c>
      <c r="J197" s="34">
        <v>45</v>
      </c>
      <c r="K197" s="34">
        <v>45</v>
      </c>
      <c r="L197" s="34">
        <v>45</v>
      </c>
      <c r="M197" s="34">
        <v>45</v>
      </c>
      <c r="N197" s="34">
        <v>45</v>
      </c>
      <c r="O197" s="34">
        <v>45</v>
      </c>
      <c r="P197" s="34">
        <v>45</v>
      </c>
      <c r="Q197" s="34">
        <v>45</v>
      </c>
      <c r="R197" s="24">
        <f>SUM(Tabla1[[#This Row],[ENERO ]:[DICIEMBRE]])</f>
        <v>540</v>
      </c>
      <c r="W197" s="65">
        <v>0</v>
      </c>
      <c r="X197" s="21">
        <f>COUNTIF(Tabla1[[#This Row],[ENERO ]:[DICIEMBRE]],0)-(AQ197)-IF(Tabla1[[#This Row],[BAJAS]]="BAJA",IF(Tabla1[[#This Row],[ALTAS]]="ALTA",VLOOKUP(Tabla1[[#This Row],[MES DE ALTA ]],$AT$6:$AU$17,2,FALSE),12)-VLOOKUP(Tabla1[[#This Row],[MES DE BAJA ]],$AT$6:$AU$17,2,FALSE),0)</f>
        <v>0</v>
      </c>
      <c r="Y197" s="69">
        <f>SUM(Tabla1[[#This Row],[MES ADEUDO DE AÑOS PASADOS ]:[MESES DE ADEUDO DEL AÑO EN CURSO ]])</f>
        <v>0</v>
      </c>
      <c r="Z197" s="15">
        <f>IF(Tabla1[[#This Row],[TIPO DE CONSUMIDOR]]="COMPLETO",W197*$T$2,W197*($T$2/2))</f>
        <v>0</v>
      </c>
      <c r="AA197" s="15">
        <f>IF(Tabla1[[#This Row],[TIPO DE CONSUMIDOR]]="COMPLETO",Tabla1[[#This Row],[MESES DE ADEUDO DEL AÑO EN CURSO ]]*$T$2,Tabla1[[#This Row],[MESES DE ADEUDO DEL AÑO EN CURSO ]]*($T$2/2))</f>
        <v>0</v>
      </c>
      <c r="AB197" s="70">
        <f>SUM(Tabla1[[#This Row],[DEUDA DE LOS MESES PASADOS EN $$]:[DEUDA DEL AÑO 2013 $$ ]])</f>
        <v>0</v>
      </c>
      <c r="AE197" s="103">
        <f>IF(Tabla1[[#This Row],[TIPO DE CONSUMIDOR]]="MEDIO",IF(Tabla1[[#This Row],[ENERO ]]&gt;22.5,Tabla1[[#This Row],[ENERO ]]/22.5-1,0),IF(Tabla1[[#This Row],[ENERO ]]&gt;45,Tabla1[[#This Row],[ENERO ]]/45-1,0))</f>
        <v>0</v>
      </c>
      <c r="AF19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7" s="103">
        <f>IF(Tabla1[[#This Row],[TIPO DE CONSUMIDOR]]="MEDIO",IF(Tabla1[[#This Row],[MARZO]]&gt;22.5,Tabla1[[#This Row],[MARZO]]/22.5-1,0),IF(Tabla1[[#This Row],[MARZO]]&gt;45,Tabla1[[#This Row],[MARZO]]/45-1,0))</f>
        <v>0</v>
      </c>
      <c r="AH197" s="103">
        <f>IF(Tabla1[[#This Row],[TIPO DE CONSUMIDOR]]="MEDIO",IF(Tabla1[[#This Row],[ABRIL]]&gt;22.5,Tabla1[[#This Row],[ABRIL]]/22.5-1,0),IF(Tabla1[[#This Row],[ABRIL]]&gt;45,Tabla1[[#This Row],[ABRIL]]/45-1,0))</f>
        <v>0</v>
      </c>
      <c r="AI197" s="103">
        <f>IF(Tabla1[[#This Row],[TIPO DE CONSUMIDOR]]="MEDIO",IF(Tabla1[[#This Row],[MAYO ]]&gt;22.5,Tabla1[[#This Row],[MAYO ]]/22.5-1,0),IF(Tabla1[[#This Row],[MAYO ]]&gt;45,Tabla1[[#This Row],[MAYO ]]/45-1,0))</f>
        <v>0</v>
      </c>
      <c r="AJ197" s="103">
        <f>IF(Tabla1[[#This Row],[TIPO DE CONSUMIDOR]]="MEDIO",IF(Tabla1[[#This Row],[JUNIO ]]&gt;22.5,Tabla1[[#This Row],[JUNIO ]]/22.5-1,0),IF(Tabla1[[#This Row],[JUNIO ]]&gt;45,Tabla1[[#This Row],[JUNIO ]]/45-1,0))</f>
        <v>0</v>
      </c>
      <c r="AK197" s="103">
        <f>IF(Tabla1[[#This Row],[TIPO DE CONSUMIDOR]]="MEDIO",IF(Tabla1[[#This Row],[JULIO ]]&gt;22.5,Tabla1[[#This Row],[JULIO ]]/22.5-1,0),IF(Tabla1[[#This Row],[JULIO ]]&gt;45,Tabla1[[#This Row],[JULIO ]]/45-1,0))</f>
        <v>0</v>
      </c>
      <c r="AL197" s="103">
        <f>IF(Tabla1[[#This Row],[TIPO DE CONSUMIDOR]]="MEDIO",IF(Tabla1[[#This Row],[AGOSTO]]&gt;22.5,Tabla1[[#This Row],[AGOSTO]]/22.5-1,0),IF(Tabla1[[#This Row],[AGOSTO]]&gt;45,Tabla1[[#This Row],[AGOSTO]]/45-1,0))</f>
        <v>0</v>
      </c>
      <c r="AM19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7" s="104">
        <f t="shared" si="6"/>
        <v>0</v>
      </c>
      <c r="AR197" s="9">
        <f t="shared" si="5"/>
        <v>0</v>
      </c>
      <c r="AS197" s="60">
        <f>IF(Tabla1[[#This Row],[MESES DE ADEUDO DEL AÑO EN CURSO ]]&gt;0,1,0)</f>
        <v>0</v>
      </c>
      <c r="AT197" s="42"/>
      <c r="AU197" s="42"/>
      <c r="AV197" s="42"/>
      <c r="AW197" s="43"/>
    </row>
    <row r="198" spans="1:49" ht="21.75" thickBot="1" x14ac:dyDescent="0.35">
      <c r="A198" s="109">
        <v>192</v>
      </c>
      <c r="B198" s="5" t="s">
        <v>366</v>
      </c>
      <c r="C198" s="2" t="s">
        <v>556</v>
      </c>
      <c r="D198" s="32"/>
      <c r="E198" s="35" t="s">
        <v>455</v>
      </c>
      <c r="F198" s="34">
        <v>45</v>
      </c>
      <c r="G198" s="34">
        <v>45</v>
      </c>
      <c r="H198" s="34">
        <v>45</v>
      </c>
      <c r="I198" s="34">
        <v>45</v>
      </c>
      <c r="J198" s="34">
        <v>45</v>
      </c>
      <c r="K198" s="34">
        <v>45</v>
      </c>
      <c r="L198" s="34">
        <v>45</v>
      </c>
      <c r="M198" s="34">
        <v>45</v>
      </c>
      <c r="N198" s="34">
        <v>45</v>
      </c>
      <c r="O198" s="34">
        <v>45</v>
      </c>
      <c r="P198" s="34">
        <v>45</v>
      </c>
      <c r="Q198" s="34">
        <v>45</v>
      </c>
      <c r="R198" s="24">
        <f>SUM(Tabla1[[#This Row],[ENERO ]:[DICIEMBRE]])</f>
        <v>540</v>
      </c>
      <c r="W198" s="65">
        <v>0</v>
      </c>
      <c r="X198" s="21">
        <f>COUNTIF(Tabla1[[#This Row],[ENERO ]:[DICIEMBRE]],0)-(AQ198)-IF(Tabla1[[#This Row],[BAJAS]]="BAJA",IF(Tabla1[[#This Row],[ALTAS]]="ALTA",VLOOKUP(Tabla1[[#This Row],[MES DE ALTA ]],$AT$6:$AU$17,2,FALSE),12)-VLOOKUP(Tabla1[[#This Row],[MES DE BAJA ]],$AT$6:$AU$17,2,FALSE),0)</f>
        <v>0</v>
      </c>
      <c r="Y198" s="69">
        <f>SUM(Tabla1[[#This Row],[MES ADEUDO DE AÑOS PASADOS ]:[MESES DE ADEUDO DEL AÑO EN CURSO ]])</f>
        <v>0</v>
      </c>
      <c r="Z198" s="15">
        <f>IF(Tabla1[[#This Row],[TIPO DE CONSUMIDOR]]="COMPLETO",W198*$T$2,W198*($T$2/2))</f>
        <v>0</v>
      </c>
      <c r="AA198" s="15">
        <f>IF(Tabla1[[#This Row],[TIPO DE CONSUMIDOR]]="COMPLETO",Tabla1[[#This Row],[MESES DE ADEUDO DEL AÑO EN CURSO ]]*$T$2,Tabla1[[#This Row],[MESES DE ADEUDO DEL AÑO EN CURSO ]]*($T$2/2))</f>
        <v>0</v>
      </c>
      <c r="AB198" s="70">
        <f>SUM(Tabla1[[#This Row],[DEUDA DE LOS MESES PASADOS EN $$]:[DEUDA DEL AÑO 2013 $$ ]])</f>
        <v>0</v>
      </c>
      <c r="AE198" s="103">
        <f>IF(Tabla1[[#This Row],[TIPO DE CONSUMIDOR]]="MEDIO",IF(Tabla1[[#This Row],[ENERO ]]&gt;22.5,Tabla1[[#This Row],[ENERO ]]/22.5-1,0),IF(Tabla1[[#This Row],[ENERO ]]&gt;45,Tabla1[[#This Row],[ENERO ]]/45-1,0))</f>
        <v>0</v>
      </c>
      <c r="AF19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8" s="103">
        <f>IF(Tabla1[[#This Row],[TIPO DE CONSUMIDOR]]="MEDIO",IF(Tabla1[[#This Row],[MARZO]]&gt;22.5,Tabla1[[#This Row],[MARZO]]/22.5-1,0),IF(Tabla1[[#This Row],[MARZO]]&gt;45,Tabla1[[#This Row],[MARZO]]/45-1,0))</f>
        <v>0</v>
      </c>
      <c r="AH198" s="103">
        <f>IF(Tabla1[[#This Row],[TIPO DE CONSUMIDOR]]="MEDIO",IF(Tabla1[[#This Row],[ABRIL]]&gt;22.5,Tabla1[[#This Row],[ABRIL]]/22.5-1,0),IF(Tabla1[[#This Row],[ABRIL]]&gt;45,Tabla1[[#This Row],[ABRIL]]/45-1,0))</f>
        <v>0</v>
      </c>
      <c r="AI198" s="103">
        <f>IF(Tabla1[[#This Row],[TIPO DE CONSUMIDOR]]="MEDIO",IF(Tabla1[[#This Row],[MAYO ]]&gt;22.5,Tabla1[[#This Row],[MAYO ]]/22.5-1,0),IF(Tabla1[[#This Row],[MAYO ]]&gt;45,Tabla1[[#This Row],[MAYO ]]/45-1,0))</f>
        <v>0</v>
      </c>
      <c r="AJ198" s="103">
        <f>IF(Tabla1[[#This Row],[TIPO DE CONSUMIDOR]]="MEDIO",IF(Tabla1[[#This Row],[JUNIO ]]&gt;22.5,Tabla1[[#This Row],[JUNIO ]]/22.5-1,0),IF(Tabla1[[#This Row],[JUNIO ]]&gt;45,Tabla1[[#This Row],[JUNIO ]]/45-1,0))</f>
        <v>0</v>
      </c>
      <c r="AK198" s="103">
        <f>IF(Tabla1[[#This Row],[TIPO DE CONSUMIDOR]]="MEDIO",IF(Tabla1[[#This Row],[JULIO ]]&gt;22.5,Tabla1[[#This Row],[JULIO ]]/22.5-1,0),IF(Tabla1[[#This Row],[JULIO ]]&gt;45,Tabla1[[#This Row],[JULIO ]]/45-1,0))</f>
        <v>0</v>
      </c>
      <c r="AL198" s="103">
        <f>IF(Tabla1[[#This Row],[TIPO DE CONSUMIDOR]]="MEDIO",IF(Tabla1[[#This Row],[AGOSTO]]&gt;22.5,Tabla1[[#This Row],[AGOSTO]]/22.5-1,0),IF(Tabla1[[#This Row],[AGOSTO]]&gt;45,Tabla1[[#This Row],[AGOSTO]]/45-1,0))</f>
        <v>0</v>
      </c>
      <c r="AM19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8" s="104">
        <f t="shared" si="6"/>
        <v>0</v>
      </c>
      <c r="AR198" s="9">
        <f t="shared" si="5"/>
        <v>0</v>
      </c>
      <c r="AS198" s="60">
        <f>IF(Tabla1[[#This Row],[MESES DE ADEUDO DEL AÑO EN CURSO ]]&gt;0,1,0)</f>
        <v>0</v>
      </c>
      <c r="AT198" s="42"/>
      <c r="AU198" s="42"/>
      <c r="AV198" s="42"/>
      <c r="AW198" s="43"/>
    </row>
    <row r="199" spans="1:49" ht="21.75" thickBot="1" x14ac:dyDescent="0.35">
      <c r="A199" s="109">
        <v>193</v>
      </c>
      <c r="B199" s="5" t="s">
        <v>407</v>
      </c>
      <c r="C199" s="2" t="s">
        <v>556</v>
      </c>
      <c r="D199" s="32"/>
      <c r="E199" s="35" t="s">
        <v>455</v>
      </c>
      <c r="F199" s="34">
        <v>45</v>
      </c>
      <c r="G199" s="34">
        <v>45</v>
      </c>
      <c r="H199" s="34">
        <v>45</v>
      </c>
      <c r="I199" s="34">
        <v>45</v>
      </c>
      <c r="J199" s="34">
        <v>45</v>
      </c>
      <c r="K199" s="34">
        <v>45</v>
      </c>
      <c r="L199" s="34">
        <v>45</v>
      </c>
      <c r="M199" s="34">
        <v>45</v>
      </c>
      <c r="N199" s="34">
        <v>45</v>
      </c>
      <c r="O199" s="34">
        <v>45</v>
      </c>
      <c r="P199" s="34">
        <v>45</v>
      </c>
      <c r="Q199" s="34">
        <v>45</v>
      </c>
      <c r="R199" s="24">
        <f>SUM(Tabla1[[#This Row],[ENERO ]:[DICIEMBRE]])</f>
        <v>540</v>
      </c>
      <c r="W199" s="65">
        <v>0</v>
      </c>
      <c r="X199" s="21">
        <f>COUNTIF(Tabla1[[#This Row],[ENERO ]:[DICIEMBRE]],0)-(AQ199)-IF(Tabla1[[#This Row],[BAJAS]]="BAJA",IF(Tabla1[[#This Row],[ALTAS]]="ALTA",VLOOKUP(Tabla1[[#This Row],[MES DE ALTA ]],$AT$6:$AU$17,2,FALSE),12)-VLOOKUP(Tabla1[[#This Row],[MES DE BAJA ]],$AT$6:$AU$17,2,FALSE),0)</f>
        <v>0</v>
      </c>
      <c r="Y199" s="69">
        <f>SUM(Tabla1[[#This Row],[MES ADEUDO DE AÑOS PASADOS ]:[MESES DE ADEUDO DEL AÑO EN CURSO ]])</f>
        <v>0</v>
      </c>
      <c r="Z199" s="15">
        <f>IF(Tabla1[[#This Row],[TIPO DE CONSUMIDOR]]="COMPLETO",W199*$T$2,W199*($T$2/2))</f>
        <v>0</v>
      </c>
      <c r="AA199" s="15">
        <f>IF(Tabla1[[#This Row],[TIPO DE CONSUMIDOR]]="COMPLETO",Tabla1[[#This Row],[MESES DE ADEUDO DEL AÑO EN CURSO ]]*$T$2,Tabla1[[#This Row],[MESES DE ADEUDO DEL AÑO EN CURSO ]]*($T$2/2))</f>
        <v>0</v>
      </c>
      <c r="AB199" s="70">
        <f>SUM(Tabla1[[#This Row],[DEUDA DE LOS MESES PASADOS EN $$]:[DEUDA DEL AÑO 2013 $$ ]])</f>
        <v>0</v>
      </c>
      <c r="AE199" s="103">
        <f>IF(Tabla1[[#This Row],[TIPO DE CONSUMIDOR]]="MEDIO",IF(Tabla1[[#This Row],[ENERO ]]&gt;22.5,Tabla1[[#This Row],[ENERO ]]/22.5-1,0),IF(Tabla1[[#This Row],[ENERO ]]&gt;45,Tabla1[[#This Row],[ENERO ]]/45-1,0))</f>
        <v>0</v>
      </c>
      <c r="AF19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199" s="103">
        <f>IF(Tabla1[[#This Row],[TIPO DE CONSUMIDOR]]="MEDIO",IF(Tabla1[[#This Row],[MARZO]]&gt;22.5,Tabla1[[#This Row],[MARZO]]/22.5-1,0),IF(Tabla1[[#This Row],[MARZO]]&gt;45,Tabla1[[#This Row],[MARZO]]/45-1,0))</f>
        <v>0</v>
      </c>
      <c r="AH199" s="103">
        <f>IF(Tabla1[[#This Row],[TIPO DE CONSUMIDOR]]="MEDIO",IF(Tabla1[[#This Row],[ABRIL]]&gt;22.5,Tabla1[[#This Row],[ABRIL]]/22.5-1,0),IF(Tabla1[[#This Row],[ABRIL]]&gt;45,Tabla1[[#This Row],[ABRIL]]/45-1,0))</f>
        <v>0</v>
      </c>
      <c r="AI199" s="103">
        <f>IF(Tabla1[[#This Row],[TIPO DE CONSUMIDOR]]="MEDIO",IF(Tabla1[[#This Row],[MAYO ]]&gt;22.5,Tabla1[[#This Row],[MAYO ]]/22.5-1,0),IF(Tabla1[[#This Row],[MAYO ]]&gt;45,Tabla1[[#This Row],[MAYO ]]/45-1,0))</f>
        <v>0</v>
      </c>
      <c r="AJ199" s="103">
        <f>IF(Tabla1[[#This Row],[TIPO DE CONSUMIDOR]]="MEDIO",IF(Tabla1[[#This Row],[JUNIO ]]&gt;22.5,Tabla1[[#This Row],[JUNIO ]]/22.5-1,0),IF(Tabla1[[#This Row],[JUNIO ]]&gt;45,Tabla1[[#This Row],[JUNIO ]]/45-1,0))</f>
        <v>0</v>
      </c>
      <c r="AK199" s="103">
        <f>IF(Tabla1[[#This Row],[TIPO DE CONSUMIDOR]]="MEDIO",IF(Tabla1[[#This Row],[JULIO ]]&gt;22.5,Tabla1[[#This Row],[JULIO ]]/22.5-1,0),IF(Tabla1[[#This Row],[JULIO ]]&gt;45,Tabla1[[#This Row],[JULIO ]]/45-1,0))</f>
        <v>0</v>
      </c>
      <c r="AL199" s="103">
        <f>IF(Tabla1[[#This Row],[TIPO DE CONSUMIDOR]]="MEDIO",IF(Tabla1[[#This Row],[AGOSTO]]&gt;22.5,Tabla1[[#This Row],[AGOSTO]]/22.5-1,0),IF(Tabla1[[#This Row],[AGOSTO]]&gt;45,Tabla1[[#This Row],[AGOSTO]]/45-1,0))</f>
        <v>0</v>
      </c>
      <c r="AM19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19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19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19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199" s="104">
        <f t="shared" si="6"/>
        <v>0</v>
      </c>
      <c r="AR199" s="9">
        <f t="shared" ref="AR199:AR262" si="7">IF(Y199&gt;0,1,0)</f>
        <v>0</v>
      </c>
      <c r="AS199" s="60">
        <f>IF(Tabla1[[#This Row],[MESES DE ADEUDO DEL AÑO EN CURSO ]]&gt;0,1,0)</f>
        <v>0</v>
      </c>
      <c r="AT199" s="42"/>
      <c r="AU199" s="42"/>
      <c r="AV199" s="42"/>
      <c r="AW199" s="43"/>
    </row>
    <row r="200" spans="1:49" ht="21.75" thickBot="1" x14ac:dyDescent="0.35">
      <c r="A200" s="109">
        <v>194</v>
      </c>
      <c r="B200" s="5" t="s">
        <v>14</v>
      </c>
      <c r="C200" s="2" t="s">
        <v>562</v>
      </c>
      <c r="D200" s="32"/>
      <c r="E200" s="35" t="s">
        <v>455</v>
      </c>
      <c r="F200" s="34">
        <v>45</v>
      </c>
      <c r="G200" s="34">
        <v>45</v>
      </c>
      <c r="H200" s="34">
        <v>45</v>
      </c>
      <c r="I200" s="34">
        <v>45</v>
      </c>
      <c r="J200" s="34">
        <v>45</v>
      </c>
      <c r="K200" s="34">
        <v>45</v>
      </c>
      <c r="L200" s="34">
        <v>45</v>
      </c>
      <c r="M200" s="34">
        <v>45</v>
      </c>
      <c r="N200" s="34">
        <v>45</v>
      </c>
      <c r="O200" s="34">
        <v>45</v>
      </c>
      <c r="P200" s="34">
        <v>45</v>
      </c>
      <c r="Q200" s="34">
        <v>45</v>
      </c>
      <c r="R200" s="24">
        <f>SUM(Tabla1[[#This Row],[ENERO ]:[DICIEMBRE]])</f>
        <v>540</v>
      </c>
      <c r="W200" s="65">
        <v>0</v>
      </c>
      <c r="X200" s="21">
        <f>COUNTIF(Tabla1[[#This Row],[ENERO ]:[DICIEMBRE]],0)-(AQ200)-IF(Tabla1[[#This Row],[BAJAS]]="BAJA",IF(Tabla1[[#This Row],[ALTAS]]="ALTA",VLOOKUP(Tabla1[[#This Row],[MES DE ALTA ]],$AT$6:$AU$17,2,FALSE),12)-VLOOKUP(Tabla1[[#This Row],[MES DE BAJA ]],$AT$6:$AU$17,2,FALSE),0)</f>
        <v>0</v>
      </c>
      <c r="Y200" s="69">
        <f>SUM(Tabla1[[#This Row],[MES ADEUDO DE AÑOS PASADOS ]:[MESES DE ADEUDO DEL AÑO EN CURSO ]])</f>
        <v>0</v>
      </c>
      <c r="Z200" s="15">
        <f>IF(Tabla1[[#This Row],[TIPO DE CONSUMIDOR]]="COMPLETO",W200*$T$2,W200*($T$2/2))</f>
        <v>0</v>
      </c>
      <c r="AA200" s="15">
        <f>IF(Tabla1[[#This Row],[TIPO DE CONSUMIDOR]]="COMPLETO",Tabla1[[#This Row],[MESES DE ADEUDO DEL AÑO EN CURSO ]]*$T$2,Tabla1[[#This Row],[MESES DE ADEUDO DEL AÑO EN CURSO ]]*($T$2/2))</f>
        <v>0</v>
      </c>
      <c r="AB200" s="70">
        <f>SUM(Tabla1[[#This Row],[DEUDA DE LOS MESES PASADOS EN $$]:[DEUDA DEL AÑO 2013 $$ ]])</f>
        <v>0</v>
      </c>
      <c r="AE200" s="103">
        <f>IF(Tabla1[[#This Row],[TIPO DE CONSUMIDOR]]="MEDIO",IF(Tabla1[[#This Row],[ENERO ]]&gt;22.5,Tabla1[[#This Row],[ENERO ]]/22.5-1,0),IF(Tabla1[[#This Row],[ENERO ]]&gt;45,Tabla1[[#This Row],[ENERO ]]/45-1,0))</f>
        <v>0</v>
      </c>
      <c r="AF20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0" s="103">
        <f>IF(Tabla1[[#This Row],[TIPO DE CONSUMIDOR]]="MEDIO",IF(Tabla1[[#This Row],[MARZO]]&gt;22.5,Tabla1[[#This Row],[MARZO]]/22.5-1,0),IF(Tabla1[[#This Row],[MARZO]]&gt;45,Tabla1[[#This Row],[MARZO]]/45-1,0))</f>
        <v>0</v>
      </c>
      <c r="AH200" s="103">
        <f>IF(Tabla1[[#This Row],[TIPO DE CONSUMIDOR]]="MEDIO",IF(Tabla1[[#This Row],[ABRIL]]&gt;22.5,Tabla1[[#This Row],[ABRIL]]/22.5-1,0),IF(Tabla1[[#This Row],[ABRIL]]&gt;45,Tabla1[[#This Row],[ABRIL]]/45-1,0))</f>
        <v>0</v>
      </c>
      <c r="AI200" s="103">
        <f>IF(Tabla1[[#This Row],[TIPO DE CONSUMIDOR]]="MEDIO",IF(Tabla1[[#This Row],[MAYO ]]&gt;22.5,Tabla1[[#This Row],[MAYO ]]/22.5-1,0),IF(Tabla1[[#This Row],[MAYO ]]&gt;45,Tabla1[[#This Row],[MAYO ]]/45-1,0))</f>
        <v>0</v>
      </c>
      <c r="AJ200" s="103">
        <f>IF(Tabla1[[#This Row],[TIPO DE CONSUMIDOR]]="MEDIO",IF(Tabla1[[#This Row],[JUNIO ]]&gt;22.5,Tabla1[[#This Row],[JUNIO ]]/22.5-1,0),IF(Tabla1[[#This Row],[JUNIO ]]&gt;45,Tabla1[[#This Row],[JUNIO ]]/45-1,0))</f>
        <v>0</v>
      </c>
      <c r="AK200" s="103">
        <f>IF(Tabla1[[#This Row],[TIPO DE CONSUMIDOR]]="MEDIO",IF(Tabla1[[#This Row],[JULIO ]]&gt;22.5,Tabla1[[#This Row],[JULIO ]]/22.5-1,0),IF(Tabla1[[#This Row],[JULIO ]]&gt;45,Tabla1[[#This Row],[JULIO ]]/45-1,0))</f>
        <v>0</v>
      </c>
      <c r="AL200" s="103">
        <f>IF(Tabla1[[#This Row],[TIPO DE CONSUMIDOR]]="MEDIO",IF(Tabla1[[#This Row],[AGOSTO]]&gt;22.5,Tabla1[[#This Row],[AGOSTO]]/22.5-1,0),IF(Tabla1[[#This Row],[AGOSTO]]&gt;45,Tabla1[[#This Row],[AGOSTO]]/45-1,0))</f>
        <v>0</v>
      </c>
      <c r="AM20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0" s="104">
        <f t="shared" ref="AQ200:AQ263" si="8">SUM(AE200:AP200)</f>
        <v>0</v>
      </c>
      <c r="AR200" s="9">
        <f t="shared" si="7"/>
        <v>0</v>
      </c>
      <c r="AS200" s="60">
        <f>IF(Tabla1[[#This Row],[MESES DE ADEUDO DEL AÑO EN CURSO ]]&gt;0,1,0)</f>
        <v>0</v>
      </c>
      <c r="AT200" s="42"/>
      <c r="AU200" s="42"/>
      <c r="AV200" s="42"/>
      <c r="AW200" s="43"/>
    </row>
    <row r="201" spans="1:49" ht="21.75" thickBot="1" x14ac:dyDescent="0.35">
      <c r="A201" s="109">
        <v>195</v>
      </c>
      <c r="B201" s="5" t="s">
        <v>13</v>
      </c>
      <c r="C201" s="2" t="s">
        <v>562</v>
      </c>
      <c r="D201" s="32"/>
      <c r="E201" s="35" t="s">
        <v>455</v>
      </c>
      <c r="F201" s="34">
        <v>45</v>
      </c>
      <c r="G201" s="34">
        <v>45</v>
      </c>
      <c r="H201" s="34">
        <v>45</v>
      </c>
      <c r="I201" s="34">
        <v>45</v>
      </c>
      <c r="J201" s="34">
        <v>45</v>
      </c>
      <c r="K201" s="34">
        <v>45</v>
      </c>
      <c r="L201" s="34">
        <v>45</v>
      </c>
      <c r="M201" s="34">
        <v>45</v>
      </c>
      <c r="N201" s="34">
        <v>45</v>
      </c>
      <c r="O201" s="34">
        <v>45</v>
      </c>
      <c r="P201" s="34">
        <v>45</v>
      </c>
      <c r="Q201" s="34">
        <v>45</v>
      </c>
      <c r="R201" s="24">
        <f>SUM(Tabla1[[#This Row],[ENERO ]:[DICIEMBRE]])</f>
        <v>540</v>
      </c>
      <c r="W201" s="65">
        <v>0</v>
      </c>
      <c r="X201" s="21">
        <f>COUNTIF(Tabla1[[#This Row],[ENERO ]:[DICIEMBRE]],0)-(AQ201)-IF(Tabla1[[#This Row],[BAJAS]]="BAJA",IF(Tabla1[[#This Row],[ALTAS]]="ALTA",VLOOKUP(Tabla1[[#This Row],[MES DE ALTA ]],$AT$6:$AU$17,2,FALSE),12)-VLOOKUP(Tabla1[[#This Row],[MES DE BAJA ]],$AT$6:$AU$17,2,FALSE),0)</f>
        <v>0</v>
      </c>
      <c r="Y201" s="69">
        <f>SUM(Tabla1[[#This Row],[MES ADEUDO DE AÑOS PASADOS ]:[MESES DE ADEUDO DEL AÑO EN CURSO ]])</f>
        <v>0</v>
      </c>
      <c r="Z201" s="15">
        <f>IF(Tabla1[[#This Row],[TIPO DE CONSUMIDOR]]="COMPLETO",W201*$T$2,W201*($T$2/2))</f>
        <v>0</v>
      </c>
      <c r="AA201" s="15">
        <f>IF(Tabla1[[#This Row],[TIPO DE CONSUMIDOR]]="COMPLETO",Tabla1[[#This Row],[MESES DE ADEUDO DEL AÑO EN CURSO ]]*$T$2,Tabla1[[#This Row],[MESES DE ADEUDO DEL AÑO EN CURSO ]]*($T$2/2))</f>
        <v>0</v>
      </c>
      <c r="AB201" s="70">
        <f>SUM(Tabla1[[#This Row],[DEUDA DE LOS MESES PASADOS EN $$]:[DEUDA DEL AÑO 2013 $$ ]])</f>
        <v>0</v>
      </c>
      <c r="AE201" s="103">
        <f>IF(Tabla1[[#This Row],[TIPO DE CONSUMIDOR]]="MEDIO",IF(Tabla1[[#This Row],[ENERO ]]&gt;22.5,Tabla1[[#This Row],[ENERO ]]/22.5-1,0),IF(Tabla1[[#This Row],[ENERO ]]&gt;45,Tabla1[[#This Row],[ENERO ]]/45-1,0))</f>
        <v>0</v>
      </c>
      <c r="AF20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1" s="103">
        <f>IF(Tabla1[[#This Row],[TIPO DE CONSUMIDOR]]="MEDIO",IF(Tabla1[[#This Row],[MARZO]]&gt;22.5,Tabla1[[#This Row],[MARZO]]/22.5-1,0),IF(Tabla1[[#This Row],[MARZO]]&gt;45,Tabla1[[#This Row],[MARZO]]/45-1,0))</f>
        <v>0</v>
      </c>
      <c r="AH201" s="103">
        <f>IF(Tabla1[[#This Row],[TIPO DE CONSUMIDOR]]="MEDIO",IF(Tabla1[[#This Row],[ABRIL]]&gt;22.5,Tabla1[[#This Row],[ABRIL]]/22.5-1,0),IF(Tabla1[[#This Row],[ABRIL]]&gt;45,Tabla1[[#This Row],[ABRIL]]/45-1,0))</f>
        <v>0</v>
      </c>
      <c r="AI201" s="103">
        <f>IF(Tabla1[[#This Row],[TIPO DE CONSUMIDOR]]="MEDIO",IF(Tabla1[[#This Row],[MAYO ]]&gt;22.5,Tabla1[[#This Row],[MAYO ]]/22.5-1,0),IF(Tabla1[[#This Row],[MAYO ]]&gt;45,Tabla1[[#This Row],[MAYO ]]/45-1,0))</f>
        <v>0</v>
      </c>
      <c r="AJ201" s="103">
        <f>IF(Tabla1[[#This Row],[TIPO DE CONSUMIDOR]]="MEDIO",IF(Tabla1[[#This Row],[JUNIO ]]&gt;22.5,Tabla1[[#This Row],[JUNIO ]]/22.5-1,0),IF(Tabla1[[#This Row],[JUNIO ]]&gt;45,Tabla1[[#This Row],[JUNIO ]]/45-1,0))</f>
        <v>0</v>
      </c>
      <c r="AK201" s="103">
        <f>IF(Tabla1[[#This Row],[TIPO DE CONSUMIDOR]]="MEDIO",IF(Tabla1[[#This Row],[JULIO ]]&gt;22.5,Tabla1[[#This Row],[JULIO ]]/22.5-1,0),IF(Tabla1[[#This Row],[JULIO ]]&gt;45,Tabla1[[#This Row],[JULIO ]]/45-1,0))</f>
        <v>0</v>
      </c>
      <c r="AL201" s="103">
        <f>IF(Tabla1[[#This Row],[TIPO DE CONSUMIDOR]]="MEDIO",IF(Tabla1[[#This Row],[AGOSTO]]&gt;22.5,Tabla1[[#This Row],[AGOSTO]]/22.5-1,0),IF(Tabla1[[#This Row],[AGOSTO]]&gt;45,Tabla1[[#This Row],[AGOSTO]]/45-1,0))</f>
        <v>0</v>
      </c>
      <c r="AM20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1" s="104">
        <f t="shared" si="8"/>
        <v>0</v>
      </c>
      <c r="AR201" s="9">
        <f t="shared" si="7"/>
        <v>0</v>
      </c>
      <c r="AS201" s="60">
        <f>IF(Tabla1[[#This Row],[MESES DE ADEUDO DEL AÑO EN CURSO ]]&gt;0,1,0)</f>
        <v>0</v>
      </c>
      <c r="AT201" s="42"/>
      <c r="AU201" s="42"/>
      <c r="AV201" s="42"/>
      <c r="AW201" s="43"/>
    </row>
    <row r="202" spans="1:49" ht="21.75" thickBot="1" x14ac:dyDescent="0.35">
      <c r="A202" s="109">
        <v>196</v>
      </c>
      <c r="B202" s="5" t="s">
        <v>18</v>
      </c>
      <c r="C202" s="2" t="s">
        <v>562</v>
      </c>
      <c r="D202" s="32"/>
      <c r="E202" s="35" t="s">
        <v>455</v>
      </c>
      <c r="F202" s="34">
        <v>45</v>
      </c>
      <c r="G202" s="34">
        <v>45</v>
      </c>
      <c r="H202" s="34">
        <v>45</v>
      </c>
      <c r="I202" s="34">
        <v>45</v>
      </c>
      <c r="J202" s="34">
        <v>45</v>
      </c>
      <c r="K202" s="34">
        <v>45</v>
      </c>
      <c r="L202" s="34">
        <v>45</v>
      </c>
      <c r="M202" s="34">
        <v>45</v>
      </c>
      <c r="N202" s="34">
        <v>45</v>
      </c>
      <c r="O202" s="34">
        <v>45</v>
      </c>
      <c r="P202" s="34">
        <v>45</v>
      </c>
      <c r="Q202" s="34">
        <v>45</v>
      </c>
      <c r="R202" s="24">
        <f>SUM(Tabla1[[#This Row],[ENERO ]:[DICIEMBRE]])</f>
        <v>540</v>
      </c>
      <c r="W202" s="65">
        <v>0</v>
      </c>
      <c r="X202" s="21">
        <f>COUNTIF(Tabla1[[#This Row],[ENERO ]:[DICIEMBRE]],0)-(AQ202)-IF(Tabla1[[#This Row],[BAJAS]]="BAJA",IF(Tabla1[[#This Row],[ALTAS]]="ALTA",VLOOKUP(Tabla1[[#This Row],[MES DE ALTA ]],$AT$6:$AU$17,2,FALSE),12)-VLOOKUP(Tabla1[[#This Row],[MES DE BAJA ]],$AT$6:$AU$17,2,FALSE),0)</f>
        <v>0</v>
      </c>
      <c r="Y202" s="69">
        <f>SUM(Tabla1[[#This Row],[MES ADEUDO DE AÑOS PASADOS ]:[MESES DE ADEUDO DEL AÑO EN CURSO ]])</f>
        <v>0</v>
      </c>
      <c r="Z202" s="15">
        <f>IF(Tabla1[[#This Row],[TIPO DE CONSUMIDOR]]="COMPLETO",W202*$T$2,W202*($T$2/2))</f>
        <v>0</v>
      </c>
      <c r="AA202" s="15">
        <f>IF(Tabla1[[#This Row],[TIPO DE CONSUMIDOR]]="COMPLETO",Tabla1[[#This Row],[MESES DE ADEUDO DEL AÑO EN CURSO ]]*$T$2,Tabla1[[#This Row],[MESES DE ADEUDO DEL AÑO EN CURSO ]]*($T$2/2))</f>
        <v>0</v>
      </c>
      <c r="AB202" s="70">
        <f>SUM(Tabla1[[#This Row],[DEUDA DE LOS MESES PASADOS EN $$]:[DEUDA DEL AÑO 2013 $$ ]])</f>
        <v>0</v>
      </c>
      <c r="AE202" s="103">
        <f>IF(Tabla1[[#This Row],[TIPO DE CONSUMIDOR]]="MEDIO",IF(Tabla1[[#This Row],[ENERO ]]&gt;22.5,Tabla1[[#This Row],[ENERO ]]/22.5-1,0),IF(Tabla1[[#This Row],[ENERO ]]&gt;45,Tabla1[[#This Row],[ENERO ]]/45-1,0))</f>
        <v>0</v>
      </c>
      <c r="AF20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2" s="103">
        <f>IF(Tabla1[[#This Row],[TIPO DE CONSUMIDOR]]="MEDIO",IF(Tabla1[[#This Row],[MARZO]]&gt;22.5,Tabla1[[#This Row],[MARZO]]/22.5-1,0),IF(Tabla1[[#This Row],[MARZO]]&gt;45,Tabla1[[#This Row],[MARZO]]/45-1,0))</f>
        <v>0</v>
      </c>
      <c r="AH202" s="103">
        <f>IF(Tabla1[[#This Row],[TIPO DE CONSUMIDOR]]="MEDIO",IF(Tabla1[[#This Row],[ABRIL]]&gt;22.5,Tabla1[[#This Row],[ABRIL]]/22.5-1,0),IF(Tabla1[[#This Row],[ABRIL]]&gt;45,Tabla1[[#This Row],[ABRIL]]/45-1,0))</f>
        <v>0</v>
      </c>
      <c r="AI202" s="103">
        <f>IF(Tabla1[[#This Row],[TIPO DE CONSUMIDOR]]="MEDIO",IF(Tabla1[[#This Row],[MAYO ]]&gt;22.5,Tabla1[[#This Row],[MAYO ]]/22.5-1,0),IF(Tabla1[[#This Row],[MAYO ]]&gt;45,Tabla1[[#This Row],[MAYO ]]/45-1,0))</f>
        <v>0</v>
      </c>
      <c r="AJ202" s="103">
        <f>IF(Tabla1[[#This Row],[TIPO DE CONSUMIDOR]]="MEDIO",IF(Tabla1[[#This Row],[JUNIO ]]&gt;22.5,Tabla1[[#This Row],[JUNIO ]]/22.5-1,0),IF(Tabla1[[#This Row],[JUNIO ]]&gt;45,Tabla1[[#This Row],[JUNIO ]]/45-1,0))</f>
        <v>0</v>
      </c>
      <c r="AK202" s="103">
        <f>IF(Tabla1[[#This Row],[TIPO DE CONSUMIDOR]]="MEDIO",IF(Tabla1[[#This Row],[JULIO ]]&gt;22.5,Tabla1[[#This Row],[JULIO ]]/22.5-1,0),IF(Tabla1[[#This Row],[JULIO ]]&gt;45,Tabla1[[#This Row],[JULIO ]]/45-1,0))</f>
        <v>0</v>
      </c>
      <c r="AL202" s="103">
        <f>IF(Tabla1[[#This Row],[TIPO DE CONSUMIDOR]]="MEDIO",IF(Tabla1[[#This Row],[AGOSTO]]&gt;22.5,Tabla1[[#This Row],[AGOSTO]]/22.5-1,0),IF(Tabla1[[#This Row],[AGOSTO]]&gt;45,Tabla1[[#This Row],[AGOSTO]]/45-1,0))</f>
        <v>0</v>
      </c>
      <c r="AM20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2" s="104">
        <f t="shared" si="8"/>
        <v>0</v>
      </c>
      <c r="AR202" s="9">
        <f t="shared" si="7"/>
        <v>0</v>
      </c>
      <c r="AS202" s="60">
        <f>IF(Tabla1[[#This Row],[MESES DE ADEUDO DEL AÑO EN CURSO ]]&gt;0,1,0)</f>
        <v>0</v>
      </c>
      <c r="AT202" s="42"/>
      <c r="AU202" s="42"/>
      <c r="AV202" s="42"/>
      <c r="AW202" s="43"/>
    </row>
    <row r="203" spans="1:49" ht="21.75" thickBot="1" x14ac:dyDescent="0.35">
      <c r="A203" s="109">
        <v>197</v>
      </c>
      <c r="B203" s="5" t="s">
        <v>23</v>
      </c>
      <c r="C203" s="2" t="s">
        <v>562</v>
      </c>
      <c r="D203" s="32"/>
      <c r="E203" s="35" t="s">
        <v>455</v>
      </c>
      <c r="F203" s="34">
        <v>45</v>
      </c>
      <c r="G203" s="34">
        <v>45</v>
      </c>
      <c r="H203" s="34">
        <v>45</v>
      </c>
      <c r="I203" s="34">
        <v>45</v>
      </c>
      <c r="J203" s="34">
        <v>45</v>
      </c>
      <c r="K203" s="34">
        <v>45</v>
      </c>
      <c r="L203" s="34">
        <v>45</v>
      </c>
      <c r="M203" s="34">
        <v>45</v>
      </c>
      <c r="N203" s="34">
        <v>45</v>
      </c>
      <c r="O203" s="34">
        <v>45</v>
      </c>
      <c r="P203" s="34">
        <v>45</v>
      </c>
      <c r="Q203" s="34">
        <v>45</v>
      </c>
      <c r="R203" s="58">
        <f>SUM(Tabla1[[#This Row],[ENERO ]:[DICIEMBRE]])</f>
        <v>540</v>
      </c>
      <c r="W203" s="65">
        <v>0</v>
      </c>
      <c r="X203" s="21">
        <f>COUNTIF(Tabla1[[#This Row],[ENERO ]:[DICIEMBRE]],0)-(AQ203)-IF(Tabla1[[#This Row],[BAJAS]]="BAJA",IF(Tabla1[[#This Row],[ALTAS]]="ALTA",VLOOKUP(Tabla1[[#This Row],[MES DE ALTA ]],$AT$6:$AU$17,2,FALSE),12)-VLOOKUP(Tabla1[[#This Row],[MES DE BAJA ]],$AT$6:$AU$17,2,FALSE),0)</f>
        <v>0</v>
      </c>
      <c r="Y203" s="69">
        <f>SUM(Tabla1[[#This Row],[MES ADEUDO DE AÑOS PASADOS ]:[MESES DE ADEUDO DEL AÑO EN CURSO ]])</f>
        <v>0</v>
      </c>
      <c r="Z203" s="15">
        <f>IF(Tabla1[[#This Row],[TIPO DE CONSUMIDOR]]="COMPLETO",W203*$T$2,W203*($T$2/2))</f>
        <v>0</v>
      </c>
      <c r="AA203" s="15">
        <f>IF(Tabla1[[#This Row],[TIPO DE CONSUMIDOR]]="COMPLETO",Tabla1[[#This Row],[MESES DE ADEUDO DEL AÑO EN CURSO ]]*$T$2,Tabla1[[#This Row],[MESES DE ADEUDO DEL AÑO EN CURSO ]]*($T$2/2))</f>
        <v>0</v>
      </c>
      <c r="AB203" s="70">
        <f>SUM(Tabla1[[#This Row],[DEUDA DE LOS MESES PASADOS EN $$]:[DEUDA DEL AÑO 2013 $$ ]])</f>
        <v>0</v>
      </c>
      <c r="AE203" s="103">
        <f>IF(Tabla1[[#This Row],[TIPO DE CONSUMIDOR]]="MEDIO",IF(Tabla1[[#This Row],[ENERO ]]&gt;22.5,Tabla1[[#This Row],[ENERO ]]/22.5-1,0),IF(Tabla1[[#This Row],[ENERO ]]&gt;45,Tabla1[[#This Row],[ENERO ]]/45-1,0))</f>
        <v>0</v>
      </c>
      <c r="AF20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3" s="103">
        <f>IF(Tabla1[[#This Row],[TIPO DE CONSUMIDOR]]="MEDIO",IF(Tabla1[[#This Row],[MARZO]]&gt;22.5,Tabla1[[#This Row],[MARZO]]/22.5-1,0),IF(Tabla1[[#This Row],[MARZO]]&gt;45,Tabla1[[#This Row],[MARZO]]/45-1,0))</f>
        <v>0</v>
      </c>
      <c r="AH203" s="103">
        <f>IF(Tabla1[[#This Row],[TIPO DE CONSUMIDOR]]="MEDIO",IF(Tabla1[[#This Row],[ABRIL]]&gt;22.5,Tabla1[[#This Row],[ABRIL]]/22.5-1,0),IF(Tabla1[[#This Row],[ABRIL]]&gt;45,Tabla1[[#This Row],[ABRIL]]/45-1,0))</f>
        <v>0</v>
      </c>
      <c r="AI203" s="103">
        <f>IF(Tabla1[[#This Row],[TIPO DE CONSUMIDOR]]="MEDIO",IF(Tabla1[[#This Row],[MAYO ]]&gt;22.5,Tabla1[[#This Row],[MAYO ]]/22.5-1,0),IF(Tabla1[[#This Row],[MAYO ]]&gt;45,Tabla1[[#This Row],[MAYO ]]/45-1,0))</f>
        <v>0</v>
      </c>
      <c r="AJ203" s="103">
        <f>IF(Tabla1[[#This Row],[TIPO DE CONSUMIDOR]]="MEDIO",IF(Tabla1[[#This Row],[JUNIO ]]&gt;22.5,Tabla1[[#This Row],[JUNIO ]]/22.5-1,0),IF(Tabla1[[#This Row],[JUNIO ]]&gt;45,Tabla1[[#This Row],[JUNIO ]]/45-1,0))</f>
        <v>0</v>
      </c>
      <c r="AK203" s="103">
        <f>IF(Tabla1[[#This Row],[TIPO DE CONSUMIDOR]]="MEDIO",IF(Tabla1[[#This Row],[JULIO ]]&gt;22.5,Tabla1[[#This Row],[JULIO ]]/22.5-1,0),IF(Tabla1[[#This Row],[JULIO ]]&gt;45,Tabla1[[#This Row],[JULIO ]]/45-1,0))</f>
        <v>0</v>
      </c>
      <c r="AL203" s="103">
        <f>IF(Tabla1[[#This Row],[TIPO DE CONSUMIDOR]]="MEDIO",IF(Tabla1[[#This Row],[AGOSTO]]&gt;22.5,Tabla1[[#This Row],[AGOSTO]]/22.5-1,0),IF(Tabla1[[#This Row],[AGOSTO]]&gt;45,Tabla1[[#This Row],[AGOSTO]]/45-1,0))</f>
        <v>0</v>
      </c>
      <c r="AM20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3" s="104">
        <f t="shared" si="8"/>
        <v>0</v>
      </c>
      <c r="AR203" s="9">
        <f t="shared" si="7"/>
        <v>0</v>
      </c>
      <c r="AS203" s="60">
        <f>IF(Tabla1[[#This Row],[MESES DE ADEUDO DEL AÑO EN CURSO ]]&gt;0,1,0)</f>
        <v>0</v>
      </c>
      <c r="AT203" s="42"/>
      <c r="AU203" s="42"/>
      <c r="AV203" s="42"/>
      <c r="AW203" s="43"/>
    </row>
    <row r="204" spans="1:49" ht="21.75" thickBot="1" x14ac:dyDescent="0.35">
      <c r="A204" s="109">
        <v>198</v>
      </c>
      <c r="B204" s="5" t="s">
        <v>63</v>
      </c>
      <c r="C204" s="2" t="s">
        <v>562</v>
      </c>
      <c r="D204" s="32"/>
      <c r="E204" s="35" t="s">
        <v>455</v>
      </c>
      <c r="F204" s="34">
        <v>45</v>
      </c>
      <c r="G204" s="34">
        <v>45</v>
      </c>
      <c r="H204" s="34">
        <v>45</v>
      </c>
      <c r="I204" s="34">
        <v>45</v>
      </c>
      <c r="J204" s="34">
        <v>45</v>
      </c>
      <c r="K204" s="34">
        <v>45</v>
      </c>
      <c r="L204" s="34">
        <v>45</v>
      </c>
      <c r="M204" s="34">
        <v>45</v>
      </c>
      <c r="N204" s="34">
        <v>45</v>
      </c>
      <c r="O204" s="34">
        <v>45</v>
      </c>
      <c r="P204" s="34">
        <v>45</v>
      </c>
      <c r="Q204" s="34">
        <v>45</v>
      </c>
      <c r="R204" s="24">
        <f>SUM(Tabla1[[#This Row],[ENERO ]:[DICIEMBRE]])</f>
        <v>540</v>
      </c>
      <c r="W204" s="65">
        <v>0</v>
      </c>
      <c r="X204" s="21">
        <f>COUNTIF(Tabla1[[#This Row],[ENERO ]:[DICIEMBRE]],0)-(AQ204)-IF(Tabla1[[#This Row],[BAJAS]]="BAJA",IF(Tabla1[[#This Row],[ALTAS]]="ALTA",VLOOKUP(Tabla1[[#This Row],[MES DE ALTA ]],$AT$6:$AU$17,2,FALSE),12)-VLOOKUP(Tabla1[[#This Row],[MES DE BAJA ]],$AT$6:$AU$17,2,FALSE),0)</f>
        <v>0</v>
      </c>
      <c r="Y204" s="69">
        <f>SUM(Tabla1[[#This Row],[MES ADEUDO DE AÑOS PASADOS ]:[MESES DE ADEUDO DEL AÑO EN CURSO ]])</f>
        <v>0</v>
      </c>
      <c r="Z204" s="15">
        <f>IF(Tabla1[[#This Row],[TIPO DE CONSUMIDOR]]="COMPLETO",W204*$T$2,W204*($T$2/2))</f>
        <v>0</v>
      </c>
      <c r="AA204" s="15">
        <f>IF(Tabla1[[#This Row],[TIPO DE CONSUMIDOR]]="COMPLETO",Tabla1[[#This Row],[MESES DE ADEUDO DEL AÑO EN CURSO ]]*$T$2,Tabla1[[#This Row],[MESES DE ADEUDO DEL AÑO EN CURSO ]]*($T$2/2))</f>
        <v>0</v>
      </c>
      <c r="AB204" s="70">
        <f>SUM(Tabla1[[#This Row],[DEUDA DE LOS MESES PASADOS EN $$]:[DEUDA DEL AÑO 2013 $$ ]])</f>
        <v>0</v>
      </c>
      <c r="AE204" s="103">
        <f>IF(Tabla1[[#This Row],[TIPO DE CONSUMIDOR]]="MEDIO",IF(Tabla1[[#This Row],[ENERO ]]&gt;22.5,Tabla1[[#This Row],[ENERO ]]/22.5-1,0),IF(Tabla1[[#This Row],[ENERO ]]&gt;45,Tabla1[[#This Row],[ENERO ]]/45-1,0))</f>
        <v>0</v>
      </c>
      <c r="AF20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4" s="103">
        <f>IF(Tabla1[[#This Row],[TIPO DE CONSUMIDOR]]="MEDIO",IF(Tabla1[[#This Row],[MARZO]]&gt;22.5,Tabla1[[#This Row],[MARZO]]/22.5-1,0),IF(Tabla1[[#This Row],[MARZO]]&gt;45,Tabla1[[#This Row],[MARZO]]/45-1,0))</f>
        <v>0</v>
      </c>
      <c r="AH204" s="103">
        <f>IF(Tabla1[[#This Row],[TIPO DE CONSUMIDOR]]="MEDIO",IF(Tabla1[[#This Row],[ABRIL]]&gt;22.5,Tabla1[[#This Row],[ABRIL]]/22.5-1,0),IF(Tabla1[[#This Row],[ABRIL]]&gt;45,Tabla1[[#This Row],[ABRIL]]/45-1,0))</f>
        <v>0</v>
      </c>
      <c r="AI204" s="103">
        <f>IF(Tabla1[[#This Row],[TIPO DE CONSUMIDOR]]="MEDIO",IF(Tabla1[[#This Row],[MAYO ]]&gt;22.5,Tabla1[[#This Row],[MAYO ]]/22.5-1,0),IF(Tabla1[[#This Row],[MAYO ]]&gt;45,Tabla1[[#This Row],[MAYO ]]/45-1,0))</f>
        <v>0</v>
      </c>
      <c r="AJ204" s="103">
        <f>IF(Tabla1[[#This Row],[TIPO DE CONSUMIDOR]]="MEDIO",IF(Tabla1[[#This Row],[JUNIO ]]&gt;22.5,Tabla1[[#This Row],[JUNIO ]]/22.5-1,0),IF(Tabla1[[#This Row],[JUNIO ]]&gt;45,Tabla1[[#This Row],[JUNIO ]]/45-1,0))</f>
        <v>0</v>
      </c>
      <c r="AK204" s="103">
        <f>IF(Tabla1[[#This Row],[TIPO DE CONSUMIDOR]]="MEDIO",IF(Tabla1[[#This Row],[JULIO ]]&gt;22.5,Tabla1[[#This Row],[JULIO ]]/22.5-1,0),IF(Tabla1[[#This Row],[JULIO ]]&gt;45,Tabla1[[#This Row],[JULIO ]]/45-1,0))</f>
        <v>0</v>
      </c>
      <c r="AL204" s="103">
        <f>IF(Tabla1[[#This Row],[TIPO DE CONSUMIDOR]]="MEDIO",IF(Tabla1[[#This Row],[AGOSTO]]&gt;22.5,Tabla1[[#This Row],[AGOSTO]]/22.5-1,0),IF(Tabla1[[#This Row],[AGOSTO]]&gt;45,Tabla1[[#This Row],[AGOSTO]]/45-1,0))</f>
        <v>0</v>
      </c>
      <c r="AM20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4" s="104">
        <f t="shared" si="8"/>
        <v>0</v>
      </c>
      <c r="AR204" s="9">
        <f t="shared" si="7"/>
        <v>0</v>
      </c>
      <c r="AS204" s="60">
        <f>IF(Tabla1[[#This Row],[MESES DE ADEUDO DEL AÑO EN CURSO ]]&gt;0,1,0)</f>
        <v>0</v>
      </c>
      <c r="AT204" s="42"/>
      <c r="AU204" s="42"/>
      <c r="AV204" s="42"/>
      <c r="AW204" s="43"/>
    </row>
    <row r="205" spans="1:49" ht="21.75" thickBot="1" x14ac:dyDescent="0.35">
      <c r="A205" s="109">
        <v>199</v>
      </c>
      <c r="B205" s="5" t="s">
        <v>59</v>
      </c>
      <c r="C205" s="2" t="s">
        <v>562</v>
      </c>
      <c r="D205" s="32"/>
      <c r="E205" s="35" t="s">
        <v>455</v>
      </c>
      <c r="F205" s="34">
        <v>45</v>
      </c>
      <c r="G205" s="34">
        <v>45</v>
      </c>
      <c r="H205" s="34">
        <v>45</v>
      </c>
      <c r="I205" s="34">
        <v>45</v>
      </c>
      <c r="J205" s="34">
        <v>45</v>
      </c>
      <c r="K205" s="34">
        <v>45</v>
      </c>
      <c r="L205" s="34">
        <v>45</v>
      </c>
      <c r="M205" s="34">
        <v>45</v>
      </c>
      <c r="N205" s="34">
        <v>45</v>
      </c>
      <c r="O205" s="34">
        <v>45</v>
      </c>
      <c r="P205" s="34">
        <v>45</v>
      </c>
      <c r="Q205" s="34">
        <v>45</v>
      </c>
      <c r="R205" s="24">
        <f>SUM(Tabla1[[#This Row],[ENERO ]:[DICIEMBRE]])</f>
        <v>540</v>
      </c>
      <c r="W205" s="65">
        <v>0</v>
      </c>
      <c r="X205" s="21">
        <f>COUNTIF(Tabla1[[#This Row],[ENERO ]:[DICIEMBRE]],0)-(AQ205)-IF(Tabla1[[#This Row],[BAJAS]]="BAJA",IF(Tabla1[[#This Row],[ALTAS]]="ALTA",VLOOKUP(Tabla1[[#This Row],[MES DE ALTA ]],$AT$6:$AU$17,2,FALSE),12)-VLOOKUP(Tabla1[[#This Row],[MES DE BAJA ]],$AT$6:$AU$17,2,FALSE),0)</f>
        <v>0</v>
      </c>
      <c r="Y205" s="69">
        <f>SUM(Tabla1[[#This Row],[MES ADEUDO DE AÑOS PASADOS ]:[MESES DE ADEUDO DEL AÑO EN CURSO ]])</f>
        <v>0</v>
      </c>
      <c r="Z205" s="15">
        <f>IF(Tabla1[[#This Row],[TIPO DE CONSUMIDOR]]="COMPLETO",W205*$T$2,W205*($T$2/2))</f>
        <v>0</v>
      </c>
      <c r="AA205" s="15">
        <f>IF(Tabla1[[#This Row],[TIPO DE CONSUMIDOR]]="COMPLETO",Tabla1[[#This Row],[MESES DE ADEUDO DEL AÑO EN CURSO ]]*$T$2,Tabla1[[#This Row],[MESES DE ADEUDO DEL AÑO EN CURSO ]]*($T$2/2))</f>
        <v>0</v>
      </c>
      <c r="AB205" s="70">
        <f>SUM(Tabla1[[#This Row],[DEUDA DE LOS MESES PASADOS EN $$]:[DEUDA DEL AÑO 2013 $$ ]])</f>
        <v>0</v>
      </c>
      <c r="AE205" s="103">
        <f>IF(Tabla1[[#This Row],[TIPO DE CONSUMIDOR]]="MEDIO",IF(Tabla1[[#This Row],[ENERO ]]&gt;22.5,Tabla1[[#This Row],[ENERO ]]/22.5-1,0),IF(Tabla1[[#This Row],[ENERO ]]&gt;45,Tabla1[[#This Row],[ENERO ]]/45-1,0))</f>
        <v>0</v>
      </c>
      <c r="AF20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5" s="103">
        <f>IF(Tabla1[[#This Row],[TIPO DE CONSUMIDOR]]="MEDIO",IF(Tabla1[[#This Row],[MARZO]]&gt;22.5,Tabla1[[#This Row],[MARZO]]/22.5-1,0),IF(Tabla1[[#This Row],[MARZO]]&gt;45,Tabla1[[#This Row],[MARZO]]/45-1,0))</f>
        <v>0</v>
      </c>
      <c r="AH205" s="103">
        <f>IF(Tabla1[[#This Row],[TIPO DE CONSUMIDOR]]="MEDIO",IF(Tabla1[[#This Row],[ABRIL]]&gt;22.5,Tabla1[[#This Row],[ABRIL]]/22.5-1,0),IF(Tabla1[[#This Row],[ABRIL]]&gt;45,Tabla1[[#This Row],[ABRIL]]/45-1,0))</f>
        <v>0</v>
      </c>
      <c r="AI205" s="103">
        <f>IF(Tabla1[[#This Row],[TIPO DE CONSUMIDOR]]="MEDIO",IF(Tabla1[[#This Row],[MAYO ]]&gt;22.5,Tabla1[[#This Row],[MAYO ]]/22.5-1,0),IF(Tabla1[[#This Row],[MAYO ]]&gt;45,Tabla1[[#This Row],[MAYO ]]/45-1,0))</f>
        <v>0</v>
      </c>
      <c r="AJ205" s="103">
        <f>IF(Tabla1[[#This Row],[TIPO DE CONSUMIDOR]]="MEDIO",IF(Tabla1[[#This Row],[JUNIO ]]&gt;22.5,Tabla1[[#This Row],[JUNIO ]]/22.5-1,0),IF(Tabla1[[#This Row],[JUNIO ]]&gt;45,Tabla1[[#This Row],[JUNIO ]]/45-1,0))</f>
        <v>0</v>
      </c>
      <c r="AK205" s="103">
        <f>IF(Tabla1[[#This Row],[TIPO DE CONSUMIDOR]]="MEDIO",IF(Tabla1[[#This Row],[JULIO ]]&gt;22.5,Tabla1[[#This Row],[JULIO ]]/22.5-1,0),IF(Tabla1[[#This Row],[JULIO ]]&gt;45,Tabla1[[#This Row],[JULIO ]]/45-1,0))</f>
        <v>0</v>
      </c>
      <c r="AL205" s="103">
        <f>IF(Tabla1[[#This Row],[TIPO DE CONSUMIDOR]]="MEDIO",IF(Tabla1[[#This Row],[AGOSTO]]&gt;22.5,Tabla1[[#This Row],[AGOSTO]]/22.5-1,0),IF(Tabla1[[#This Row],[AGOSTO]]&gt;45,Tabla1[[#This Row],[AGOSTO]]/45-1,0))</f>
        <v>0</v>
      </c>
      <c r="AM20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5" s="104">
        <f t="shared" si="8"/>
        <v>0</v>
      </c>
      <c r="AR205" s="9">
        <f t="shared" si="7"/>
        <v>0</v>
      </c>
      <c r="AS205" s="60">
        <f>IF(Tabla1[[#This Row],[MESES DE ADEUDO DEL AÑO EN CURSO ]]&gt;0,1,0)</f>
        <v>0</v>
      </c>
      <c r="AT205" s="42"/>
      <c r="AU205" s="42"/>
      <c r="AV205" s="42"/>
      <c r="AW205" s="43"/>
    </row>
    <row r="206" spans="1:49" ht="21.75" thickBot="1" x14ac:dyDescent="0.35">
      <c r="A206" s="109">
        <v>200</v>
      </c>
      <c r="B206" s="5" t="s">
        <v>79</v>
      </c>
      <c r="C206" s="2" t="s">
        <v>562</v>
      </c>
      <c r="D206" s="32"/>
      <c r="E206" s="35" t="s">
        <v>489</v>
      </c>
      <c r="F206" s="34">
        <v>22.5</v>
      </c>
      <c r="G206" s="34">
        <v>22.5</v>
      </c>
      <c r="H206" s="34">
        <v>22.5</v>
      </c>
      <c r="I206" s="34">
        <v>22.5</v>
      </c>
      <c r="J206" s="34">
        <v>22.5</v>
      </c>
      <c r="K206" s="34">
        <v>22.5</v>
      </c>
      <c r="L206" s="34">
        <v>22.5</v>
      </c>
      <c r="M206" s="34">
        <v>22.5</v>
      </c>
      <c r="N206" s="34">
        <v>22.5</v>
      </c>
      <c r="O206" s="34">
        <v>22.5</v>
      </c>
      <c r="P206" s="34">
        <v>22.5</v>
      </c>
      <c r="Q206" s="34">
        <v>22.5</v>
      </c>
      <c r="R206" s="24">
        <f>SUM(Tabla1[[#This Row],[ENERO ]:[DICIEMBRE]])</f>
        <v>270</v>
      </c>
      <c r="W206" s="65">
        <v>0</v>
      </c>
      <c r="X206" s="21">
        <f>COUNTIF(Tabla1[[#This Row],[ENERO ]:[DICIEMBRE]],0)-(AQ206)-IF(Tabla1[[#This Row],[BAJAS]]="BAJA",IF(Tabla1[[#This Row],[ALTAS]]="ALTA",VLOOKUP(Tabla1[[#This Row],[MES DE ALTA ]],$AT$6:$AU$17,2,FALSE),12)-VLOOKUP(Tabla1[[#This Row],[MES DE BAJA ]],$AT$6:$AU$17,2,FALSE),0)</f>
        <v>0</v>
      </c>
      <c r="Y206" s="69">
        <f>SUM(Tabla1[[#This Row],[MES ADEUDO DE AÑOS PASADOS ]:[MESES DE ADEUDO DEL AÑO EN CURSO ]])</f>
        <v>0</v>
      </c>
      <c r="Z206" s="15">
        <f>IF(Tabla1[[#This Row],[TIPO DE CONSUMIDOR]]="COMPLETO",W206*$T$2,W206*($T$2/2))</f>
        <v>0</v>
      </c>
      <c r="AA206" s="15">
        <f>IF(Tabla1[[#This Row],[TIPO DE CONSUMIDOR]]="COMPLETO",Tabla1[[#This Row],[MESES DE ADEUDO DEL AÑO EN CURSO ]]*$T$2,Tabla1[[#This Row],[MESES DE ADEUDO DEL AÑO EN CURSO ]]*($T$2/2))</f>
        <v>0</v>
      </c>
      <c r="AB206" s="70">
        <f>SUM(Tabla1[[#This Row],[DEUDA DE LOS MESES PASADOS EN $$]:[DEUDA DEL AÑO 2013 $$ ]])</f>
        <v>0</v>
      </c>
      <c r="AE206" s="103">
        <f>IF(Tabla1[[#This Row],[TIPO DE CONSUMIDOR]]="MEDIO",IF(Tabla1[[#This Row],[ENERO ]]&gt;22.5,Tabla1[[#This Row],[ENERO ]]/22.5-1,0),IF(Tabla1[[#This Row],[ENERO ]]&gt;45,Tabla1[[#This Row],[ENERO ]]/45-1,0))</f>
        <v>0</v>
      </c>
      <c r="AF20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6" s="103">
        <f>IF(Tabla1[[#This Row],[TIPO DE CONSUMIDOR]]="MEDIO",IF(Tabla1[[#This Row],[MARZO]]&gt;22.5,Tabla1[[#This Row],[MARZO]]/22.5-1,0),IF(Tabla1[[#This Row],[MARZO]]&gt;45,Tabla1[[#This Row],[MARZO]]/45-1,0))</f>
        <v>0</v>
      </c>
      <c r="AH206" s="103">
        <f>IF(Tabla1[[#This Row],[TIPO DE CONSUMIDOR]]="MEDIO",IF(Tabla1[[#This Row],[ABRIL]]&gt;22.5,Tabla1[[#This Row],[ABRIL]]/22.5-1,0),IF(Tabla1[[#This Row],[ABRIL]]&gt;45,Tabla1[[#This Row],[ABRIL]]/45-1,0))</f>
        <v>0</v>
      </c>
      <c r="AI206" s="103">
        <f>IF(Tabla1[[#This Row],[TIPO DE CONSUMIDOR]]="MEDIO",IF(Tabla1[[#This Row],[MAYO ]]&gt;22.5,Tabla1[[#This Row],[MAYO ]]/22.5-1,0),IF(Tabla1[[#This Row],[MAYO ]]&gt;45,Tabla1[[#This Row],[MAYO ]]/45-1,0))</f>
        <v>0</v>
      </c>
      <c r="AJ206" s="103">
        <f>IF(Tabla1[[#This Row],[TIPO DE CONSUMIDOR]]="MEDIO",IF(Tabla1[[#This Row],[JUNIO ]]&gt;22.5,Tabla1[[#This Row],[JUNIO ]]/22.5-1,0),IF(Tabla1[[#This Row],[JUNIO ]]&gt;45,Tabla1[[#This Row],[JUNIO ]]/45-1,0))</f>
        <v>0</v>
      </c>
      <c r="AK206" s="103">
        <f>IF(Tabla1[[#This Row],[TIPO DE CONSUMIDOR]]="MEDIO",IF(Tabla1[[#This Row],[JULIO ]]&gt;22.5,Tabla1[[#This Row],[JULIO ]]/22.5-1,0),IF(Tabla1[[#This Row],[JULIO ]]&gt;45,Tabla1[[#This Row],[JULIO ]]/45-1,0))</f>
        <v>0</v>
      </c>
      <c r="AL206" s="103">
        <f>IF(Tabla1[[#This Row],[TIPO DE CONSUMIDOR]]="MEDIO",IF(Tabla1[[#This Row],[AGOSTO]]&gt;22.5,Tabla1[[#This Row],[AGOSTO]]/22.5-1,0),IF(Tabla1[[#This Row],[AGOSTO]]&gt;45,Tabla1[[#This Row],[AGOSTO]]/45-1,0))</f>
        <v>0</v>
      </c>
      <c r="AM20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6" s="104">
        <f t="shared" si="8"/>
        <v>0</v>
      </c>
      <c r="AR206" s="9">
        <f t="shared" si="7"/>
        <v>0</v>
      </c>
      <c r="AS206" s="60">
        <f>IF(Tabla1[[#This Row],[MESES DE ADEUDO DEL AÑO EN CURSO ]]&gt;0,1,0)</f>
        <v>0</v>
      </c>
      <c r="AT206" s="42"/>
      <c r="AU206" s="42"/>
      <c r="AV206" s="42"/>
      <c r="AW206" s="43"/>
    </row>
    <row r="207" spans="1:49" ht="21.75" thickBot="1" x14ac:dyDescent="0.35">
      <c r="A207" s="109">
        <v>201</v>
      </c>
      <c r="B207" s="5" t="s">
        <v>91</v>
      </c>
      <c r="C207" s="2" t="s">
        <v>562</v>
      </c>
      <c r="D207" s="32"/>
      <c r="E207" s="35" t="s">
        <v>455</v>
      </c>
      <c r="F207" s="34">
        <v>45</v>
      </c>
      <c r="G207" s="34">
        <v>45</v>
      </c>
      <c r="H207" s="34">
        <v>45</v>
      </c>
      <c r="I207" s="34">
        <v>45</v>
      </c>
      <c r="J207" s="34">
        <v>45</v>
      </c>
      <c r="K207" s="34">
        <v>45</v>
      </c>
      <c r="L207" s="34">
        <v>45</v>
      </c>
      <c r="M207" s="34">
        <v>45</v>
      </c>
      <c r="N207" s="34">
        <v>45</v>
      </c>
      <c r="O207" s="34">
        <v>45</v>
      </c>
      <c r="P207" s="34">
        <v>45</v>
      </c>
      <c r="Q207" s="34">
        <v>45</v>
      </c>
      <c r="R207" s="24">
        <f>SUM(Tabla1[[#This Row],[ENERO ]:[DICIEMBRE]])</f>
        <v>540</v>
      </c>
      <c r="W207" s="65">
        <v>0</v>
      </c>
      <c r="X207" s="21">
        <f>COUNTIF(Tabla1[[#This Row],[ENERO ]:[DICIEMBRE]],0)-(AQ207)-IF(Tabla1[[#This Row],[BAJAS]]="BAJA",IF(Tabla1[[#This Row],[ALTAS]]="ALTA",VLOOKUP(Tabla1[[#This Row],[MES DE ALTA ]],$AT$6:$AU$17,2,FALSE),12)-VLOOKUP(Tabla1[[#This Row],[MES DE BAJA ]],$AT$6:$AU$17,2,FALSE),0)</f>
        <v>0</v>
      </c>
      <c r="Y207" s="69">
        <f>SUM(Tabla1[[#This Row],[MES ADEUDO DE AÑOS PASADOS ]:[MESES DE ADEUDO DEL AÑO EN CURSO ]])</f>
        <v>0</v>
      </c>
      <c r="Z207" s="15">
        <f>IF(Tabla1[[#This Row],[TIPO DE CONSUMIDOR]]="COMPLETO",W207*$T$2,W207*($T$2/2))</f>
        <v>0</v>
      </c>
      <c r="AA207" s="15">
        <f>IF(Tabla1[[#This Row],[TIPO DE CONSUMIDOR]]="COMPLETO",Tabla1[[#This Row],[MESES DE ADEUDO DEL AÑO EN CURSO ]]*$T$2,Tabla1[[#This Row],[MESES DE ADEUDO DEL AÑO EN CURSO ]]*($T$2/2))</f>
        <v>0</v>
      </c>
      <c r="AB207" s="70">
        <f>SUM(Tabla1[[#This Row],[DEUDA DE LOS MESES PASADOS EN $$]:[DEUDA DEL AÑO 2013 $$ ]])</f>
        <v>0</v>
      </c>
      <c r="AE207" s="103">
        <f>IF(Tabla1[[#This Row],[TIPO DE CONSUMIDOR]]="MEDIO",IF(Tabla1[[#This Row],[ENERO ]]&gt;22.5,Tabla1[[#This Row],[ENERO ]]/22.5-1,0),IF(Tabla1[[#This Row],[ENERO ]]&gt;45,Tabla1[[#This Row],[ENERO ]]/45-1,0))</f>
        <v>0</v>
      </c>
      <c r="AF20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7" s="103">
        <f>IF(Tabla1[[#This Row],[TIPO DE CONSUMIDOR]]="MEDIO",IF(Tabla1[[#This Row],[MARZO]]&gt;22.5,Tabla1[[#This Row],[MARZO]]/22.5-1,0),IF(Tabla1[[#This Row],[MARZO]]&gt;45,Tabla1[[#This Row],[MARZO]]/45-1,0))</f>
        <v>0</v>
      </c>
      <c r="AH207" s="103">
        <f>IF(Tabla1[[#This Row],[TIPO DE CONSUMIDOR]]="MEDIO",IF(Tabla1[[#This Row],[ABRIL]]&gt;22.5,Tabla1[[#This Row],[ABRIL]]/22.5-1,0),IF(Tabla1[[#This Row],[ABRIL]]&gt;45,Tabla1[[#This Row],[ABRIL]]/45-1,0))</f>
        <v>0</v>
      </c>
      <c r="AI207" s="103">
        <f>IF(Tabla1[[#This Row],[TIPO DE CONSUMIDOR]]="MEDIO",IF(Tabla1[[#This Row],[MAYO ]]&gt;22.5,Tabla1[[#This Row],[MAYO ]]/22.5-1,0),IF(Tabla1[[#This Row],[MAYO ]]&gt;45,Tabla1[[#This Row],[MAYO ]]/45-1,0))</f>
        <v>0</v>
      </c>
      <c r="AJ207" s="103">
        <f>IF(Tabla1[[#This Row],[TIPO DE CONSUMIDOR]]="MEDIO",IF(Tabla1[[#This Row],[JUNIO ]]&gt;22.5,Tabla1[[#This Row],[JUNIO ]]/22.5-1,0),IF(Tabla1[[#This Row],[JUNIO ]]&gt;45,Tabla1[[#This Row],[JUNIO ]]/45-1,0))</f>
        <v>0</v>
      </c>
      <c r="AK207" s="103">
        <f>IF(Tabla1[[#This Row],[TIPO DE CONSUMIDOR]]="MEDIO",IF(Tabla1[[#This Row],[JULIO ]]&gt;22.5,Tabla1[[#This Row],[JULIO ]]/22.5-1,0),IF(Tabla1[[#This Row],[JULIO ]]&gt;45,Tabla1[[#This Row],[JULIO ]]/45-1,0))</f>
        <v>0</v>
      </c>
      <c r="AL207" s="103">
        <f>IF(Tabla1[[#This Row],[TIPO DE CONSUMIDOR]]="MEDIO",IF(Tabla1[[#This Row],[AGOSTO]]&gt;22.5,Tabla1[[#This Row],[AGOSTO]]/22.5-1,0),IF(Tabla1[[#This Row],[AGOSTO]]&gt;45,Tabla1[[#This Row],[AGOSTO]]/45-1,0))</f>
        <v>0</v>
      </c>
      <c r="AM20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7" s="104">
        <f t="shared" si="8"/>
        <v>0</v>
      </c>
      <c r="AR207" s="9">
        <f t="shared" si="7"/>
        <v>0</v>
      </c>
      <c r="AS207" s="60">
        <f>IF(Tabla1[[#This Row],[MESES DE ADEUDO DEL AÑO EN CURSO ]]&gt;0,1,0)</f>
        <v>0</v>
      </c>
      <c r="AT207" s="42"/>
      <c r="AU207" s="42"/>
      <c r="AV207" s="42"/>
      <c r="AW207" s="43"/>
    </row>
    <row r="208" spans="1:49" ht="21.75" thickBot="1" x14ac:dyDescent="0.35">
      <c r="A208" s="109">
        <v>202</v>
      </c>
      <c r="B208" s="5" t="s">
        <v>82</v>
      </c>
      <c r="C208" s="2" t="s">
        <v>562</v>
      </c>
      <c r="D208" s="32"/>
      <c r="E208" s="35" t="s">
        <v>455</v>
      </c>
      <c r="F208" s="34">
        <v>45</v>
      </c>
      <c r="G208" s="34">
        <v>45</v>
      </c>
      <c r="H208" s="34">
        <v>45</v>
      </c>
      <c r="I208" s="34">
        <v>45</v>
      </c>
      <c r="J208" s="34">
        <v>45</v>
      </c>
      <c r="K208" s="34">
        <v>45</v>
      </c>
      <c r="L208" s="34">
        <v>45</v>
      </c>
      <c r="M208" s="34">
        <v>45</v>
      </c>
      <c r="N208" s="34">
        <v>45</v>
      </c>
      <c r="O208" s="34">
        <v>45</v>
      </c>
      <c r="P208" s="34">
        <v>45</v>
      </c>
      <c r="Q208" s="34">
        <v>45</v>
      </c>
      <c r="R208" s="24">
        <f>SUM(Tabla1[[#This Row],[ENERO ]:[DICIEMBRE]])</f>
        <v>540</v>
      </c>
      <c r="W208" s="65">
        <v>0</v>
      </c>
      <c r="X208" s="21">
        <f>COUNTIF(Tabla1[[#This Row],[ENERO ]:[DICIEMBRE]],0)-(AQ208)-IF(Tabla1[[#This Row],[BAJAS]]="BAJA",IF(Tabla1[[#This Row],[ALTAS]]="ALTA",VLOOKUP(Tabla1[[#This Row],[MES DE ALTA ]],$AT$6:$AU$17,2,FALSE),12)-VLOOKUP(Tabla1[[#This Row],[MES DE BAJA ]],$AT$6:$AU$17,2,FALSE),0)</f>
        <v>0</v>
      </c>
      <c r="Y208" s="69">
        <f>SUM(Tabla1[[#This Row],[MES ADEUDO DE AÑOS PASADOS ]:[MESES DE ADEUDO DEL AÑO EN CURSO ]])</f>
        <v>0</v>
      </c>
      <c r="Z208" s="15">
        <f>IF(Tabla1[[#This Row],[TIPO DE CONSUMIDOR]]="COMPLETO",W208*$T$2,W208*($T$2/2))</f>
        <v>0</v>
      </c>
      <c r="AA208" s="15">
        <f>IF(Tabla1[[#This Row],[TIPO DE CONSUMIDOR]]="COMPLETO",Tabla1[[#This Row],[MESES DE ADEUDO DEL AÑO EN CURSO ]]*$T$2,Tabla1[[#This Row],[MESES DE ADEUDO DEL AÑO EN CURSO ]]*($T$2/2))</f>
        <v>0</v>
      </c>
      <c r="AB208" s="70">
        <f>SUM(Tabla1[[#This Row],[DEUDA DE LOS MESES PASADOS EN $$]:[DEUDA DEL AÑO 2013 $$ ]])</f>
        <v>0</v>
      </c>
      <c r="AE208" s="103">
        <f>IF(Tabla1[[#This Row],[TIPO DE CONSUMIDOR]]="MEDIO",IF(Tabla1[[#This Row],[ENERO ]]&gt;22.5,Tabla1[[#This Row],[ENERO ]]/22.5-1,0),IF(Tabla1[[#This Row],[ENERO ]]&gt;45,Tabla1[[#This Row],[ENERO ]]/45-1,0))</f>
        <v>0</v>
      </c>
      <c r="AF20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8" s="103">
        <f>IF(Tabla1[[#This Row],[TIPO DE CONSUMIDOR]]="MEDIO",IF(Tabla1[[#This Row],[MARZO]]&gt;22.5,Tabla1[[#This Row],[MARZO]]/22.5-1,0),IF(Tabla1[[#This Row],[MARZO]]&gt;45,Tabla1[[#This Row],[MARZO]]/45-1,0))</f>
        <v>0</v>
      </c>
      <c r="AH208" s="103">
        <f>IF(Tabla1[[#This Row],[TIPO DE CONSUMIDOR]]="MEDIO",IF(Tabla1[[#This Row],[ABRIL]]&gt;22.5,Tabla1[[#This Row],[ABRIL]]/22.5-1,0),IF(Tabla1[[#This Row],[ABRIL]]&gt;45,Tabla1[[#This Row],[ABRIL]]/45-1,0))</f>
        <v>0</v>
      </c>
      <c r="AI208" s="103">
        <f>IF(Tabla1[[#This Row],[TIPO DE CONSUMIDOR]]="MEDIO",IF(Tabla1[[#This Row],[MAYO ]]&gt;22.5,Tabla1[[#This Row],[MAYO ]]/22.5-1,0),IF(Tabla1[[#This Row],[MAYO ]]&gt;45,Tabla1[[#This Row],[MAYO ]]/45-1,0))</f>
        <v>0</v>
      </c>
      <c r="AJ208" s="103">
        <f>IF(Tabla1[[#This Row],[TIPO DE CONSUMIDOR]]="MEDIO",IF(Tabla1[[#This Row],[JUNIO ]]&gt;22.5,Tabla1[[#This Row],[JUNIO ]]/22.5-1,0),IF(Tabla1[[#This Row],[JUNIO ]]&gt;45,Tabla1[[#This Row],[JUNIO ]]/45-1,0))</f>
        <v>0</v>
      </c>
      <c r="AK208" s="103">
        <f>IF(Tabla1[[#This Row],[TIPO DE CONSUMIDOR]]="MEDIO",IF(Tabla1[[#This Row],[JULIO ]]&gt;22.5,Tabla1[[#This Row],[JULIO ]]/22.5-1,0),IF(Tabla1[[#This Row],[JULIO ]]&gt;45,Tabla1[[#This Row],[JULIO ]]/45-1,0))</f>
        <v>0</v>
      </c>
      <c r="AL208" s="103">
        <f>IF(Tabla1[[#This Row],[TIPO DE CONSUMIDOR]]="MEDIO",IF(Tabla1[[#This Row],[AGOSTO]]&gt;22.5,Tabla1[[#This Row],[AGOSTO]]/22.5-1,0),IF(Tabla1[[#This Row],[AGOSTO]]&gt;45,Tabla1[[#This Row],[AGOSTO]]/45-1,0))</f>
        <v>0</v>
      </c>
      <c r="AM20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8" s="104">
        <f t="shared" si="8"/>
        <v>0</v>
      </c>
      <c r="AR208" s="9">
        <f t="shared" si="7"/>
        <v>0</v>
      </c>
      <c r="AS208" s="60">
        <f>IF(Tabla1[[#This Row],[MESES DE ADEUDO DEL AÑO EN CURSO ]]&gt;0,1,0)</f>
        <v>0</v>
      </c>
      <c r="AT208" s="42"/>
      <c r="AU208" s="42"/>
      <c r="AV208" s="42"/>
      <c r="AW208" s="43"/>
    </row>
    <row r="209" spans="1:49" ht="21.75" thickBot="1" x14ac:dyDescent="0.35">
      <c r="A209" s="109">
        <v>203</v>
      </c>
      <c r="B209" s="5" t="s">
        <v>129</v>
      </c>
      <c r="C209" s="2" t="s">
        <v>562</v>
      </c>
      <c r="D209" s="32"/>
      <c r="E209" s="35" t="s">
        <v>455</v>
      </c>
      <c r="F209" s="34">
        <v>45</v>
      </c>
      <c r="G209" s="34">
        <v>45</v>
      </c>
      <c r="H209" s="34">
        <v>45</v>
      </c>
      <c r="I209" s="34">
        <v>45</v>
      </c>
      <c r="J209" s="34">
        <v>45</v>
      </c>
      <c r="K209" s="34">
        <v>45</v>
      </c>
      <c r="L209" s="34">
        <v>45</v>
      </c>
      <c r="M209" s="34">
        <v>45</v>
      </c>
      <c r="N209" s="34">
        <v>45</v>
      </c>
      <c r="O209" s="34">
        <v>45</v>
      </c>
      <c r="P209" s="34">
        <v>45</v>
      </c>
      <c r="Q209" s="34">
        <v>45</v>
      </c>
      <c r="R209" s="24">
        <f>SUM(Tabla1[[#This Row],[ENERO ]:[DICIEMBRE]])</f>
        <v>540</v>
      </c>
      <c r="W209" s="65">
        <v>0</v>
      </c>
      <c r="X209" s="21">
        <f>COUNTIF(Tabla1[[#This Row],[ENERO ]:[DICIEMBRE]],0)-(AQ209)-IF(Tabla1[[#This Row],[BAJAS]]="BAJA",IF(Tabla1[[#This Row],[ALTAS]]="ALTA",VLOOKUP(Tabla1[[#This Row],[MES DE ALTA ]],$AT$6:$AU$17,2,FALSE),12)-VLOOKUP(Tabla1[[#This Row],[MES DE BAJA ]],$AT$6:$AU$17,2,FALSE),0)</f>
        <v>0</v>
      </c>
      <c r="Y209" s="69">
        <f>SUM(Tabla1[[#This Row],[MES ADEUDO DE AÑOS PASADOS ]:[MESES DE ADEUDO DEL AÑO EN CURSO ]])</f>
        <v>0</v>
      </c>
      <c r="Z209" s="15">
        <f>IF(Tabla1[[#This Row],[TIPO DE CONSUMIDOR]]="COMPLETO",W209*$T$2,W209*($T$2/2))</f>
        <v>0</v>
      </c>
      <c r="AA209" s="15">
        <f>IF(Tabla1[[#This Row],[TIPO DE CONSUMIDOR]]="COMPLETO",Tabla1[[#This Row],[MESES DE ADEUDO DEL AÑO EN CURSO ]]*$T$2,Tabla1[[#This Row],[MESES DE ADEUDO DEL AÑO EN CURSO ]]*($T$2/2))</f>
        <v>0</v>
      </c>
      <c r="AB209" s="70">
        <f>SUM(Tabla1[[#This Row],[DEUDA DE LOS MESES PASADOS EN $$]:[DEUDA DEL AÑO 2013 $$ ]])</f>
        <v>0</v>
      </c>
      <c r="AE209" s="103">
        <f>IF(Tabla1[[#This Row],[TIPO DE CONSUMIDOR]]="MEDIO",IF(Tabla1[[#This Row],[ENERO ]]&gt;22.5,Tabla1[[#This Row],[ENERO ]]/22.5-1,0),IF(Tabla1[[#This Row],[ENERO ]]&gt;45,Tabla1[[#This Row],[ENERO ]]/45-1,0))</f>
        <v>0</v>
      </c>
      <c r="AF20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09" s="103">
        <f>IF(Tabla1[[#This Row],[TIPO DE CONSUMIDOR]]="MEDIO",IF(Tabla1[[#This Row],[MARZO]]&gt;22.5,Tabla1[[#This Row],[MARZO]]/22.5-1,0),IF(Tabla1[[#This Row],[MARZO]]&gt;45,Tabla1[[#This Row],[MARZO]]/45-1,0))</f>
        <v>0</v>
      </c>
      <c r="AH209" s="103">
        <f>IF(Tabla1[[#This Row],[TIPO DE CONSUMIDOR]]="MEDIO",IF(Tabla1[[#This Row],[ABRIL]]&gt;22.5,Tabla1[[#This Row],[ABRIL]]/22.5-1,0),IF(Tabla1[[#This Row],[ABRIL]]&gt;45,Tabla1[[#This Row],[ABRIL]]/45-1,0))</f>
        <v>0</v>
      </c>
      <c r="AI209" s="103">
        <f>IF(Tabla1[[#This Row],[TIPO DE CONSUMIDOR]]="MEDIO",IF(Tabla1[[#This Row],[MAYO ]]&gt;22.5,Tabla1[[#This Row],[MAYO ]]/22.5-1,0),IF(Tabla1[[#This Row],[MAYO ]]&gt;45,Tabla1[[#This Row],[MAYO ]]/45-1,0))</f>
        <v>0</v>
      </c>
      <c r="AJ209" s="103">
        <f>IF(Tabla1[[#This Row],[TIPO DE CONSUMIDOR]]="MEDIO",IF(Tabla1[[#This Row],[JUNIO ]]&gt;22.5,Tabla1[[#This Row],[JUNIO ]]/22.5-1,0),IF(Tabla1[[#This Row],[JUNIO ]]&gt;45,Tabla1[[#This Row],[JUNIO ]]/45-1,0))</f>
        <v>0</v>
      </c>
      <c r="AK209" s="103">
        <f>IF(Tabla1[[#This Row],[TIPO DE CONSUMIDOR]]="MEDIO",IF(Tabla1[[#This Row],[JULIO ]]&gt;22.5,Tabla1[[#This Row],[JULIO ]]/22.5-1,0),IF(Tabla1[[#This Row],[JULIO ]]&gt;45,Tabla1[[#This Row],[JULIO ]]/45-1,0))</f>
        <v>0</v>
      </c>
      <c r="AL209" s="103">
        <f>IF(Tabla1[[#This Row],[TIPO DE CONSUMIDOR]]="MEDIO",IF(Tabla1[[#This Row],[AGOSTO]]&gt;22.5,Tabla1[[#This Row],[AGOSTO]]/22.5-1,0),IF(Tabla1[[#This Row],[AGOSTO]]&gt;45,Tabla1[[#This Row],[AGOSTO]]/45-1,0))</f>
        <v>0</v>
      </c>
      <c r="AM20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0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0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0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09" s="104">
        <f t="shared" si="8"/>
        <v>0</v>
      </c>
      <c r="AR209" s="9">
        <f t="shared" si="7"/>
        <v>0</v>
      </c>
      <c r="AS209" s="60">
        <f>IF(Tabla1[[#This Row],[MESES DE ADEUDO DEL AÑO EN CURSO ]]&gt;0,1,0)</f>
        <v>0</v>
      </c>
      <c r="AT209" s="42"/>
      <c r="AU209" s="42"/>
      <c r="AV209" s="42"/>
      <c r="AW209" s="43"/>
    </row>
    <row r="210" spans="1:49" ht="21.75" thickBot="1" x14ac:dyDescent="0.35">
      <c r="A210" s="109">
        <v>204</v>
      </c>
      <c r="B210" s="5" t="s">
        <v>117</v>
      </c>
      <c r="C210" s="2" t="s">
        <v>562</v>
      </c>
      <c r="D210" s="32"/>
      <c r="E210" s="35" t="s">
        <v>489</v>
      </c>
      <c r="F210" s="34">
        <v>22.5</v>
      </c>
      <c r="G210" s="34">
        <v>22.5</v>
      </c>
      <c r="H210" s="34">
        <v>22.5</v>
      </c>
      <c r="I210" s="34">
        <v>22.5</v>
      </c>
      <c r="J210" s="34">
        <v>22.5</v>
      </c>
      <c r="K210" s="34">
        <v>22.5</v>
      </c>
      <c r="L210" s="34">
        <v>22.5</v>
      </c>
      <c r="M210" s="34">
        <v>22.5</v>
      </c>
      <c r="N210" s="34">
        <v>22.5</v>
      </c>
      <c r="O210" s="34">
        <v>22.5</v>
      </c>
      <c r="P210" s="34">
        <v>22.5</v>
      </c>
      <c r="Q210" s="34">
        <v>22.5</v>
      </c>
      <c r="R210" s="58">
        <f>SUM(Tabla1[[#This Row],[ENERO ]:[DICIEMBRE]])</f>
        <v>270</v>
      </c>
      <c r="W210" s="65">
        <v>0</v>
      </c>
      <c r="X210" s="21">
        <f>COUNTIF(Tabla1[[#This Row],[ENERO ]:[DICIEMBRE]],0)-(AQ210)-IF(Tabla1[[#This Row],[BAJAS]]="BAJA",IF(Tabla1[[#This Row],[ALTAS]]="ALTA",VLOOKUP(Tabla1[[#This Row],[MES DE ALTA ]],$AT$6:$AU$17,2,FALSE),12)-VLOOKUP(Tabla1[[#This Row],[MES DE BAJA ]],$AT$6:$AU$17,2,FALSE),0)</f>
        <v>0</v>
      </c>
      <c r="Y210" s="69">
        <f>SUM(Tabla1[[#This Row],[MES ADEUDO DE AÑOS PASADOS ]:[MESES DE ADEUDO DEL AÑO EN CURSO ]])</f>
        <v>0</v>
      </c>
      <c r="Z210" s="15">
        <f>IF(Tabla1[[#This Row],[TIPO DE CONSUMIDOR]]="COMPLETO",W210*$T$2,W210*($T$2/2))</f>
        <v>0</v>
      </c>
      <c r="AA210" s="15">
        <f>IF(Tabla1[[#This Row],[TIPO DE CONSUMIDOR]]="COMPLETO",Tabla1[[#This Row],[MESES DE ADEUDO DEL AÑO EN CURSO ]]*$T$2,Tabla1[[#This Row],[MESES DE ADEUDO DEL AÑO EN CURSO ]]*($T$2/2))</f>
        <v>0</v>
      </c>
      <c r="AB210" s="70">
        <f>SUM(Tabla1[[#This Row],[DEUDA DE LOS MESES PASADOS EN $$]:[DEUDA DEL AÑO 2013 $$ ]])</f>
        <v>0</v>
      </c>
      <c r="AE210" s="103">
        <f>IF(Tabla1[[#This Row],[TIPO DE CONSUMIDOR]]="MEDIO",IF(Tabla1[[#This Row],[ENERO ]]&gt;22.5,Tabla1[[#This Row],[ENERO ]]/22.5-1,0),IF(Tabla1[[#This Row],[ENERO ]]&gt;45,Tabla1[[#This Row],[ENERO ]]/45-1,0))</f>
        <v>0</v>
      </c>
      <c r="AF21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0" s="103">
        <f>IF(Tabla1[[#This Row],[TIPO DE CONSUMIDOR]]="MEDIO",IF(Tabla1[[#This Row],[MARZO]]&gt;22.5,Tabla1[[#This Row],[MARZO]]/22.5-1,0),IF(Tabla1[[#This Row],[MARZO]]&gt;45,Tabla1[[#This Row],[MARZO]]/45-1,0))</f>
        <v>0</v>
      </c>
      <c r="AH210" s="103">
        <f>IF(Tabla1[[#This Row],[TIPO DE CONSUMIDOR]]="MEDIO",IF(Tabla1[[#This Row],[ABRIL]]&gt;22.5,Tabla1[[#This Row],[ABRIL]]/22.5-1,0),IF(Tabla1[[#This Row],[ABRIL]]&gt;45,Tabla1[[#This Row],[ABRIL]]/45-1,0))</f>
        <v>0</v>
      </c>
      <c r="AI210" s="103">
        <f>IF(Tabla1[[#This Row],[TIPO DE CONSUMIDOR]]="MEDIO",IF(Tabla1[[#This Row],[MAYO ]]&gt;22.5,Tabla1[[#This Row],[MAYO ]]/22.5-1,0),IF(Tabla1[[#This Row],[MAYO ]]&gt;45,Tabla1[[#This Row],[MAYO ]]/45-1,0))</f>
        <v>0</v>
      </c>
      <c r="AJ210" s="103">
        <f>IF(Tabla1[[#This Row],[TIPO DE CONSUMIDOR]]="MEDIO",IF(Tabla1[[#This Row],[JUNIO ]]&gt;22.5,Tabla1[[#This Row],[JUNIO ]]/22.5-1,0),IF(Tabla1[[#This Row],[JUNIO ]]&gt;45,Tabla1[[#This Row],[JUNIO ]]/45-1,0))</f>
        <v>0</v>
      </c>
      <c r="AK210" s="103">
        <f>IF(Tabla1[[#This Row],[TIPO DE CONSUMIDOR]]="MEDIO",IF(Tabla1[[#This Row],[JULIO ]]&gt;22.5,Tabla1[[#This Row],[JULIO ]]/22.5-1,0),IF(Tabla1[[#This Row],[JULIO ]]&gt;45,Tabla1[[#This Row],[JULIO ]]/45-1,0))</f>
        <v>0</v>
      </c>
      <c r="AL210" s="103">
        <f>IF(Tabla1[[#This Row],[TIPO DE CONSUMIDOR]]="MEDIO",IF(Tabla1[[#This Row],[AGOSTO]]&gt;22.5,Tabla1[[#This Row],[AGOSTO]]/22.5-1,0),IF(Tabla1[[#This Row],[AGOSTO]]&gt;45,Tabla1[[#This Row],[AGOSTO]]/45-1,0))</f>
        <v>0</v>
      </c>
      <c r="AM21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0" s="104">
        <f t="shared" si="8"/>
        <v>0</v>
      </c>
      <c r="AR210" s="9">
        <f t="shared" si="7"/>
        <v>0</v>
      </c>
      <c r="AS210" s="60">
        <f>IF(Tabla1[[#This Row],[MESES DE ADEUDO DEL AÑO EN CURSO ]]&gt;0,1,0)</f>
        <v>0</v>
      </c>
      <c r="AT210" s="42"/>
      <c r="AU210" s="42"/>
      <c r="AV210" s="42"/>
      <c r="AW210" s="43"/>
    </row>
    <row r="211" spans="1:49" ht="21.75" thickBot="1" x14ac:dyDescent="0.35">
      <c r="A211" s="109">
        <v>205</v>
      </c>
      <c r="B211" s="5" t="s">
        <v>118</v>
      </c>
      <c r="C211" s="2" t="s">
        <v>562</v>
      </c>
      <c r="D211" s="32"/>
      <c r="E211" s="35" t="s">
        <v>455</v>
      </c>
      <c r="F211" s="34">
        <v>45</v>
      </c>
      <c r="G211" s="34">
        <v>45</v>
      </c>
      <c r="H211" s="34">
        <v>45</v>
      </c>
      <c r="I211" s="34">
        <v>45</v>
      </c>
      <c r="J211" s="34">
        <v>45</v>
      </c>
      <c r="K211" s="34">
        <v>45</v>
      </c>
      <c r="L211" s="34">
        <v>45</v>
      </c>
      <c r="M211" s="34">
        <v>45</v>
      </c>
      <c r="N211" s="34">
        <v>45</v>
      </c>
      <c r="O211" s="34">
        <v>45</v>
      </c>
      <c r="P211" s="34">
        <v>45</v>
      </c>
      <c r="Q211" s="34">
        <v>45</v>
      </c>
      <c r="R211" s="58">
        <f>SUM(Tabla1[[#This Row],[ENERO ]:[DICIEMBRE]])</f>
        <v>540</v>
      </c>
      <c r="W211" s="65">
        <v>0</v>
      </c>
      <c r="X211" s="21">
        <f>COUNTIF(Tabla1[[#This Row],[ENERO ]:[DICIEMBRE]],0)-(AQ211)-IF(Tabla1[[#This Row],[BAJAS]]="BAJA",IF(Tabla1[[#This Row],[ALTAS]]="ALTA",VLOOKUP(Tabla1[[#This Row],[MES DE ALTA ]],$AT$6:$AU$17,2,FALSE),12)-VLOOKUP(Tabla1[[#This Row],[MES DE BAJA ]],$AT$6:$AU$17,2,FALSE),0)</f>
        <v>0</v>
      </c>
      <c r="Y211" s="69">
        <f>SUM(Tabla1[[#This Row],[MES ADEUDO DE AÑOS PASADOS ]:[MESES DE ADEUDO DEL AÑO EN CURSO ]])</f>
        <v>0</v>
      </c>
      <c r="Z211" s="15">
        <f>IF(Tabla1[[#This Row],[TIPO DE CONSUMIDOR]]="COMPLETO",W211*$T$2,W211*($T$2/2))</f>
        <v>0</v>
      </c>
      <c r="AA211" s="15">
        <f>IF(Tabla1[[#This Row],[TIPO DE CONSUMIDOR]]="COMPLETO",Tabla1[[#This Row],[MESES DE ADEUDO DEL AÑO EN CURSO ]]*$T$2,Tabla1[[#This Row],[MESES DE ADEUDO DEL AÑO EN CURSO ]]*($T$2/2))</f>
        <v>0</v>
      </c>
      <c r="AB211" s="70">
        <f>SUM(Tabla1[[#This Row],[DEUDA DE LOS MESES PASADOS EN $$]:[DEUDA DEL AÑO 2013 $$ ]])</f>
        <v>0</v>
      </c>
      <c r="AE211" s="103">
        <f>IF(Tabla1[[#This Row],[TIPO DE CONSUMIDOR]]="MEDIO",IF(Tabla1[[#This Row],[ENERO ]]&gt;22.5,Tabla1[[#This Row],[ENERO ]]/22.5-1,0),IF(Tabla1[[#This Row],[ENERO ]]&gt;45,Tabla1[[#This Row],[ENERO ]]/45-1,0))</f>
        <v>0</v>
      </c>
      <c r="AF21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1" s="103">
        <f>IF(Tabla1[[#This Row],[TIPO DE CONSUMIDOR]]="MEDIO",IF(Tabla1[[#This Row],[MARZO]]&gt;22.5,Tabla1[[#This Row],[MARZO]]/22.5-1,0),IF(Tabla1[[#This Row],[MARZO]]&gt;45,Tabla1[[#This Row],[MARZO]]/45-1,0))</f>
        <v>0</v>
      </c>
      <c r="AH211" s="103">
        <f>IF(Tabla1[[#This Row],[TIPO DE CONSUMIDOR]]="MEDIO",IF(Tabla1[[#This Row],[ABRIL]]&gt;22.5,Tabla1[[#This Row],[ABRIL]]/22.5-1,0),IF(Tabla1[[#This Row],[ABRIL]]&gt;45,Tabla1[[#This Row],[ABRIL]]/45-1,0))</f>
        <v>0</v>
      </c>
      <c r="AI211" s="103">
        <f>IF(Tabla1[[#This Row],[TIPO DE CONSUMIDOR]]="MEDIO",IF(Tabla1[[#This Row],[MAYO ]]&gt;22.5,Tabla1[[#This Row],[MAYO ]]/22.5-1,0),IF(Tabla1[[#This Row],[MAYO ]]&gt;45,Tabla1[[#This Row],[MAYO ]]/45-1,0))</f>
        <v>0</v>
      </c>
      <c r="AJ211" s="103">
        <f>IF(Tabla1[[#This Row],[TIPO DE CONSUMIDOR]]="MEDIO",IF(Tabla1[[#This Row],[JUNIO ]]&gt;22.5,Tabla1[[#This Row],[JUNIO ]]/22.5-1,0),IF(Tabla1[[#This Row],[JUNIO ]]&gt;45,Tabla1[[#This Row],[JUNIO ]]/45-1,0))</f>
        <v>0</v>
      </c>
      <c r="AK211" s="103">
        <f>IF(Tabla1[[#This Row],[TIPO DE CONSUMIDOR]]="MEDIO",IF(Tabla1[[#This Row],[JULIO ]]&gt;22.5,Tabla1[[#This Row],[JULIO ]]/22.5-1,0),IF(Tabla1[[#This Row],[JULIO ]]&gt;45,Tabla1[[#This Row],[JULIO ]]/45-1,0))</f>
        <v>0</v>
      </c>
      <c r="AL211" s="103">
        <f>IF(Tabla1[[#This Row],[TIPO DE CONSUMIDOR]]="MEDIO",IF(Tabla1[[#This Row],[AGOSTO]]&gt;22.5,Tabla1[[#This Row],[AGOSTO]]/22.5-1,0),IF(Tabla1[[#This Row],[AGOSTO]]&gt;45,Tabla1[[#This Row],[AGOSTO]]/45-1,0))</f>
        <v>0</v>
      </c>
      <c r="AM21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1" s="104">
        <f t="shared" si="8"/>
        <v>0</v>
      </c>
      <c r="AR211" s="9">
        <f t="shared" si="7"/>
        <v>0</v>
      </c>
      <c r="AS211" s="60">
        <f>IF(Tabla1[[#This Row],[MESES DE ADEUDO DEL AÑO EN CURSO ]]&gt;0,1,0)</f>
        <v>0</v>
      </c>
      <c r="AT211" s="42"/>
      <c r="AU211" s="42"/>
      <c r="AV211" s="42"/>
      <c r="AW211" s="43"/>
    </row>
    <row r="212" spans="1:49" ht="21.75" thickBot="1" x14ac:dyDescent="0.35">
      <c r="A212" s="109">
        <v>206</v>
      </c>
      <c r="B212" s="5" t="s">
        <v>145</v>
      </c>
      <c r="C212" s="2" t="s">
        <v>562</v>
      </c>
      <c r="D212" s="32"/>
      <c r="E212" s="35" t="s">
        <v>455</v>
      </c>
      <c r="F212" s="34">
        <v>45</v>
      </c>
      <c r="G212" s="34">
        <v>45</v>
      </c>
      <c r="H212" s="34">
        <v>45</v>
      </c>
      <c r="I212" s="34">
        <v>45</v>
      </c>
      <c r="J212" s="34">
        <v>45</v>
      </c>
      <c r="K212" s="34">
        <v>45</v>
      </c>
      <c r="L212" s="34">
        <v>45</v>
      </c>
      <c r="M212" s="34">
        <v>45</v>
      </c>
      <c r="N212" s="34">
        <v>45</v>
      </c>
      <c r="O212" s="34">
        <v>45</v>
      </c>
      <c r="P212" s="34">
        <v>45</v>
      </c>
      <c r="Q212" s="34">
        <v>45</v>
      </c>
      <c r="R212" s="24">
        <f>SUM(Tabla1[[#This Row],[ENERO ]:[DICIEMBRE]])</f>
        <v>540</v>
      </c>
      <c r="W212" s="65">
        <v>0</v>
      </c>
      <c r="X212" s="21">
        <f>COUNTIF(Tabla1[[#This Row],[ENERO ]:[DICIEMBRE]],0)-(AQ212)-IF(Tabla1[[#This Row],[BAJAS]]="BAJA",IF(Tabla1[[#This Row],[ALTAS]]="ALTA",VLOOKUP(Tabla1[[#This Row],[MES DE ALTA ]],$AT$6:$AU$17,2,FALSE),12)-VLOOKUP(Tabla1[[#This Row],[MES DE BAJA ]],$AT$6:$AU$17,2,FALSE),0)</f>
        <v>0</v>
      </c>
      <c r="Y212" s="69">
        <f>SUM(Tabla1[[#This Row],[MES ADEUDO DE AÑOS PASADOS ]:[MESES DE ADEUDO DEL AÑO EN CURSO ]])</f>
        <v>0</v>
      </c>
      <c r="Z212" s="15">
        <f>IF(Tabla1[[#This Row],[TIPO DE CONSUMIDOR]]="COMPLETO",W212*$T$2,W212*($T$2/2))</f>
        <v>0</v>
      </c>
      <c r="AA212" s="15">
        <f>IF(Tabla1[[#This Row],[TIPO DE CONSUMIDOR]]="COMPLETO",Tabla1[[#This Row],[MESES DE ADEUDO DEL AÑO EN CURSO ]]*$T$2,Tabla1[[#This Row],[MESES DE ADEUDO DEL AÑO EN CURSO ]]*($T$2/2))</f>
        <v>0</v>
      </c>
      <c r="AB212" s="70">
        <f>SUM(Tabla1[[#This Row],[DEUDA DE LOS MESES PASADOS EN $$]:[DEUDA DEL AÑO 2013 $$ ]])</f>
        <v>0</v>
      </c>
      <c r="AE212" s="103">
        <f>IF(Tabla1[[#This Row],[TIPO DE CONSUMIDOR]]="MEDIO",IF(Tabla1[[#This Row],[ENERO ]]&gt;22.5,Tabla1[[#This Row],[ENERO ]]/22.5-1,0),IF(Tabla1[[#This Row],[ENERO ]]&gt;45,Tabla1[[#This Row],[ENERO ]]/45-1,0))</f>
        <v>0</v>
      </c>
      <c r="AF21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2" s="103">
        <f>IF(Tabla1[[#This Row],[TIPO DE CONSUMIDOR]]="MEDIO",IF(Tabla1[[#This Row],[MARZO]]&gt;22.5,Tabla1[[#This Row],[MARZO]]/22.5-1,0),IF(Tabla1[[#This Row],[MARZO]]&gt;45,Tabla1[[#This Row],[MARZO]]/45-1,0))</f>
        <v>0</v>
      </c>
      <c r="AH212" s="103">
        <f>IF(Tabla1[[#This Row],[TIPO DE CONSUMIDOR]]="MEDIO",IF(Tabla1[[#This Row],[ABRIL]]&gt;22.5,Tabla1[[#This Row],[ABRIL]]/22.5-1,0),IF(Tabla1[[#This Row],[ABRIL]]&gt;45,Tabla1[[#This Row],[ABRIL]]/45-1,0))</f>
        <v>0</v>
      </c>
      <c r="AI212" s="103">
        <f>IF(Tabla1[[#This Row],[TIPO DE CONSUMIDOR]]="MEDIO",IF(Tabla1[[#This Row],[MAYO ]]&gt;22.5,Tabla1[[#This Row],[MAYO ]]/22.5-1,0),IF(Tabla1[[#This Row],[MAYO ]]&gt;45,Tabla1[[#This Row],[MAYO ]]/45-1,0))</f>
        <v>0</v>
      </c>
      <c r="AJ212" s="103">
        <f>IF(Tabla1[[#This Row],[TIPO DE CONSUMIDOR]]="MEDIO",IF(Tabla1[[#This Row],[JUNIO ]]&gt;22.5,Tabla1[[#This Row],[JUNIO ]]/22.5-1,0),IF(Tabla1[[#This Row],[JUNIO ]]&gt;45,Tabla1[[#This Row],[JUNIO ]]/45-1,0))</f>
        <v>0</v>
      </c>
      <c r="AK212" s="103">
        <f>IF(Tabla1[[#This Row],[TIPO DE CONSUMIDOR]]="MEDIO",IF(Tabla1[[#This Row],[JULIO ]]&gt;22.5,Tabla1[[#This Row],[JULIO ]]/22.5-1,0),IF(Tabla1[[#This Row],[JULIO ]]&gt;45,Tabla1[[#This Row],[JULIO ]]/45-1,0))</f>
        <v>0</v>
      </c>
      <c r="AL212" s="103">
        <f>IF(Tabla1[[#This Row],[TIPO DE CONSUMIDOR]]="MEDIO",IF(Tabla1[[#This Row],[AGOSTO]]&gt;22.5,Tabla1[[#This Row],[AGOSTO]]/22.5-1,0),IF(Tabla1[[#This Row],[AGOSTO]]&gt;45,Tabla1[[#This Row],[AGOSTO]]/45-1,0))</f>
        <v>0</v>
      </c>
      <c r="AM21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2" s="104">
        <f t="shared" si="8"/>
        <v>0</v>
      </c>
      <c r="AR212" s="9">
        <f t="shared" si="7"/>
        <v>0</v>
      </c>
      <c r="AS212" s="60">
        <f>IF(Tabla1[[#This Row],[MESES DE ADEUDO DEL AÑO EN CURSO ]]&gt;0,1,0)</f>
        <v>0</v>
      </c>
      <c r="AT212" s="42"/>
      <c r="AU212" s="42"/>
      <c r="AV212" s="42"/>
      <c r="AW212" s="43"/>
    </row>
    <row r="213" spans="1:49" ht="21.75" thickBot="1" x14ac:dyDescent="0.35">
      <c r="A213" s="109">
        <v>207</v>
      </c>
      <c r="B213" s="5" t="s">
        <v>192</v>
      </c>
      <c r="C213" s="2" t="s">
        <v>562</v>
      </c>
      <c r="D213" s="32"/>
      <c r="E213" s="35" t="s">
        <v>455</v>
      </c>
      <c r="F213" s="34">
        <v>45</v>
      </c>
      <c r="G213" s="34">
        <v>45</v>
      </c>
      <c r="H213" s="34">
        <v>45</v>
      </c>
      <c r="I213" s="34">
        <v>45</v>
      </c>
      <c r="J213" s="34">
        <v>45</v>
      </c>
      <c r="K213" s="34">
        <v>45</v>
      </c>
      <c r="L213" s="34">
        <v>45</v>
      </c>
      <c r="M213" s="34">
        <v>45</v>
      </c>
      <c r="N213" s="34">
        <v>45</v>
      </c>
      <c r="O213" s="34">
        <v>45</v>
      </c>
      <c r="P213" s="34">
        <v>45</v>
      </c>
      <c r="Q213" s="34">
        <v>45</v>
      </c>
      <c r="R213" s="24">
        <f>SUM(Tabla1[[#This Row],[ENERO ]:[DICIEMBRE]])</f>
        <v>540</v>
      </c>
      <c r="W213" s="65">
        <v>0</v>
      </c>
      <c r="X213" s="21">
        <f>COUNTIF(Tabla1[[#This Row],[ENERO ]:[DICIEMBRE]],0)-(AQ213)-IF(Tabla1[[#This Row],[BAJAS]]="BAJA",IF(Tabla1[[#This Row],[ALTAS]]="ALTA",VLOOKUP(Tabla1[[#This Row],[MES DE ALTA ]],$AT$6:$AU$17,2,FALSE),12)-VLOOKUP(Tabla1[[#This Row],[MES DE BAJA ]],$AT$6:$AU$17,2,FALSE),0)</f>
        <v>0</v>
      </c>
      <c r="Y213" s="69">
        <f>SUM(Tabla1[[#This Row],[MES ADEUDO DE AÑOS PASADOS ]:[MESES DE ADEUDO DEL AÑO EN CURSO ]])</f>
        <v>0</v>
      </c>
      <c r="Z213" s="15">
        <f>IF(Tabla1[[#This Row],[TIPO DE CONSUMIDOR]]="COMPLETO",W213*$T$2,W213*($T$2/2))</f>
        <v>0</v>
      </c>
      <c r="AA213" s="15">
        <f>IF(Tabla1[[#This Row],[TIPO DE CONSUMIDOR]]="COMPLETO",Tabla1[[#This Row],[MESES DE ADEUDO DEL AÑO EN CURSO ]]*$T$2,Tabla1[[#This Row],[MESES DE ADEUDO DEL AÑO EN CURSO ]]*($T$2/2))</f>
        <v>0</v>
      </c>
      <c r="AB213" s="70">
        <f>SUM(Tabla1[[#This Row],[DEUDA DE LOS MESES PASADOS EN $$]:[DEUDA DEL AÑO 2013 $$ ]])</f>
        <v>0</v>
      </c>
      <c r="AE213" s="103">
        <f>IF(Tabla1[[#This Row],[TIPO DE CONSUMIDOR]]="MEDIO",IF(Tabla1[[#This Row],[ENERO ]]&gt;22.5,Tabla1[[#This Row],[ENERO ]]/22.5-1,0),IF(Tabla1[[#This Row],[ENERO ]]&gt;45,Tabla1[[#This Row],[ENERO ]]/45-1,0))</f>
        <v>0</v>
      </c>
      <c r="AF21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3" s="103">
        <f>IF(Tabla1[[#This Row],[TIPO DE CONSUMIDOR]]="MEDIO",IF(Tabla1[[#This Row],[MARZO]]&gt;22.5,Tabla1[[#This Row],[MARZO]]/22.5-1,0),IF(Tabla1[[#This Row],[MARZO]]&gt;45,Tabla1[[#This Row],[MARZO]]/45-1,0))</f>
        <v>0</v>
      </c>
      <c r="AH213" s="103">
        <f>IF(Tabla1[[#This Row],[TIPO DE CONSUMIDOR]]="MEDIO",IF(Tabla1[[#This Row],[ABRIL]]&gt;22.5,Tabla1[[#This Row],[ABRIL]]/22.5-1,0),IF(Tabla1[[#This Row],[ABRIL]]&gt;45,Tabla1[[#This Row],[ABRIL]]/45-1,0))</f>
        <v>0</v>
      </c>
      <c r="AI213" s="103">
        <f>IF(Tabla1[[#This Row],[TIPO DE CONSUMIDOR]]="MEDIO",IF(Tabla1[[#This Row],[MAYO ]]&gt;22.5,Tabla1[[#This Row],[MAYO ]]/22.5-1,0),IF(Tabla1[[#This Row],[MAYO ]]&gt;45,Tabla1[[#This Row],[MAYO ]]/45-1,0))</f>
        <v>0</v>
      </c>
      <c r="AJ213" s="103">
        <f>IF(Tabla1[[#This Row],[TIPO DE CONSUMIDOR]]="MEDIO",IF(Tabla1[[#This Row],[JUNIO ]]&gt;22.5,Tabla1[[#This Row],[JUNIO ]]/22.5-1,0),IF(Tabla1[[#This Row],[JUNIO ]]&gt;45,Tabla1[[#This Row],[JUNIO ]]/45-1,0))</f>
        <v>0</v>
      </c>
      <c r="AK213" s="103">
        <f>IF(Tabla1[[#This Row],[TIPO DE CONSUMIDOR]]="MEDIO",IF(Tabla1[[#This Row],[JULIO ]]&gt;22.5,Tabla1[[#This Row],[JULIO ]]/22.5-1,0),IF(Tabla1[[#This Row],[JULIO ]]&gt;45,Tabla1[[#This Row],[JULIO ]]/45-1,0))</f>
        <v>0</v>
      </c>
      <c r="AL213" s="103">
        <f>IF(Tabla1[[#This Row],[TIPO DE CONSUMIDOR]]="MEDIO",IF(Tabla1[[#This Row],[AGOSTO]]&gt;22.5,Tabla1[[#This Row],[AGOSTO]]/22.5-1,0),IF(Tabla1[[#This Row],[AGOSTO]]&gt;45,Tabla1[[#This Row],[AGOSTO]]/45-1,0))</f>
        <v>0</v>
      </c>
      <c r="AM21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3" s="104">
        <f t="shared" si="8"/>
        <v>0</v>
      </c>
      <c r="AR213" s="9">
        <f t="shared" si="7"/>
        <v>0</v>
      </c>
      <c r="AS213" s="60">
        <f>IF(Tabla1[[#This Row],[MESES DE ADEUDO DEL AÑO EN CURSO ]]&gt;0,1,0)</f>
        <v>0</v>
      </c>
      <c r="AT213" s="42"/>
      <c r="AU213" s="42"/>
      <c r="AV213" s="42"/>
      <c r="AW213" s="43"/>
    </row>
    <row r="214" spans="1:49" ht="21.75" thickBot="1" x14ac:dyDescent="0.35">
      <c r="A214" s="109">
        <v>208</v>
      </c>
      <c r="B214" s="5" t="s">
        <v>202</v>
      </c>
      <c r="C214" s="2" t="s">
        <v>562</v>
      </c>
      <c r="D214" s="32"/>
      <c r="E214" s="35" t="s">
        <v>489</v>
      </c>
      <c r="F214" s="34">
        <v>22.5</v>
      </c>
      <c r="G214" s="34">
        <v>22.5</v>
      </c>
      <c r="H214" s="34">
        <v>22.5</v>
      </c>
      <c r="I214" s="34">
        <v>22.5</v>
      </c>
      <c r="J214" s="34">
        <v>22.5</v>
      </c>
      <c r="K214" s="34">
        <v>22.5</v>
      </c>
      <c r="L214" s="34">
        <v>22.5</v>
      </c>
      <c r="M214" s="34">
        <v>22.5</v>
      </c>
      <c r="N214" s="34">
        <v>22.5</v>
      </c>
      <c r="O214" s="34">
        <v>22.5</v>
      </c>
      <c r="P214" s="34">
        <v>22.5</v>
      </c>
      <c r="Q214" s="34">
        <v>22.5</v>
      </c>
      <c r="R214" s="24">
        <f>SUM(Tabla1[[#This Row],[ENERO ]:[DICIEMBRE]])</f>
        <v>270</v>
      </c>
      <c r="W214" s="65">
        <v>0</v>
      </c>
      <c r="X214" s="21">
        <f>COUNTIF(Tabla1[[#This Row],[ENERO ]:[DICIEMBRE]],0)-(AQ214)-IF(Tabla1[[#This Row],[BAJAS]]="BAJA",IF(Tabla1[[#This Row],[ALTAS]]="ALTA",VLOOKUP(Tabla1[[#This Row],[MES DE ALTA ]],$AT$6:$AU$17,2,FALSE),12)-VLOOKUP(Tabla1[[#This Row],[MES DE BAJA ]],$AT$6:$AU$17,2,FALSE),0)</f>
        <v>0</v>
      </c>
      <c r="Y214" s="69">
        <f>SUM(Tabla1[[#This Row],[MES ADEUDO DE AÑOS PASADOS ]:[MESES DE ADEUDO DEL AÑO EN CURSO ]])</f>
        <v>0</v>
      </c>
      <c r="Z214" s="15">
        <f>IF(Tabla1[[#This Row],[TIPO DE CONSUMIDOR]]="COMPLETO",W214*$T$2,W214*($T$2/2))</f>
        <v>0</v>
      </c>
      <c r="AA214" s="15">
        <f>IF(Tabla1[[#This Row],[TIPO DE CONSUMIDOR]]="COMPLETO",Tabla1[[#This Row],[MESES DE ADEUDO DEL AÑO EN CURSO ]]*$T$2,Tabla1[[#This Row],[MESES DE ADEUDO DEL AÑO EN CURSO ]]*($T$2/2))</f>
        <v>0</v>
      </c>
      <c r="AB214" s="70">
        <f>SUM(Tabla1[[#This Row],[DEUDA DE LOS MESES PASADOS EN $$]:[DEUDA DEL AÑO 2013 $$ ]])</f>
        <v>0</v>
      </c>
      <c r="AE214" s="103">
        <f>IF(Tabla1[[#This Row],[TIPO DE CONSUMIDOR]]="MEDIO",IF(Tabla1[[#This Row],[ENERO ]]&gt;22.5,Tabla1[[#This Row],[ENERO ]]/22.5-1,0),IF(Tabla1[[#This Row],[ENERO ]]&gt;45,Tabla1[[#This Row],[ENERO ]]/45-1,0))</f>
        <v>0</v>
      </c>
      <c r="AF21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4" s="103">
        <f>IF(Tabla1[[#This Row],[TIPO DE CONSUMIDOR]]="MEDIO",IF(Tabla1[[#This Row],[MARZO]]&gt;22.5,Tabla1[[#This Row],[MARZO]]/22.5-1,0),IF(Tabla1[[#This Row],[MARZO]]&gt;45,Tabla1[[#This Row],[MARZO]]/45-1,0))</f>
        <v>0</v>
      </c>
      <c r="AH214" s="103">
        <f>IF(Tabla1[[#This Row],[TIPO DE CONSUMIDOR]]="MEDIO",IF(Tabla1[[#This Row],[ABRIL]]&gt;22.5,Tabla1[[#This Row],[ABRIL]]/22.5-1,0),IF(Tabla1[[#This Row],[ABRIL]]&gt;45,Tabla1[[#This Row],[ABRIL]]/45-1,0))</f>
        <v>0</v>
      </c>
      <c r="AI214" s="103">
        <f>IF(Tabla1[[#This Row],[TIPO DE CONSUMIDOR]]="MEDIO",IF(Tabla1[[#This Row],[MAYO ]]&gt;22.5,Tabla1[[#This Row],[MAYO ]]/22.5-1,0),IF(Tabla1[[#This Row],[MAYO ]]&gt;45,Tabla1[[#This Row],[MAYO ]]/45-1,0))</f>
        <v>0</v>
      </c>
      <c r="AJ214" s="103">
        <f>IF(Tabla1[[#This Row],[TIPO DE CONSUMIDOR]]="MEDIO",IF(Tabla1[[#This Row],[JUNIO ]]&gt;22.5,Tabla1[[#This Row],[JUNIO ]]/22.5-1,0),IF(Tabla1[[#This Row],[JUNIO ]]&gt;45,Tabla1[[#This Row],[JUNIO ]]/45-1,0))</f>
        <v>0</v>
      </c>
      <c r="AK214" s="103">
        <f>IF(Tabla1[[#This Row],[TIPO DE CONSUMIDOR]]="MEDIO",IF(Tabla1[[#This Row],[JULIO ]]&gt;22.5,Tabla1[[#This Row],[JULIO ]]/22.5-1,0),IF(Tabla1[[#This Row],[JULIO ]]&gt;45,Tabla1[[#This Row],[JULIO ]]/45-1,0))</f>
        <v>0</v>
      </c>
      <c r="AL214" s="103">
        <f>IF(Tabla1[[#This Row],[TIPO DE CONSUMIDOR]]="MEDIO",IF(Tabla1[[#This Row],[AGOSTO]]&gt;22.5,Tabla1[[#This Row],[AGOSTO]]/22.5-1,0),IF(Tabla1[[#This Row],[AGOSTO]]&gt;45,Tabla1[[#This Row],[AGOSTO]]/45-1,0))</f>
        <v>0</v>
      </c>
      <c r="AM21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4" s="104">
        <f t="shared" si="8"/>
        <v>0</v>
      </c>
      <c r="AR214" s="9">
        <f t="shared" si="7"/>
        <v>0</v>
      </c>
      <c r="AS214" s="60">
        <f>IF(Tabla1[[#This Row],[MESES DE ADEUDO DEL AÑO EN CURSO ]]&gt;0,1,0)</f>
        <v>0</v>
      </c>
      <c r="AT214" s="42"/>
      <c r="AU214" s="42"/>
      <c r="AV214" s="42"/>
      <c r="AW214" s="43"/>
    </row>
    <row r="215" spans="1:49" ht="21.75" thickBot="1" x14ac:dyDescent="0.35">
      <c r="A215" s="109">
        <v>209</v>
      </c>
      <c r="B215" s="5" t="s">
        <v>257</v>
      </c>
      <c r="C215" s="2" t="s">
        <v>562</v>
      </c>
      <c r="D215" s="32"/>
      <c r="E215" s="35" t="s">
        <v>455</v>
      </c>
      <c r="F215" s="34">
        <v>45</v>
      </c>
      <c r="G215" s="34">
        <v>45</v>
      </c>
      <c r="H215" s="34">
        <v>45</v>
      </c>
      <c r="I215" s="34">
        <v>45</v>
      </c>
      <c r="J215" s="34">
        <v>45</v>
      </c>
      <c r="K215" s="34">
        <v>45</v>
      </c>
      <c r="L215" s="34">
        <v>45</v>
      </c>
      <c r="M215" s="34">
        <v>45</v>
      </c>
      <c r="N215" s="34">
        <v>45</v>
      </c>
      <c r="O215" s="34">
        <v>45</v>
      </c>
      <c r="P215" s="34">
        <v>45</v>
      </c>
      <c r="Q215" s="34">
        <v>45</v>
      </c>
      <c r="R215" s="24">
        <f>SUM(Tabla1[[#This Row],[ENERO ]:[DICIEMBRE]])</f>
        <v>540</v>
      </c>
      <c r="W215" s="65">
        <v>0</v>
      </c>
      <c r="X215" s="21">
        <f>COUNTIF(Tabla1[[#This Row],[ENERO ]:[DICIEMBRE]],0)-(AQ215)-IF(Tabla1[[#This Row],[BAJAS]]="BAJA",IF(Tabla1[[#This Row],[ALTAS]]="ALTA",VLOOKUP(Tabla1[[#This Row],[MES DE ALTA ]],$AT$6:$AU$17,2,FALSE),12)-VLOOKUP(Tabla1[[#This Row],[MES DE BAJA ]],$AT$6:$AU$17,2,FALSE),0)</f>
        <v>0</v>
      </c>
      <c r="Y215" s="69">
        <f>SUM(Tabla1[[#This Row],[MES ADEUDO DE AÑOS PASADOS ]:[MESES DE ADEUDO DEL AÑO EN CURSO ]])</f>
        <v>0</v>
      </c>
      <c r="Z215" s="15">
        <f>IF(Tabla1[[#This Row],[TIPO DE CONSUMIDOR]]="COMPLETO",W215*$T$2,W215*($T$2/2))</f>
        <v>0</v>
      </c>
      <c r="AA215" s="15">
        <f>IF(Tabla1[[#This Row],[TIPO DE CONSUMIDOR]]="COMPLETO",Tabla1[[#This Row],[MESES DE ADEUDO DEL AÑO EN CURSO ]]*$T$2,Tabla1[[#This Row],[MESES DE ADEUDO DEL AÑO EN CURSO ]]*($T$2/2))</f>
        <v>0</v>
      </c>
      <c r="AB215" s="70">
        <f>SUM(Tabla1[[#This Row],[DEUDA DE LOS MESES PASADOS EN $$]:[DEUDA DEL AÑO 2013 $$ ]])</f>
        <v>0</v>
      </c>
      <c r="AE215" s="103">
        <f>IF(Tabla1[[#This Row],[TIPO DE CONSUMIDOR]]="MEDIO",IF(Tabla1[[#This Row],[ENERO ]]&gt;22.5,Tabla1[[#This Row],[ENERO ]]/22.5-1,0),IF(Tabla1[[#This Row],[ENERO ]]&gt;45,Tabla1[[#This Row],[ENERO ]]/45-1,0))</f>
        <v>0</v>
      </c>
      <c r="AF21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5" s="103">
        <f>IF(Tabla1[[#This Row],[TIPO DE CONSUMIDOR]]="MEDIO",IF(Tabla1[[#This Row],[MARZO]]&gt;22.5,Tabla1[[#This Row],[MARZO]]/22.5-1,0),IF(Tabla1[[#This Row],[MARZO]]&gt;45,Tabla1[[#This Row],[MARZO]]/45-1,0))</f>
        <v>0</v>
      </c>
      <c r="AH215" s="103">
        <f>IF(Tabla1[[#This Row],[TIPO DE CONSUMIDOR]]="MEDIO",IF(Tabla1[[#This Row],[ABRIL]]&gt;22.5,Tabla1[[#This Row],[ABRIL]]/22.5-1,0),IF(Tabla1[[#This Row],[ABRIL]]&gt;45,Tabla1[[#This Row],[ABRIL]]/45-1,0))</f>
        <v>0</v>
      </c>
      <c r="AI215" s="103">
        <f>IF(Tabla1[[#This Row],[TIPO DE CONSUMIDOR]]="MEDIO",IF(Tabla1[[#This Row],[MAYO ]]&gt;22.5,Tabla1[[#This Row],[MAYO ]]/22.5-1,0),IF(Tabla1[[#This Row],[MAYO ]]&gt;45,Tabla1[[#This Row],[MAYO ]]/45-1,0))</f>
        <v>0</v>
      </c>
      <c r="AJ215" s="103">
        <f>IF(Tabla1[[#This Row],[TIPO DE CONSUMIDOR]]="MEDIO",IF(Tabla1[[#This Row],[JUNIO ]]&gt;22.5,Tabla1[[#This Row],[JUNIO ]]/22.5-1,0),IF(Tabla1[[#This Row],[JUNIO ]]&gt;45,Tabla1[[#This Row],[JUNIO ]]/45-1,0))</f>
        <v>0</v>
      </c>
      <c r="AK215" s="103">
        <f>IF(Tabla1[[#This Row],[TIPO DE CONSUMIDOR]]="MEDIO",IF(Tabla1[[#This Row],[JULIO ]]&gt;22.5,Tabla1[[#This Row],[JULIO ]]/22.5-1,0),IF(Tabla1[[#This Row],[JULIO ]]&gt;45,Tabla1[[#This Row],[JULIO ]]/45-1,0))</f>
        <v>0</v>
      </c>
      <c r="AL215" s="103">
        <f>IF(Tabla1[[#This Row],[TIPO DE CONSUMIDOR]]="MEDIO",IF(Tabla1[[#This Row],[AGOSTO]]&gt;22.5,Tabla1[[#This Row],[AGOSTO]]/22.5-1,0),IF(Tabla1[[#This Row],[AGOSTO]]&gt;45,Tabla1[[#This Row],[AGOSTO]]/45-1,0))</f>
        <v>0</v>
      </c>
      <c r="AM21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5" s="104">
        <f t="shared" si="8"/>
        <v>0</v>
      </c>
      <c r="AR215" s="9">
        <f t="shared" si="7"/>
        <v>0</v>
      </c>
      <c r="AS215" s="60">
        <f>IF(Tabla1[[#This Row],[MESES DE ADEUDO DEL AÑO EN CURSO ]]&gt;0,1,0)</f>
        <v>0</v>
      </c>
      <c r="AT215" s="42"/>
      <c r="AU215" s="42"/>
      <c r="AV215" s="42"/>
      <c r="AW215" s="43"/>
    </row>
    <row r="216" spans="1:49" ht="21.75" thickBot="1" x14ac:dyDescent="0.35">
      <c r="A216" s="109">
        <v>210</v>
      </c>
      <c r="B216" s="5" t="s">
        <v>220</v>
      </c>
      <c r="C216" s="2" t="s">
        <v>562</v>
      </c>
      <c r="D216" s="32"/>
      <c r="E216" s="35" t="s">
        <v>489</v>
      </c>
      <c r="F216" s="34">
        <v>22.5</v>
      </c>
      <c r="G216" s="34">
        <v>22.5</v>
      </c>
      <c r="H216" s="34">
        <v>22.5</v>
      </c>
      <c r="I216" s="34">
        <v>22.5</v>
      </c>
      <c r="J216" s="34">
        <v>22.5</v>
      </c>
      <c r="K216" s="34">
        <v>22.5</v>
      </c>
      <c r="L216" s="34">
        <v>22.5</v>
      </c>
      <c r="M216" s="34">
        <v>22.5</v>
      </c>
      <c r="N216" s="34">
        <v>22.5</v>
      </c>
      <c r="O216" s="34">
        <v>22.5</v>
      </c>
      <c r="P216" s="34">
        <v>22.5</v>
      </c>
      <c r="Q216" s="34">
        <v>22.5</v>
      </c>
      <c r="R216" s="24">
        <f>SUM(Tabla1[[#This Row],[ENERO ]:[DICIEMBRE]])</f>
        <v>270</v>
      </c>
      <c r="W216" s="65">
        <v>0</v>
      </c>
      <c r="X216" s="21">
        <f>COUNTIF(Tabla1[[#This Row],[ENERO ]:[DICIEMBRE]],0)-(AQ216)-IF(Tabla1[[#This Row],[BAJAS]]="BAJA",IF(Tabla1[[#This Row],[ALTAS]]="ALTA",VLOOKUP(Tabla1[[#This Row],[MES DE ALTA ]],$AT$6:$AU$17,2,FALSE),12)-VLOOKUP(Tabla1[[#This Row],[MES DE BAJA ]],$AT$6:$AU$17,2,FALSE),0)</f>
        <v>0</v>
      </c>
      <c r="Y216" s="69">
        <f>SUM(Tabla1[[#This Row],[MES ADEUDO DE AÑOS PASADOS ]:[MESES DE ADEUDO DEL AÑO EN CURSO ]])</f>
        <v>0</v>
      </c>
      <c r="Z216" s="15">
        <f>IF(Tabla1[[#This Row],[TIPO DE CONSUMIDOR]]="COMPLETO",W216*$T$2,W216*($T$2/2))</f>
        <v>0</v>
      </c>
      <c r="AA216" s="15">
        <f>IF(Tabla1[[#This Row],[TIPO DE CONSUMIDOR]]="COMPLETO",Tabla1[[#This Row],[MESES DE ADEUDO DEL AÑO EN CURSO ]]*$T$2,Tabla1[[#This Row],[MESES DE ADEUDO DEL AÑO EN CURSO ]]*($T$2/2))</f>
        <v>0</v>
      </c>
      <c r="AB216" s="70">
        <f>SUM(Tabla1[[#This Row],[DEUDA DE LOS MESES PASADOS EN $$]:[DEUDA DEL AÑO 2013 $$ ]])</f>
        <v>0</v>
      </c>
      <c r="AE216" s="103">
        <f>IF(Tabla1[[#This Row],[TIPO DE CONSUMIDOR]]="MEDIO",IF(Tabla1[[#This Row],[ENERO ]]&gt;22.5,Tabla1[[#This Row],[ENERO ]]/22.5-1,0),IF(Tabla1[[#This Row],[ENERO ]]&gt;45,Tabla1[[#This Row],[ENERO ]]/45-1,0))</f>
        <v>0</v>
      </c>
      <c r="AF21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6" s="103">
        <f>IF(Tabla1[[#This Row],[TIPO DE CONSUMIDOR]]="MEDIO",IF(Tabla1[[#This Row],[MARZO]]&gt;22.5,Tabla1[[#This Row],[MARZO]]/22.5-1,0),IF(Tabla1[[#This Row],[MARZO]]&gt;45,Tabla1[[#This Row],[MARZO]]/45-1,0))</f>
        <v>0</v>
      </c>
      <c r="AH216" s="103">
        <f>IF(Tabla1[[#This Row],[TIPO DE CONSUMIDOR]]="MEDIO",IF(Tabla1[[#This Row],[ABRIL]]&gt;22.5,Tabla1[[#This Row],[ABRIL]]/22.5-1,0),IF(Tabla1[[#This Row],[ABRIL]]&gt;45,Tabla1[[#This Row],[ABRIL]]/45-1,0))</f>
        <v>0</v>
      </c>
      <c r="AI216" s="103">
        <f>IF(Tabla1[[#This Row],[TIPO DE CONSUMIDOR]]="MEDIO",IF(Tabla1[[#This Row],[MAYO ]]&gt;22.5,Tabla1[[#This Row],[MAYO ]]/22.5-1,0),IF(Tabla1[[#This Row],[MAYO ]]&gt;45,Tabla1[[#This Row],[MAYO ]]/45-1,0))</f>
        <v>0</v>
      </c>
      <c r="AJ216" s="103">
        <f>IF(Tabla1[[#This Row],[TIPO DE CONSUMIDOR]]="MEDIO",IF(Tabla1[[#This Row],[JUNIO ]]&gt;22.5,Tabla1[[#This Row],[JUNIO ]]/22.5-1,0),IF(Tabla1[[#This Row],[JUNIO ]]&gt;45,Tabla1[[#This Row],[JUNIO ]]/45-1,0))</f>
        <v>0</v>
      </c>
      <c r="AK216" s="103">
        <f>IF(Tabla1[[#This Row],[TIPO DE CONSUMIDOR]]="MEDIO",IF(Tabla1[[#This Row],[JULIO ]]&gt;22.5,Tabla1[[#This Row],[JULIO ]]/22.5-1,0),IF(Tabla1[[#This Row],[JULIO ]]&gt;45,Tabla1[[#This Row],[JULIO ]]/45-1,0))</f>
        <v>0</v>
      </c>
      <c r="AL216" s="103">
        <f>IF(Tabla1[[#This Row],[TIPO DE CONSUMIDOR]]="MEDIO",IF(Tabla1[[#This Row],[AGOSTO]]&gt;22.5,Tabla1[[#This Row],[AGOSTO]]/22.5-1,0),IF(Tabla1[[#This Row],[AGOSTO]]&gt;45,Tabla1[[#This Row],[AGOSTO]]/45-1,0))</f>
        <v>0</v>
      </c>
      <c r="AM21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6" s="104">
        <f t="shared" si="8"/>
        <v>0</v>
      </c>
      <c r="AR216" s="9">
        <f t="shared" si="7"/>
        <v>0</v>
      </c>
      <c r="AS216" s="60">
        <f>IF(Tabla1[[#This Row],[MESES DE ADEUDO DEL AÑO EN CURSO ]]&gt;0,1,0)</f>
        <v>0</v>
      </c>
      <c r="AT216" s="42"/>
      <c r="AU216" s="42"/>
      <c r="AV216" s="42"/>
      <c r="AW216" s="43"/>
    </row>
    <row r="217" spans="1:49" ht="21.75" thickBot="1" x14ac:dyDescent="0.35">
      <c r="A217" s="109">
        <v>211</v>
      </c>
      <c r="B217" s="5" t="s">
        <v>227</v>
      </c>
      <c r="C217" s="2" t="s">
        <v>562</v>
      </c>
      <c r="D217" s="32"/>
      <c r="E217" s="35" t="s">
        <v>455</v>
      </c>
      <c r="F217" s="34">
        <v>45</v>
      </c>
      <c r="G217" s="34">
        <v>45</v>
      </c>
      <c r="H217" s="34">
        <v>45</v>
      </c>
      <c r="I217" s="34">
        <v>45</v>
      </c>
      <c r="J217" s="34">
        <v>45</v>
      </c>
      <c r="K217" s="34">
        <v>45</v>
      </c>
      <c r="L217" s="34">
        <v>45</v>
      </c>
      <c r="M217" s="34">
        <v>45</v>
      </c>
      <c r="N217" s="34">
        <v>45</v>
      </c>
      <c r="O217" s="34">
        <v>45</v>
      </c>
      <c r="P217" s="34">
        <v>45</v>
      </c>
      <c r="Q217" s="34">
        <v>45</v>
      </c>
      <c r="R217" s="24">
        <f>SUM(Tabla1[[#This Row],[ENERO ]:[DICIEMBRE]])</f>
        <v>540</v>
      </c>
      <c r="W217" s="65">
        <v>0</v>
      </c>
      <c r="X217" s="21">
        <f>COUNTIF(Tabla1[[#This Row],[ENERO ]:[DICIEMBRE]],0)-(AQ217)-IF(Tabla1[[#This Row],[BAJAS]]="BAJA",IF(Tabla1[[#This Row],[ALTAS]]="ALTA",VLOOKUP(Tabla1[[#This Row],[MES DE ALTA ]],$AT$6:$AU$17,2,FALSE),12)-VLOOKUP(Tabla1[[#This Row],[MES DE BAJA ]],$AT$6:$AU$17,2,FALSE),0)</f>
        <v>0</v>
      </c>
      <c r="Y217" s="69">
        <f>SUM(Tabla1[[#This Row],[MES ADEUDO DE AÑOS PASADOS ]:[MESES DE ADEUDO DEL AÑO EN CURSO ]])</f>
        <v>0</v>
      </c>
      <c r="Z217" s="15">
        <f>IF(Tabla1[[#This Row],[TIPO DE CONSUMIDOR]]="COMPLETO",W217*$T$2,W217*($T$2/2))</f>
        <v>0</v>
      </c>
      <c r="AA217" s="15">
        <f>IF(Tabla1[[#This Row],[TIPO DE CONSUMIDOR]]="COMPLETO",Tabla1[[#This Row],[MESES DE ADEUDO DEL AÑO EN CURSO ]]*$T$2,Tabla1[[#This Row],[MESES DE ADEUDO DEL AÑO EN CURSO ]]*($T$2/2))</f>
        <v>0</v>
      </c>
      <c r="AB217" s="70">
        <f>SUM(Tabla1[[#This Row],[DEUDA DE LOS MESES PASADOS EN $$]:[DEUDA DEL AÑO 2013 $$ ]])</f>
        <v>0</v>
      </c>
      <c r="AE217" s="103">
        <f>IF(Tabla1[[#This Row],[TIPO DE CONSUMIDOR]]="MEDIO",IF(Tabla1[[#This Row],[ENERO ]]&gt;22.5,Tabla1[[#This Row],[ENERO ]]/22.5-1,0),IF(Tabla1[[#This Row],[ENERO ]]&gt;45,Tabla1[[#This Row],[ENERO ]]/45-1,0))</f>
        <v>0</v>
      </c>
      <c r="AF21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7" s="103">
        <f>IF(Tabla1[[#This Row],[TIPO DE CONSUMIDOR]]="MEDIO",IF(Tabla1[[#This Row],[MARZO]]&gt;22.5,Tabla1[[#This Row],[MARZO]]/22.5-1,0),IF(Tabla1[[#This Row],[MARZO]]&gt;45,Tabla1[[#This Row],[MARZO]]/45-1,0))</f>
        <v>0</v>
      </c>
      <c r="AH217" s="103">
        <f>IF(Tabla1[[#This Row],[TIPO DE CONSUMIDOR]]="MEDIO",IF(Tabla1[[#This Row],[ABRIL]]&gt;22.5,Tabla1[[#This Row],[ABRIL]]/22.5-1,0),IF(Tabla1[[#This Row],[ABRIL]]&gt;45,Tabla1[[#This Row],[ABRIL]]/45-1,0))</f>
        <v>0</v>
      </c>
      <c r="AI217" s="103">
        <f>IF(Tabla1[[#This Row],[TIPO DE CONSUMIDOR]]="MEDIO",IF(Tabla1[[#This Row],[MAYO ]]&gt;22.5,Tabla1[[#This Row],[MAYO ]]/22.5-1,0),IF(Tabla1[[#This Row],[MAYO ]]&gt;45,Tabla1[[#This Row],[MAYO ]]/45-1,0))</f>
        <v>0</v>
      </c>
      <c r="AJ217" s="103">
        <f>IF(Tabla1[[#This Row],[TIPO DE CONSUMIDOR]]="MEDIO",IF(Tabla1[[#This Row],[JUNIO ]]&gt;22.5,Tabla1[[#This Row],[JUNIO ]]/22.5-1,0),IF(Tabla1[[#This Row],[JUNIO ]]&gt;45,Tabla1[[#This Row],[JUNIO ]]/45-1,0))</f>
        <v>0</v>
      </c>
      <c r="AK217" s="103">
        <f>IF(Tabla1[[#This Row],[TIPO DE CONSUMIDOR]]="MEDIO",IF(Tabla1[[#This Row],[JULIO ]]&gt;22.5,Tabla1[[#This Row],[JULIO ]]/22.5-1,0),IF(Tabla1[[#This Row],[JULIO ]]&gt;45,Tabla1[[#This Row],[JULIO ]]/45-1,0))</f>
        <v>0</v>
      </c>
      <c r="AL217" s="103">
        <f>IF(Tabla1[[#This Row],[TIPO DE CONSUMIDOR]]="MEDIO",IF(Tabla1[[#This Row],[AGOSTO]]&gt;22.5,Tabla1[[#This Row],[AGOSTO]]/22.5-1,0),IF(Tabla1[[#This Row],[AGOSTO]]&gt;45,Tabla1[[#This Row],[AGOSTO]]/45-1,0))</f>
        <v>0</v>
      </c>
      <c r="AM21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7" s="104">
        <f t="shared" si="8"/>
        <v>0</v>
      </c>
      <c r="AR217" s="9">
        <f t="shared" si="7"/>
        <v>0</v>
      </c>
      <c r="AS217" s="60">
        <f>IF(Tabla1[[#This Row],[MESES DE ADEUDO DEL AÑO EN CURSO ]]&gt;0,1,0)</f>
        <v>0</v>
      </c>
      <c r="AT217" s="42"/>
      <c r="AU217" s="42"/>
      <c r="AV217" s="42"/>
      <c r="AW217" s="43"/>
    </row>
    <row r="218" spans="1:49" ht="21.75" thickBot="1" x14ac:dyDescent="0.35">
      <c r="A218" s="109">
        <v>212</v>
      </c>
      <c r="B218" s="5" t="s">
        <v>222</v>
      </c>
      <c r="C218" s="2" t="s">
        <v>562</v>
      </c>
      <c r="D218" s="32"/>
      <c r="E218" s="35" t="s">
        <v>455</v>
      </c>
      <c r="F218" s="34">
        <v>45</v>
      </c>
      <c r="G218" s="34">
        <v>45</v>
      </c>
      <c r="H218" s="34">
        <v>45</v>
      </c>
      <c r="I218" s="34">
        <v>45</v>
      </c>
      <c r="J218" s="34">
        <v>45</v>
      </c>
      <c r="K218" s="34">
        <v>45</v>
      </c>
      <c r="L218" s="34">
        <v>45</v>
      </c>
      <c r="M218" s="34">
        <v>45</v>
      </c>
      <c r="N218" s="34">
        <v>45</v>
      </c>
      <c r="O218" s="34">
        <v>45</v>
      </c>
      <c r="P218" s="34">
        <v>45</v>
      </c>
      <c r="Q218" s="34">
        <v>45</v>
      </c>
      <c r="R218" s="24">
        <f>SUM(Tabla1[[#This Row],[ENERO ]:[DICIEMBRE]])</f>
        <v>540</v>
      </c>
      <c r="W218" s="65">
        <v>0</v>
      </c>
      <c r="X218" s="21">
        <f>COUNTIF(Tabla1[[#This Row],[ENERO ]:[DICIEMBRE]],0)-(AQ218)-IF(Tabla1[[#This Row],[BAJAS]]="BAJA",IF(Tabla1[[#This Row],[ALTAS]]="ALTA",VLOOKUP(Tabla1[[#This Row],[MES DE ALTA ]],$AT$6:$AU$17,2,FALSE),12)-VLOOKUP(Tabla1[[#This Row],[MES DE BAJA ]],$AT$6:$AU$17,2,FALSE),0)</f>
        <v>0</v>
      </c>
      <c r="Y218" s="69">
        <f>SUM(Tabla1[[#This Row],[MES ADEUDO DE AÑOS PASADOS ]:[MESES DE ADEUDO DEL AÑO EN CURSO ]])</f>
        <v>0</v>
      </c>
      <c r="Z218" s="15">
        <f>IF(Tabla1[[#This Row],[TIPO DE CONSUMIDOR]]="COMPLETO",W218*$T$2,W218*($T$2/2))</f>
        <v>0</v>
      </c>
      <c r="AA218" s="15">
        <f>IF(Tabla1[[#This Row],[TIPO DE CONSUMIDOR]]="COMPLETO",Tabla1[[#This Row],[MESES DE ADEUDO DEL AÑO EN CURSO ]]*$T$2,Tabla1[[#This Row],[MESES DE ADEUDO DEL AÑO EN CURSO ]]*($T$2/2))</f>
        <v>0</v>
      </c>
      <c r="AB218" s="70">
        <f>SUM(Tabla1[[#This Row],[DEUDA DE LOS MESES PASADOS EN $$]:[DEUDA DEL AÑO 2013 $$ ]])</f>
        <v>0</v>
      </c>
      <c r="AE218" s="103">
        <f>IF(Tabla1[[#This Row],[TIPO DE CONSUMIDOR]]="MEDIO",IF(Tabla1[[#This Row],[ENERO ]]&gt;22.5,Tabla1[[#This Row],[ENERO ]]/22.5-1,0),IF(Tabla1[[#This Row],[ENERO ]]&gt;45,Tabla1[[#This Row],[ENERO ]]/45-1,0))</f>
        <v>0</v>
      </c>
      <c r="AF21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8" s="103">
        <f>IF(Tabla1[[#This Row],[TIPO DE CONSUMIDOR]]="MEDIO",IF(Tabla1[[#This Row],[MARZO]]&gt;22.5,Tabla1[[#This Row],[MARZO]]/22.5-1,0),IF(Tabla1[[#This Row],[MARZO]]&gt;45,Tabla1[[#This Row],[MARZO]]/45-1,0))</f>
        <v>0</v>
      </c>
      <c r="AH218" s="103">
        <f>IF(Tabla1[[#This Row],[TIPO DE CONSUMIDOR]]="MEDIO",IF(Tabla1[[#This Row],[ABRIL]]&gt;22.5,Tabla1[[#This Row],[ABRIL]]/22.5-1,0),IF(Tabla1[[#This Row],[ABRIL]]&gt;45,Tabla1[[#This Row],[ABRIL]]/45-1,0))</f>
        <v>0</v>
      </c>
      <c r="AI218" s="103">
        <f>IF(Tabla1[[#This Row],[TIPO DE CONSUMIDOR]]="MEDIO",IF(Tabla1[[#This Row],[MAYO ]]&gt;22.5,Tabla1[[#This Row],[MAYO ]]/22.5-1,0),IF(Tabla1[[#This Row],[MAYO ]]&gt;45,Tabla1[[#This Row],[MAYO ]]/45-1,0))</f>
        <v>0</v>
      </c>
      <c r="AJ218" s="103">
        <f>IF(Tabla1[[#This Row],[TIPO DE CONSUMIDOR]]="MEDIO",IF(Tabla1[[#This Row],[JUNIO ]]&gt;22.5,Tabla1[[#This Row],[JUNIO ]]/22.5-1,0),IF(Tabla1[[#This Row],[JUNIO ]]&gt;45,Tabla1[[#This Row],[JUNIO ]]/45-1,0))</f>
        <v>0</v>
      </c>
      <c r="AK218" s="103">
        <f>IF(Tabla1[[#This Row],[TIPO DE CONSUMIDOR]]="MEDIO",IF(Tabla1[[#This Row],[JULIO ]]&gt;22.5,Tabla1[[#This Row],[JULIO ]]/22.5-1,0),IF(Tabla1[[#This Row],[JULIO ]]&gt;45,Tabla1[[#This Row],[JULIO ]]/45-1,0))</f>
        <v>0</v>
      </c>
      <c r="AL218" s="103">
        <f>IF(Tabla1[[#This Row],[TIPO DE CONSUMIDOR]]="MEDIO",IF(Tabla1[[#This Row],[AGOSTO]]&gt;22.5,Tabla1[[#This Row],[AGOSTO]]/22.5-1,0),IF(Tabla1[[#This Row],[AGOSTO]]&gt;45,Tabla1[[#This Row],[AGOSTO]]/45-1,0))</f>
        <v>0</v>
      </c>
      <c r="AM21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8" s="104">
        <f t="shared" si="8"/>
        <v>0</v>
      </c>
      <c r="AR218" s="9">
        <f t="shared" si="7"/>
        <v>0</v>
      </c>
      <c r="AS218" s="60">
        <f>IF(Tabla1[[#This Row],[MESES DE ADEUDO DEL AÑO EN CURSO ]]&gt;0,1,0)</f>
        <v>0</v>
      </c>
      <c r="AT218" s="42"/>
      <c r="AU218" s="42"/>
      <c r="AV218" s="42"/>
      <c r="AW218" s="43"/>
    </row>
    <row r="219" spans="1:49" ht="21.75" thickBot="1" x14ac:dyDescent="0.35">
      <c r="A219" s="109">
        <v>213</v>
      </c>
      <c r="B219" s="5" t="s">
        <v>221</v>
      </c>
      <c r="C219" s="2" t="s">
        <v>562</v>
      </c>
      <c r="D219" s="32"/>
      <c r="E219" s="35" t="s">
        <v>455</v>
      </c>
      <c r="F219" s="34">
        <v>45</v>
      </c>
      <c r="G219" s="34">
        <v>45</v>
      </c>
      <c r="H219" s="34">
        <v>45</v>
      </c>
      <c r="I219" s="34">
        <v>45</v>
      </c>
      <c r="J219" s="34">
        <v>45</v>
      </c>
      <c r="K219" s="34">
        <v>45</v>
      </c>
      <c r="L219" s="34">
        <v>45</v>
      </c>
      <c r="M219" s="34">
        <v>45</v>
      </c>
      <c r="N219" s="34">
        <v>45</v>
      </c>
      <c r="O219" s="34">
        <v>45</v>
      </c>
      <c r="P219" s="34">
        <v>45</v>
      </c>
      <c r="Q219" s="34">
        <v>45</v>
      </c>
      <c r="R219" s="24">
        <f>SUM(Tabla1[[#This Row],[ENERO ]:[DICIEMBRE]])</f>
        <v>540</v>
      </c>
      <c r="W219" s="65">
        <v>0</v>
      </c>
      <c r="X219" s="21">
        <f>COUNTIF(Tabla1[[#This Row],[ENERO ]:[DICIEMBRE]],0)-(AQ219)-IF(Tabla1[[#This Row],[BAJAS]]="BAJA",IF(Tabla1[[#This Row],[ALTAS]]="ALTA",VLOOKUP(Tabla1[[#This Row],[MES DE ALTA ]],$AT$6:$AU$17,2,FALSE),12)-VLOOKUP(Tabla1[[#This Row],[MES DE BAJA ]],$AT$6:$AU$17,2,FALSE),0)</f>
        <v>0</v>
      </c>
      <c r="Y219" s="69">
        <f>SUM(Tabla1[[#This Row],[MES ADEUDO DE AÑOS PASADOS ]:[MESES DE ADEUDO DEL AÑO EN CURSO ]])</f>
        <v>0</v>
      </c>
      <c r="Z219" s="15">
        <f>IF(Tabla1[[#This Row],[TIPO DE CONSUMIDOR]]="COMPLETO",W219*$T$2,W219*($T$2/2))</f>
        <v>0</v>
      </c>
      <c r="AA219" s="15">
        <f>IF(Tabla1[[#This Row],[TIPO DE CONSUMIDOR]]="COMPLETO",Tabla1[[#This Row],[MESES DE ADEUDO DEL AÑO EN CURSO ]]*$T$2,Tabla1[[#This Row],[MESES DE ADEUDO DEL AÑO EN CURSO ]]*($T$2/2))</f>
        <v>0</v>
      </c>
      <c r="AB219" s="70">
        <f>SUM(Tabla1[[#This Row],[DEUDA DE LOS MESES PASADOS EN $$]:[DEUDA DEL AÑO 2013 $$ ]])</f>
        <v>0</v>
      </c>
      <c r="AE219" s="103">
        <f>IF(Tabla1[[#This Row],[TIPO DE CONSUMIDOR]]="MEDIO",IF(Tabla1[[#This Row],[ENERO ]]&gt;22.5,Tabla1[[#This Row],[ENERO ]]/22.5-1,0),IF(Tabla1[[#This Row],[ENERO ]]&gt;45,Tabla1[[#This Row],[ENERO ]]/45-1,0))</f>
        <v>0</v>
      </c>
      <c r="AF21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19" s="103">
        <f>IF(Tabla1[[#This Row],[TIPO DE CONSUMIDOR]]="MEDIO",IF(Tabla1[[#This Row],[MARZO]]&gt;22.5,Tabla1[[#This Row],[MARZO]]/22.5-1,0),IF(Tabla1[[#This Row],[MARZO]]&gt;45,Tabla1[[#This Row],[MARZO]]/45-1,0))</f>
        <v>0</v>
      </c>
      <c r="AH219" s="103">
        <f>IF(Tabla1[[#This Row],[TIPO DE CONSUMIDOR]]="MEDIO",IF(Tabla1[[#This Row],[ABRIL]]&gt;22.5,Tabla1[[#This Row],[ABRIL]]/22.5-1,0),IF(Tabla1[[#This Row],[ABRIL]]&gt;45,Tabla1[[#This Row],[ABRIL]]/45-1,0))</f>
        <v>0</v>
      </c>
      <c r="AI219" s="103">
        <f>IF(Tabla1[[#This Row],[TIPO DE CONSUMIDOR]]="MEDIO",IF(Tabla1[[#This Row],[MAYO ]]&gt;22.5,Tabla1[[#This Row],[MAYO ]]/22.5-1,0),IF(Tabla1[[#This Row],[MAYO ]]&gt;45,Tabla1[[#This Row],[MAYO ]]/45-1,0))</f>
        <v>0</v>
      </c>
      <c r="AJ219" s="103">
        <f>IF(Tabla1[[#This Row],[TIPO DE CONSUMIDOR]]="MEDIO",IF(Tabla1[[#This Row],[JUNIO ]]&gt;22.5,Tabla1[[#This Row],[JUNIO ]]/22.5-1,0),IF(Tabla1[[#This Row],[JUNIO ]]&gt;45,Tabla1[[#This Row],[JUNIO ]]/45-1,0))</f>
        <v>0</v>
      </c>
      <c r="AK219" s="103">
        <f>IF(Tabla1[[#This Row],[TIPO DE CONSUMIDOR]]="MEDIO",IF(Tabla1[[#This Row],[JULIO ]]&gt;22.5,Tabla1[[#This Row],[JULIO ]]/22.5-1,0),IF(Tabla1[[#This Row],[JULIO ]]&gt;45,Tabla1[[#This Row],[JULIO ]]/45-1,0))</f>
        <v>0</v>
      </c>
      <c r="AL219" s="103">
        <f>IF(Tabla1[[#This Row],[TIPO DE CONSUMIDOR]]="MEDIO",IF(Tabla1[[#This Row],[AGOSTO]]&gt;22.5,Tabla1[[#This Row],[AGOSTO]]/22.5-1,0),IF(Tabla1[[#This Row],[AGOSTO]]&gt;45,Tabla1[[#This Row],[AGOSTO]]/45-1,0))</f>
        <v>0</v>
      </c>
      <c r="AM21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1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1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1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19" s="104">
        <f t="shared" si="8"/>
        <v>0</v>
      </c>
      <c r="AR219" s="9">
        <f t="shared" si="7"/>
        <v>0</v>
      </c>
      <c r="AS219" s="60">
        <f>IF(Tabla1[[#This Row],[MESES DE ADEUDO DEL AÑO EN CURSO ]]&gt;0,1,0)</f>
        <v>0</v>
      </c>
      <c r="AT219" s="42"/>
      <c r="AU219" s="42"/>
      <c r="AV219" s="42"/>
      <c r="AW219" s="43"/>
    </row>
    <row r="220" spans="1:49" ht="21.75" thickBot="1" x14ac:dyDescent="0.35">
      <c r="A220" s="109">
        <v>214</v>
      </c>
      <c r="B220" s="5" t="s">
        <v>246</v>
      </c>
      <c r="C220" s="2" t="s">
        <v>562</v>
      </c>
      <c r="D220" s="32"/>
      <c r="E220" s="35" t="s">
        <v>455</v>
      </c>
      <c r="F220" s="34">
        <v>45</v>
      </c>
      <c r="G220" s="34">
        <v>45</v>
      </c>
      <c r="H220" s="34">
        <v>45</v>
      </c>
      <c r="I220" s="34">
        <v>45</v>
      </c>
      <c r="J220" s="34">
        <v>45</v>
      </c>
      <c r="K220" s="34">
        <v>45</v>
      </c>
      <c r="L220" s="34">
        <v>45</v>
      </c>
      <c r="M220" s="34">
        <v>45</v>
      </c>
      <c r="N220" s="34">
        <v>45</v>
      </c>
      <c r="O220" s="34">
        <v>45</v>
      </c>
      <c r="P220" s="34">
        <v>45</v>
      </c>
      <c r="Q220" s="34">
        <v>45</v>
      </c>
      <c r="R220" s="24">
        <f>SUM(Tabla1[[#This Row],[ENERO ]:[DICIEMBRE]])</f>
        <v>540</v>
      </c>
      <c r="W220" s="65">
        <v>0</v>
      </c>
      <c r="X220" s="21">
        <f>COUNTIF(Tabla1[[#This Row],[ENERO ]:[DICIEMBRE]],0)-(AQ220)-IF(Tabla1[[#This Row],[BAJAS]]="BAJA",IF(Tabla1[[#This Row],[ALTAS]]="ALTA",VLOOKUP(Tabla1[[#This Row],[MES DE ALTA ]],$AT$6:$AU$17,2,FALSE),12)-VLOOKUP(Tabla1[[#This Row],[MES DE BAJA ]],$AT$6:$AU$17,2,FALSE),0)</f>
        <v>0</v>
      </c>
      <c r="Y220" s="69">
        <f>SUM(Tabla1[[#This Row],[MES ADEUDO DE AÑOS PASADOS ]:[MESES DE ADEUDO DEL AÑO EN CURSO ]])</f>
        <v>0</v>
      </c>
      <c r="Z220" s="15">
        <f>IF(Tabla1[[#This Row],[TIPO DE CONSUMIDOR]]="COMPLETO",W220*$T$2,W220*($T$2/2))</f>
        <v>0</v>
      </c>
      <c r="AA220" s="15">
        <f>IF(Tabla1[[#This Row],[TIPO DE CONSUMIDOR]]="COMPLETO",Tabla1[[#This Row],[MESES DE ADEUDO DEL AÑO EN CURSO ]]*$T$2,Tabla1[[#This Row],[MESES DE ADEUDO DEL AÑO EN CURSO ]]*($T$2/2))</f>
        <v>0</v>
      </c>
      <c r="AB220" s="70">
        <f>SUM(Tabla1[[#This Row],[DEUDA DE LOS MESES PASADOS EN $$]:[DEUDA DEL AÑO 2013 $$ ]])</f>
        <v>0</v>
      </c>
      <c r="AE220" s="103">
        <f>IF(Tabla1[[#This Row],[TIPO DE CONSUMIDOR]]="MEDIO",IF(Tabla1[[#This Row],[ENERO ]]&gt;22.5,Tabla1[[#This Row],[ENERO ]]/22.5-1,0),IF(Tabla1[[#This Row],[ENERO ]]&gt;45,Tabla1[[#This Row],[ENERO ]]/45-1,0))</f>
        <v>0</v>
      </c>
      <c r="AF22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0" s="103">
        <f>IF(Tabla1[[#This Row],[TIPO DE CONSUMIDOR]]="MEDIO",IF(Tabla1[[#This Row],[MARZO]]&gt;22.5,Tabla1[[#This Row],[MARZO]]/22.5-1,0),IF(Tabla1[[#This Row],[MARZO]]&gt;45,Tabla1[[#This Row],[MARZO]]/45-1,0))</f>
        <v>0</v>
      </c>
      <c r="AH220" s="103">
        <f>IF(Tabla1[[#This Row],[TIPO DE CONSUMIDOR]]="MEDIO",IF(Tabla1[[#This Row],[ABRIL]]&gt;22.5,Tabla1[[#This Row],[ABRIL]]/22.5-1,0),IF(Tabla1[[#This Row],[ABRIL]]&gt;45,Tabla1[[#This Row],[ABRIL]]/45-1,0))</f>
        <v>0</v>
      </c>
      <c r="AI220" s="103">
        <f>IF(Tabla1[[#This Row],[TIPO DE CONSUMIDOR]]="MEDIO",IF(Tabla1[[#This Row],[MAYO ]]&gt;22.5,Tabla1[[#This Row],[MAYO ]]/22.5-1,0),IF(Tabla1[[#This Row],[MAYO ]]&gt;45,Tabla1[[#This Row],[MAYO ]]/45-1,0))</f>
        <v>0</v>
      </c>
      <c r="AJ220" s="103">
        <f>IF(Tabla1[[#This Row],[TIPO DE CONSUMIDOR]]="MEDIO",IF(Tabla1[[#This Row],[JUNIO ]]&gt;22.5,Tabla1[[#This Row],[JUNIO ]]/22.5-1,0),IF(Tabla1[[#This Row],[JUNIO ]]&gt;45,Tabla1[[#This Row],[JUNIO ]]/45-1,0))</f>
        <v>0</v>
      </c>
      <c r="AK220" s="103">
        <f>IF(Tabla1[[#This Row],[TIPO DE CONSUMIDOR]]="MEDIO",IF(Tabla1[[#This Row],[JULIO ]]&gt;22.5,Tabla1[[#This Row],[JULIO ]]/22.5-1,0),IF(Tabla1[[#This Row],[JULIO ]]&gt;45,Tabla1[[#This Row],[JULIO ]]/45-1,0))</f>
        <v>0</v>
      </c>
      <c r="AL220" s="103">
        <f>IF(Tabla1[[#This Row],[TIPO DE CONSUMIDOR]]="MEDIO",IF(Tabla1[[#This Row],[AGOSTO]]&gt;22.5,Tabla1[[#This Row],[AGOSTO]]/22.5-1,0),IF(Tabla1[[#This Row],[AGOSTO]]&gt;45,Tabla1[[#This Row],[AGOSTO]]/45-1,0))</f>
        <v>0</v>
      </c>
      <c r="AM22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0" s="104">
        <f t="shared" si="8"/>
        <v>0</v>
      </c>
      <c r="AR220" s="9">
        <f t="shared" si="7"/>
        <v>0</v>
      </c>
      <c r="AS220" s="60">
        <f>IF(Tabla1[[#This Row],[MESES DE ADEUDO DEL AÑO EN CURSO ]]&gt;0,1,0)</f>
        <v>0</v>
      </c>
      <c r="AT220" s="42"/>
      <c r="AU220" s="42"/>
      <c r="AV220" s="42"/>
      <c r="AW220" s="43"/>
    </row>
    <row r="221" spans="1:49" ht="21.75" thickBot="1" x14ac:dyDescent="0.35">
      <c r="A221" s="109">
        <v>215</v>
      </c>
      <c r="B221" s="5" t="s">
        <v>239</v>
      </c>
      <c r="C221" s="2" t="s">
        <v>562</v>
      </c>
      <c r="D221" s="32"/>
      <c r="E221" s="35" t="s">
        <v>455</v>
      </c>
      <c r="F221" s="34">
        <v>45</v>
      </c>
      <c r="G221" s="34">
        <v>45</v>
      </c>
      <c r="H221" s="34">
        <v>45</v>
      </c>
      <c r="I221" s="34">
        <v>45</v>
      </c>
      <c r="J221" s="34">
        <v>45</v>
      </c>
      <c r="K221" s="34">
        <v>45</v>
      </c>
      <c r="L221" s="34">
        <v>45</v>
      </c>
      <c r="M221" s="34">
        <v>45</v>
      </c>
      <c r="N221" s="34">
        <v>45</v>
      </c>
      <c r="O221" s="34">
        <v>45</v>
      </c>
      <c r="P221" s="34">
        <v>45</v>
      </c>
      <c r="Q221" s="34">
        <v>45</v>
      </c>
      <c r="R221" s="58">
        <f>SUM(Tabla1[[#This Row],[ENERO ]:[DICIEMBRE]])</f>
        <v>540</v>
      </c>
      <c r="W221" s="65">
        <v>0</v>
      </c>
      <c r="X221" s="21">
        <f>COUNTIF(Tabla1[[#This Row],[ENERO ]:[DICIEMBRE]],0)-(AQ221)-IF(Tabla1[[#This Row],[BAJAS]]="BAJA",IF(Tabla1[[#This Row],[ALTAS]]="ALTA",VLOOKUP(Tabla1[[#This Row],[MES DE ALTA ]],$AT$6:$AU$17,2,FALSE),12)-VLOOKUP(Tabla1[[#This Row],[MES DE BAJA ]],$AT$6:$AU$17,2,FALSE),0)</f>
        <v>0</v>
      </c>
      <c r="Y221" s="69">
        <f>SUM(Tabla1[[#This Row],[MES ADEUDO DE AÑOS PASADOS ]:[MESES DE ADEUDO DEL AÑO EN CURSO ]])</f>
        <v>0</v>
      </c>
      <c r="Z221" s="15">
        <f>IF(Tabla1[[#This Row],[TIPO DE CONSUMIDOR]]="COMPLETO",W221*$T$2,W221*($T$2/2))</f>
        <v>0</v>
      </c>
      <c r="AA221" s="15">
        <f>IF(Tabla1[[#This Row],[TIPO DE CONSUMIDOR]]="COMPLETO",Tabla1[[#This Row],[MESES DE ADEUDO DEL AÑO EN CURSO ]]*$T$2,Tabla1[[#This Row],[MESES DE ADEUDO DEL AÑO EN CURSO ]]*($T$2/2))</f>
        <v>0</v>
      </c>
      <c r="AB221" s="70">
        <f>SUM(Tabla1[[#This Row],[DEUDA DE LOS MESES PASADOS EN $$]:[DEUDA DEL AÑO 2013 $$ ]])</f>
        <v>0</v>
      </c>
      <c r="AE221" s="103">
        <f>IF(Tabla1[[#This Row],[TIPO DE CONSUMIDOR]]="MEDIO",IF(Tabla1[[#This Row],[ENERO ]]&gt;22.5,Tabla1[[#This Row],[ENERO ]]/22.5-1,0),IF(Tabla1[[#This Row],[ENERO ]]&gt;45,Tabla1[[#This Row],[ENERO ]]/45-1,0))</f>
        <v>0</v>
      </c>
      <c r="AF22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1" s="103">
        <f>IF(Tabla1[[#This Row],[TIPO DE CONSUMIDOR]]="MEDIO",IF(Tabla1[[#This Row],[MARZO]]&gt;22.5,Tabla1[[#This Row],[MARZO]]/22.5-1,0),IF(Tabla1[[#This Row],[MARZO]]&gt;45,Tabla1[[#This Row],[MARZO]]/45-1,0))</f>
        <v>0</v>
      </c>
      <c r="AH221" s="103">
        <f>IF(Tabla1[[#This Row],[TIPO DE CONSUMIDOR]]="MEDIO",IF(Tabla1[[#This Row],[ABRIL]]&gt;22.5,Tabla1[[#This Row],[ABRIL]]/22.5-1,0),IF(Tabla1[[#This Row],[ABRIL]]&gt;45,Tabla1[[#This Row],[ABRIL]]/45-1,0))</f>
        <v>0</v>
      </c>
      <c r="AI221" s="103">
        <f>IF(Tabla1[[#This Row],[TIPO DE CONSUMIDOR]]="MEDIO",IF(Tabla1[[#This Row],[MAYO ]]&gt;22.5,Tabla1[[#This Row],[MAYO ]]/22.5-1,0),IF(Tabla1[[#This Row],[MAYO ]]&gt;45,Tabla1[[#This Row],[MAYO ]]/45-1,0))</f>
        <v>0</v>
      </c>
      <c r="AJ221" s="103">
        <f>IF(Tabla1[[#This Row],[TIPO DE CONSUMIDOR]]="MEDIO",IF(Tabla1[[#This Row],[JUNIO ]]&gt;22.5,Tabla1[[#This Row],[JUNIO ]]/22.5-1,0),IF(Tabla1[[#This Row],[JUNIO ]]&gt;45,Tabla1[[#This Row],[JUNIO ]]/45-1,0))</f>
        <v>0</v>
      </c>
      <c r="AK221" s="103">
        <f>IF(Tabla1[[#This Row],[TIPO DE CONSUMIDOR]]="MEDIO",IF(Tabla1[[#This Row],[JULIO ]]&gt;22.5,Tabla1[[#This Row],[JULIO ]]/22.5-1,0),IF(Tabla1[[#This Row],[JULIO ]]&gt;45,Tabla1[[#This Row],[JULIO ]]/45-1,0))</f>
        <v>0</v>
      </c>
      <c r="AL221" s="103">
        <f>IF(Tabla1[[#This Row],[TIPO DE CONSUMIDOR]]="MEDIO",IF(Tabla1[[#This Row],[AGOSTO]]&gt;22.5,Tabla1[[#This Row],[AGOSTO]]/22.5-1,0),IF(Tabla1[[#This Row],[AGOSTO]]&gt;45,Tabla1[[#This Row],[AGOSTO]]/45-1,0))</f>
        <v>0</v>
      </c>
      <c r="AM22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1" s="104">
        <f t="shared" si="8"/>
        <v>0</v>
      </c>
      <c r="AR221" s="9">
        <f t="shared" si="7"/>
        <v>0</v>
      </c>
      <c r="AS221" s="60">
        <f>IF(Tabla1[[#This Row],[MESES DE ADEUDO DEL AÑO EN CURSO ]]&gt;0,1,0)</f>
        <v>0</v>
      </c>
      <c r="AT221" s="42"/>
      <c r="AU221" s="42"/>
      <c r="AV221" s="42"/>
      <c r="AW221" s="43"/>
    </row>
    <row r="222" spans="1:49" ht="21.75" thickBot="1" x14ac:dyDescent="0.35">
      <c r="A222" s="109">
        <v>216</v>
      </c>
      <c r="B222" s="5" t="s">
        <v>310</v>
      </c>
      <c r="C222" s="2" t="s">
        <v>562</v>
      </c>
      <c r="D222" s="32"/>
      <c r="E222" s="35" t="s">
        <v>455</v>
      </c>
      <c r="F222" s="34">
        <v>45</v>
      </c>
      <c r="G222" s="34">
        <v>45</v>
      </c>
      <c r="H222" s="34">
        <v>45</v>
      </c>
      <c r="I222" s="34">
        <v>45</v>
      </c>
      <c r="J222" s="34">
        <v>45</v>
      </c>
      <c r="K222" s="34">
        <v>45</v>
      </c>
      <c r="L222" s="34">
        <v>45</v>
      </c>
      <c r="M222" s="34">
        <v>45</v>
      </c>
      <c r="N222" s="34">
        <v>45</v>
      </c>
      <c r="O222" s="34">
        <v>45</v>
      </c>
      <c r="P222" s="34">
        <v>45</v>
      </c>
      <c r="Q222" s="34">
        <v>45</v>
      </c>
      <c r="R222" s="24">
        <f>SUM(Tabla1[[#This Row],[ENERO ]:[DICIEMBRE]])</f>
        <v>540</v>
      </c>
      <c r="W222" s="65">
        <v>0</v>
      </c>
      <c r="X222" s="21">
        <f>COUNTIF(Tabla1[[#This Row],[ENERO ]:[DICIEMBRE]],0)-(AQ222)-IF(Tabla1[[#This Row],[BAJAS]]="BAJA",IF(Tabla1[[#This Row],[ALTAS]]="ALTA",VLOOKUP(Tabla1[[#This Row],[MES DE ALTA ]],$AT$6:$AU$17,2,FALSE),12)-VLOOKUP(Tabla1[[#This Row],[MES DE BAJA ]],$AT$6:$AU$17,2,FALSE),0)</f>
        <v>0</v>
      </c>
      <c r="Y222" s="69">
        <f>SUM(Tabla1[[#This Row],[MES ADEUDO DE AÑOS PASADOS ]:[MESES DE ADEUDO DEL AÑO EN CURSO ]])</f>
        <v>0</v>
      </c>
      <c r="Z222" s="15">
        <f>IF(Tabla1[[#This Row],[TIPO DE CONSUMIDOR]]="COMPLETO",W222*$T$2,W222*($T$2/2))</f>
        <v>0</v>
      </c>
      <c r="AA222" s="15">
        <f>IF(Tabla1[[#This Row],[TIPO DE CONSUMIDOR]]="COMPLETO",Tabla1[[#This Row],[MESES DE ADEUDO DEL AÑO EN CURSO ]]*$T$2,Tabla1[[#This Row],[MESES DE ADEUDO DEL AÑO EN CURSO ]]*($T$2/2))</f>
        <v>0</v>
      </c>
      <c r="AB222" s="70">
        <f>SUM(Tabla1[[#This Row],[DEUDA DE LOS MESES PASADOS EN $$]:[DEUDA DEL AÑO 2013 $$ ]])</f>
        <v>0</v>
      </c>
      <c r="AE222" s="103">
        <f>IF(Tabla1[[#This Row],[TIPO DE CONSUMIDOR]]="MEDIO",IF(Tabla1[[#This Row],[ENERO ]]&gt;22.5,Tabla1[[#This Row],[ENERO ]]/22.5-1,0),IF(Tabla1[[#This Row],[ENERO ]]&gt;45,Tabla1[[#This Row],[ENERO ]]/45-1,0))</f>
        <v>0</v>
      </c>
      <c r="AF22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2" s="103">
        <f>IF(Tabla1[[#This Row],[TIPO DE CONSUMIDOR]]="MEDIO",IF(Tabla1[[#This Row],[MARZO]]&gt;22.5,Tabla1[[#This Row],[MARZO]]/22.5-1,0),IF(Tabla1[[#This Row],[MARZO]]&gt;45,Tabla1[[#This Row],[MARZO]]/45-1,0))</f>
        <v>0</v>
      </c>
      <c r="AH222" s="103">
        <f>IF(Tabla1[[#This Row],[TIPO DE CONSUMIDOR]]="MEDIO",IF(Tabla1[[#This Row],[ABRIL]]&gt;22.5,Tabla1[[#This Row],[ABRIL]]/22.5-1,0),IF(Tabla1[[#This Row],[ABRIL]]&gt;45,Tabla1[[#This Row],[ABRIL]]/45-1,0))</f>
        <v>0</v>
      </c>
      <c r="AI222" s="103">
        <f>IF(Tabla1[[#This Row],[TIPO DE CONSUMIDOR]]="MEDIO",IF(Tabla1[[#This Row],[MAYO ]]&gt;22.5,Tabla1[[#This Row],[MAYO ]]/22.5-1,0),IF(Tabla1[[#This Row],[MAYO ]]&gt;45,Tabla1[[#This Row],[MAYO ]]/45-1,0))</f>
        <v>0</v>
      </c>
      <c r="AJ222" s="103">
        <f>IF(Tabla1[[#This Row],[TIPO DE CONSUMIDOR]]="MEDIO",IF(Tabla1[[#This Row],[JUNIO ]]&gt;22.5,Tabla1[[#This Row],[JUNIO ]]/22.5-1,0),IF(Tabla1[[#This Row],[JUNIO ]]&gt;45,Tabla1[[#This Row],[JUNIO ]]/45-1,0))</f>
        <v>0</v>
      </c>
      <c r="AK222" s="103">
        <f>IF(Tabla1[[#This Row],[TIPO DE CONSUMIDOR]]="MEDIO",IF(Tabla1[[#This Row],[JULIO ]]&gt;22.5,Tabla1[[#This Row],[JULIO ]]/22.5-1,0),IF(Tabla1[[#This Row],[JULIO ]]&gt;45,Tabla1[[#This Row],[JULIO ]]/45-1,0))</f>
        <v>0</v>
      </c>
      <c r="AL222" s="103">
        <f>IF(Tabla1[[#This Row],[TIPO DE CONSUMIDOR]]="MEDIO",IF(Tabla1[[#This Row],[AGOSTO]]&gt;22.5,Tabla1[[#This Row],[AGOSTO]]/22.5-1,0),IF(Tabla1[[#This Row],[AGOSTO]]&gt;45,Tabla1[[#This Row],[AGOSTO]]/45-1,0))</f>
        <v>0</v>
      </c>
      <c r="AM22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2" s="104">
        <f t="shared" si="8"/>
        <v>0</v>
      </c>
      <c r="AR222" s="9">
        <f t="shared" si="7"/>
        <v>0</v>
      </c>
      <c r="AS222" s="60">
        <f>IF(Tabla1[[#This Row],[MESES DE ADEUDO DEL AÑO EN CURSO ]]&gt;0,1,0)</f>
        <v>0</v>
      </c>
      <c r="AT222" s="42"/>
      <c r="AU222" s="42"/>
      <c r="AV222" s="42"/>
      <c r="AW222" s="43"/>
    </row>
    <row r="223" spans="1:49" ht="21.75" thickBot="1" x14ac:dyDescent="0.35">
      <c r="A223" s="109">
        <v>217</v>
      </c>
      <c r="B223" s="5" t="s">
        <v>293</v>
      </c>
      <c r="C223" s="2" t="s">
        <v>562</v>
      </c>
      <c r="D223" s="32"/>
      <c r="E223" s="35" t="s">
        <v>455</v>
      </c>
      <c r="F223" s="34">
        <v>45</v>
      </c>
      <c r="G223" s="34">
        <v>45</v>
      </c>
      <c r="H223" s="34">
        <v>45</v>
      </c>
      <c r="I223" s="34">
        <v>45</v>
      </c>
      <c r="J223" s="34">
        <v>45</v>
      </c>
      <c r="K223" s="34">
        <v>45</v>
      </c>
      <c r="L223" s="34">
        <v>45</v>
      </c>
      <c r="M223" s="34">
        <v>45</v>
      </c>
      <c r="N223" s="34">
        <v>45</v>
      </c>
      <c r="O223" s="34">
        <v>45</v>
      </c>
      <c r="P223" s="34">
        <v>45</v>
      </c>
      <c r="Q223" s="34">
        <v>45</v>
      </c>
      <c r="R223" s="24">
        <f>SUM(Tabla1[[#This Row],[ENERO ]:[DICIEMBRE]])</f>
        <v>540</v>
      </c>
      <c r="W223" s="65">
        <v>0</v>
      </c>
      <c r="X223" s="21">
        <f>COUNTIF(Tabla1[[#This Row],[ENERO ]:[DICIEMBRE]],0)-(AQ223)-IF(Tabla1[[#This Row],[BAJAS]]="BAJA",IF(Tabla1[[#This Row],[ALTAS]]="ALTA",VLOOKUP(Tabla1[[#This Row],[MES DE ALTA ]],$AT$6:$AU$17,2,FALSE),12)-VLOOKUP(Tabla1[[#This Row],[MES DE BAJA ]],$AT$6:$AU$17,2,FALSE),0)</f>
        <v>0</v>
      </c>
      <c r="Y223" s="69">
        <f>SUM(Tabla1[[#This Row],[MES ADEUDO DE AÑOS PASADOS ]:[MESES DE ADEUDO DEL AÑO EN CURSO ]])</f>
        <v>0</v>
      </c>
      <c r="Z223" s="15">
        <f>IF(Tabla1[[#This Row],[TIPO DE CONSUMIDOR]]="COMPLETO",W223*$T$2,W223*($T$2/2))</f>
        <v>0</v>
      </c>
      <c r="AA223" s="15">
        <f>IF(Tabla1[[#This Row],[TIPO DE CONSUMIDOR]]="COMPLETO",Tabla1[[#This Row],[MESES DE ADEUDO DEL AÑO EN CURSO ]]*$T$2,Tabla1[[#This Row],[MESES DE ADEUDO DEL AÑO EN CURSO ]]*($T$2/2))</f>
        <v>0</v>
      </c>
      <c r="AB223" s="70">
        <f>SUM(Tabla1[[#This Row],[DEUDA DE LOS MESES PASADOS EN $$]:[DEUDA DEL AÑO 2013 $$ ]])</f>
        <v>0</v>
      </c>
      <c r="AE223" s="103">
        <f>IF(Tabla1[[#This Row],[TIPO DE CONSUMIDOR]]="MEDIO",IF(Tabla1[[#This Row],[ENERO ]]&gt;22.5,Tabla1[[#This Row],[ENERO ]]/22.5-1,0),IF(Tabla1[[#This Row],[ENERO ]]&gt;45,Tabla1[[#This Row],[ENERO ]]/45-1,0))</f>
        <v>0</v>
      </c>
      <c r="AF22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3" s="103">
        <f>IF(Tabla1[[#This Row],[TIPO DE CONSUMIDOR]]="MEDIO",IF(Tabla1[[#This Row],[MARZO]]&gt;22.5,Tabla1[[#This Row],[MARZO]]/22.5-1,0),IF(Tabla1[[#This Row],[MARZO]]&gt;45,Tabla1[[#This Row],[MARZO]]/45-1,0))</f>
        <v>0</v>
      </c>
      <c r="AH223" s="103">
        <f>IF(Tabla1[[#This Row],[TIPO DE CONSUMIDOR]]="MEDIO",IF(Tabla1[[#This Row],[ABRIL]]&gt;22.5,Tabla1[[#This Row],[ABRIL]]/22.5-1,0),IF(Tabla1[[#This Row],[ABRIL]]&gt;45,Tabla1[[#This Row],[ABRIL]]/45-1,0))</f>
        <v>0</v>
      </c>
      <c r="AI223" s="103">
        <f>IF(Tabla1[[#This Row],[TIPO DE CONSUMIDOR]]="MEDIO",IF(Tabla1[[#This Row],[MAYO ]]&gt;22.5,Tabla1[[#This Row],[MAYO ]]/22.5-1,0),IF(Tabla1[[#This Row],[MAYO ]]&gt;45,Tabla1[[#This Row],[MAYO ]]/45-1,0))</f>
        <v>0</v>
      </c>
      <c r="AJ223" s="103">
        <f>IF(Tabla1[[#This Row],[TIPO DE CONSUMIDOR]]="MEDIO",IF(Tabla1[[#This Row],[JUNIO ]]&gt;22.5,Tabla1[[#This Row],[JUNIO ]]/22.5-1,0),IF(Tabla1[[#This Row],[JUNIO ]]&gt;45,Tabla1[[#This Row],[JUNIO ]]/45-1,0))</f>
        <v>0</v>
      </c>
      <c r="AK223" s="103">
        <f>IF(Tabla1[[#This Row],[TIPO DE CONSUMIDOR]]="MEDIO",IF(Tabla1[[#This Row],[JULIO ]]&gt;22.5,Tabla1[[#This Row],[JULIO ]]/22.5-1,0),IF(Tabla1[[#This Row],[JULIO ]]&gt;45,Tabla1[[#This Row],[JULIO ]]/45-1,0))</f>
        <v>0</v>
      </c>
      <c r="AL223" s="103">
        <f>IF(Tabla1[[#This Row],[TIPO DE CONSUMIDOR]]="MEDIO",IF(Tabla1[[#This Row],[AGOSTO]]&gt;22.5,Tabla1[[#This Row],[AGOSTO]]/22.5-1,0),IF(Tabla1[[#This Row],[AGOSTO]]&gt;45,Tabla1[[#This Row],[AGOSTO]]/45-1,0))</f>
        <v>0</v>
      </c>
      <c r="AM22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3" s="104">
        <f t="shared" si="8"/>
        <v>0</v>
      </c>
      <c r="AR223" s="9">
        <f t="shared" si="7"/>
        <v>0</v>
      </c>
      <c r="AS223" s="60">
        <f>IF(Tabla1[[#This Row],[MESES DE ADEUDO DEL AÑO EN CURSO ]]&gt;0,1,0)</f>
        <v>0</v>
      </c>
      <c r="AT223" s="42"/>
      <c r="AU223" s="42"/>
      <c r="AV223" s="42"/>
      <c r="AW223" s="43"/>
    </row>
    <row r="224" spans="1:49" ht="21.75" thickBot="1" x14ac:dyDescent="0.35">
      <c r="A224" s="109">
        <v>218</v>
      </c>
      <c r="B224" s="5" t="s">
        <v>321</v>
      </c>
      <c r="C224" s="2" t="s">
        <v>562</v>
      </c>
      <c r="D224" s="32"/>
      <c r="E224" s="35" t="s">
        <v>455</v>
      </c>
      <c r="F224" s="34">
        <v>45</v>
      </c>
      <c r="G224" s="34">
        <v>45</v>
      </c>
      <c r="H224" s="34">
        <v>45</v>
      </c>
      <c r="I224" s="34">
        <v>45</v>
      </c>
      <c r="J224" s="34">
        <v>45</v>
      </c>
      <c r="K224" s="34">
        <v>45</v>
      </c>
      <c r="L224" s="34">
        <v>45</v>
      </c>
      <c r="M224" s="34">
        <v>45</v>
      </c>
      <c r="N224" s="34">
        <v>45</v>
      </c>
      <c r="O224" s="34">
        <v>45</v>
      </c>
      <c r="P224" s="34">
        <v>45</v>
      </c>
      <c r="Q224" s="34">
        <v>45</v>
      </c>
      <c r="R224" s="24">
        <f>SUM(Tabla1[[#This Row],[ENERO ]:[DICIEMBRE]])</f>
        <v>540</v>
      </c>
      <c r="W224" s="65">
        <v>0</v>
      </c>
      <c r="X224" s="21">
        <f>COUNTIF(Tabla1[[#This Row],[ENERO ]:[DICIEMBRE]],0)-(AQ224)-IF(Tabla1[[#This Row],[BAJAS]]="BAJA",IF(Tabla1[[#This Row],[ALTAS]]="ALTA",VLOOKUP(Tabla1[[#This Row],[MES DE ALTA ]],$AT$6:$AU$17,2,FALSE),12)-VLOOKUP(Tabla1[[#This Row],[MES DE BAJA ]],$AT$6:$AU$17,2,FALSE),0)</f>
        <v>0</v>
      </c>
      <c r="Y224" s="69">
        <f>SUM(Tabla1[[#This Row],[MES ADEUDO DE AÑOS PASADOS ]:[MESES DE ADEUDO DEL AÑO EN CURSO ]])</f>
        <v>0</v>
      </c>
      <c r="Z224" s="15">
        <f>IF(Tabla1[[#This Row],[TIPO DE CONSUMIDOR]]="COMPLETO",W224*$T$2,W224*($T$2/2))</f>
        <v>0</v>
      </c>
      <c r="AA224" s="15">
        <f>IF(Tabla1[[#This Row],[TIPO DE CONSUMIDOR]]="COMPLETO",Tabla1[[#This Row],[MESES DE ADEUDO DEL AÑO EN CURSO ]]*$T$2,Tabla1[[#This Row],[MESES DE ADEUDO DEL AÑO EN CURSO ]]*($T$2/2))</f>
        <v>0</v>
      </c>
      <c r="AB224" s="70">
        <f>SUM(Tabla1[[#This Row],[DEUDA DE LOS MESES PASADOS EN $$]:[DEUDA DEL AÑO 2013 $$ ]])</f>
        <v>0</v>
      </c>
      <c r="AE224" s="103">
        <f>IF(Tabla1[[#This Row],[TIPO DE CONSUMIDOR]]="MEDIO",IF(Tabla1[[#This Row],[ENERO ]]&gt;22.5,Tabla1[[#This Row],[ENERO ]]/22.5-1,0),IF(Tabla1[[#This Row],[ENERO ]]&gt;45,Tabla1[[#This Row],[ENERO ]]/45-1,0))</f>
        <v>0</v>
      </c>
      <c r="AF22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4" s="103">
        <f>IF(Tabla1[[#This Row],[TIPO DE CONSUMIDOR]]="MEDIO",IF(Tabla1[[#This Row],[MARZO]]&gt;22.5,Tabla1[[#This Row],[MARZO]]/22.5-1,0),IF(Tabla1[[#This Row],[MARZO]]&gt;45,Tabla1[[#This Row],[MARZO]]/45-1,0))</f>
        <v>0</v>
      </c>
      <c r="AH224" s="103">
        <f>IF(Tabla1[[#This Row],[TIPO DE CONSUMIDOR]]="MEDIO",IF(Tabla1[[#This Row],[ABRIL]]&gt;22.5,Tabla1[[#This Row],[ABRIL]]/22.5-1,0),IF(Tabla1[[#This Row],[ABRIL]]&gt;45,Tabla1[[#This Row],[ABRIL]]/45-1,0))</f>
        <v>0</v>
      </c>
      <c r="AI224" s="103">
        <f>IF(Tabla1[[#This Row],[TIPO DE CONSUMIDOR]]="MEDIO",IF(Tabla1[[#This Row],[MAYO ]]&gt;22.5,Tabla1[[#This Row],[MAYO ]]/22.5-1,0),IF(Tabla1[[#This Row],[MAYO ]]&gt;45,Tabla1[[#This Row],[MAYO ]]/45-1,0))</f>
        <v>0</v>
      </c>
      <c r="AJ224" s="103">
        <f>IF(Tabla1[[#This Row],[TIPO DE CONSUMIDOR]]="MEDIO",IF(Tabla1[[#This Row],[JUNIO ]]&gt;22.5,Tabla1[[#This Row],[JUNIO ]]/22.5-1,0),IF(Tabla1[[#This Row],[JUNIO ]]&gt;45,Tabla1[[#This Row],[JUNIO ]]/45-1,0))</f>
        <v>0</v>
      </c>
      <c r="AK224" s="103">
        <f>IF(Tabla1[[#This Row],[TIPO DE CONSUMIDOR]]="MEDIO",IF(Tabla1[[#This Row],[JULIO ]]&gt;22.5,Tabla1[[#This Row],[JULIO ]]/22.5-1,0),IF(Tabla1[[#This Row],[JULIO ]]&gt;45,Tabla1[[#This Row],[JULIO ]]/45-1,0))</f>
        <v>0</v>
      </c>
      <c r="AL224" s="103">
        <f>IF(Tabla1[[#This Row],[TIPO DE CONSUMIDOR]]="MEDIO",IF(Tabla1[[#This Row],[AGOSTO]]&gt;22.5,Tabla1[[#This Row],[AGOSTO]]/22.5-1,0),IF(Tabla1[[#This Row],[AGOSTO]]&gt;45,Tabla1[[#This Row],[AGOSTO]]/45-1,0))</f>
        <v>0</v>
      </c>
      <c r="AM22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4" s="104">
        <f t="shared" si="8"/>
        <v>0</v>
      </c>
      <c r="AR224" s="9">
        <f t="shared" si="7"/>
        <v>0</v>
      </c>
      <c r="AS224" s="60">
        <f>IF(Tabla1[[#This Row],[MESES DE ADEUDO DEL AÑO EN CURSO ]]&gt;0,1,0)</f>
        <v>0</v>
      </c>
      <c r="AT224" s="42"/>
      <c r="AU224" s="42"/>
      <c r="AV224" s="42"/>
      <c r="AW224" s="43"/>
    </row>
    <row r="225" spans="1:49" ht="21.75" thickBot="1" x14ac:dyDescent="0.35">
      <c r="A225" s="109">
        <v>219</v>
      </c>
      <c r="B225" s="5" t="s">
        <v>618</v>
      </c>
      <c r="C225" s="2" t="s">
        <v>562</v>
      </c>
      <c r="D225" s="32"/>
      <c r="E225" s="35" t="s">
        <v>455</v>
      </c>
      <c r="F225" s="34">
        <v>45</v>
      </c>
      <c r="G225" s="34">
        <v>45</v>
      </c>
      <c r="H225" s="34">
        <v>45</v>
      </c>
      <c r="I225" s="34">
        <v>45</v>
      </c>
      <c r="J225" s="34">
        <v>45</v>
      </c>
      <c r="K225" s="34">
        <v>45</v>
      </c>
      <c r="L225" s="34">
        <v>45</v>
      </c>
      <c r="M225" s="34">
        <v>45</v>
      </c>
      <c r="N225" s="34">
        <v>45</v>
      </c>
      <c r="O225" s="34">
        <v>45</v>
      </c>
      <c r="P225" s="34">
        <v>45</v>
      </c>
      <c r="Q225" s="34">
        <v>45</v>
      </c>
      <c r="R225" s="24">
        <f>SUM(Tabla1[[#This Row],[ENERO ]:[DICIEMBRE]])</f>
        <v>540</v>
      </c>
      <c r="W225" s="65">
        <v>0</v>
      </c>
      <c r="X225" s="21">
        <f>COUNTIF(Tabla1[[#This Row],[ENERO ]:[DICIEMBRE]],0)-(AQ225)-IF(Tabla1[[#This Row],[BAJAS]]="BAJA",IF(Tabla1[[#This Row],[ALTAS]]="ALTA",VLOOKUP(Tabla1[[#This Row],[MES DE ALTA ]],$AT$6:$AU$17,2,FALSE),12)-VLOOKUP(Tabla1[[#This Row],[MES DE BAJA ]],$AT$6:$AU$17,2,FALSE),0)</f>
        <v>0</v>
      </c>
      <c r="Y225" s="69">
        <f>SUM(Tabla1[[#This Row],[MES ADEUDO DE AÑOS PASADOS ]:[MESES DE ADEUDO DEL AÑO EN CURSO ]])</f>
        <v>0</v>
      </c>
      <c r="Z225" s="15">
        <f>IF(Tabla1[[#This Row],[TIPO DE CONSUMIDOR]]="COMPLETO",W225*$T$2,W225*($T$2/2))</f>
        <v>0</v>
      </c>
      <c r="AA225" s="15">
        <f>IF(Tabla1[[#This Row],[TIPO DE CONSUMIDOR]]="COMPLETO",Tabla1[[#This Row],[MESES DE ADEUDO DEL AÑO EN CURSO ]]*$T$2,Tabla1[[#This Row],[MESES DE ADEUDO DEL AÑO EN CURSO ]]*($T$2/2))</f>
        <v>0</v>
      </c>
      <c r="AB225" s="70">
        <f>SUM(Tabla1[[#This Row],[DEUDA DE LOS MESES PASADOS EN $$]:[DEUDA DEL AÑO 2013 $$ ]])</f>
        <v>0</v>
      </c>
      <c r="AE225" s="103">
        <f>IF(Tabla1[[#This Row],[TIPO DE CONSUMIDOR]]="MEDIO",IF(Tabla1[[#This Row],[ENERO ]]&gt;22.5,Tabla1[[#This Row],[ENERO ]]/22.5-1,0),IF(Tabla1[[#This Row],[ENERO ]]&gt;45,Tabla1[[#This Row],[ENERO ]]/45-1,0))</f>
        <v>0</v>
      </c>
      <c r="AF22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5" s="103">
        <f>IF(Tabla1[[#This Row],[TIPO DE CONSUMIDOR]]="MEDIO",IF(Tabla1[[#This Row],[MARZO]]&gt;22.5,Tabla1[[#This Row],[MARZO]]/22.5-1,0),IF(Tabla1[[#This Row],[MARZO]]&gt;45,Tabla1[[#This Row],[MARZO]]/45-1,0))</f>
        <v>0</v>
      </c>
      <c r="AH225" s="103">
        <f>IF(Tabla1[[#This Row],[TIPO DE CONSUMIDOR]]="MEDIO",IF(Tabla1[[#This Row],[ABRIL]]&gt;22.5,Tabla1[[#This Row],[ABRIL]]/22.5-1,0),IF(Tabla1[[#This Row],[ABRIL]]&gt;45,Tabla1[[#This Row],[ABRIL]]/45-1,0))</f>
        <v>0</v>
      </c>
      <c r="AI225" s="103">
        <f>IF(Tabla1[[#This Row],[TIPO DE CONSUMIDOR]]="MEDIO",IF(Tabla1[[#This Row],[MAYO ]]&gt;22.5,Tabla1[[#This Row],[MAYO ]]/22.5-1,0),IF(Tabla1[[#This Row],[MAYO ]]&gt;45,Tabla1[[#This Row],[MAYO ]]/45-1,0))</f>
        <v>0</v>
      </c>
      <c r="AJ225" s="103">
        <f>IF(Tabla1[[#This Row],[TIPO DE CONSUMIDOR]]="MEDIO",IF(Tabla1[[#This Row],[JUNIO ]]&gt;22.5,Tabla1[[#This Row],[JUNIO ]]/22.5-1,0),IF(Tabla1[[#This Row],[JUNIO ]]&gt;45,Tabla1[[#This Row],[JUNIO ]]/45-1,0))</f>
        <v>0</v>
      </c>
      <c r="AK225" s="103">
        <f>IF(Tabla1[[#This Row],[TIPO DE CONSUMIDOR]]="MEDIO",IF(Tabla1[[#This Row],[JULIO ]]&gt;22.5,Tabla1[[#This Row],[JULIO ]]/22.5-1,0),IF(Tabla1[[#This Row],[JULIO ]]&gt;45,Tabla1[[#This Row],[JULIO ]]/45-1,0))</f>
        <v>0</v>
      </c>
      <c r="AL225" s="103">
        <f>IF(Tabla1[[#This Row],[TIPO DE CONSUMIDOR]]="MEDIO",IF(Tabla1[[#This Row],[AGOSTO]]&gt;22.5,Tabla1[[#This Row],[AGOSTO]]/22.5-1,0),IF(Tabla1[[#This Row],[AGOSTO]]&gt;45,Tabla1[[#This Row],[AGOSTO]]/45-1,0))</f>
        <v>0</v>
      </c>
      <c r="AM22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5" s="104">
        <f t="shared" si="8"/>
        <v>0</v>
      </c>
      <c r="AR225" s="9">
        <f t="shared" si="7"/>
        <v>0</v>
      </c>
      <c r="AS225" s="60">
        <f>IF(Tabla1[[#This Row],[MESES DE ADEUDO DEL AÑO EN CURSO ]]&gt;0,1,0)</f>
        <v>0</v>
      </c>
      <c r="AT225" s="42"/>
      <c r="AU225" s="42"/>
      <c r="AV225" s="42"/>
      <c r="AW225" s="43"/>
    </row>
    <row r="226" spans="1:49" ht="21.75" thickBot="1" x14ac:dyDescent="0.35">
      <c r="A226" s="109">
        <v>220</v>
      </c>
      <c r="B226" s="5" t="s">
        <v>378</v>
      </c>
      <c r="C226" s="2" t="s">
        <v>562</v>
      </c>
      <c r="D226" s="32"/>
      <c r="E226" s="35" t="s">
        <v>455</v>
      </c>
      <c r="F226" s="34">
        <v>45</v>
      </c>
      <c r="G226" s="34">
        <v>45</v>
      </c>
      <c r="H226" s="34">
        <v>45</v>
      </c>
      <c r="I226" s="34">
        <v>45</v>
      </c>
      <c r="J226" s="34">
        <v>45</v>
      </c>
      <c r="K226" s="34">
        <v>45</v>
      </c>
      <c r="L226" s="34">
        <v>45</v>
      </c>
      <c r="M226" s="34">
        <v>45</v>
      </c>
      <c r="N226" s="34">
        <v>45</v>
      </c>
      <c r="O226" s="34">
        <v>45</v>
      </c>
      <c r="P226" s="34">
        <v>45</v>
      </c>
      <c r="Q226" s="34">
        <v>45</v>
      </c>
      <c r="R226" s="24">
        <f>SUM(Tabla1[[#This Row],[ENERO ]:[DICIEMBRE]])</f>
        <v>540</v>
      </c>
      <c r="W226" s="65">
        <v>0</v>
      </c>
      <c r="X226" s="21">
        <f>COUNTIF(Tabla1[[#This Row],[ENERO ]:[DICIEMBRE]],0)-(AQ226)-IF(Tabla1[[#This Row],[BAJAS]]="BAJA",IF(Tabla1[[#This Row],[ALTAS]]="ALTA",VLOOKUP(Tabla1[[#This Row],[MES DE ALTA ]],$AT$6:$AU$17,2,FALSE),12)-VLOOKUP(Tabla1[[#This Row],[MES DE BAJA ]],$AT$6:$AU$17,2,FALSE),0)</f>
        <v>0</v>
      </c>
      <c r="Y226" s="69">
        <f>SUM(Tabla1[[#This Row],[MES ADEUDO DE AÑOS PASADOS ]:[MESES DE ADEUDO DEL AÑO EN CURSO ]])</f>
        <v>0</v>
      </c>
      <c r="Z226" s="15">
        <f>IF(Tabla1[[#This Row],[TIPO DE CONSUMIDOR]]="COMPLETO",W226*$T$2,W226*($T$2/2))</f>
        <v>0</v>
      </c>
      <c r="AA226" s="15">
        <f>IF(Tabla1[[#This Row],[TIPO DE CONSUMIDOR]]="COMPLETO",Tabla1[[#This Row],[MESES DE ADEUDO DEL AÑO EN CURSO ]]*$T$2,Tabla1[[#This Row],[MESES DE ADEUDO DEL AÑO EN CURSO ]]*($T$2/2))</f>
        <v>0</v>
      </c>
      <c r="AB226" s="70">
        <f>SUM(Tabla1[[#This Row],[DEUDA DE LOS MESES PASADOS EN $$]:[DEUDA DEL AÑO 2013 $$ ]])</f>
        <v>0</v>
      </c>
      <c r="AE226" s="103">
        <f>IF(Tabla1[[#This Row],[TIPO DE CONSUMIDOR]]="MEDIO",IF(Tabla1[[#This Row],[ENERO ]]&gt;22.5,Tabla1[[#This Row],[ENERO ]]/22.5-1,0),IF(Tabla1[[#This Row],[ENERO ]]&gt;45,Tabla1[[#This Row],[ENERO ]]/45-1,0))</f>
        <v>0</v>
      </c>
      <c r="AF22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6" s="103">
        <f>IF(Tabla1[[#This Row],[TIPO DE CONSUMIDOR]]="MEDIO",IF(Tabla1[[#This Row],[MARZO]]&gt;22.5,Tabla1[[#This Row],[MARZO]]/22.5-1,0),IF(Tabla1[[#This Row],[MARZO]]&gt;45,Tabla1[[#This Row],[MARZO]]/45-1,0))</f>
        <v>0</v>
      </c>
      <c r="AH226" s="103">
        <f>IF(Tabla1[[#This Row],[TIPO DE CONSUMIDOR]]="MEDIO",IF(Tabla1[[#This Row],[ABRIL]]&gt;22.5,Tabla1[[#This Row],[ABRIL]]/22.5-1,0),IF(Tabla1[[#This Row],[ABRIL]]&gt;45,Tabla1[[#This Row],[ABRIL]]/45-1,0))</f>
        <v>0</v>
      </c>
      <c r="AI226" s="103">
        <f>IF(Tabla1[[#This Row],[TIPO DE CONSUMIDOR]]="MEDIO",IF(Tabla1[[#This Row],[MAYO ]]&gt;22.5,Tabla1[[#This Row],[MAYO ]]/22.5-1,0),IF(Tabla1[[#This Row],[MAYO ]]&gt;45,Tabla1[[#This Row],[MAYO ]]/45-1,0))</f>
        <v>0</v>
      </c>
      <c r="AJ226" s="103">
        <f>IF(Tabla1[[#This Row],[TIPO DE CONSUMIDOR]]="MEDIO",IF(Tabla1[[#This Row],[JUNIO ]]&gt;22.5,Tabla1[[#This Row],[JUNIO ]]/22.5-1,0),IF(Tabla1[[#This Row],[JUNIO ]]&gt;45,Tabla1[[#This Row],[JUNIO ]]/45-1,0))</f>
        <v>0</v>
      </c>
      <c r="AK226" s="103">
        <f>IF(Tabla1[[#This Row],[TIPO DE CONSUMIDOR]]="MEDIO",IF(Tabla1[[#This Row],[JULIO ]]&gt;22.5,Tabla1[[#This Row],[JULIO ]]/22.5-1,0),IF(Tabla1[[#This Row],[JULIO ]]&gt;45,Tabla1[[#This Row],[JULIO ]]/45-1,0))</f>
        <v>0</v>
      </c>
      <c r="AL226" s="103">
        <f>IF(Tabla1[[#This Row],[TIPO DE CONSUMIDOR]]="MEDIO",IF(Tabla1[[#This Row],[AGOSTO]]&gt;22.5,Tabla1[[#This Row],[AGOSTO]]/22.5-1,0),IF(Tabla1[[#This Row],[AGOSTO]]&gt;45,Tabla1[[#This Row],[AGOSTO]]/45-1,0))</f>
        <v>0</v>
      </c>
      <c r="AM22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6" s="104">
        <f t="shared" si="8"/>
        <v>0</v>
      </c>
      <c r="AR226" s="9">
        <f t="shared" si="7"/>
        <v>0</v>
      </c>
      <c r="AS226" s="60">
        <f>IF(Tabla1[[#This Row],[MESES DE ADEUDO DEL AÑO EN CURSO ]]&gt;0,1,0)</f>
        <v>0</v>
      </c>
      <c r="AT226" s="42"/>
      <c r="AU226" s="42"/>
      <c r="AV226" s="42"/>
      <c r="AW226" s="43"/>
    </row>
    <row r="227" spans="1:49" ht="21.75" thickBot="1" x14ac:dyDescent="0.35">
      <c r="A227" s="109">
        <v>221</v>
      </c>
      <c r="B227" s="5" t="s">
        <v>376</v>
      </c>
      <c r="C227" s="2" t="s">
        <v>562</v>
      </c>
      <c r="D227" s="32"/>
      <c r="E227" s="35" t="s">
        <v>455</v>
      </c>
      <c r="F227" s="34">
        <v>45</v>
      </c>
      <c r="G227" s="34">
        <v>45</v>
      </c>
      <c r="H227" s="34">
        <v>45</v>
      </c>
      <c r="I227" s="34">
        <v>45</v>
      </c>
      <c r="J227" s="34">
        <v>45</v>
      </c>
      <c r="K227" s="34">
        <v>45</v>
      </c>
      <c r="L227" s="34">
        <v>45</v>
      </c>
      <c r="M227" s="34">
        <v>45</v>
      </c>
      <c r="N227" s="34">
        <v>45</v>
      </c>
      <c r="O227" s="34">
        <v>45</v>
      </c>
      <c r="P227" s="34">
        <v>45</v>
      </c>
      <c r="Q227" s="34">
        <v>45</v>
      </c>
      <c r="R227" s="24">
        <f>SUM(Tabla1[[#This Row],[ENERO ]:[DICIEMBRE]])</f>
        <v>540</v>
      </c>
      <c r="W227" s="65">
        <v>0</v>
      </c>
      <c r="X227" s="21">
        <f>COUNTIF(Tabla1[[#This Row],[ENERO ]:[DICIEMBRE]],0)-(AQ227)-IF(Tabla1[[#This Row],[BAJAS]]="BAJA",IF(Tabla1[[#This Row],[ALTAS]]="ALTA",VLOOKUP(Tabla1[[#This Row],[MES DE ALTA ]],$AT$6:$AU$17,2,FALSE),12)-VLOOKUP(Tabla1[[#This Row],[MES DE BAJA ]],$AT$6:$AU$17,2,FALSE),0)</f>
        <v>0</v>
      </c>
      <c r="Y227" s="69">
        <f>SUM(Tabla1[[#This Row],[MES ADEUDO DE AÑOS PASADOS ]:[MESES DE ADEUDO DEL AÑO EN CURSO ]])</f>
        <v>0</v>
      </c>
      <c r="Z227" s="15">
        <f>IF(Tabla1[[#This Row],[TIPO DE CONSUMIDOR]]="COMPLETO",W227*$T$2,W227*($T$2/2))</f>
        <v>0</v>
      </c>
      <c r="AA227" s="15">
        <f>IF(Tabla1[[#This Row],[TIPO DE CONSUMIDOR]]="COMPLETO",Tabla1[[#This Row],[MESES DE ADEUDO DEL AÑO EN CURSO ]]*$T$2,Tabla1[[#This Row],[MESES DE ADEUDO DEL AÑO EN CURSO ]]*($T$2/2))</f>
        <v>0</v>
      </c>
      <c r="AB227" s="70">
        <f>SUM(Tabla1[[#This Row],[DEUDA DE LOS MESES PASADOS EN $$]:[DEUDA DEL AÑO 2013 $$ ]])</f>
        <v>0</v>
      </c>
      <c r="AE227" s="103">
        <f>IF(Tabla1[[#This Row],[TIPO DE CONSUMIDOR]]="MEDIO",IF(Tabla1[[#This Row],[ENERO ]]&gt;22.5,Tabla1[[#This Row],[ENERO ]]/22.5-1,0),IF(Tabla1[[#This Row],[ENERO ]]&gt;45,Tabla1[[#This Row],[ENERO ]]/45-1,0))</f>
        <v>0</v>
      </c>
      <c r="AF22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7" s="103">
        <f>IF(Tabla1[[#This Row],[TIPO DE CONSUMIDOR]]="MEDIO",IF(Tabla1[[#This Row],[MARZO]]&gt;22.5,Tabla1[[#This Row],[MARZO]]/22.5-1,0),IF(Tabla1[[#This Row],[MARZO]]&gt;45,Tabla1[[#This Row],[MARZO]]/45-1,0))</f>
        <v>0</v>
      </c>
      <c r="AH227" s="103">
        <f>IF(Tabla1[[#This Row],[TIPO DE CONSUMIDOR]]="MEDIO",IF(Tabla1[[#This Row],[ABRIL]]&gt;22.5,Tabla1[[#This Row],[ABRIL]]/22.5-1,0),IF(Tabla1[[#This Row],[ABRIL]]&gt;45,Tabla1[[#This Row],[ABRIL]]/45-1,0))</f>
        <v>0</v>
      </c>
      <c r="AI227" s="103">
        <f>IF(Tabla1[[#This Row],[TIPO DE CONSUMIDOR]]="MEDIO",IF(Tabla1[[#This Row],[MAYO ]]&gt;22.5,Tabla1[[#This Row],[MAYO ]]/22.5-1,0),IF(Tabla1[[#This Row],[MAYO ]]&gt;45,Tabla1[[#This Row],[MAYO ]]/45-1,0))</f>
        <v>0</v>
      </c>
      <c r="AJ227" s="103">
        <f>IF(Tabla1[[#This Row],[TIPO DE CONSUMIDOR]]="MEDIO",IF(Tabla1[[#This Row],[JUNIO ]]&gt;22.5,Tabla1[[#This Row],[JUNIO ]]/22.5-1,0),IF(Tabla1[[#This Row],[JUNIO ]]&gt;45,Tabla1[[#This Row],[JUNIO ]]/45-1,0))</f>
        <v>0</v>
      </c>
      <c r="AK227" s="103">
        <f>IF(Tabla1[[#This Row],[TIPO DE CONSUMIDOR]]="MEDIO",IF(Tabla1[[#This Row],[JULIO ]]&gt;22.5,Tabla1[[#This Row],[JULIO ]]/22.5-1,0),IF(Tabla1[[#This Row],[JULIO ]]&gt;45,Tabla1[[#This Row],[JULIO ]]/45-1,0))</f>
        <v>0</v>
      </c>
      <c r="AL227" s="103">
        <f>IF(Tabla1[[#This Row],[TIPO DE CONSUMIDOR]]="MEDIO",IF(Tabla1[[#This Row],[AGOSTO]]&gt;22.5,Tabla1[[#This Row],[AGOSTO]]/22.5-1,0),IF(Tabla1[[#This Row],[AGOSTO]]&gt;45,Tabla1[[#This Row],[AGOSTO]]/45-1,0))</f>
        <v>0</v>
      </c>
      <c r="AM22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7" s="104">
        <f t="shared" si="8"/>
        <v>0</v>
      </c>
      <c r="AR227" s="9">
        <f t="shared" si="7"/>
        <v>0</v>
      </c>
      <c r="AS227" s="60">
        <f>IF(Tabla1[[#This Row],[MESES DE ADEUDO DEL AÑO EN CURSO ]]&gt;0,1,0)</f>
        <v>0</v>
      </c>
      <c r="AT227" s="42"/>
      <c r="AU227" s="42"/>
      <c r="AV227" s="42"/>
      <c r="AW227" s="43"/>
    </row>
    <row r="228" spans="1:49" ht="21.75" thickBot="1" x14ac:dyDescent="0.35">
      <c r="A228" s="109">
        <v>222</v>
      </c>
      <c r="B228" s="5" t="s">
        <v>397</v>
      </c>
      <c r="C228" s="2" t="s">
        <v>562</v>
      </c>
      <c r="D228" s="32"/>
      <c r="E228" s="35" t="s">
        <v>455</v>
      </c>
      <c r="F228" s="34">
        <v>45</v>
      </c>
      <c r="G228" s="34">
        <v>45</v>
      </c>
      <c r="H228" s="34">
        <v>45</v>
      </c>
      <c r="I228" s="34">
        <v>45</v>
      </c>
      <c r="J228" s="34">
        <v>45</v>
      </c>
      <c r="K228" s="34">
        <v>45</v>
      </c>
      <c r="L228" s="34">
        <v>45</v>
      </c>
      <c r="M228" s="34">
        <v>45</v>
      </c>
      <c r="N228" s="34">
        <v>45</v>
      </c>
      <c r="O228" s="34">
        <v>45</v>
      </c>
      <c r="P228" s="34">
        <v>45</v>
      </c>
      <c r="Q228" s="34">
        <v>45</v>
      </c>
      <c r="R228" s="24">
        <f>SUM(Tabla1[[#This Row],[ENERO ]:[DICIEMBRE]])</f>
        <v>540</v>
      </c>
      <c r="W228" s="65">
        <v>0</v>
      </c>
      <c r="X228" s="21">
        <f>COUNTIF(Tabla1[[#This Row],[ENERO ]:[DICIEMBRE]],0)-(AQ228)-IF(Tabla1[[#This Row],[BAJAS]]="BAJA",IF(Tabla1[[#This Row],[ALTAS]]="ALTA",VLOOKUP(Tabla1[[#This Row],[MES DE ALTA ]],$AT$6:$AU$17,2,FALSE),12)-VLOOKUP(Tabla1[[#This Row],[MES DE BAJA ]],$AT$6:$AU$17,2,FALSE),0)</f>
        <v>0</v>
      </c>
      <c r="Y228" s="69">
        <f>SUM(Tabla1[[#This Row],[MES ADEUDO DE AÑOS PASADOS ]:[MESES DE ADEUDO DEL AÑO EN CURSO ]])</f>
        <v>0</v>
      </c>
      <c r="Z228" s="15">
        <f>IF(Tabla1[[#This Row],[TIPO DE CONSUMIDOR]]="COMPLETO",W228*$T$2,W228*($T$2/2))</f>
        <v>0</v>
      </c>
      <c r="AA228" s="15">
        <f>IF(Tabla1[[#This Row],[TIPO DE CONSUMIDOR]]="COMPLETO",Tabla1[[#This Row],[MESES DE ADEUDO DEL AÑO EN CURSO ]]*$T$2,Tabla1[[#This Row],[MESES DE ADEUDO DEL AÑO EN CURSO ]]*($T$2/2))</f>
        <v>0</v>
      </c>
      <c r="AB228" s="70">
        <f>SUM(Tabla1[[#This Row],[DEUDA DE LOS MESES PASADOS EN $$]:[DEUDA DEL AÑO 2013 $$ ]])</f>
        <v>0</v>
      </c>
      <c r="AE228" s="103">
        <f>IF(Tabla1[[#This Row],[TIPO DE CONSUMIDOR]]="MEDIO",IF(Tabla1[[#This Row],[ENERO ]]&gt;22.5,Tabla1[[#This Row],[ENERO ]]/22.5-1,0),IF(Tabla1[[#This Row],[ENERO ]]&gt;45,Tabla1[[#This Row],[ENERO ]]/45-1,0))</f>
        <v>0</v>
      </c>
      <c r="AF22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8" s="103">
        <f>IF(Tabla1[[#This Row],[TIPO DE CONSUMIDOR]]="MEDIO",IF(Tabla1[[#This Row],[MARZO]]&gt;22.5,Tabla1[[#This Row],[MARZO]]/22.5-1,0),IF(Tabla1[[#This Row],[MARZO]]&gt;45,Tabla1[[#This Row],[MARZO]]/45-1,0))</f>
        <v>0</v>
      </c>
      <c r="AH228" s="103">
        <f>IF(Tabla1[[#This Row],[TIPO DE CONSUMIDOR]]="MEDIO",IF(Tabla1[[#This Row],[ABRIL]]&gt;22.5,Tabla1[[#This Row],[ABRIL]]/22.5-1,0),IF(Tabla1[[#This Row],[ABRIL]]&gt;45,Tabla1[[#This Row],[ABRIL]]/45-1,0))</f>
        <v>0</v>
      </c>
      <c r="AI228" s="103">
        <f>IF(Tabla1[[#This Row],[TIPO DE CONSUMIDOR]]="MEDIO",IF(Tabla1[[#This Row],[MAYO ]]&gt;22.5,Tabla1[[#This Row],[MAYO ]]/22.5-1,0),IF(Tabla1[[#This Row],[MAYO ]]&gt;45,Tabla1[[#This Row],[MAYO ]]/45-1,0))</f>
        <v>0</v>
      </c>
      <c r="AJ228" s="103">
        <f>IF(Tabla1[[#This Row],[TIPO DE CONSUMIDOR]]="MEDIO",IF(Tabla1[[#This Row],[JUNIO ]]&gt;22.5,Tabla1[[#This Row],[JUNIO ]]/22.5-1,0),IF(Tabla1[[#This Row],[JUNIO ]]&gt;45,Tabla1[[#This Row],[JUNIO ]]/45-1,0))</f>
        <v>0</v>
      </c>
      <c r="AK228" s="103">
        <f>IF(Tabla1[[#This Row],[TIPO DE CONSUMIDOR]]="MEDIO",IF(Tabla1[[#This Row],[JULIO ]]&gt;22.5,Tabla1[[#This Row],[JULIO ]]/22.5-1,0),IF(Tabla1[[#This Row],[JULIO ]]&gt;45,Tabla1[[#This Row],[JULIO ]]/45-1,0))</f>
        <v>0</v>
      </c>
      <c r="AL228" s="103">
        <f>IF(Tabla1[[#This Row],[TIPO DE CONSUMIDOR]]="MEDIO",IF(Tabla1[[#This Row],[AGOSTO]]&gt;22.5,Tabla1[[#This Row],[AGOSTO]]/22.5-1,0),IF(Tabla1[[#This Row],[AGOSTO]]&gt;45,Tabla1[[#This Row],[AGOSTO]]/45-1,0))</f>
        <v>0</v>
      </c>
      <c r="AM22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8" s="104">
        <f t="shared" si="8"/>
        <v>0</v>
      </c>
      <c r="AR228" s="9">
        <f t="shared" si="7"/>
        <v>0</v>
      </c>
      <c r="AS228" s="60">
        <f>IF(Tabla1[[#This Row],[MESES DE ADEUDO DEL AÑO EN CURSO ]]&gt;0,1,0)</f>
        <v>0</v>
      </c>
      <c r="AT228" s="42"/>
      <c r="AU228" s="42"/>
      <c r="AV228" s="42"/>
      <c r="AW228" s="43"/>
    </row>
    <row r="229" spans="1:49" ht="21.75" thickBot="1" x14ac:dyDescent="0.35">
      <c r="A229" s="109">
        <v>223</v>
      </c>
      <c r="B229" s="5" t="s">
        <v>408</v>
      </c>
      <c r="C229" s="2" t="s">
        <v>562</v>
      </c>
      <c r="D229" s="32"/>
      <c r="E229" s="35" t="s">
        <v>455</v>
      </c>
      <c r="F229" s="34">
        <v>45</v>
      </c>
      <c r="G229" s="34">
        <v>45</v>
      </c>
      <c r="H229" s="34">
        <v>45</v>
      </c>
      <c r="I229" s="34">
        <v>45</v>
      </c>
      <c r="J229" s="34">
        <v>45</v>
      </c>
      <c r="K229" s="34">
        <v>45</v>
      </c>
      <c r="L229" s="34">
        <v>45</v>
      </c>
      <c r="M229" s="34">
        <v>45</v>
      </c>
      <c r="N229" s="34">
        <v>45</v>
      </c>
      <c r="O229" s="34">
        <v>45</v>
      </c>
      <c r="P229" s="34">
        <v>45</v>
      </c>
      <c r="Q229" s="34">
        <v>45</v>
      </c>
      <c r="R229" s="24">
        <f>SUM(Tabla1[[#This Row],[ENERO ]:[DICIEMBRE]])</f>
        <v>540</v>
      </c>
      <c r="W229" s="65">
        <v>0</v>
      </c>
      <c r="X229" s="21">
        <f>COUNTIF(Tabla1[[#This Row],[ENERO ]:[DICIEMBRE]],0)-(AQ229)-IF(Tabla1[[#This Row],[BAJAS]]="BAJA",IF(Tabla1[[#This Row],[ALTAS]]="ALTA",VLOOKUP(Tabla1[[#This Row],[MES DE ALTA ]],$AT$6:$AU$17,2,FALSE),12)-VLOOKUP(Tabla1[[#This Row],[MES DE BAJA ]],$AT$6:$AU$17,2,FALSE),0)</f>
        <v>0</v>
      </c>
      <c r="Y229" s="69">
        <f>SUM(Tabla1[[#This Row],[MES ADEUDO DE AÑOS PASADOS ]:[MESES DE ADEUDO DEL AÑO EN CURSO ]])</f>
        <v>0</v>
      </c>
      <c r="Z229" s="15">
        <f>IF(Tabla1[[#This Row],[TIPO DE CONSUMIDOR]]="COMPLETO",W229*$T$2,W229*($T$2/2))</f>
        <v>0</v>
      </c>
      <c r="AA229" s="15">
        <f>IF(Tabla1[[#This Row],[TIPO DE CONSUMIDOR]]="COMPLETO",Tabla1[[#This Row],[MESES DE ADEUDO DEL AÑO EN CURSO ]]*$T$2,Tabla1[[#This Row],[MESES DE ADEUDO DEL AÑO EN CURSO ]]*($T$2/2))</f>
        <v>0</v>
      </c>
      <c r="AB229" s="70">
        <f>SUM(Tabla1[[#This Row],[DEUDA DE LOS MESES PASADOS EN $$]:[DEUDA DEL AÑO 2013 $$ ]])</f>
        <v>0</v>
      </c>
      <c r="AE229" s="103">
        <f>IF(Tabla1[[#This Row],[TIPO DE CONSUMIDOR]]="MEDIO",IF(Tabla1[[#This Row],[ENERO ]]&gt;22.5,Tabla1[[#This Row],[ENERO ]]/22.5-1,0),IF(Tabla1[[#This Row],[ENERO ]]&gt;45,Tabla1[[#This Row],[ENERO ]]/45-1,0))</f>
        <v>0</v>
      </c>
      <c r="AF22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29" s="103">
        <f>IF(Tabla1[[#This Row],[TIPO DE CONSUMIDOR]]="MEDIO",IF(Tabla1[[#This Row],[MARZO]]&gt;22.5,Tabla1[[#This Row],[MARZO]]/22.5-1,0),IF(Tabla1[[#This Row],[MARZO]]&gt;45,Tabla1[[#This Row],[MARZO]]/45-1,0))</f>
        <v>0</v>
      </c>
      <c r="AH229" s="103">
        <f>IF(Tabla1[[#This Row],[TIPO DE CONSUMIDOR]]="MEDIO",IF(Tabla1[[#This Row],[ABRIL]]&gt;22.5,Tabla1[[#This Row],[ABRIL]]/22.5-1,0),IF(Tabla1[[#This Row],[ABRIL]]&gt;45,Tabla1[[#This Row],[ABRIL]]/45-1,0))</f>
        <v>0</v>
      </c>
      <c r="AI229" s="103">
        <f>IF(Tabla1[[#This Row],[TIPO DE CONSUMIDOR]]="MEDIO",IF(Tabla1[[#This Row],[MAYO ]]&gt;22.5,Tabla1[[#This Row],[MAYO ]]/22.5-1,0),IF(Tabla1[[#This Row],[MAYO ]]&gt;45,Tabla1[[#This Row],[MAYO ]]/45-1,0))</f>
        <v>0</v>
      </c>
      <c r="AJ229" s="103">
        <f>IF(Tabla1[[#This Row],[TIPO DE CONSUMIDOR]]="MEDIO",IF(Tabla1[[#This Row],[JUNIO ]]&gt;22.5,Tabla1[[#This Row],[JUNIO ]]/22.5-1,0),IF(Tabla1[[#This Row],[JUNIO ]]&gt;45,Tabla1[[#This Row],[JUNIO ]]/45-1,0))</f>
        <v>0</v>
      </c>
      <c r="AK229" s="103">
        <f>IF(Tabla1[[#This Row],[TIPO DE CONSUMIDOR]]="MEDIO",IF(Tabla1[[#This Row],[JULIO ]]&gt;22.5,Tabla1[[#This Row],[JULIO ]]/22.5-1,0),IF(Tabla1[[#This Row],[JULIO ]]&gt;45,Tabla1[[#This Row],[JULIO ]]/45-1,0))</f>
        <v>0</v>
      </c>
      <c r="AL229" s="103">
        <f>IF(Tabla1[[#This Row],[TIPO DE CONSUMIDOR]]="MEDIO",IF(Tabla1[[#This Row],[AGOSTO]]&gt;22.5,Tabla1[[#This Row],[AGOSTO]]/22.5-1,0),IF(Tabla1[[#This Row],[AGOSTO]]&gt;45,Tabla1[[#This Row],[AGOSTO]]/45-1,0))</f>
        <v>0</v>
      </c>
      <c r="AM22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2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2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2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29" s="104">
        <f t="shared" si="8"/>
        <v>0</v>
      </c>
      <c r="AR229" s="9">
        <f t="shared" si="7"/>
        <v>0</v>
      </c>
      <c r="AS229" s="60">
        <f>IF(Tabla1[[#This Row],[MESES DE ADEUDO DEL AÑO EN CURSO ]]&gt;0,1,0)</f>
        <v>0</v>
      </c>
      <c r="AT229" s="42"/>
      <c r="AU229" s="42"/>
      <c r="AV229" s="42"/>
      <c r="AW229" s="43"/>
    </row>
    <row r="230" spans="1:49" ht="21.75" thickBot="1" x14ac:dyDescent="0.35">
      <c r="A230" s="109">
        <v>224</v>
      </c>
      <c r="B230" s="5" t="s">
        <v>423</v>
      </c>
      <c r="C230" s="2" t="s">
        <v>562</v>
      </c>
      <c r="D230" s="32"/>
      <c r="E230" s="35" t="s">
        <v>455</v>
      </c>
      <c r="F230" s="34">
        <v>45</v>
      </c>
      <c r="G230" s="34">
        <v>45</v>
      </c>
      <c r="H230" s="34">
        <v>45</v>
      </c>
      <c r="I230" s="34">
        <v>45</v>
      </c>
      <c r="J230" s="34">
        <v>45</v>
      </c>
      <c r="K230" s="34">
        <v>45</v>
      </c>
      <c r="L230" s="34">
        <v>45</v>
      </c>
      <c r="M230" s="34">
        <v>45</v>
      </c>
      <c r="N230" s="34">
        <v>45</v>
      </c>
      <c r="O230" s="34">
        <v>45</v>
      </c>
      <c r="P230" s="34">
        <v>45</v>
      </c>
      <c r="Q230" s="34">
        <v>45</v>
      </c>
      <c r="R230" s="24">
        <f>SUM(Tabla1[[#This Row],[ENERO ]:[DICIEMBRE]])</f>
        <v>540</v>
      </c>
      <c r="W230" s="65">
        <v>0</v>
      </c>
      <c r="X230" s="21">
        <f>COUNTIF(Tabla1[[#This Row],[ENERO ]:[DICIEMBRE]],0)-(AQ230)-IF(Tabla1[[#This Row],[BAJAS]]="BAJA",IF(Tabla1[[#This Row],[ALTAS]]="ALTA",VLOOKUP(Tabla1[[#This Row],[MES DE ALTA ]],$AT$6:$AU$17,2,FALSE),12)-VLOOKUP(Tabla1[[#This Row],[MES DE BAJA ]],$AT$6:$AU$17,2,FALSE),0)</f>
        <v>0</v>
      </c>
      <c r="Y230" s="69">
        <f>SUM(Tabla1[[#This Row],[MES ADEUDO DE AÑOS PASADOS ]:[MESES DE ADEUDO DEL AÑO EN CURSO ]])</f>
        <v>0</v>
      </c>
      <c r="Z230" s="15">
        <f>IF(Tabla1[[#This Row],[TIPO DE CONSUMIDOR]]="COMPLETO",W230*$T$2,W230*($T$2/2))</f>
        <v>0</v>
      </c>
      <c r="AA230" s="15">
        <f>IF(Tabla1[[#This Row],[TIPO DE CONSUMIDOR]]="COMPLETO",Tabla1[[#This Row],[MESES DE ADEUDO DEL AÑO EN CURSO ]]*$T$2,Tabla1[[#This Row],[MESES DE ADEUDO DEL AÑO EN CURSO ]]*($T$2/2))</f>
        <v>0</v>
      </c>
      <c r="AB230" s="70">
        <f>SUM(Tabla1[[#This Row],[DEUDA DE LOS MESES PASADOS EN $$]:[DEUDA DEL AÑO 2013 $$ ]])</f>
        <v>0</v>
      </c>
      <c r="AE230" s="103">
        <f>IF(Tabla1[[#This Row],[TIPO DE CONSUMIDOR]]="MEDIO",IF(Tabla1[[#This Row],[ENERO ]]&gt;22.5,Tabla1[[#This Row],[ENERO ]]/22.5-1,0),IF(Tabla1[[#This Row],[ENERO ]]&gt;45,Tabla1[[#This Row],[ENERO ]]/45-1,0))</f>
        <v>0</v>
      </c>
      <c r="AF23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0" s="103">
        <f>IF(Tabla1[[#This Row],[TIPO DE CONSUMIDOR]]="MEDIO",IF(Tabla1[[#This Row],[MARZO]]&gt;22.5,Tabla1[[#This Row],[MARZO]]/22.5-1,0),IF(Tabla1[[#This Row],[MARZO]]&gt;45,Tabla1[[#This Row],[MARZO]]/45-1,0))</f>
        <v>0</v>
      </c>
      <c r="AH230" s="103">
        <f>IF(Tabla1[[#This Row],[TIPO DE CONSUMIDOR]]="MEDIO",IF(Tabla1[[#This Row],[ABRIL]]&gt;22.5,Tabla1[[#This Row],[ABRIL]]/22.5-1,0),IF(Tabla1[[#This Row],[ABRIL]]&gt;45,Tabla1[[#This Row],[ABRIL]]/45-1,0))</f>
        <v>0</v>
      </c>
      <c r="AI230" s="103">
        <f>IF(Tabla1[[#This Row],[TIPO DE CONSUMIDOR]]="MEDIO",IF(Tabla1[[#This Row],[MAYO ]]&gt;22.5,Tabla1[[#This Row],[MAYO ]]/22.5-1,0),IF(Tabla1[[#This Row],[MAYO ]]&gt;45,Tabla1[[#This Row],[MAYO ]]/45-1,0))</f>
        <v>0</v>
      </c>
      <c r="AJ230" s="103">
        <f>IF(Tabla1[[#This Row],[TIPO DE CONSUMIDOR]]="MEDIO",IF(Tabla1[[#This Row],[JUNIO ]]&gt;22.5,Tabla1[[#This Row],[JUNIO ]]/22.5-1,0),IF(Tabla1[[#This Row],[JUNIO ]]&gt;45,Tabla1[[#This Row],[JUNIO ]]/45-1,0))</f>
        <v>0</v>
      </c>
      <c r="AK230" s="103">
        <f>IF(Tabla1[[#This Row],[TIPO DE CONSUMIDOR]]="MEDIO",IF(Tabla1[[#This Row],[JULIO ]]&gt;22.5,Tabla1[[#This Row],[JULIO ]]/22.5-1,0),IF(Tabla1[[#This Row],[JULIO ]]&gt;45,Tabla1[[#This Row],[JULIO ]]/45-1,0))</f>
        <v>0</v>
      </c>
      <c r="AL230" s="103">
        <f>IF(Tabla1[[#This Row],[TIPO DE CONSUMIDOR]]="MEDIO",IF(Tabla1[[#This Row],[AGOSTO]]&gt;22.5,Tabla1[[#This Row],[AGOSTO]]/22.5-1,0),IF(Tabla1[[#This Row],[AGOSTO]]&gt;45,Tabla1[[#This Row],[AGOSTO]]/45-1,0))</f>
        <v>0</v>
      </c>
      <c r="AM23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0" s="104">
        <f t="shared" si="8"/>
        <v>0</v>
      </c>
      <c r="AR230" s="9">
        <f t="shared" si="7"/>
        <v>0</v>
      </c>
      <c r="AS230" s="60">
        <f>IF(Tabla1[[#This Row],[MESES DE ADEUDO DEL AÑO EN CURSO ]]&gt;0,1,0)</f>
        <v>0</v>
      </c>
      <c r="AT230" s="42"/>
      <c r="AU230" s="42"/>
      <c r="AV230" s="42"/>
      <c r="AW230" s="43"/>
    </row>
    <row r="231" spans="1:49" ht="21.75" thickBot="1" x14ac:dyDescent="0.35">
      <c r="A231" s="109">
        <v>225</v>
      </c>
      <c r="B231" s="5" t="s">
        <v>146</v>
      </c>
      <c r="C231" s="2" t="s">
        <v>569</v>
      </c>
      <c r="D231" s="32"/>
      <c r="E231" s="35" t="s">
        <v>455</v>
      </c>
      <c r="F231" s="34">
        <v>45</v>
      </c>
      <c r="G231" s="34">
        <v>45</v>
      </c>
      <c r="H231" s="34">
        <v>45</v>
      </c>
      <c r="I231" s="34">
        <v>45</v>
      </c>
      <c r="J231" s="34">
        <v>45</v>
      </c>
      <c r="K231" s="34">
        <v>45</v>
      </c>
      <c r="L231" s="34">
        <v>45</v>
      </c>
      <c r="M231" s="34">
        <v>45</v>
      </c>
      <c r="N231" s="34">
        <v>45</v>
      </c>
      <c r="O231" s="34">
        <v>45</v>
      </c>
      <c r="P231" s="34">
        <v>45</v>
      </c>
      <c r="Q231" s="34">
        <v>45</v>
      </c>
      <c r="R231" s="24">
        <f>SUM(Tabla1[[#This Row],[ENERO ]:[DICIEMBRE]])</f>
        <v>540</v>
      </c>
      <c r="W231" s="65">
        <v>0</v>
      </c>
      <c r="X231" s="21">
        <f>COUNTIF(Tabla1[[#This Row],[ENERO ]:[DICIEMBRE]],0)-(AQ231)-IF(Tabla1[[#This Row],[BAJAS]]="BAJA",IF(Tabla1[[#This Row],[ALTAS]]="ALTA",VLOOKUP(Tabla1[[#This Row],[MES DE ALTA ]],$AT$6:$AU$17,2,FALSE),12)-VLOOKUP(Tabla1[[#This Row],[MES DE BAJA ]],$AT$6:$AU$17,2,FALSE),0)</f>
        <v>0</v>
      </c>
      <c r="Y231" s="69">
        <f>SUM(Tabla1[[#This Row],[MES ADEUDO DE AÑOS PASADOS ]:[MESES DE ADEUDO DEL AÑO EN CURSO ]])</f>
        <v>0</v>
      </c>
      <c r="Z231" s="15">
        <f>IF(Tabla1[[#This Row],[TIPO DE CONSUMIDOR]]="COMPLETO",W231*$T$2,W231*($T$2/2))</f>
        <v>0</v>
      </c>
      <c r="AA231" s="15">
        <f>IF(Tabla1[[#This Row],[TIPO DE CONSUMIDOR]]="COMPLETO",Tabla1[[#This Row],[MESES DE ADEUDO DEL AÑO EN CURSO ]]*$T$2,Tabla1[[#This Row],[MESES DE ADEUDO DEL AÑO EN CURSO ]]*($T$2/2))</f>
        <v>0</v>
      </c>
      <c r="AB231" s="70">
        <f>SUM(Tabla1[[#This Row],[DEUDA DE LOS MESES PASADOS EN $$]:[DEUDA DEL AÑO 2013 $$ ]])</f>
        <v>0</v>
      </c>
      <c r="AE231" s="103">
        <f>IF(Tabla1[[#This Row],[TIPO DE CONSUMIDOR]]="MEDIO",IF(Tabla1[[#This Row],[ENERO ]]&gt;22.5,Tabla1[[#This Row],[ENERO ]]/22.5-1,0),IF(Tabla1[[#This Row],[ENERO ]]&gt;45,Tabla1[[#This Row],[ENERO ]]/45-1,0))</f>
        <v>0</v>
      </c>
      <c r="AF23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1" s="103">
        <f>IF(Tabla1[[#This Row],[TIPO DE CONSUMIDOR]]="MEDIO",IF(Tabla1[[#This Row],[MARZO]]&gt;22.5,Tabla1[[#This Row],[MARZO]]/22.5-1,0),IF(Tabla1[[#This Row],[MARZO]]&gt;45,Tabla1[[#This Row],[MARZO]]/45-1,0))</f>
        <v>0</v>
      </c>
      <c r="AH231" s="103">
        <f>IF(Tabla1[[#This Row],[TIPO DE CONSUMIDOR]]="MEDIO",IF(Tabla1[[#This Row],[ABRIL]]&gt;22.5,Tabla1[[#This Row],[ABRIL]]/22.5-1,0),IF(Tabla1[[#This Row],[ABRIL]]&gt;45,Tabla1[[#This Row],[ABRIL]]/45-1,0))</f>
        <v>0</v>
      </c>
      <c r="AI231" s="103">
        <f>IF(Tabla1[[#This Row],[TIPO DE CONSUMIDOR]]="MEDIO",IF(Tabla1[[#This Row],[MAYO ]]&gt;22.5,Tabla1[[#This Row],[MAYO ]]/22.5-1,0),IF(Tabla1[[#This Row],[MAYO ]]&gt;45,Tabla1[[#This Row],[MAYO ]]/45-1,0))</f>
        <v>0</v>
      </c>
      <c r="AJ231" s="103">
        <f>IF(Tabla1[[#This Row],[TIPO DE CONSUMIDOR]]="MEDIO",IF(Tabla1[[#This Row],[JUNIO ]]&gt;22.5,Tabla1[[#This Row],[JUNIO ]]/22.5-1,0),IF(Tabla1[[#This Row],[JUNIO ]]&gt;45,Tabla1[[#This Row],[JUNIO ]]/45-1,0))</f>
        <v>0</v>
      </c>
      <c r="AK231" s="103">
        <f>IF(Tabla1[[#This Row],[TIPO DE CONSUMIDOR]]="MEDIO",IF(Tabla1[[#This Row],[JULIO ]]&gt;22.5,Tabla1[[#This Row],[JULIO ]]/22.5-1,0),IF(Tabla1[[#This Row],[JULIO ]]&gt;45,Tabla1[[#This Row],[JULIO ]]/45-1,0))</f>
        <v>0</v>
      </c>
      <c r="AL231" s="103">
        <f>IF(Tabla1[[#This Row],[TIPO DE CONSUMIDOR]]="MEDIO",IF(Tabla1[[#This Row],[AGOSTO]]&gt;22.5,Tabla1[[#This Row],[AGOSTO]]/22.5-1,0),IF(Tabla1[[#This Row],[AGOSTO]]&gt;45,Tabla1[[#This Row],[AGOSTO]]/45-1,0))</f>
        <v>0</v>
      </c>
      <c r="AM23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1" s="104">
        <f t="shared" si="8"/>
        <v>0</v>
      </c>
      <c r="AR231" s="9">
        <f t="shared" si="7"/>
        <v>0</v>
      </c>
      <c r="AS231" s="60">
        <f>IF(Tabla1[[#This Row],[MESES DE ADEUDO DEL AÑO EN CURSO ]]&gt;0,1,0)</f>
        <v>0</v>
      </c>
      <c r="AT231" s="42"/>
      <c r="AU231" s="42"/>
      <c r="AV231" s="42"/>
      <c r="AW231" s="43"/>
    </row>
    <row r="232" spans="1:49" ht="21.75" thickBot="1" x14ac:dyDescent="0.35">
      <c r="A232" s="109">
        <v>226</v>
      </c>
      <c r="B232" s="5" t="s">
        <v>159</v>
      </c>
      <c r="C232" s="2" t="s">
        <v>569</v>
      </c>
      <c r="D232" s="32"/>
      <c r="E232" s="35" t="s">
        <v>489</v>
      </c>
      <c r="F232" s="34">
        <v>22.5</v>
      </c>
      <c r="G232" s="34">
        <v>22.5</v>
      </c>
      <c r="H232" s="34">
        <v>22.5</v>
      </c>
      <c r="I232" s="34">
        <v>22.5</v>
      </c>
      <c r="J232" s="34">
        <v>22.5</v>
      </c>
      <c r="K232" s="34">
        <v>22.5</v>
      </c>
      <c r="L232" s="34">
        <v>22.5</v>
      </c>
      <c r="M232" s="34">
        <v>22.5</v>
      </c>
      <c r="N232" s="34">
        <v>22.5</v>
      </c>
      <c r="O232" s="34">
        <v>22.5</v>
      </c>
      <c r="P232" s="34">
        <v>22.5</v>
      </c>
      <c r="Q232" s="34">
        <v>22.5</v>
      </c>
      <c r="R232" s="24">
        <f>SUM(Tabla1[[#This Row],[ENERO ]:[DICIEMBRE]])</f>
        <v>270</v>
      </c>
      <c r="W232" s="65">
        <v>0</v>
      </c>
      <c r="X232" s="21">
        <f>COUNTIF(Tabla1[[#This Row],[ENERO ]:[DICIEMBRE]],0)-(AQ232)-IF(Tabla1[[#This Row],[BAJAS]]="BAJA",IF(Tabla1[[#This Row],[ALTAS]]="ALTA",VLOOKUP(Tabla1[[#This Row],[MES DE ALTA ]],$AT$6:$AU$17,2,FALSE),12)-VLOOKUP(Tabla1[[#This Row],[MES DE BAJA ]],$AT$6:$AU$17,2,FALSE),0)</f>
        <v>0</v>
      </c>
      <c r="Y232" s="69">
        <f>SUM(Tabla1[[#This Row],[MES ADEUDO DE AÑOS PASADOS ]:[MESES DE ADEUDO DEL AÑO EN CURSO ]])</f>
        <v>0</v>
      </c>
      <c r="Z232" s="15">
        <f>IF(Tabla1[[#This Row],[TIPO DE CONSUMIDOR]]="COMPLETO",W232*$T$2,W232*($T$2/2))</f>
        <v>0</v>
      </c>
      <c r="AA232" s="15">
        <f>IF(Tabla1[[#This Row],[TIPO DE CONSUMIDOR]]="COMPLETO",Tabla1[[#This Row],[MESES DE ADEUDO DEL AÑO EN CURSO ]]*$T$2,Tabla1[[#This Row],[MESES DE ADEUDO DEL AÑO EN CURSO ]]*($T$2/2))</f>
        <v>0</v>
      </c>
      <c r="AB232" s="70">
        <f>SUM(Tabla1[[#This Row],[DEUDA DE LOS MESES PASADOS EN $$]:[DEUDA DEL AÑO 2013 $$ ]])</f>
        <v>0</v>
      </c>
      <c r="AE232" s="103">
        <f>IF(Tabla1[[#This Row],[TIPO DE CONSUMIDOR]]="MEDIO",IF(Tabla1[[#This Row],[ENERO ]]&gt;22.5,Tabla1[[#This Row],[ENERO ]]/22.5-1,0),IF(Tabla1[[#This Row],[ENERO ]]&gt;45,Tabla1[[#This Row],[ENERO ]]/45-1,0))</f>
        <v>0</v>
      </c>
      <c r="AF23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2" s="103">
        <f>IF(Tabla1[[#This Row],[TIPO DE CONSUMIDOR]]="MEDIO",IF(Tabla1[[#This Row],[MARZO]]&gt;22.5,Tabla1[[#This Row],[MARZO]]/22.5-1,0),IF(Tabla1[[#This Row],[MARZO]]&gt;45,Tabla1[[#This Row],[MARZO]]/45-1,0))</f>
        <v>0</v>
      </c>
      <c r="AH232" s="103">
        <f>IF(Tabla1[[#This Row],[TIPO DE CONSUMIDOR]]="MEDIO",IF(Tabla1[[#This Row],[ABRIL]]&gt;22.5,Tabla1[[#This Row],[ABRIL]]/22.5-1,0),IF(Tabla1[[#This Row],[ABRIL]]&gt;45,Tabla1[[#This Row],[ABRIL]]/45-1,0))</f>
        <v>0</v>
      </c>
      <c r="AI232" s="103">
        <f>IF(Tabla1[[#This Row],[TIPO DE CONSUMIDOR]]="MEDIO",IF(Tabla1[[#This Row],[MAYO ]]&gt;22.5,Tabla1[[#This Row],[MAYO ]]/22.5-1,0),IF(Tabla1[[#This Row],[MAYO ]]&gt;45,Tabla1[[#This Row],[MAYO ]]/45-1,0))</f>
        <v>0</v>
      </c>
      <c r="AJ232" s="103">
        <f>IF(Tabla1[[#This Row],[TIPO DE CONSUMIDOR]]="MEDIO",IF(Tabla1[[#This Row],[JUNIO ]]&gt;22.5,Tabla1[[#This Row],[JUNIO ]]/22.5-1,0),IF(Tabla1[[#This Row],[JUNIO ]]&gt;45,Tabla1[[#This Row],[JUNIO ]]/45-1,0))</f>
        <v>0</v>
      </c>
      <c r="AK232" s="103">
        <f>IF(Tabla1[[#This Row],[TIPO DE CONSUMIDOR]]="MEDIO",IF(Tabla1[[#This Row],[JULIO ]]&gt;22.5,Tabla1[[#This Row],[JULIO ]]/22.5-1,0),IF(Tabla1[[#This Row],[JULIO ]]&gt;45,Tabla1[[#This Row],[JULIO ]]/45-1,0))</f>
        <v>0</v>
      </c>
      <c r="AL232" s="103">
        <f>IF(Tabla1[[#This Row],[TIPO DE CONSUMIDOR]]="MEDIO",IF(Tabla1[[#This Row],[AGOSTO]]&gt;22.5,Tabla1[[#This Row],[AGOSTO]]/22.5-1,0),IF(Tabla1[[#This Row],[AGOSTO]]&gt;45,Tabla1[[#This Row],[AGOSTO]]/45-1,0))</f>
        <v>0</v>
      </c>
      <c r="AM23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2" s="104">
        <f t="shared" si="8"/>
        <v>0</v>
      </c>
      <c r="AR232" s="9">
        <f t="shared" si="7"/>
        <v>0</v>
      </c>
      <c r="AS232" s="60">
        <f>IF(Tabla1[[#This Row],[MESES DE ADEUDO DEL AÑO EN CURSO ]]&gt;0,1,0)</f>
        <v>0</v>
      </c>
      <c r="AT232" s="42"/>
      <c r="AU232" s="42"/>
      <c r="AV232" s="42"/>
      <c r="AW232" s="43"/>
    </row>
    <row r="233" spans="1:49" ht="21.75" thickBot="1" x14ac:dyDescent="0.35">
      <c r="A233" s="109">
        <v>227</v>
      </c>
      <c r="B233" s="5" t="s">
        <v>343</v>
      </c>
      <c r="C233" s="2" t="s">
        <v>569</v>
      </c>
      <c r="D233" s="32"/>
      <c r="E233" s="35" t="s">
        <v>489</v>
      </c>
      <c r="F233" s="34">
        <v>22.5</v>
      </c>
      <c r="G233" s="34">
        <v>22.5</v>
      </c>
      <c r="H233" s="34">
        <v>22.5</v>
      </c>
      <c r="I233" s="34">
        <v>22.5</v>
      </c>
      <c r="J233" s="34">
        <v>22.5</v>
      </c>
      <c r="K233" s="34">
        <v>22.5</v>
      </c>
      <c r="L233" s="34">
        <v>22.5</v>
      </c>
      <c r="M233" s="34">
        <v>22.5</v>
      </c>
      <c r="N233" s="34">
        <v>22.5</v>
      </c>
      <c r="O233" s="34">
        <v>22.5</v>
      </c>
      <c r="P233" s="34">
        <v>22.5</v>
      </c>
      <c r="Q233" s="34">
        <v>22.5</v>
      </c>
      <c r="R233" s="24">
        <f>SUM(Tabla1[[#This Row],[ENERO ]:[DICIEMBRE]])</f>
        <v>270</v>
      </c>
      <c r="W233" s="65">
        <v>0</v>
      </c>
      <c r="X233" s="21">
        <f>COUNTIF(Tabla1[[#This Row],[ENERO ]:[DICIEMBRE]],0)-(AQ233)-IF(Tabla1[[#This Row],[BAJAS]]="BAJA",IF(Tabla1[[#This Row],[ALTAS]]="ALTA",VLOOKUP(Tabla1[[#This Row],[MES DE ALTA ]],$AT$6:$AU$17,2,FALSE),12)-VLOOKUP(Tabla1[[#This Row],[MES DE BAJA ]],$AT$6:$AU$17,2,FALSE),0)</f>
        <v>0</v>
      </c>
      <c r="Y233" s="69">
        <f>SUM(Tabla1[[#This Row],[MES ADEUDO DE AÑOS PASADOS ]:[MESES DE ADEUDO DEL AÑO EN CURSO ]])</f>
        <v>0</v>
      </c>
      <c r="Z233" s="15">
        <f>IF(Tabla1[[#This Row],[TIPO DE CONSUMIDOR]]="COMPLETO",W233*$T$2,W233*($T$2/2))</f>
        <v>0</v>
      </c>
      <c r="AA233" s="15">
        <f>IF(Tabla1[[#This Row],[TIPO DE CONSUMIDOR]]="COMPLETO",Tabla1[[#This Row],[MESES DE ADEUDO DEL AÑO EN CURSO ]]*$T$2,Tabla1[[#This Row],[MESES DE ADEUDO DEL AÑO EN CURSO ]]*($T$2/2))</f>
        <v>0</v>
      </c>
      <c r="AB233" s="70">
        <f>SUM(Tabla1[[#This Row],[DEUDA DE LOS MESES PASADOS EN $$]:[DEUDA DEL AÑO 2013 $$ ]])</f>
        <v>0</v>
      </c>
      <c r="AE233" s="103">
        <f>IF(Tabla1[[#This Row],[TIPO DE CONSUMIDOR]]="MEDIO",IF(Tabla1[[#This Row],[ENERO ]]&gt;22.5,Tabla1[[#This Row],[ENERO ]]/22.5-1,0),IF(Tabla1[[#This Row],[ENERO ]]&gt;45,Tabla1[[#This Row],[ENERO ]]/45-1,0))</f>
        <v>0</v>
      </c>
      <c r="AF23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3" s="103">
        <f>IF(Tabla1[[#This Row],[TIPO DE CONSUMIDOR]]="MEDIO",IF(Tabla1[[#This Row],[MARZO]]&gt;22.5,Tabla1[[#This Row],[MARZO]]/22.5-1,0),IF(Tabla1[[#This Row],[MARZO]]&gt;45,Tabla1[[#This Row],[MARZO]]/45-1,0))</f>
        <v>0</v>
      </c>
      <c r="AH233" s="103">
        <f>IF(Tabla1[[#This Row],[TIPO DE CONSUMIDOR]]="MEDIO",IF(Tabla1[[#This Row],[ABRIL]]&gt;22.5,Tabla1[[#This Row],[ABRIL]]/22.5-1,0),IF(Tabla1[[#This Row],[ABRIL]]&gt;45,Tabla1[[#This Row],[ABRIL]]/45-1,0))</f>
        <v>0</v>
      </c>
      <c r="AI233" s="103">
        <f>IF(Tabla1[[#This Row],[TIPO DE CONSUMIDOR]]="MEDIO",IF(Tabla1[[#This Row],[MAYO ]]&gt;22.5,Tabla1[[#This Row],[MAYO ]]/22.5-1,0),IF(Tabla1[[#This Row],[MAYO ]]&gt;45,Tabla1[[#This Row],[MAYO ]]/45-1,0))</f>
        <v>0</v>
      </c>
      <c r="AJ233" s="103">
        <f>IF(Tabla1[[#This Row],[TIPO DE CONSUMIDOR]]="MEDIO",IF(Tabla1[[#This Row],[JUNIO ]]&gt;22.5,Tabla1[[#This Row],[JUNIO ]]/22.5-1,0),IF(Tabla1[[#This Row],[JUNIO ]]&gt;45,Tabla1[[#This Row],[JUNIO ]]/45-1,0))</f>
        <v>0</v>
      </c>
      <c r="AK233" s="103">
        <f>IF(Tabla1[[#This Row],[TIPO DE CONSUMIDOR]]="MEDIO",IF(Tabla1[[#This Row],[JULIO ]]&gt;22.5,Tabla1[[#This Row],[JULIO ]]/22.5-1,0),IF(Tabla1[[#This Row],[JULIO ]]&gt;45,Tabla1[[#This Row],[JULIO ]]/45-1,0))</f>
        <v>0</v>
      </c>
      <c r="AL233" s="103">
        <f>IF(Tabla1[[#This Row],[TIPO DE CONSUMIDOR]]="MEDIO",IF(Tabla1[[#This Row],[AGOSTO]]&gt;22.5,Tabla1[[#This Row],[AGOSTO]]/22.5-1,0),IF(Tabla1[[#This Row],[AGOSTO]]&gt;45,Tabla1[[#This Row],[AGOSTO]]/45-1,0))</f>
        <v>0</v>
      </c>
      <c r="AM23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3" s="104">
        <f t="shared" si="8"/>
        <v>0</v>
      </c>
      <c r="AR233" s="9">
        <f t="shared" si="7"/>
        <v>0</v>
      </c>
      <c r="AS233" s="60">
        <f>IF(Tabla1[[#This Row],[MESES DE ADEUDO DEL AÑO EN CURSO ]]&gt;0,1,0)</f>
        <v>0</v>
      </c>
      <c r="AT233" s="42"/>
      <c r="AU233" s="42"/>
      <c r="AV233" s="42"/>
      <c r="AW233" s="43"/>
    </row>
    <row r="234" spans="1:49" ht="21.75" thickBot="1" x14ac:dyDescent="0.35">
      <c r="A234" s="109">
        <v>228</v>
      </c>
      <c r="B234" s="5" t="s">
        <v>99</v>
      </c>
      <c r="C234" s="2" t="s">
        <v>573</v>
      </c>
      <c r="D234" s="32"/>
      <c r="E234" s="35" t="s">
        <v>455</v>
      </c>
      <c r="F234" s="34">
        <v>45</v>
      </c>
      <c r="G234" s="34">
        <v>45</v>
      </c>
      <c r="H234" s="34">
        <v>45</v>
      </c>
      <c r="I234" s="34">
        <v>45</v>
      </c>
      <c r="J234" s="34">
        <v>45</v>
      </c>
      <c r="K234" s="34">
        <v>45</v>
      </c>
      <c r="L234" s="34">
        <v>45</v>
      </c>
      <c r="M234" s="34">
        <v>45</v>
      </c>
      <c r="N234" s="34">
        <v>45</v>
      </c>
      <c r="O234" s="34">
        <v>45</v>
      </c>
      <c r="P234" s="34">
        <v>45</v>
      </c>
      <c r="Q234" s="34">
        <v>45</v>
      </c>
      <c r="R234" s="58">
        <f>SUM(Tabla1[[#This Row],[ENERO ]:[DICIEMBRE]])</f>
        <v>540</v>
      </c>
      <c r="W234" s="65">
        <v>0</v>
      </c>
      <c r="X234" s="21">
        <f>COUNTIF(Tabla1[[#This Row],[ENERO ]:[DICIEMBRE]],0)-(AQ234)-IF(Tabla1[[#This Row],[BAJAS]]="BAJA",IF(Tabla1[[#This Row],[ALTAS]]="ALTA",VLOOKUP(Tabla1[[#This Row],[MES DE ALTA ]],$AT$6:$AU$17,2,FALSE),12)-VLOOKUP(Tabla1[[#This Row],[MES DE BAJA ]],$AT$6:$AU$17,2,FALSE),0)</f>
        <v>0</v>
      </c>
      <c r="Y234" s="69">
        <f>SUM(Tabla1[[#This Row],[MES ADEUDO DE AÑOS PASADOS ]:[MESES DE ADEUDO DEL AÑO EN CURSO ]])</f>
        <v>0</v>
      </c>
      <c r="Z234" s="15">
        <f>IF(Tabla1[[#This Row],[TIPO DE CONSUMIDOR]]="COMPLETO",W234*$T$2,W234*($T$2/2))</f>
        <v>0</v>
      </c>
      <c r="AA234" s="15">
        <f>IF(Tabla1[[#This Row],[TIPO DE CONSUMIDOR]]="COMPLETO",Tabla1[[#This Row],[MESES DE ADEUDO DEL AÑO EN CURSO ]]*$T$2,Tabla1[[#This Row],[MESES DE ADEUDO DEL AÑO EN CURSO ]]*($T$2/2))</f>
        <v>0</v>
      </c>
      <c r="AB234" s="70">
        <f>SUM(Tabla1[[#This Row],[DEUDA DE LOS MESES PASADOS EN $$]:[DEUDA DEL AÑO 2013 $$ ]])</f>
        <v>0</v>
      </c>
      <c r="AE234" s="103">
        <f>IF(Tabla1[[#This Row],[TIPO DE CONSUMIDOR]]="MEDIO",IF(Tabla1[[#This Row],[ENERO ]]&gt;22.5,Tabla1[[#This Row],[ENERO ]]/22.5-1,0),IF(Tabla1[[#This Row],[ENERO ]]&gt;45,Tabla1[[#This Row],[ENERO ]]/45-1,0))</f>
        <v>0</v>
      </c>
      <c r="AF23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4" s="103">
        <f>IF(Tabla1[[#This Row],[TIPO DE CONSUMIDOR]]="MEDIO",IF(Tabla1[[#This Row],[MARZO]]&gt;22.5,Tabla1[[#This Row],[MARZO]]/22.5-1,0),IF(Tabla1[[#This Row],[MARZO]]&gt;45,Tabla1[[#This Row],[MARZO]]/45-1,0))</f>
        <v>0</v>
      </c>
      <c r="AH234" s="103">
        <f>IF(Tabla1[[#This Row],[TIPO DE CONSUMIDOR]]="MEDIO",IF(Tabla1[[#This Row],[ABRIL]]&gt;22.5,Tabla1[[#This Row],[ABRIL]]/22.5-1,0),IF(Tabla1[[#This Row],[ABRIL]]&gt;45,Tabla1[[#This Row],[ABRIL]]/45-1,0))</f>
        <v>0</v>
      </c>
      <c r="AI234" s="103">
        <f>IF(Tabla1[[#This Row],[TIPO DE CONSUMIDOR]]="MEDIO",IF(Tabla1[[#This Row],[MAYO ]]&gt;22.5,Tabla1[[#This Row],[MAYO ]]/22.5-1,0),IF(Tabla1[[#This Row],[MAYO ]]&gt;45,Tabla1[[#This Row],[MAYO ]]/45-1,0))</f>
        <v>0</v>
      </c>
      <c r="AJ234" s="103">
        <f>IF(Tabla1[[#This Row],[TIPO DE CONSUMIDOR]]="MEDIO",IF(Tabla1[[#This Row],[JUNIO ]]&gt;22.5,Tabla1[[#This Row],[JUNIO ]]/22.5-1,0),IF(Tabla1[[#This Row],[JUNIO ]]&gt;45,Tabla1[[#This Row],[JUNIO ]]/45-1,0))</f>
        <v>0</v>
      </c>
      <c r="AK234" s="103">
        <f>IF(Tabla1[[#This Row],[TIPO DE CONSUMIDOR]]="MEDIO",IF(Tabla1[[#This Row],[JULIO ]]&gt;22.5,Tabla1[[#This Row],[JULIO ]]/22.5-1,0),IF(Tabla1[[#This Row],[JULIO ]]&gt;45,Tabla1[[#This Row],[JULIO ]]/45-1,0))</f>
        <v>0</v>
      </c>
      <c r="AL234" s="103">
        <f>IF(Tabla1[[#This Row],[TIPO DE CONSUMIDOR]]="MEDIO",IF(Tabla1[[#This Row],[AGOSTO]]&gt;22.5,Tabla1[[#This Row],[AGOSTO]]/22.5-1,0),IF(Tabla1[[#This Row],[AGOSTO]]&gt;45,Tabla1[[#This Row],[AGOSTO]]/45-1,0))</f>
        <v>0</v>
      </c>
      <c r="AM23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4" s="104">
        <f t="shared" si="8"/>
        <v>0</v>
      </c>
      <c r="AR234" s="9">
        <f t="shared" si="7"/>
        <v>0</v>
      </c>
      <c r="AS234" s="60">
        <f>IF(Tabla1[[#This Row],[MESES DE ADEUDO DEL AÑO EN CURSO ]]&gt;0,1,0)</f>
        <v>0</v>
      </c>
      <c r="AT234" s="42"/>
      <c r="AU234" s="42"/>
      <c r="AV234" s="42"/>
      <c r="AW234" s="43"/>
    </row>
    <row r="235" spans="1:49" ht="21.75" thickBot="1" x14ac:dyDescent="0.35">
      <c r="A235" s="109">
        <v>229</v>
      </c>
      <c r="B235" s="5" t="s">
        <v>124</v>
      </c>
      <c r="C235" s="2" t="s">
        <v>573</v>
      </c>
      <c r="D235" s="46"/>
      <c r="E235" s="36" t="s">
        <v>455</v>
      </c>
      <c r="F235" s="34">
        <v>45</v>
      </c>
      <c r="G235" s="34">
        <v>45</v>
      </c>
      <c r="H235" s="34">
        <v>45</v>
      </c>
      <c r="I235" s="34">
        <v>45</v>
      </c>
      <c r="J235" s="34">
        <v>45</v>
      </c>
      <c r="K235" s="34">
        <v>45</v>
      </c>
      <c r="L235" s="34">
        <v>45</v>
      </c>
      <c r="M235" s="34">
        <v>45</v>
      </c>
      <c r="N235" s="34">
        <v>45</v>
      </c>
      <c r="O235" s="34">
        <v>45</v>
      </c>
      <c r="P235" s="34">
        <v>45</v>
      </c>
      <c r="Q235" s="34">
        <v>45</v>
      </c>
      <c r="R235" s="24">
        <f>SUM(Tabla1[[#This Row],[ENERO ]:[DICIEMBRE]])</f>
        <v>540</v>
      </c>
      <c r="W235" s="65">
        <v>0</v>
      </c>
      <c r="X235" s="21">
        <f>COUNTIF(Tabla1[[#This Row],[ENERO ]:[DICIEMBRE]],0)-(AQ235)-IF(Tabla1[[#This Row],[BAJAS]]="BAJA",IF(Tabla1[[#This Row],[ALTAS]]="ALTA",VLOOKUP(Tabla1[[#This Row],[MES DE ALTA ]],$AT$6:$AU$17,2,FALSE),12)-VLOOKUP(Tabla1[[#This Row],[MES DE BAJA ]],$AT$6:$AU$17,2,FALSE),0)</f>
        <v>0</v>
      </c>
      <c r="Y235" s="69">
        <f>SUM(Tabla1[[#This Row],[MES ADEUDO DE AÑOS PASADOS ]:[MESES DE ADEUDO DEL AÑO EN CURSO ]])</f>
        <v>0</v>
      </c>
      <c r="Z235" s="15">
        <f>IF(Tabla1[[#This Row],[TIPO DE CONSUMIDOR]]="COMPLETO",W235*$T$2,W235*($T$2/2))</f>
        <v>0</v>
      </c>
      <c r="AA235" s="15">
        <f>IF(Tabla1[[#This Row],[TIPO DE CONSUMIDOR]]="COMPLETO",Tabla1[[#This Row],[MESES DE ADEUDO DEL AÑO EN CURSO ]]*$T$2,Tabla1[[#This Row],[MESES DE ADEUDO DEL AÑO EN CURSO ]]*($T$2/2))</f>
        <v>0</v>
      </c>
      <c r="AB235" s="70">
        <f>SUM(Tabla1[[#This Row],[DEUDA DE LOS MESES PASADOS EN $$]:[DEUDA DEL AÑO 2013 $$ ]])</f>
        <v>0</v>
      </c>
      <c r="AE235" s="103">
        <f>IF(Tabla1[[#This Row],[TIPO DE CONSUMIDOR]]="MEDIO",IF(Tabla1[[#This Row],[ENERO ]]&gt;22.5,Tabla1[[#This Row],[ENERO ]]/22.5-1,0),IF(Tabla1[[#This Row],[ENERO ]]&gt;45,Tabla1[[#This Row],[ENERO ]]/45-1,0))</f>
        <v>0</v>
      </c>
      <c r="AF23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5" s="103">
        <f>IF(Tabla1[[#This Row],[TIPO DE CONSUMIDOR]]="MEDIO",IF(Tabla1[[#This Row],[MARZO]]&gt;22.5,Tabla1[[#This Row],[MARZO]]/22.5-1,0),IF(Tabla1[[#This Row],[MARZO]]&gt;45,Tabla1[[#This Row],[MARZO]]/45-1,0))</f>
        <v>0</v>
      </c>
      <c r="AH235" s="103">
        <f>IF(Tabla1[[#This Row],[TIPO DE CONSUMIDOR]]="MEDIO",IF(Tabla1[[#This Row],[ABRIL]]&gt;22.5,Tabla1[[#This Row],[ABRIL]]/22.5-1,0),IF(Tabla1[[#This Row],[ABRIL]]&gt;45,Tabla1[[#This Row],[ABRIL]]/45-1,0))</f>
        <v>0</v>
      </c>
      <c r="AI235" s="103">
        <f>IF(Tabla1[[#This Row],[TIPO DE CONSUMIDOR]]="MEDIO",IF(Tabla1[[#This Row],[MAYO ]]&gt;22.5,Tabla1[[#This Row],[MAYO ]]/22.5-1,0),IF(Tabla1[[#This Row],[MAYO ]]&gt;45,Tabla1[[#This Row],[MAYO ]]/45-1,0))</f>
        <v>0</v>
      </c>
      <c r="AJ235" s="103">
        <f>IF(Tabla1[[#This Row],[TIPO DE CONSUMIDOR]]="MEDIO",IF(Tabla1[[#This Row],[JUNIO ]]&gt;22.5,Tabla1[[#This Row],[JUNIO ]]/22.5-1,0),IF(Tabla1[[#This Row],[JUNIO ]]&gt;45,Tabla1[[#This Row],[JUNIO ]]/45-1,0))</f>
        <v>0</v>
      </c>
      <c r="AK235" s="103">
        <f>IF(Tabla1[[#This Row],[TIPO DE CONSUMIDOR]]="MEDIO",IF(Tabla1[[#This Row],[JULIO ]]&gt;22.5,Tabla1[[#This Row],[JULIO ]]/22.5-1,0),IF(Tabla1[[#This Row],[JULIO ]]&gt;45,Tabla1[[#This Row],[JULIO ]]/45-1,0))</f>
        <v>0</v>
      </c>
      <c r="AL235" s="103">
        <f>IF(Tabla1[[#This Row],[TIPO DE CONSUMIDOR]]="MEDIO",IF(Tabla1[[#This Row],[AGOSTO]]&gt;22.5,Tabla1[[#This Row],[AGOSTO]]/22.5-1,0),IF(Tabla1[[#This Row],[AGOSTO]]&gt;45,Tabla1[[#This Row],[AGOSTO]]/45-1,0))</f>
        <v>0</v>
      </c>
      <c r="AM23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5" s="104">
        <f t="shared" si="8"/>
        <v>0</v>
      </c>
      <c r="AR235" s="9">
        <f t="shared" si="7"/>
        <v>0</v>
      </c>
      <c r="AS235" s="60">
        <f>IF(Tabla1[[#This Row],[MESES DE ADEUDO DEL AÑO EN CURSO ]]&gt;0,1,0)</f>
        <v>0</v>
      </c>
      <c r="AT235" s="42"/>
      <c r="AU235" s="42"/>
      <c r="AV235" s="42"/>
      <c r="AW235" s="43"/>
    </row>
    <row r="236" spans="1:49" ht="21.75" thickBot="1" x14ac:dyDescent="0.35">
      <c r="A236" s="109">
        <v>230</v>
      </c>
      <c r="B236" s="5" t="s">
        <v>153</v>
      </c>
      <c r="C236" s="2" t="s">
        <v>573</v>
      </c>
      <c r="D236" s="32"/>
      <c r="E236" s="35" t="s">
        <v>455</v>
      </c>
      <c r="F236" s="34">
        <v>45</v>
      </c>
      <c r="G236" s="34">
        <v>45</v>
      </c>
      <c r="H236" s="34">
        <v>45</v>
      </c>
      <c r="I236" s="34">
        <v>45</v>
      </c>
      <c r="J236" s="34">
        <v>45</v>
      </c>
      <c r="K236" s="34">
        <v>45</v>
      </c>
      <c r="L236" s="34">
        <v>45</v>
      </c>
      <c r="M236" s="34">
        <v>45</v>
      </c>
      <c r="N236" s="34">
        <v>45</v>
      </c>
      <c r="O236" s="34">
        <v>45</v>
      </c>
      <c r="P236" s="34">
        <v>45</v>
      </c>
      <c r="Q236" s="34">
        <v>45</v>
      </c>
      <c r="R236" s="24">
        <f>SUM(Tabla1[[#This Row],[ENERO ]:[DICIEMBRE]])</f>
        <v>540</v>
      </c>
      <c r="W236" s="65">
        <v>0</v>
      </c>
      <c r="X236" s="21">
        <f>COUNTIF(Tabla1[[#This Row],[ENERO ]:[DICIEMBRE]],0)-(AQ236)-IF(Tabla1[[#This Row],[BAJAS]]="BAJA",IF(Tabla1[[#This Row],[ALTAS]]="ALTA",VLOOKUP(Tabla1[[#This Row],[MES DE ALTA ]],$AT$6:$AU$17,2,FALSE),12)-VLOOKUP(Tabla1[[#This Row],[MES DE BAJA ]],$AT$6:$AU$17,2,FALSE),0)</f>
        <v>0</v>
      </c>
      <c r="Y236" s="69">
        <f>SUM(Tabla1[[#This Row],[MES ADEUDO DE AÑOS PASADOS ]:[MESES DE ADEUDO DEL AÑO EN CURSO ]])</f>
        <v>0</v>
      </c>
      <c r="Z236" s="15">
        <f>IF(Tabla1[[#This Row],[TIPO DE CONSUMIDOR]]="COMPLETO",W236*$T$2,W236*($T$2/2))</f>
        <v>0</v>
      </c>
      <c r="AA236" s="15">
        <f>IF(Tabla1[[#This Row],[TIPO DE CONSUMIDOR]]="COMPLETO",Tabla1[[#This Row],[MESES DE ADEUDO DEL AÑO EN CURSO ]]*$T$2,Tabla1[[#This Row],[MESES DE ADEUDO DEL AÑO EN CURSO ]]*($T$2/2))</f>
        <v>0</v>
      </c>
      <c r="AB236" s="70">
        <f>SUM(Tabla1[[#This Row],[DEUDA DE LOS MESES PASADOS EN $$]:[DEUDA DEL AÑO 2013 $$ ]])</f>
        <v>0</v>
      </c>
      <c r="AE236" s="103">
        <f>IF(Tabla1[[#This Row],[TIPO DE CONSUMIDOR]]="MEDIO",IF(Tabla1[[#This Row],[ENERO ]]&gt;22.5,Tabla1[[#This Row],[ENERO ]]/22.5-1,0),IF(Tabla1[[#This Row],[ENERO ]]&gt;45,Tabla1[[#This Row],[ENERO ]]/45-1,0))</f>
        <v>0</v>
      </c>
      <c r="AF23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6" s="103">
        <f>IF(Tabla1[[#This Row],[TIPO DE CONSUMIDOR]]="MEDIO",IF(Tabla1[[#This Row],[MARZO]]&gt;22.5,Tabla1[[#This Row],[MARZO]]/22.5-1,0),IF(Tabla1[[#This Row],[MARZO]]&gt;45,Tabla1[[#This Row],[MARZO]]/45-1,0))</f>
        <v>0</v>
      </c>
      <c r="AH236" s="103">
        <f>IF(Tabla1[[#This Row],[TIPO DE CONSUMIDOR]]="MEDIO",IF(Tabla1[[#This Row],[ABRIL]]&gt;22.5,Tabla1[[#This Row],[ABRIL]]/22.5-1,0),IF(Tabla1[[#This Row],[ABRIL]]&gt;45,Tabla1[[#This Row],[ABRIL]]/45-1,0))</f>
        <v>0</v>
      </c>
      <c r="AI236" s="103">
        <f>IF(Tabla1[[#This Row],[TIPO DE CONSUMIDOR]]="MEDIO",IF(Tabla1[[#This Row],[MAYO ]]&gt;22.5,Tabla1[[#This Row],[MAYO ]]/22.5-1,0),IF(Tabla1[[#This Row],[MAYO ]]&gt;45,Tabla1[[#This Row],[MAYO ]]/45-1,0))</f>
        <v>0</v>
      </c>
      <c r="AJ236" s="103">
        <f>IF(Tabla1[[#This Row],[TIPO DE CONSUMIDOR]]="MEDIO",IF(Tabla1[[#This Row],[JUNIO ]]&gt;22.5,Tabla1[[#This Row],[JUNIO ]]/22.5-1,0),IF(Tabla1[[#This Row],[JUNIO ]]&gt;45,Tabla1[[#This Row],[JUNIO ]]/45-1,0))</f>
        <v>0</v>
      </c>
      <c r="AK236" s="103">
        <f>IF(Tabla1[[#This Row],[TIPO DE CONSUMIDOR]]="MEDIO",IF(Tabla1[[#This Row],[JULIO ]]&gt;22.5,Tabla1[[#This Row],[JULIO ]]/22.5-1,0),IF(Tabla1[[#This Row],[JULIO ]]&gt;45,Tabla1[[#This Row],[JULIO ]]/45-1,0))</f>
        <v>0</v>
      </c>
      <c r="AL236" s="103">
        <f>IF(Tabla1[[#This Row],[TIPO DE CONSUMIDOR]]="MEDIO",IF(Tabla1[[#This Row],[AGOSTO]]&gt;22.5,Tabla1[[#This Row],[AGOSTO]]/22.5-1,0),IF(Tabla1[[#This Row],[AGOSTO]]&gt;45,Tabla1[[#This Row],[AGOSTO]]/45-1,0))</f>
        <v>0</v>
      </c>
      <c r="AM23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6" s="104">
        <f t="shared" si="8"/>
        <v>0</v>
      </c>
      <c r="AR236" s="9">
        <f t="shared" si="7"/>
        <v>0</v>
      </c>
      <c r="AS236" s="60">
        <f>IF(Tabla1[[#This Row],[MESES DE ADEUDO DEL AÑO EN CURSO ]]&gt;0,1,0)</f>
        <v>0</v>
      </c>
      <c r="AT236" s="42"/>
      <c r="AU236" s="42"/>
      <c r="AV236" s="42"/>
      <c r="AW236" s="43"/>
    </row>
    <row r="237" spans="1:49" ht="21.75" thickBot="1" x14ac:dyDescent="0.35">
      <c r="A237" s="109">
        <v>231</v>
      </c>
      <c r="B237" s="5" t="s">
        <v>160</v>
      </c>
      <c r="C237" s="2" t="s">
        <v>573</v>
      </c>
      <c r="D237" s="32"/>
      <c r="E237" s="35" t="s">
        <v>455</v>
      </c>
      <c r="F237" s="34">
        <v>45</v>
      </c>
      <c r="G237" s="34">
        <v>45</v>
      </c>
      <c r="H237" s="34">
        <v>45</v>
      </c>
      <c r="I237" s="34">
        <v>45</v>
      </c>
      <c r="J237" s="34">
        <v>45</v>
      </c>
      <c r="K237" s="34">
        <v>45</v>
      </c>
      <c r="L237" s="34">
        <v>45</v>
      </c>
      <c r="M237" s="34">
        <v>45</v>
      </c>
      <c r="N237" s="34">
        <v>45</v>
      </c>
      <c r="O237" s="34">
        <v>45</v>
      </c>
      <c r="P237" s="34">
        <v>45</v>
      </c>
      <c r="Q237" s="34">
        <v>45</v>
      </c>
      <c r="R237" s="24">
        <f>SUM(Tabla1[[#This Row],[ENERO ]:[DICIEMBRE]])</f>
        <v>540</v>
      </c>
      <c r="W237" s="65">
        <v>0</v>
      </c>
      <c r="X237" s="21">
        <f>COUNTIF(Tabla1[[#This Row],[ENERO ]:[DICIEMBRE]],0)-(AQ237)-IF(Tabla1[[#This Row],[BAJAS]]="BAJA",IF(Tabla1[[#This Row],[ALTAS]]="ALTA",VLOOKUP(Tabla1[[#This Row],[MES DE ALTA ]],$AT$6:$AU$17,2,FALSE),12)-VLOOKUP(Tabla1[[#This Row],[MES DE BAJA ]],$AT$6:$AU$17,2,FALSE),0)</f>
        <v>0</v>
      </c>
      <c r="Y237" s="69">
        <f>SUM(Tabla1[[#This Row],[MES ADEUDO DE AÑOS PASADOS ]:[MESES DE ADEUDO DEL AÑO EN CURSO ]])</f>
        <v>0</v>
      </c>
      <c r="Z237" s="15">
        <f>IF(Tabla1[[#This Row],[TIPO DE CONSUMIDOR]]="COMPLETO",W237*$T$2,W237*($T$2/2))</f>
        <v>0</v>
      </c>
      <c r="AA237" s="15">
        <f>IF(Tabla1[[#This Row],[TIPO DE CONSUMIDOR]]="COMPLETO",Tabla1[[#This Row],[MESES DE ADEUDO DEL AÑO EN CURSO ]]*$T$2,Tabla1[[#This Row],[MESES DE ADEUDO DEL AÑO EN CURSO ]]*($T$2/2))</f>
        <v>0</v>
      </c>
      <c r="AB237" s="70">
        <f>SUM(Tabla1[[#This Row],[DEUDA DE LOS MESES PASADOS EN $$]:[DEUDA DEL AÑO 2013 $$ ]])</f>
        <v>0</v>
      </c>
      <c r="AE237" s="103">
        <f>IF(Tabla1[[#This Row],[TIPO DE CONSUMIDOR]]="MEDIO",IF(Tabla1[[#This Row],[ENERO ]]&gt;22.5,Tabla1[[#This Row],[ENERO ]]/22.5-1,0),IF(Tabla1[[#This Row],[ENERO ]]&gt;45,Tabla1[[#This Row],[ENERO ]]/45-1,0))</f>
        <v>0</v>
      </c>
      <c r="AF23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7" s="103">
        <f>IF(Tabla1[[#This Row],[TIPO DE CONSUMIDOR]]="MEDIO",IF(Tabla1[[#This Row],[MARZO]]&gt;22.5,Tabla1[[#This Row],[MARZO]]/22.5-1,0),IF(Tabla1[[#This Row],[MARZO]]&gt;45,Tabla1[[#This Row],[MARZO]]/45-1,0))</f>
        <v>0</v>
      </c>
      <c r="AH237" s="103">
        <f>IF(Tabla1[[#This Row],[TIPO DE CONSUMIDOR]]="MEDIO",IF(Tabla1[[#This Row],[ABRIL]]&gt;22.5,Tabla1[[#This Row],[ABRIL]]/22.5-1,0),IF(Tabla1[[#This Row],[ABRIL]]&gt;45,Tabla1[[#This Row],[ABRIL]]/45-1,0))</f>
        <v>0</v>
      </c>
      <c r="AI237" s="103">
        <f>IF(Tabla1[[#This Row],[TIPO DE CONSUMIDOR]]="MEDIO",IF(Tabla1[[#This Row],[MAYO ]]&gt;22.5,Tabla1[[#This Row],[MAYO ]]/22.5-1,0),IF(Tabla1[[#This Row],[MAYO ]]&gt;45,Tabla1[[#This Row],[MAYO ]]/45-1,0))</f>
        <v>0</v>
      </c>
      <c r="AJ237" s="103">
        <f>IF(Tabla1[[#This Row],[TIPO DE CONSUMIDOR]]="MEDIO",IF(Tabla1[[#This Row],[JUNIO ]]&gt;22.5,Tabla1[[#This Row],[JUNIO ]]/22.5-1,0),IF(Tabla1[[#This Row],[JUNIO ]]&gt;45,Tabla1[[#This Row],[JUNIO ]]/45-1,0))</f>
        <v>0</v>
      </c>
      <c r="AK237" s="103">
        <f>IF(Tabla1[[#This Row],[TIPO DE CONSUMIDOR]]="MEDIO",IF(Tabla1[[#This Row],[JULIO ]]&gt;22.5,Tabla1[[#This Row],[JULIO ]]/22.5-1,0),IF(Tabla1[[#This Row],[JULIO ]]&gt;45,Tabla1[[#This Row],[JULIO ]]/45-1,0))</f>
        <v>0</v>
      </c>
      <c r="AL237" s="103">
        <f>IF(Tabla1[[#This Row],[TIPO DE CONSUMIDOR]]="MEDIO",IF(Tabla1[[#This Row],[AGOSTO]]&gt;22.5,Tabla1[[#This Row],[AGOSTO]]/22.5-1,0),IF(Tabla1[[#This Row],[AGOSTO]]&gt;45,Tabla1[[#This Row],[AGOSTO]]/45-1,0))</f>
        <v>0</v>
      </c>
      <c r="AM23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7" s="104">
        <f t="shared" si="8"/>
        <v>0</v>
      </c>
      <c r="AR237" s="9">
        <f t="shared" si="7"/>
        <v>0</v>
      </c>
      <c r="AS237" s="60">
        <f>IF(Tabla1[[#This Row],[MESES DE ADEUDO DEL AÑO EN CURSO ]]&gt;0,1,0)</f>
        <v>0</v>
      </c>
      <c r="AT237" s="42"/>
      <c r="AU237" s="42"/>
      <c r="AV237" s="42"/>
      <c r="AW237" s="43"/>
    </row>
    <row r="238" spans="1:49" ht="21.75" thickBot="1" x14ac:dyDescent="0.35">
      <c r="A238" s="109">
        <v>232</v>
      </c>
      <c r="B238" s="5" t="s">
        <v>411</v>
      </c>
      <c r="C238" s="2" t="s">
        <v>573</v>
      </c>
      <c r="D238" s="32"/>
      <c r="E238" s="35" t="s">
        <v>455</v>
      </c>
      <c r="F238" s="34">
        <v>45</v>
      </c>
      <c r="G238" s="34">
        <v>45</v>
      </c>
      <c r="H238" s="34">
        <v>45</v>
      </c>
      <c r="I238" s="34">
        <v>45</v>
      </c>
      <c r="J238" s="34">
        <v>45</v>
      </c>
      <c r="K238" s="34">
        <v>45</v>
      </c>
      <c r="L238" s="34">
        <v>45</v>
      </c>
      <c r="M238" s="34">
        <v>45</v>
      </c>
      <c r="N238" s="34">
        <v>45</v>
      </c>
      <c r="O238" s="34">
        <v>45</v>
      </c>
      <c r="P238" s="34">
        <v>45</v>
      </c>
      <c r="Q238" s="34">
        <v>45</v>
      </c>
      <c r="R238" s="24">
        <f>SUM(Tabla1[[#This Row],[ENERO ]:[DICIEMBRE]])</f>
        <v>540</v>
      </c>
      <c r="W238" s="65">
        <v>0</v>
      </c>
      <c r="X238" s="21">
        <f>COUNTIF(Tabla1[[#This Row],[ENERO ]:[DICIEMBRE]],0)-(AQ238)-IF(Tabla1[[#This Row],[BAJAS]]="BAJA",IF(Tabla1[[#This Row],[ALTAS]]="ALTA",VLOOKUP(Tabla1[[#This Row],[MES DE ALTA ]],$AT$6:$AU$17,2,FALSE),12)-VLOOKUP(Tabla1[[#This Row],[MES DE BAJA ]],$AT$6:$AU$17,2,FALSE),0)</f>
        <v>0</v>
      </c>
      <c r="Y238" s="69">
        <f>SUM(Tabla1[[#This Row],[MES ADEUDO DE AÑOS PASADOS ]:[MESES DE ADEUDO DEL AÑO EN CURSO ]])</f>
        <v>0</v>
      </c>
      <c r="Z238" s="15">
        <f>IF(Tabla1[[#This Row],[TIPO DE CONSUMIDOR]]="COMPLETO",W238*$T$2,W238*($T$2/2))</f>
        <v>0</v>
      </c>
      <c r="AA238" s="15">
        <f>IF(Tabla1[[#This Row],[TIPO DE CONSUMIDOR]]="COMPLETO",Tabla1[[#This Row],[MESES DE ADEUDO DEL AÑO EN CURSO ]]*$T$2,Tabla1[[#This Row],[MESES DE ADEUDO DEL AÑO EN CURSO ]]*($T$2/2))</f>
        <v>0</v>
      </c>
      <c r="AB238" s="70">
        <f>SUM(Tabla1[[#This Row],[DEUDA DE LOS MESES PASADOS EN $$]:[DEUDA DEL AÑO 2013 $$ ]])</f>
        <v>0</v>
      </c>
      <c r="AE238" s="103">
        <f>IF(Tabla1[[#This Row],[TIPO DE CONSUMIDOR]]="MEDIO",IF(Tabla1[[#This Row],[ENERO ]]&gt;22.5,Tabla1[[#This Row],[ENERO ]]/22.5-1,0),IF(Tabla1[[#This Row],[ENERO ]]&gt;45,Tabla1[[#This Row],[ENERO ]]/45-1,0))</f>
        <v>0</v>
      </c>
      <c r="AF23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8" s="103">
        <f>IF(Tabla1[[#This Row],[TIPO DE CONSUMIDOR]]="MEDIO",IF(Tabla1[[#This Row],[MARZO]]&gt;22.5,Tabla1[[#This Row],[MARZO]]/22.5-1,0),IF(Tabla1[[#This Row],[MARZO]]&gt;45,Tabla1[[#This Row],[MARZO]]/45-1,0))</f>
        <v>0</v>
      </c>
      <c r="AH238" s="103">
        <f>IF(Tabla1[[#This Row],[TIPO DE CONSUMIDOR]]="MEDIO",IF(Tabla1[[#This Row],[ABRIL]]&gt;22.5,Tabla1[[#This Row],[ABRIL]]/22.5-1,0),IF(Tabla1[[#This Row],[ABRIL]]&gt;45,Tabla1[[#This Row],[ABRIL]]/45-1,0))</f>
        <v>0</v>
      </c>
      <c r="AI238" s="103">
        <f>IF(Tabla1[[#This Row],[TIPO DE CONSUMIDOR]]="MEDIO",IF(Tabla1[[#This Row],[MAYO ]]&gt;22.5,Tabla1[[#This Row],[MAYO ]]/22.5-1,0),IF(Tabla1[[#This Row],[MAYO ]]&gt;45,Tabla1[[#This Row],[MAYO ]]/45-1,0))</f>
        <v>0</v>
      </c>
      <c r="AJ238" s="103">
        <f>IF(Tabla1[[#This Row],[TIPO DE CONSUMIDOR]]="MEDIO",IF(Tabla1[[#This Row],[JUNIO ]]&gt;22.5,Tabla1[[#This Row],[JUNIO ]]/22.5-1,0),IF(Tabla1[[#This Row],[JUNIO ]]&gt;45,Tabla1[[#This Row],[JUNIO ]]/45-1,0))</f>
        <v>0</v>
      </c>
      <c r="AK238" s="103">
        <f>IF(Tabla1[[#This Row],[TIPO DE CONSUMIDOR]]="MEDIO",IF(Tabla1[[#This Row],[JULIO ]]&gt;22.5,Tabla1[[#This Row],[JULIO ]]/22.5-1,0),IF(Tabla1[[#This Row],[JULIO ]]&gt;45,Tabla1[[#This Row],[JULIO ]]/45-1,0))</f>
        <v>0</v>
      </c>
      <c r="AL238" s="103">
        <f>IF(Tabla1[[#This Row],[TIPO DE CONSUMIDOR]]="MEDIO",IF(Tabla1[[#This Row],[AGOSTO]]&gt;22.5,Tabla1[[#This Row],[AGOSTO]]/22.5-1,0),IF(Tabla1[[#This Row],[AGOSTO]]&gt;45,Tabla1[[#This Row],[AGOSTO]]/45-1,0))</f>
        <v>0</v>
      </c>
      <c r="AM23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8" s="104">
        <f t="shared" si="8"/>
        <v>0</v>
      </c>
      <c r="AR238" s="9">
        <f t="shared" si="7"/>
        <v>0</v>
      </c>
      <c r="AS238" s="60">
        <f>IF(Tabla1[[#This Row],[MESES DE ADEUDO DEL AÑO EN CURSO ]]&gt;0,1,0)</f>
        <v>0</v>
      </c>
      <c r="AT238" s="42"/>
      <c r="AU238" s="42"/>
      <c r="AV238" s="42"/>
      <c r="AW238" s="43"/>
    </row>
    <row r="239" spans="1:49" ht="21.75" thickBot="1" x14ac:dyDescent="0.35">
      <c r="A239" s="109">
        <v>233</v>
      </c>
      <c r="B239" s="5" t="s">
        <v>66</v>
      </c>
      <c r="C239" s="2" t="s">
        <v>575</v>
      </c>
      <c r="D239" s="32"/>
      <c r="E239" s="35" t="s">
        <v>455</v>
      </c>
      <c r="F239" s="34">
        <v>0</v>
      </c>
      <c r="G239" s="34">
        <v>0</v>
      </c>
      <c r="H239" s="34">
        <v>0</v>
      </c>
      <c r="I239" s="34">
        <v>0</v>
      </c>
      <c r="J239" s="34">
        <v>0</v>
      </c>
      <c r="K239" s="34">
        <v>0</v>
      </c>
      <c r="L239" s="34">
        <v>0</v>
      </c>
      <c r="M239" s="34">
        <v>0</v>
      </c>
      <c r="N239" s="34">
        <v>0</v>
      </c>
      <c r="O239" s="34">
        <v>0</v>
      </c>
      <c r="P239" s="34">
        <v>0</v>
      </c>
      <c r="Q239" s="34">
        <v>0</v>
      </c>
      <c r="R239" s="24">
        <f>SUM(Tabla1[[#This Row],[ENERO ]:[DICIEMBRE]])</f>
        <v>0</v>
      </c>
      <c r="S239" t="s">
        <v>626</v>
      </c>
      <c r="T239" t="s">
        <v>434</v>
      </c>
      <c r="W239" s="65">
        <v>0</v>
      </c>
      <c r="X239" s="21">
        <f>COUNTIF(Tabla1[[#This Row],[ENERO ]:[DICIEMBRE]],0)-(AQ239)-IF(Tabla1[[#This Row],[BAJAS]]="BAJA",IF(Tabla1[[#This Row],[ALTAS]]="ALTA",VLOOKUP(Tabla1[[#This Row],[MES DE ALTA ]],$AT$6:$AU$17,2,FALSE),12)-VLOOKUP(Tabla1[[#This Row],[MES DE BAJA ]],$AT$6:$AU$17,2,FALSE),0)</f>
        <v>0</v>
      </c>
      <c r="Y239" s="69">
        <f>SUM(Tabla1[[#This Row],[MES ADEUDO DE AÑOS PASADOS ]:[MESES DE ADEUDO DEL AÑO EN CURSO ]])</f>
        <v>0</v>
      </c>
      <c r="Z239" s="15">
        <f>IF(Tabla1[[#This Row],[TIPO DE CONSUMIDOR]]="COMPLETO",W239*$T$2,W239*($T$2/2))</f>
        <v>0</v>
      </c>
      <c r="AA239" s="15">
        <f>IF(Tabla1[[#This Row],[TIPO DE CONSUMIDOR]]="COMPLETO",Tabla1[[#This Row],[MESES DE ADEUDO DEL AÑO EN CURSO ]]*$T$2,Tabla1[[#This Row],[MESES DE ADEUDO DEL AÑO EN CURSO ]]*($T$2/2))</f>
        <v>0</v>
      </c>
      <c r="AB239" s="70">
        <f>SUM(Tabla1[[#This Row],[DEUDA DE LOS MESES PASADOS EN $$]:[DEUDA DEL AÑO 2013 $$ ]])</f>
        <v>0</v>
      </c>
      <c r="AE239" s="103">
        <f>IF(Tabla1[[#This Row],[TIPO DE CONSUMIDOR]]="MEDIO",IF(Tabla1[[#This Row],[ENERO ]]&gt;22.5,Tabla1[[#This Row],[ENERO ]]/22.5-1,0),IF(Tabla1[[#This Row],[ENERO ]]&gt;45,Tabla1[[#This Row],[ENERO ]]/45-1,0))</f>
        <v>0</v>
      </c>
      <c r="AF23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39" s="103">
        <f>IF(Tabla1[[#This Row],[TIPO DE CONSUMIDOR]]="MEDIO",IF(Tabla1[[#This Row],[MARZO]]&gt;22.5,Tabla1[[#This Row],[MARZO]]/22.5-1,0),IF(Tabla1[[#This Row],[MARZO]]&gt;45,Tabla1[[#This Row],[MARZO]]/45-1,0))</f>
        <v>0</v>
      </c>
      <c r="AH239" s="103">
        <f>IF(Tabla1[[#This Row],[TIPO DE CONSUMIDOR]]="MEDIO",IF(Tabla1[[#This Row],[ABRIL]]&gt;22.5,Tabla1[[#This Row],[ABRIL]]/22.5-1,0),IF(Tabla1[[#This Row],[ABRIL]]&gt;45,Tabla1[[#This Row],[ABRIL]]/45-1,0))</f>
        <v>0</v>
      </c>
      <c r="AI239" s="103">
        <f>IF(Tabla1[[#This Row],[TIPO DE CONSUMIDOR]]="MEDIO",IF(Tabla1[[#This Row],[MAYO ]]&gt;22.5,Tabla1[[#This Row],[MAYO ]]/22.5-1,0),IF(Tabla1[[#This Row],[MAYO ]]&gt;45,Tabla1[[#This Row],[MAYO ]]/45-1,0))</f>
        <v>0</v>
      </c>
      <c r="AJ239" s="103">
        <f>IF(Tabla1[[#This Row],[TIPO DE CONSUMIDOR]]="MEDIO",IF(Tabla1[[#This Row],[JUNIO ]]&gt;22.5,Tabla1[[#This Row],[JUNIO ]]/22.5-1,0),IF(Tabla1[[#This Row],[JUNIO ]]&gt;45,Tabla1[[#This Row],[JUNIO ]]/45-1,0))</f>
        <v>0</v>
      </c>
      <c r="AK239" s="103">
        <f>IF(Tabla1[[#This Row],[TIPO DE CONSUMIDOR]]="MEDIO",IF(Tabla1[[#This Row],[JULIO ]]&gt;22.5,Tabla1[[#This Row],[JULIO ]]/22.5-1,0),IF(Tabla1[[#This Row],[JULIO ]]&gt;45,Tabla1[[#This Row],[JULIO ]]/45-1,0))</f>
        <v>0</v>
      </c>
      <c r="AL239" s="103">
        <f>IF(Tabla1[[#This Row],[TIPO DE CONSUMIDOR]]="MEDIO",IF(Tabla1[[#This Row],[AGOSTO]]&gt;22.5,Tabla1[[#This Row],[AGOSTO]]/22.5-1,0),IF(Tabla1[[#This Row],[AGOSTO]]&gt;45,Tabla1[[#This Row],[AGOSTO]]/45-1,0))</f>
        <v>0</v>
      </c>
      <c r="AM23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3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3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3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39" s="104">
        <f t="shared" si="8"/>
        <v>0</v>
      </c>
      <c r="AR239" s="9">
        <f t="shared" si="7"/>
        <v>0</v>
      </c>
      <c r="AS239" s="60">
        <f>IF(Tabla1[[#This Row],[MESES DE ADEUDO DEL AÑO EN CURSO ]]&gt;0,1,0)</f>
        <v>0</v>
      </c>
      <c r="AT239" s="42"/>
      <c r="AU239" s="42"/>
      <c r="AV239" s="42"/>
      <c r="AW239" s="43"/>
    </row>
    <row r="240" spans="1:49" ht="21.75" thickBot="1" x14ac:dyDescent="0.35">
      <c r="A240" s="109">
        <v>234</v>
      </c>
      <c r="B240" s="5" t="s">
        <v>98</v>
      </c>
      <c r="C240" s="2" t="s">
        <v>575</v>
      </c>
      <c r="D240" s="32"/>
      <c r="E240" s="35" t="s">
        <v>455</v>
      </c>
      <c r="F240" s="34">
        <v>0</v>
      </c>
      <c r="G240" s="34">
        <v>0</v>
      </c>
      <c r="H240" s="34">
        <v>0</v>
      </c>
      <c r="I240" s="34">
        <v>0</v>
      </c>
      <c r="J240" s="34">
        <v>0</v>
      </c>
      <c r="K240" s="34">
        <v>0</v>
      </c>
      <c r="L240" s="34">
        <v>0</v>
      </c>
      <c r="M240" s="34">
        <v>0</v>
      </c>
      <c r="N240" s="34">
        <v>0</v>
      </c>
      <c r="O240" s="34">
        <v>0</v>
      </c>
      <c r="P240" s="34">
        <v>0</v>
      </c>
      <c r="Q240" s="34">
        <v>0</v>
      </c>
      <c r="R240" s="24">
        <f>SUM(Tabla1[[#This Row],[ENERO ]:[DICIEMBRE]])</f>
        <v>0</v>
      </c>
      <c r="S240" t="s">
        <v>626</v>
      </c>
      <c r="T240" t="s">
        <v>434</v>
      </c>
      <c r="W240" s="65">
        <v>0</v>
      </c>
      <c r="X240" s="21">
        <f>COUNTIF(Tabla1[[#This Row],[ENERO ]:[DICIEMBRE]],0)-(AQ240)-IF(Tabla1[[#This Row],[BAJAS]]="BAJA",IF(Tabla1[[#This Row],[ALTAS]]="ALTA",VLOOKUP(Tabla1[[#This Row],[MES DE ALTA ]],$AT$6:$AU$17,2,FALSE),12)-VLOOKUP(Tabla1[[#This Row],[MES DE BAJA ]],$AT$6:$AU$17,2,FALSE),0)</f>
        <v>0</v>
      </c>
      <c r="Y240" s="69">
        <f>SUM(Tabla1[[#This Row],[MES ADEUDO DE AÑOS PASADOS ]:[MESES DE ADEUDO DEL AÑO EN CURSO ]])</f>
        <v>0</v>
      </c>
      <c r="Z240" s="15">
        <f>IF(Tabla1[[#This Row],[TIPO DE CONSUMIDOR]]="COMPLETO",W240*$T$2,W240*($T$2/2))</f>
        <v>0</v>
      </c>
      <c r="AA240" s="15">
        <f>IF(Tabla1[[#This Row],[TIPO DE CONSUMIDOR]]="COMPLETO",Tabla1[[#This Row],[MESES DE ADEUDO DEL AÑO EN CURSO ]]*$T$2,Tabla1[[#This Row],[MESES DE ADEUDO DEL AÑO EN CURSO ]]*($T$2/2))</f>
        <v>0</v>
      </c>
      <c r="AB240" s="70">
        <f>SUM(Tabla1[[#This Row],[DEUDA DE LOS MESES PASADOS EN $$]:[DEUDA DEL AÑO 2013 $$ ]])</f>
        <v>0</v>
      </c>
      <c r="AE240" s="103">
        <f>IF(Tabla1[[#This Row],[TIPO DE CONSUMIDOR]]="MEDIO",IF(Tabla1[[#This Row],[ENERO ]]&gt;22.5,Tabla1[[#This Row],[ENERO ]]/22.5-1,0),IF(Tabla1[[#This Row],[ENERO ]]&gt;45,Tabla1[[#This Row],[ENERO ]]/45-1,0))</f>
        <v>0</v>
      </c>
      <c r="AF24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0" s="103">
        <f>IF(Tabla1[[#This Row],[TIPO DE CONSUMIDOR]]="MEDIO",IF(Tabla1[[#This Row],[MARZO]]&gt;22.5,Tabla1[[#This Row],[MARZO]]/22.5-1,0),IF(Tabla1[[#This Row],[MARZO]]&gt;45,Tabla1[[#This Row],[MARZO]]/45-1,0))</f>
        <v>0</v>
      </c>
      <c r="AH240" s="103">
        <f>IF(Tabla1[[#This Row],[TIPO DE CONSUMIDOR]]="MEDIO",IF(Tabla1[[#This Row],[ABRIL]]&gt;22.5,Tabla1[[#This Row],[ABRIL]]/22.5-1,0),IF(Tabla1[[#This Row],[ABRIL]]&gt;45,Tabla1[[#This Row],[ABRIL]]/45-1,0))</f>
        <v>0</v>
      </c>
      <c r="AI240" s="103">
        <f>IF(Tabla1[[#This Row],[TIPO DE CONSUMIDOR]]="MEDIO",IF(Tabla1[[#This Row],[MAYO ]]&gt;22.5,Tabla1[[#This Row],[MAYO ]]/22.5-1,0),IF(Tabla1[[#This Row],[MAYO ]]&gt;45,Tabla1[[#This Row],[MAYO ]]/45-1,0))</f>
        <v>0</v>
      </c>
      <c r="AJ240" s="103">
        <f>IF(Tabla1[[#This Row],[TIPO DE CONSUMIDOR]]="MEDIO",IF(Tabla1[[#This Row],[JUNIO ]]&gt;22.5,Tabla1[[#This Row],[JUNIO ]]/22.5-1,0),IF(Tabla1[[#This Row],[JUNIO ]]&gt;45,Tabla1[[#This Row],[JUNIO ]]/45-1,0))</f>
        <v>0</v>
      </c>
      <c r="AK240" s="103">
        <f>IF(Tabla1[[#This Row],[TIPO DE CONSUMIDOR]]="MEDIO",IF(Tabla1[[#This Row],[JULIO ]]&gt;22.5,Tabla1[[#This Row],[JULIO ]]/22.5-1,0),IF(Tabla1[[#This Row],[JULIO ]]&gt;45,Tabla1[[#This Row],[JULIO ]]/45-1,0))</f>
        <v>0</v>
      </c>
      <c r="AL240" s="103">
        <f>IF(Tabla1[[#This Row],[TIPO DE CONSUMIDOR]]="MEDIO",IF(Tabla1[[#This Row],[AGOSTO]]&gt;22.5,Tabla1[[#This Row],[AGOSTO]]/22.5-1,0),IF(Tabla1[[#This Row],[AGOSTO]]&gt;45,Tabla1[[#This Row],[AGOSTO]]/45-1,0))</f>
        <v>0</v>
      </c>
      <c r="AM24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0" s="104">
        <f t="shared" si="8"/>
        <v>0</v>
      </c>
      <c r="AR240" s="9">
        <f t="shared" si="7"/>
        <v>0</v>
      </c>
      <c r="AS240" s="60">
        <f>IF(Tabla1[[#This Row],[MESES DE ADEUDO DEL AÑO EN CURSO ]]&gt;0,1,0)</f>
        <v>0</v>
      </c>
      <c r="AT240" s="42"/>
      <c r="AU240" s="42"/>
      <c r="AV240" s="42"/>
      <c r="AW240" s="43"/>
    </row>
    <row r="241" spans="1:49" ht="21.75" thickBot="1" x14ac:dyDescent="0.35">
      <c r="A241" s="109">
        <v>235</v>
      </c>
      <c r="B241" s="5" t="s">
        <v>576</v>
      </c>
      <c r="C241" s="2" t="s">
        <v>575</v>
      </c>
      <c r="D241" s="32"/>
      <c r="E241" s="35" t="s">
        <v>455</v>
      </c>
      <c r="F241" s="34">
        <v>0</v>
      </c>
      <c r="G241" s="34">
        <v>45</v>
      </c>
      <c r="H241" s="34">
        <v>45</v>
      </c>
      <c r="I241" s="34">
        <v>45</v>
      </c>
      <c r="J241" s="34">
        <v>45</v>
      </c>
      <c r="K241" s="34">
        <v>45</v>
      </c>
      <c r="L241" s="34">
        <v>45</v>
      </c>
      <c r="M241" s="34">
        <v>45</v>
      </c>
      <c r="N241" s="34">
        <v>45</v>
      </c>
      <c r="O241" s="34">
        <v>45</v>
      </c>
      <c r="P241" s="34">
        <v>45</v>
      </c>
      <c r="Q241" s="34">
        <v>45</v>
      </c>
      <c r="R241" s="24">
        <f>SUM(Tabla1[[#This Row],[ENERO ]:[DICIEMBRE]])</f>
        <v>495</v>
      </c>
      <c r="S241" t="s">
        <v>626</v>
      </c>
      <c r="T241" t="s">
        <v>434</v>
      </c>
      <c r="U241" t="s">
        <v>625</v>
      </c>
      <c r="V241" t="s">
        <v>1</v>
      </c>
      <c r="W241" s="65">
        <v>0</v>
      </c>
      <c r="X241" s="21">
        <f>COUNTIF(Tabla1[[#This Row],[ENERO ]:[DICIEMBRE]],0)-(AQ241)-IF(Tabla1[[#This Row],[BAJAS]]="BAJA",IF(Tabla1[[#This Row],[ALTAS]]="ALTA",VLOOKUP(Tabla1[[#This Row],[MES DE ALTA ]],$AT$6:$AU$17,2,FALSE),12)-VLOOKUP(Tabla1[[#This Row],[MES DE BAJA ]],$AT$6:$AU$17,2,FALSE),0)</f>
        <v>0</v>
      </c>
      <c r="Y241" s="69">
        <f>SUM(Tabla1[[#This Row],[MES ADEUDO DE AÑOS PASADOS ]:[MESES DE ADEUDO DEL AÑO EN CURSO ]])</f>
        <v>0</v>
      </c>
      <c r="Z241" s="15">
        <f>IF(Tabla1[[#This Row],[TIPO DE CONSUMIDOR]]="COMPLETO",W241*$T$2,W241*($T$2/2))</f>
        <v>0</v>
      </c>
      <c r="AA241" s="15">
        <f>IF(Tabla1[[#This Row],[TIPO DE CONSUMIDOR]]="COMPLETO",Tabla1[[#This Row],[MESES DE ADEUDO DEL AÑO EN CURSO ]]*$T$2,Tabla1[[#This Row],[MESES DE ADEUDO DEL AÑO EN CURSO ]]*($T$2/2))</f>
        <v>0</v>
      </c>
      <c r="AB241" s="70">
        <f>SUM(Tabla1[[#This Row],[DEUDA DE LOS MESES PASADOS EN $$]:[DEUDA DEL AÑO 2013 $$ ]])</f>
        <v>0</v>
      </c>
      <c r="AE241" s="103">
        <f>IF(Tabla1[[#This Row],[TIPO DE CONSUMIDOR]]="MEDIO",IF(Tabla1[[#This Row],[ENERO ]]&gt;22.5,Tabla1[[#This Row],[ENERO ]]/22.5-1,0),IF(Tabla1[[#This Row],[ENERO ]]&gt;45,Tabla1[[#This Row],[ENERO ]]/45-1,0))</f>
        <v>0</v>
      </c>
      <c r="AF24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1" s="103">
        <f>IF(Tabla1[[#This Row],[TIPO DE CONSUMIDOR]]="MEDIO",IF(Tabla1[[#This Row],[MARZO]]&gt;22.5,Tabla1[[#This Row],[MARZO]]/22.5-1,0),IF(Tabla1[[#This Row],[MARZO]]&gt;45,Tabla1[[#This Row],[MARZO]]/45-1,0))</f>
        <v>0</v>
      </c>
      <c r="AH241" s="103">
        <f>IF(Tabla1[[#This Row],[TIPO DE CONSUMIDOR]]="MEDIO",IF(Tabla1[[#This Row],[ABRIL]]&gt;22.5,Tabla1[[#This Row],[ABRIL]]/22.5-1,0),IF(Tabla1[[#This Row],[ABRIL]]&gt;45,Tabla1[[#This Row],[ABRIL]]/45-1,0))</f>
        <v>0</v>
      </c>
      <c r="AI241" s="103">
        <f>IF(Tabla1[[#This Row],[TIPO DE CONSUMIDOR]]="MEDIO",IF(Tabla1[[#This Row],[MAYO ]]&gt;22.5,Tabla1[[#This Row],[MAYO ]]/22.5-1,0),IF(Tabla1[[#This Row],[MAYO ]]&gt;45,Tabla1[[#This Row],[MAYO ]]/45-1,0))</f>
        <v>0</v>
      </c>
      <c r="AJ241" s="103">
        <f>IF(Tabla1[[#This Row],[TIPO DE CONSUMIDOR]]="MEDIO",IF(Tabla1[[#This Row],[JUNIO ]]&gt;22.5,Tabla1[[#This Row],[JUNIO ]]/22.5-1,0),IF(Tabla1[[#This Row],[JUNIO ]]&gt;45,Tabla1[[#This Row],[JUNIO ]]/45-1,0))</f>
        <v>0</v>
      </c>
      <c r="AK241" s="103">
        <f>IF(Tabla1[[#This Row],[TIPO DE CONSUMIDOR]]="MEDIO",IF(Tabla1[[#This Row],[JULIO ]]&gt;22.5,Tabla1[[#This Row],[JULIO ]]/22.5-1,0),IF(Tabla1[[#This Row],[JULIO ]]&gt;45,Tabla1[[#This Row],[JULIO ]]/45-1,0))</f>
        <v>0</v>
      </c>
      <c r="AL241" s="103">
        <f>IF(Tabla1[[#This Row],[TIPO DE CONSUMIDOR]]="MEDIO",IF(Tabla1[[#This Row],[AGOSTO]]&gt;22.5,Tabla1[[#This Row],[AGOSTO]]/22.5-1,0),IF(Tabla1[[#This Row],[AGOSTO]]&gt;45,Tabla1[[#This Row],[AGOSTO]]/45-1,0))</f>
        <v>0</v>
      </c>
      <c r="AM24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1" s="104">
        <f t="shared" si="8"/>
        <v>0</v>
      </c>
      <c r="AR241" s="9">
        <f t="shared" si="7"/>
        <v>0</v>
      </c>
      <c r="AS241" s="60">
        <f>IF(Tabla1[[#This Row],[MESES DE ADEUDO DEL AÑO EN CURSO ]]&gt;0,1,0)</f>
        <v>0</v>
      </c>
      <c r="AT241" s="42"/>
      <c r="AU241" s="42"/>
      <c r="AV241" s="42"/>
      <c r="AW241" s="43"/>
    </row>
    <row r="242" spans="1:49" ht="21.75" thickBot="1" x14ac:dyDescent="0.35">
      <c r="A242" s="109">
        <v>236</v>
      </c>
      <c r="B242" s="5" t="s">
        <v>247</v>
      </c>
      <c r="C242" s="2" t="s">
        <v>575</v>
      </c>
      <c r="D242" s="32"/>
      <c r="E242" s="35" t="s">
        <v>455</v>
      </c>
      <c r="F242" s="34">
        <v>45</v>
      </c>
      <c r="G242" s="34">
        <v>45</v>
      </c>
      <c r="H242" s="34">
        <v>45</v>
      </c>
      <c r="I242" s="34">
        <v>45</v>
      </c>
      <c r="J242" s="34">
        <v>45</v>
      </c>
      <c r="K242" s="34">
        <v>45</v>
      </c>
      <c r="L242" s="34">
        <v>45</v>
      </c>
      <c r="M242" s="34">
        <v>45</v>
      </c>
      <c r="N242" s="34">
        <v>45</v>
      </c>
      <c r="O242" s="34">
        <v>45</v>
      </c>
      <c r="P242" s="34">
        <v>45</v>
      </c>
      <c r="Q242" s="34">
        <v>45</v>
      </c>
      <c r="R242" s="24">
        <f>SUM(Tabla1[[#This Row],[ENERO ]:[DICIEMBRE]])</f>
        <v>540</v>
      </c>
      <c r="W242" s="65">
        <v>0</v>
      </c>
      <c r="X242" s="21">
        <f>COUNTIF(Tabla1[[#This Row],[ENERO ]:[DICIEMBRE]],0)-(AQ242)-IF(Tabla1[[#This Row],[BAJAS]]="BAJA",IF(Tabla1[[#This Row],[ALTAS]]="ALTA",VLOOKUP(Tabla1[[#This Row],[MES DE ALTA ]],$AT$6:$AU$17,2,FALSE),12)-VLOOKUP(Tabla1[[#This Row],[MES DE BAJA ]],$AT$6:$AU$17,2,FALSE),0)</f>
        <v>0</v>
      </c>
      <c r="Y242" s="69">
        <f>SUM(Tabla1[[#This Row],[MES ADEUDO DE AÑOS PASADOS ]:[MESES DE ADEUDO DEL AÑO EN CURSO ]])</f>
        <v>0</v>
      </c>
      <c r="Z242" s="15">
        <f>IF(Tabla1[[#This Row],[TIPO DE CONSUMIDOR]]="COMPLETO",W242*$T$2,W242*($T$2/2))</f>
        <v>0</v>
      </c>
      <c r="AA242" s="15">
        <f>IF(Tabla1[[#This Row],[TIPO DE CONSUMIDOR]]="COMPLETO",Tabla1[[#This Row],[MESES DE ADEUDO DEL AÑO EN CURSO ]]*$T$2,Tabla1[[#This Row],[MESES DE ADEUDO DEL AÑO EN CURSO ]]*($T$2/2))</f>
        <v>0</v>
      </c>
      <c r="AB242" s="70">
        <f>SUM(Tabla1[[#This Row],[DEUDA DE LOS MESES PASADOS EN $$]:[DEUDA DEL AÑO 2013 $$ ]])</f>
        <v>0</v>
      </c>
      <c r="AE242" s="103">
        <f>IF(Tabla1[[#This Row],[TIPO DE CONSUMIDOR]]="MEDIO",IF(Tabla1[[#This Row],[ENERO ]]&gt;22.5,Tabla1[[#This Row],[ENERO ]]/22.5-1,0),IF(Tabla1[[#This Row],[ENERO ]]&gt;45,Tabla1[[#This Row],[ENERO ]]/45-1,0))</f>
        <v>0</v>
      </c>
      <c r="AF24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2" s="103">
        <f>IF(Tabla1[[#This Row],[TIPO DE CONSUMIDOR]]="MEDIO",IF(Tabla1[[#This Row],[MARZO]]&gt;22.5,Tabla1[[#This Row],[MARZO]]/22.5-1,0),IF(Tabla1[[#This Row],[MARZO]]&gt;45,Tabla1[[#This Row],[MARZO]]/45-1,0))</f>
        <v>0</v>
      </c>
      <c r="AH242" s="103">
        <f>IF(Tabla1[[#This Row],[TIPO DE CONSUMIDOR]]="MEDIO",IF(Tabla1[[#This Row],[ABRIL]]&gt;22.5,Tabla1[[#This Row],[ABRIL]]/22.5-1,0),IF(Tabla1[[#This Row],[ABRIL]]&gt;45,Tabla1[[#This Row],[ABRIL]]/45-1,0))</f>
        <v>0</v>
      </c>
      <c r="AI242" s="103">
        <f>IF(Tabla1[[#This Row],[TIPO DE CONSUMIDOR]]="MEDIO",IF(Tabla1[[#This Row],[MAYO ]]&gt;22.5,Tabla1[[#This Row],[MAYO ]]/22.5-1,0),IF(Tabla1[[#This Row],[MAYO ]]&gt;45,Tabla1[[#This Row],[MAYO ]]/45-1,0))</f>
        <v>0</v>
      </c>
      <c r="AJ242" s="103">
        <f>IF(Tabla1[[#This Row],[TIPO DE CONSUMIDOR]]="MEDIO",IF(Tabla1[[#This Row],[JUNIO ]]&gt;22.5,Tabla1[[#This Row],[JUNIO ]]/22.5-1,0),IF(Tabla1[[#This Row],[JUNIO ]]&gt;45,Tabla1[[#This Row],[JUNIO ]]/45-1,0))</f>
        <v>0</v>
      </c>
      <c r="AK242" s="103">
        <f>IF(Tabla1[[#This Row],[TIPO DE CONSUMIDOR]]="MEDIO",IF(Tabla1[[#This Row],[JULIO ]]&gt;22.5,Tabla1[[#This Row],[JULIO ]]/22.5-1,0),IF(Tabla1[[#This Row],[JULIO ]]&gt;45,Tabla1[[#This Row],[JULIO ]]/45-1,0))</f>
        <v>0</v>
      </c>
      <c r="AL242" s="103">
        <f>IF(Tabla1[[#This Row],[TIPO DE CONSUMIDOR]]="MEDIO",IF(Tabla1[[#This Row],[AGOSTO]]&gt;22.5,Tabla1[[#This Row],[AGOSTO]]/22.5-1,0),IF(Tabla1[[#This Row],[AGOSTO]]&gt;45,Tabla1[[#This Row],[AGOSTO]]/45-1,0))</f>
        <v>0</v>
      </c>
      <c r="AM24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2" s="104">
        <f t="shared" si="8"/>
        <v>0</v>
      </c>
      <c r="AR242" s="9">
        <f t="shared" si="7"/>
        <v>0</v>
      </c>
      <c r="AS242" s="60">
        <f>IF(Tabla1[[#This Row],[MESES DE ADEUDO DEL AÑO EN CURSO ]]&gt;0,1,0)</f>
        <v>0</v>
      </c>
      <c r="AT242" s="42"/>
      <c r="AU242" s="42"/>
      <c r="AV242" s="42"/>
      <c r="AW242" s="43"/>
    </row>
    <row r="243" spans="1:49" ht="21.75" thickBot="1" x14ac:dyDescent="0.35">
      <c r="A243" s="109">
        <v>237</v>
      </c>
      <c r="B243" s="5" t="s">
        <v>326</v>
      </c>
      <c r="C243" s="2" t="s">
        <v>575</v>
      </c>
      <c r="D243" s="32"/>
      <c r="E243" s="35" t="s">
        <v>455</v>
      </c>
      <c r="F243" s="34">
        <v>0</v>
      </c>
      <c r="G243" s="34">
        <v>0</v>
      </c>
      <c r="H243" s="34">
        <v>0</v>
      </c>
      <c r="I243" s="34">
        <v>0</v>
      </c>
      <c r="J243" s="34">
        <v>0</v>
      </c>
      <c r="K243" s="34">
        <v>0</v>
      </c>
      <c r="L243" s="34">
        <v>0</v>
      </c>
      <c r="M243" s="34">
        <v>0</v>
      </c>
      <c r="N243" s="34">
        <v>0</v>
      </c>
      <c r="O243" s="34">
        <v>0</v>
      </c>
      <c r="P243" s="34">
        <v>0</v>
      </c>
      <c r="Q243" s="34">
        <v>0</v>
      </c>
      <c r="R243" s="58">
        <f>SUM(Tabla1[[#This Row],[ENERO ]:[DICIEMBRE]])</f>
        <v>0</v>
      </c>
      <c r="S243" t="s">
        <v>626</v>
      </c>
      <c r="T243" t="s">
        <v>434</v>
      </c>
      <c r="W243" s="65">
        <v>0</v>
      </c>
      <c r="X243" s="21">
        <f>COUNTIF(Tabla1[[#This Row],[ENERO ]:[DICIEMBRE]],0)-(AQ243)-IF(Tabla1[[#This Row],[BAJAS]]="BAJA",IF(Tabla1[[#This Row],[ALTAS]]="ALTA",VLOOKUP(Tabla1[[#This Row],[MES DE ALTA ]],$AT$6:$AU$17,2,FALSE),12)-VLOOKUP(Tabla1[[#This Row],[MES DE BAJA ]],$AT$6:$AU$17,2,FALSE),0)</f>
        <v>0</v>
      </c>
      <c r="Y243" s="69">
        <f>SUM(Tabla1[[#This Row],[MES ADEUDO DE AÑOS PASADOS ]:[MESES DE ADEUDO DEL AÑO EN CURSO ]])</f>
        <v>0</v>
      </c>
      <c r="Z243" s="15">
        <f>IF(Tabla1[[#This Row],[TIPO DE CONSUMIDOR]]="COMPLETO",W243*$T$2,W243*($T$2/2))</f>
        <v>0</v>
      </c>
      <c r="AA243" s="15">
        <f>IF(Tabla1[[#This Row],[TIPO DE CONSUMIDOR]]="COMPLETO",Tabla1[[#This Row],[MESES DE ADEUDO DEL AÑO EN CURSO ]]*$T$2,Tabla1[[#This Row],[MESES DE ADEUDO DEL AÑO EN CURSO ]]*($T$2/2))</f>
        <v>0</v>
      </c>
      <c r="AB243" s="70">
        <f>SUM(Tabla1[[#This Row],[DEUDA DE LOS MESES PASADOS EN $$]:[DEUDA DEL AÑO 2013 $$ ]])</f>
        <v>0</v>
      </c>
      <c r="AE243" s="103">
        <f>IF(Tabla1[[#This Row],[TIPO DE CONSUMIDOR]]="MEDIO",IF(Tabla1[[#This Row],[ENERO ]]&gt;22.5,Tabla1[[#This Row],[ENERO ]]/22.5-1,0),IF(Tabla1[[#This Row],[ENERO ]]&gt;45,Tabla1[[#This Row],[ENERO ]]/45-1,0))</f>
        <v>0</v>
      </c>
      <c r="AF24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3" s="103">
        <f>IF(Tabla1[[#This Row],[TIPO DE CONSUMIDOR]]="MEDIO",IF(Tabla1[[#This Row],[MARZO]]&gt;22.5,Tabla1[[#This Row],[MARZO]]/22.5-1,0),IF(Tabla1[[#This Row],[MARZO]]&gt;45,Tabla1[[#This Row],[MARZO]]/45-1,0))</f>
        <v>0</v>
      </c>
      <c r="AH243" s="103">
        <f>IF(Tabla1[[#This Row],[TIPO DE CONSUMIDOR]]="MEDIO",IF(Tabla1[[#This Row],[ABRIL]]&gt;22.5,Tabla1[[#This Row],[ABRIL]]/22.5-1,0),IF(Tabla1[[#This Row],[ABRIL]]&gt;45,Tabla1[[#This Row],[ABRIL]]/45-1,0))</f>
        <v>0</v>
      </c>
      <c r="AI243" s="103">
        <f>IF(Tabla1[[#This Row],[TIPO DE CONSUMIDOR]]="MEDIO",IF(Tabla1[[#This Row],[MAYO ]]&gt;22.5,Tabla1[[#This Row],[MAYO ]]/22.5-1,0),IF(Tabla1[[#This Row],[MAYO ]]&gt;45,Tabla1[[#This Row],[MAYO ]]/45-1,0))</f>
        <v>0</v>
      </c>
      <c r="AJ243" s="103">
        <f>IF(Tabla1[[#This Row],[TIPO DE CONSUMIDOR]]="MEDIO",IF(Tabla1[[#This Row],[JUNIO ]]&gt;22.5,Tabla1[[#This Row],[JUNIO ]]/22.5-1,0),IF(Tabla1[[#This Row],[JUNIO ]]&gt;45,Tabla1[[#This Row],[JUNIO ]]/45-1,0))</f>
        <v>0</v>
      </c>
      <c r="AK243" s="103">
        <f>IF(Tabla1[[#This Row],[TIPO DE CONSUMIDOR]]="MEDIO",IF(Tabla1[[#This Row],[JULIO ]]&gt;22.5,Tabla1[[#This Row],[JULIO ]]/22.5-1,0),IF(Tabla1[[#This Row],[JULIO ]]&gt;45,Tabla1[[#This Row],[JULIO ]]/45-1,0))</f>
        <v>0</v>
      </c>
      <c r="AL243" s="103">
        <f>IF(Tabla1[[#This Row],[TIPO DE CONSUMIDOR]]="MEDIO",IF(Tabla1[[#This Row],[AGOSTO]]&gt;22.5,Tabla1[[#This Row],[AGOSTO]]/22.5-1,0),IF(Tabla1[[#This Row],[AGOSTO]]&gt;45,Tabla1[[#This Row],[AGOSTO]]/45-1,0))</f>
        <v>0</v>
      </c>
      <c r="AM24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3" s="104">
        <f t="shared" si="8"/>
        <v>0</v>
      </c>
      <c r="AR243" s="9">
        <f t="shared" si="7"/>
        <v>0</v>
      </c>
      <c r="AS243" s="60">
        <f>IF(Tabla1[[#This Row],[MESES DE ADEUDO DEL AÑO EN CURSO ]]&gt;0,1,0)</f>
        <v>0</v>
      </c>
      <c r="AT243" s="42"/>
      <c r="AU243" s="42"/>
      <c r="AV243" s="42"/>
      <c r="AW243" s="43"/>
    </row>
    <row r="244" spans="1:49" ht="21.75" thickBot="1" x14ac:dyDescent="0.35">
      <c r="A244" s="109">
        <v>238</v>
      </c>
      <c r="B244" s="5" t="s">
        <v>381</v>
      </c>
      <c r="C244" s="2" t="s">
        <v>575</v>
      </c>
      <c r="D244" s="32"/>
      <c r="E244" s="35" t="s">
        <v>455</v>
      </c>
      <c r="F244" s="34">
        <v>45</v>
      </c>
      <c r="G244" s="34">
        <v>45</v>
      </c>
      <c r="H244" s="34">
        <v>45</v>
      </c>
      <c r="I244" s="34">
        <v>45</v>
      </c>
      <c r="J244" s="34">
        <v>45</v>
      </c>
      <c r="K244" s="34">
        <v>45</v>
      </c>
      <c r="L244" s="34">
        <v>45</v>
      </c>
      <c r="M244" s="34">
        <v>45</v>
      </c>
      <c r="N244" s="34">
        <v>45</v>
      </c>
      <c r="O244" s="34">
        <v>45</v>
      </c>
      <c r="P244" s="34">
        <v>45</v>
      </c>
      <c r="Q244" s="34">
        <v>45</v>
      </c>
      <c r="R244" s="24">
        <f>SUM(Tabla1[[#This Row],[ENERO ]:[DICIEMBRE]])</f>
        <v>540</v>
      </c>
      <c r="W244" s="65">
        <v>0</v>
      </c>
      <c r="X244" s="21">
        <f>COUNTIF(Tabla1[[#This Row],[ENERO ]:[DICIEMBRE]],0)-(AQ244)-IF(Tabla1[[#This Row],[BAJAS]]="BAJA",IF(Tabla1[[#This Row],[ALTAS]]="ALTA",VLOOKUP(Tabla1[[#This Row],[MES DE ALTA ]],$AT$6:$AU$17,2,FALSE),12)-VLOOKUP(Tabla1[[#This Row],[MES DE BAJA ]],$AT$6:$AU$17,2,FALSE),0)</f>
        <v>0</v>
      </c>
      <c r="Y244" s="69">
        <f>SUM(Tabla1[[#This Row],[MES ADEUDO DE AÑOS PASADOS ]:[MESES DE ADEUDO DEL AÑO EN CURSO ]])</f>
        <v>0</v>
      </c>
      <c r="Z244" s="15">
        <f>IF(Tabla1[[#This Row],[TIPO DE CONSUMIDOR]]="COMPLETO",W244*$T$2,W244*($T$2/2))</f>
        <v>0</v>
      </c>
      <c r="AA244" s="15">
        <f>IF(Tabla1[[#This Row],[TIPO DE CONSUMIDOR]]="COMPLETO",Tabla1[[#This Row],[MESES DE ADEUDO DEL AÑO EN CURSO ]]*$T$2,Tabla1[[#This Row],[MESES DE ADEUDO DEL AÑO EN CURSO ]]*($T$2/2))</f>
        <v>0</v>
      </c>
      <c r="AB244" s="70">
        <f>SUM(Tabla1[[#This Row],[DEUDA DE LOS MESES PASADOS EN $$]:[DEUDA DEL AÑO 2013 $$ ]])</f>
        <v>0</v>
      </c>
      <c r="AE244" s="103">
        <f>IF(Tabla1[[#This Row],[TIPO DE CONSUMIDOR]]="MEDIO",IF(Tabla1[[#This Row],[ENERO ]]&gt;22.5,Tabla1[[#This Row],[ENERO ]]/22.5-1,0),IF(Tabla1[[#This Row],[ENERO ]]&gt;45,Tabla1[[#This Row],[ENERO ]]/45-1,0))</f>
        <v>0</v>
      </c>
      <c r="AF24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4" s="103">
        <f>IF(Tabla1[[#This Row],[TIPO DE CONSUMIDOR]]="MEDIO",IF(Tabla1[[#This Row],[MARZO]]&gt;22.5,Tabla1[[#This Row],[MARZO]]/22.5-1,0),IF(Tabla1[[#This Row],[MARZO]]&gt;45,Tabla1[[#This Row],[MARZO]]/45-1,0))</f>
        <v>0</v>
      </c>
      <c r="AH244" s="103">
        <f>IF(Tabla1[[#This Row],[TIPO DE CONSUMIDOR]]="MEDIO",IF(Tabla1[[#This Row],[ABRIL]]&gt;22.5,Tabla1[[#This Row],[ABRIL]]/22.5-1,0),IF(Tabla1[[#This Row],[ABRIL]]&gt;45,Tabla1[[#This Row],[ABRIL]]/45-1,0))</f>
        <v>0</v>
      </c>
      <c r="AI244" s="103">
        <f>IF(Tabla1[[#This Row],[TIPO DE CONSUMIDOR]]="MEDIO",IF(Tabla1[[#This Row],[MAYO ]]&gt;22.5,Tabla1[[#This Row],[MAYO ]]/22.5-1,0),IF(Tabla1[[#This Row],[MAYO ]]&gt;45,Tabla1[[#This Row],[MAYO ]]/45-1,0))</f>
        <v>0</v>
      </c>
      <c r="AJ244" s="103">
        <f>IF(Tabla1[[#This Row],[TIPO DE CONSUMIDOR]]="MEDIO",IF(Tabla1[[#This Row],[JUNIO ]]&gt;22.5,Tabla1[[#This Row],[JUNIO ]]/22.5-1,0),IF(Tabla1[[#This Row],[JUNIO ]]&gt;45,Tabla1[[#This Row],[JUNIO ]]/45-1,0))</f>
        <v>0</v>
      </c>
      <c r="AK244" s="103">
        <f>IF(Tabla1[[#This Row],[TIPO DE CONSUMIDOR]]="MEDIO",IF(Tabla1[[#This Row],[JULIO ]]&gt;22.5,Tabla1[[#This Row],[JULIO ]]/22.5-1,0),IF(Tabla1[[#This Row],[JULIO ]]&gt;45,Tabla1[[#This Row],[JULIO ]]/45-1,0))</f>
        <v>0</v>
      </c>
      <c r="AL244" s="103">
        <f>IF(Tabla1[[#This Row],[TIPO DE CONSUMIDOR]]="MEDIO",IF(Tabla1[[#This Row],[AGOSTO]]&gt;22.5,Tabla1[[#This Row],[AGOSTO]]/22.5-1,0),IF(Tabla1[[#This Row],[AGOSTO]]&gt;45,Tabla1[[#This Row],[AGOSTO]]/45-1,0))</f>
        <v>0</v>
      </c>
      <c r="AM24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4" s="104">
        <f t="shared" si="8"/>
        <v>0</v>
      </c>
      <c r="AR244" s="9">
        <f t="shared" si="7"/>
        <v>0</v>
      </c>
      <c r="AS244" s="60">
        <f>IF(Tabla1[[#This Row],[MESES DE ADEUDO DEL AÑO EN CURSO ]]&gt;0,1,0)</f>
        <v>0</v>
      </c>
      <c r="AT244" s="42"/>
      <c r="AU244" s="42"/>
      <c r="AV244" s="42"/>
      <c r="AW244" s="43"/>
    </row>
    <row r="245" spans="1:49" ht="21.75" thickBot="1" x14ac:dyDescent="0.35">
      <c r="A245" s="109">
        <v>239</v>
      </c>
      <c r="B245" s="5" t="s">
        <v>425</v>
      </c>
      <c r="C245" s="2" t="s">
        <v>575</v>
      </c>
      <c r="D245" s="32"/>
      <c r="E245" s="35" t="s">
        <v>455</v>
      </c>
      <c r="F245" s="34">
        <v>45</v>
      </c>
      <c r="G245" s="34">
        <v>45</v>
      </c>
      <c r="H245" s="34">
        <v>45</v>
      </c>
      <c r="I245" s="34">
        <v>45</v>
      </c>
      <c r="J245" s="34">
        <v>45</v>
      </c>
      <c r="K245" s="34">
        <v>45</v>
      </c>
      <c r="L245" s="34">
        <v>45</v>
      </c>
      <c r="M245" s="34">
        <v>45</v>
      </c>
      <c r="N245" s="34">
        <v>45</v>
      </c>
      <c r="O245" s="34">
        <v>45</v>
      </c>
      <c r="P245" s="34">
        <v>45</v>
      </c>
      <c r="Q245" s="34">
        <v>45</v>
      </c>
      <c r="R245" s="24">
        <f>SUM(Tabla1[[#This Row],[ENERO ]:[DICIEMBRE]])</f>
        <v>540</v>
      </c>
      <c r="W245" s="65">
        <v>0</v>
      </c>
      <c r="X245" s="21">
        <f>COUNTIF(Tabla1[[#This Row],[ENERO ]:[DICIEMBRE]],0)-(AQ245)-IF(Tabla1[[#This Row],[BAJAS]]="BAJA",IF(Tabla1[[#This Row],[ALTAS]]="ALTA",VLOOKUP(Tabla1[[#This Row],[MES DE ALTA ]],$AT$6:$AU$17,2,FALSE),12)-VLOOKUP(Tabla1[[#This Row],[MES DE BAJA ]],$AT$6:$AU$17,2,FALSE),0)</f>
        <v>0</v>
      </c>
      <c r="Y245" s="69">
        <f>SUM(Tabla1[[#This Row],[MES ADEUDO DE AÑOS PASADOS ]:[MESES DE ADEUDO DEL AÑO EN CURSO ]])</f>
        <v>0</v>
      </c>
      <c r="Z245" s="15">
        <f>IF(Tabla1[[#This Row],[TIPO DE CONSUMIDOR]]="COMPLETO",W245*$T$2,W245*($T$2/2))</f>
        <v>0</v>
      </c>
      <c r="AA245" s="15">
        <f>IF(Tabla1[[#This Row],[TIPO DE CONSUMIDOR]]="COMPLETO",Tabla1[[#This Row],[MESES DE ADEUDO DEL AÑO EN CURSO ]]*$T$2,Tabla1[[#This Row],[MESES DE ADEUDO DEL AÑO EN CURSO ]]*($T$2/2))</f>
        <v>0</v>
      </c>
      <c r="AB245" s="70">
        <f>SUM(Tabla1[[#This Row],[DEUDA DE LOS MESES PASADOS EN $$]:[DEUDA DEL AÑO 2013 $$ ]])</f>
        <v>0</v>
      </c>
      <c r="AE245" s="103">
        <f>IF(Tabla1[[#This Row],[TIPO DE CONSUMIDOR]]="MEDIO",IF(Tabla1[[#This Row],[ENERO ]]&gt;22.5,Tabla1[[#This Row],[ENERO ]]/22.5-1,0),IF(Tabla1[[#This Row],[ENERO ]]&gt;45,Tabla1[[#This Row],[ENERO ]]/45-1,0))</f>
        <v>0</v>
      </c>
      <c r="AF24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5" s="103">
        <f>IF(Tabla1[[#This Row],[TIPO DE CONSUMIDOR]]="MEDIO",IF(Tabla1[[#This Row],[MARZO]]&gt;22.5,Tabla1[[#This Row],[MARZO]]/22.5-1,0),IF(Tabla1[[#This Row],[MARZO]]&gt;45,Tabla1[[#This Row],[MARZO]]/45-1,0))</f>
        <v>0</v>
      </c>
      <c r="AH245" s="103">
        <f>IF(Tabla1[[#This Row],[TIPO DE CONSUMIDOR]]="MEDIO",IF(Tabla1[[#This Row],[ABRIL]]&gt;22.5,Tabla1[[#This Row],[ABRIL]]/22.5-1,0),IF(Tabla1[[#This Row],[ABRIL]]&gt;45,Tabla1[[#This Row],[ABRIL]]/45-1,0))</f>
        <v>0</v>
      </c>
      <c r="AI245" s="103">
        <f>IF(Tabla1[[#This Row],[TIPO DE CONSUMIDOR]]="MEDIO",IF(Tabla1[[#This Row],[MAYO ]]&gt;22.5,Tabla1[[#This Row],[MAYO ]]/22.5-1,0),IF(Tabla1[[#This Row],[MAYO ]]&gt;45,Tabla1[[#This Row],[MAYO ]]/45-1,0))</f>
        <v>0</v>
      </c>
      <c r="AJ245" s="103">
        <f>IF(Tabla1[[#This Row],[TIPO DE CONSUMIDOR]]="MEDIO",IF(Tabla1[[#This Row],[JUNIO ]]&gt;22.5,Tabla1[[#This Row],[JUNIO ]]/22.5-1,0),IF(Tabla1[[#This Row],[JUNIO ]]&gt;45,Tabla1[[#This Row],[JUNIO ]]/45-1,0))</f>
        <v>0</v>
      </c>
      <c r="AK245" s="103">
        <f>IF(Tabla1[[#This Row],[TIPO DE CONSUMIDOR]]="MEDIO",IF(Tabla1[[#This Row],[JULIO ]]&gt;22.5,Tabla1[[#This Row],[JULIO ]]/22.5-1,0),IF(Tabla1[[#This Row],[JULIO ]]&gt;45,Tabla1[[#This Row],[JULIO ]]/45-1,0))</f>
        <v>0</v>
      </c>
      <c r="AL245" s="103">
        <f>IF(Tabla1[[#This Row],[TIPO DE CONSUMIDOR]]="MEDIO",IF(Tabla1[[#This Row],[AGOSTO]]&gt;22.5,Tabla1[[#This Row],[AGOSTO]]/22.5-1,0),IF(Tabla1[[#This Row],[AGOSTO]]&gt;45,Tabla1[[#This Row],[AGOSTO]]/45-1,0))</f>
        <v>0</v>
      </c>
      <c r="AM24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5" s="104">
        <f t="shared" si="8"/>
        <v>0</v>
      </c>
      <c r="AR245" s="9">
        <f t="shared" si="7"/>
        <v>0</v>
      </c>
      <c r="AS245" s="60">
        <f>IF(Tabla1[[#This Row],[MESES DE ADEUDO DEL AÑO EN CURSO ]]&gt;0,1,0)</f>
        <v>0</v>
      </c>
      <c r="AT245" s="42"/>
      <c r="AU245" s="42"/>
      <c r="AV245" s="42"/>
      <c r="AW245" s="43"/>
    </row>
    <row r="246" spans="1:49" ht="21.75" thickBot="1" x14ac:dyDescent="0.35">
      <c r="A246" s="109">
        <v>240</v>
      </c>
      <c r="B246" s="49" t="s">
        <v>578</v>
      </c>
      <c r="C246" s="50"/>
      <c r="D246" s="51"/>
      <c r="E246" s="62" t="s">
        <v>455</v>
      </c>
      <c r="F246" s="34">
        <v>45</v>
      </c>
      <c r="G246" s="34">
        <v>45</v>
      </c>
      <c r="H246" s="34">
        <v>45</v>
      </c>
      <c r="I246" s="34">
        <v>45</v>
      </c>
      <c r="J246" s="34">
        <v>45</v>
      </c>
      <c r="K246" s="34">
        <v>45</v>
      </c>
      <c r="L246" s="34">
        <v>45</v>
      </c>
      <c r="M246" s="34">
        <v>45</v>
      </c>
      <c r="N246" s="34">
        <v>45</v>
      </c>
      <c r="O246" s="34">
        <v>45</v>
      </c>
      <c r="P246" s="34">
        <v>45</v>
      </c>
      <c r="Q246" s="34">
        <v>45</v>
      </c>
      <c r="R246" s="24">
        <f>SUM(Tabla1[[#This Row],[ENERO ]:[DICIEMBRE]])</f>
        <v>540</v>
      </c>
      <c r="W246" s="65">
        <v>0</v>
      </c>
      <c r="X246" s="21">
        <f>COUNTIF(Tabla1[[#This Row],[ENERO ]:[DICIEMBRE]],0)-(AQ246)-IF(Tabla1[[#This Row],[BAJAS]]="BAJA",IF(Tabla1[[#This Row],[ALTAS]]="ALTA",VLOOKUP(Tabla1[[#This Row],[MES DE ALTA ]],$AT$6:$AU$17,2,FALSE),12)-VLOOKUP(Tabla1[[#This Row],[MES DE BAJA ]],$AT$6:$AU$17,2,FALSE),0)</f>
        <v>0</v>
      </c>
      <c r="Y246" s="69">
        <f>SUM(Tabla1[[#This Row],[MES ADEUDO DE AÑOS PASADOS ]:[MESES DE ADEUDO DEL AÑO EN CURSO ]])</f>
        <v>0</v>
      </c>
      <c r="Z246" s="15">
        <f>IF(Tabla1[[#This Row],[TIPO DE CONSUMIDOR]]="COMPLETO",W246*$T$2,W246*($T$2/2))</f>
        <v>0</v>
      </c>
      <c r="AA246" s="15">
        <f>IF(Tabla1[[#This Row],[TIPO DE CONSUMIDOR]]="COMPLETO",Tabla1[[#This Row],[MESES DE ADEUDO DEL AÑO EN CURSO ]]*$T$2,Tabla1[[#This Row],[MESES DE ADEUDO DEL AÑO EN CURSO ]]*($T$2/2))</f>
        <v>0</v>
      </c>
      <c r="AB246" s="70">
        <f>SUM(Tabla1[[#This Row],[DEUDA DE LOS MESES PASADOS EN $$]:[DEUDA DEL AÑO 2013 $$ ]])</f>
        <v>0</v>
      </c>
      <c r="AE246" s="103">
        <f>IF(Tabla1[[#This Row],[TIPO DE CONSUMIDOR]]="MEDIO",IF(Tabla1[[#This Row],[ENERO ]]&gt;22.5,Tabla1[[#This Row],[ENERO ]]/22.5-1,0),IF(Tabla1[[#This Row],[ENERO ]]&gt;45,Tabla1[[#This Row],[ENERO ]]/45-1,0))</f>
        <v>0</v>
      </c>
      <c r="AF24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6" s="103">
        <f>IF(Tabla1[[#This Row],[TIPO DE CONSUMIDOR]]="MEDIO",IF(Tabla1[[#This Row],[MARZO]]&gt;22.5,Tabla1[[#This Row],[MARZO]]/22.5-1,0),IF(Tabla1[[#This Row],[MARZO]]&gt;45,Tabla1[[#This Row],[MARZO]]/45-1,0))</f>
        <v>0</v>
      </c>
      <c r="AH246" s="103">
        <f>IF(Tabla1[[#This Row],[TIPO DE CONSUMIDOR]]="MEDIO",IF(Tabla1[[#This Row],[ABRIL]]&gt;22.5,Tabla1[[#This Row],[ABRIL]]/22.5-1,0),IF(Tabla1[[#This Row],[ABRIL]]&gt;45,Tabla1[[#This Row],[ABRIL]]/45-1,0))</f>
        <v>0</v>
      </c>
      <c r="AI246" s="103">
        <f>IF(Tabla1[[#This Row],[TIPO DE CONSUMIDOR]]="MEDIO",IF(Tabla1[[#This Row],[MAYO ]]&gt;22.5,Tabla1[[#This Row],[MAYO ]]/22.5-1,0),IF(Tabla1[[#This Row],[MAYO ]]&gt;45,Tabla1[[#This Row],[MAYO ]]/45-1,0))</f>
        <v>0</v>
      </c>
      <c r="AJ246" s="103">
        <f>IF(Tabla1[[#This Row],[TIPO DE CONSUMIDOR]]="MEDIO",IF(Tabla1[[#This Row],[JUNIO ]]&gt;22.5,Tabla1[[#This Row],[JUNIO ]]/22.5-1,0),IF(Tabla1[[#This Row],[JUNIO ]]&gt;45,Tabla1[[#This Row],[JUNIO ]]/45-1,0))</f>
        <v>0</v>
      </c>
      <c r="AK246" s="103">
        <f>IF(Tabla1[[#This Row],[TIPO DE CONSUMIDOR]]="MEDIO",IF(Tabla1[[#This Row],[JULIO ]]&gt;22.5,Tabla1[[#This Row],[JULIO ]]/22.5-1,0),IF(Tabla1[[#This Row],[JULIO ]]&gt;45,Tabla1[[#This Row],[JULIO ]]/45-1,0))</f>
        <v>0</v>
      </c>
      <c r="AL246" s="103">
        <f>IF(Tabla1[[#This Row],[TIPO DE CONSUMIDOR]]="MEDIO",IF(Tabla1[[#This Row],[AGOSTO]]&gt;22.5,Tabla1[[#This Row],[AGOSTO]]/22.5-1,0),IF(Tabla1[[#This Row],[AGOSTO]]&gt;45,Tabla1[[#This Row],[AGOSTO]]/45-1,0))</f>
        <v>0</v>
      </c>
      <c r="AM24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6" s="104">
        <f t="shared" si="8"/>
        <v>0</v>
      </c>
      <c r="AR246" s="9">
        <f t="shared" si="7"/>
        <v>0</v>
      </c>
      <c r="AS246" s="60">
        <f>IF(Tabla1[[#This Row],[MESES DE ADEUDO DEL AÑO EN CURSO ]]&gt;0,1,0)</f>
        <v>0</v>
      </c>
      <c r="AT246" s="42"/>
      <c r="AU246" s="42"/>
      <c r="AV246" s="42"/>
      <c r="AW246" s="43"/>
    </row>
    <row r="247" spans="1:49" ht="21.75" thickBot="1" x14ac:dyDescent="0.35">
      <c r="A247" s="109">
        <v>241</v>
      </c>
      <c r="B247" s="5" t="s">
        <v>621</v>
      </c>
      <c r="C247" s="2"/>
      <c r="D247" s="32"/>
      <c r="E247" s="35" t="s">
        <v>455</v>
      </c>
      <c r="F247" s="34">
        <v>45</v>
      </c>
      <c r="G247" s="34">
        <v>45</v>
      </c>
      <c r="H247" s="34">
        <v>45</v>
      </c>
      <c r="I247" s="34">
        <v>45</v>
      </c>
      <c r="J247" s="34">
        <v>45</v>
      </c>
      <c r="K247" s="34">
        <v>45</v>
      </c>
      <c r="L247" s="34">
        <v>45</v>
      </c>
      <c r="M247" s="34">
        <v>45</v>
      </c>
      <c r="N247" s="34">
        <v>45</v>
      </c>
      <c r="O247" s="34">
        <v>45</v>
      </c>
      <c r="P247" s="34">
        <v>45</v>
      </c>
      <c r="Q247" s="34">
        <v>45</v>
      </c>
      <c r="R247" s="24">
        <f>SUM(Tabla1[[#This Row],[ENERO ]:[DICIEMBRE]])</f>
        <v>540</v>
      </c>
      <c r="W247" s="65">
        <v>0</v>
      </c>
      <c r="X247" s="21">
        <f>COUNTIF(Tabla1[[#This Row],[ENERO ]:[DICIEMBRE]],0)-(AQ247)-IF(Tabla1[[#This Row],[BAJAS]]="BAJA",IF(Tabla1[[#This Row],[ALTAS]]="ALTA",VLOOKUP(Tabla1[[#This Row],[MES DE ALTA ]],$AT$6:$AU$17,2,FALSE),12)-VLOOKUP(Tabla1[[#This Row],[MES DE BAJA ]],$AT$6:$AU$17,2,FALSE),0)</f>
        <v>0</v>
      </c>
      <c r="Y247" s="69">
        <f>SUM(Tabla1[[#This Row],[MES ADEUDO DE AÑOS PASADOS ]:[MESES DE ADEUDO DEL AÑO EN CURSO ]])</f>
        <v>0</v>
      </c>
      <c r="Z247" s="15">
        <f>IF(Tabla1[[#This Row],[TIPO DE CONSUMIDOR]]="COMPLETO",W247*$T$2,W247*($T$2/2))</f>
        <v>0</v>
      </c>
      <c r="AA247" s="15">
        <f>IF(Tabla1[[#This Row],[TIPO DE CONSUMIDOR]]="COMPLETO",Tabla1[[#This Row],[MESES DE ADEUDO DEL AÑO EN CURSO ]]*$T$2,Tabla1[[#This Row],[MESES DE ADEUDO DEL AÑO EN CURSO ]]*($T$2/2))</f>
        <v>0</v>
      </c>
      <c r="AB247" s="70">
        <f>SUM(Tabla1[[#This Row],[DEUDA DE LOS MESES PASADOS EN $$]:[DEUDA DEL AÑO 2013 $$ ]])</f>
        <v>0</v>
      </c>
      <c r="AE247" s="103">
        <f>IF(Tabla1[[#This Row],[TIPO DE CONSUMIDOR]]="MEDIO",IF(Tabla1[[#This Row],[ENERO ]]&gt;22.5,Tabla1[[#This Row],[ENERO ]]/22.5-1,0),IF(Tabla1[[#This Row],[ENERO ]]&gt;45,Tabla1[[#This Row],[ENERO ]]/45-1,0))</f>
        <v>0</v>
      </c>
      <c r="AF24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7" s="103">
        <f>IF(Tabla1[[#This Row],[TIPO DE CONSUMIDOR]]="MEDIO",IF(Tabla1[[#This Row],[MARZO]]&gt;22.5,Tabla1[[#This Row],[MARZO]]/22.5-1,0),IF(Tabla1[[#This Row],[MARZO]]&gt;45,Tabla1[[#This Row],[MARZO]]/45-1,0))</f>
        <v>0</v>
      </c>
      <c r="AH247" s="103">
        <f>IF(Tabla1[[#This Row],[TIPO DE CONSUMIDOR]]="MEDIO",IF(Tabla1[[#This Row],[ABRIL]]&gt;22.5,Tabla1[[#This Row],[ABRIL]]/22.5-1,0),IF(Tabla1[[#This Row],[ABRIL]]&gt;45,Tabla1[[#This Row],[ABRIL]]/45-1,0))</f>
        <v>0</v>
      </c>
      <c r="AI247" s="103">
        <f>IF(Tabla1[[#This Row],[TIPO DE CONSUMIDOR]]="MEDIO",IF(Tabla1[[#This Row],[MAYO ]]&gt;22.5,Tabla1[[#This Row],[MAYO ]]/22.5-1,0),IF(Tabla1[[#This Row],[MAYO ]]&gt;45,Tabla1[[#This Row],[MAYO ]]/45-1,0))</f>
        <v>0</v>
      </c>
      <c r="AJ247" s="103">
        <f>IF(Tabla1[[#This Row],[TIPO DE CONSUMIDOR]]="MEDIO",IF(Tabla1[[#This Row],[JUNIO ]]&gt;22.5,Tabla1[[#This Row],[JUNIO ]]/22.5-1,0),IF(Tabla1[[#This Row],[JUNIO ]]&gt;45,Tabla1[[#This Row],[JUNIO ]]/45-1,0))</f>
        <v>0</v>
      </c>
      <c r="AK247" s="103">
        <f>IF(Tabla1[[#This Row],[TIPO DE CONSUMIDOR]]="MEDIO",IF(Tabla1[[#This Row],[JULIO ]]&gt;22.5,Tabla1[[#This Row],[JULIO ]]/22.5-1,0),IF(Tabla1[[#This Row],[JULIO ]]&gt;45,Tabla1[[#This Row],[JULIO ]]/45-1,0))</f>
        <v>0</v>
      </c>
      <c r="AL247" s="103">
        <f>IF(Tabla1[[#This Row],[TIPO DE CONSUMIDOR]]="MEDIO",IF(Tabla1[[#This Row],[AGOSTO]]&gt;22.5,Tabla1[[#This Row],[AGOSTO]]/22.5-1,0),IF(Tabla1[[#This Row],[AGOSTO]]&gt;45,Tabla1[[#This Row],[AGOSTO]]/45-1,0))</f>
        <v>0</v>
      </c>
      <c r="AM24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7" s="104">
        <f t="shared" si="8"/>
        <v>0</v>
      </c>
      <c r="AR247" s="9">
        <f t="shared" si="7"/>
        <v>0</v>
      </c>
      <c r="AS247" s="60">
        <f>IF(Tabla1[[#This Row],[MESES DE ADEUDO DEL AÑO EN CURSO ]]&gt;0,1,0)</f>
        <v>0</v>
      </c>
      <c r="AT247" s="42"/>
      <c r="AU247" s="42"/>
      <c r="AV247" s="42"/>
      <c r="AW247" s="43"/>
    </row>
    <row r="248" spans="1:49" ht="21.75" thickBot="1" x14ac:dyDescent="0.35">
      <c r="A248" s="109">
        <v>242</v>
      </c>
      <c r="B248" s="5" t="s">
        <v>286</v>
      </c>
      <c r="C248" s="2"/>
      <c r="D248" s="32"/>
      <c r="E248" s="35" t="s">
        <v>455</v>
      </c>
      <c r="F248" s="34">
        <v>45</v>
      </c>
      <c r="G248" s="34">
        <v>45</v>
      </c>
      <c r="H248" s="34">
        <v>45</v>
      </c>
      <c r="I248" s="34">
        <v>45</v>
      </c>
      <c r="J248" s="34">
        <v>45</v>
      </c>
      <c r="K248" s="34">
        <v>45</v>
      </c>
      <c r="L248" s="34">
        <v>45</v>
      </c>
      <c r="M248" s="34">
        <v>45</v>
      </c>
      <c r="N248" s="34">
        <v>45</v>
      </c>
      <c r="O248" s="34">
        <v>45</v>
      </c>
      <c r="P248" s="34">
        <v>45</v>
      </c>
      <c r="Q248" s="34">
        <v>45</v>
      </c>
      <c r="R248" s="24">
        <f>SUM(Tabla1[[#This Row],[ENERO ]:[DICIEMBRE]])</f>
        <v>540</v>
      </c>
      <c r="W248" s="65">
        <v>0</v>
      </c>
      <c r="X248" s="21">
        <f>COUNTIF(Tabla1[[#This Row],[ENERO ]:[DICIEMBRE]],0)-(AQ248)-IF(Tabla1[[#This Row],[BAJAS]]="BAJA",IF(Tabla1[[#This Row],[ALTAS]]="ALTA",VLOOKUP(Tabla1[[#This Row],[MES DE ALTA ]],$AT$6:$AU$17,2,FALSE),12)-VLOOKUP(Tabla1[[#This Row],[MES DE BAJA ]],$AT$6:$AU$17,2,FALSE),0)</f>
        <v>0</v>
      </c>
      <c r="Y248" s="69">
        <f>SUM(Tabla1[[#This Row],[MES ADEUDO DE AÑOS PASADOS ]:[MESES DE ADEUDO DEL AÑO EN CURSO ]])</f>
        <v>0</v>
      </c>
      <c r="Z248" s="15">
        <f>IF(Tabla1[[#This Row],[TIPO DE CONSUMIDOR]]="COMPLETO",W248*$T$2,W248*($T$2/2))</f>
        <v>0</v>
      </c>
      <c r="AA248" s="15">
        <f>IF(Tabla1[[#This Row],[TIPO DE CONSUMIDOR]]="COMPLETO",Tabla1[[#This Row],[MESES DE ADEUDO DEL AÑO EN CURSO ]]*$T$2,Tabla1[[#This Row],[MESES DE ADEUDO DEL AÑO EN CURSO ]]*($T$2/2))</f>
        <v>0</v>
      </c>
      <c r="AB248" s="70">
        <f>SUM(Tabla1[[#This Row],[DEUDA DE LOS MESES PASADOS EN $$]:[DEUDA DEL AÑO 2013 $$ ]])</f>
        <v>0</v>
      </c>
      <c r="AE248" s="103">
        <f>IF(Tabla1[[#This Row],[TIPO DE CONSUMIDOR]]="MEDIO",IF(Tabla1[[#This Row],[ENERO ]]&gt;22.5,Tabla1[[#This Row],[ENERO ]]/22.5-1,0),IF(Tabla1[[#This Row],[ENERO ]]&gt;45,Tabla1[[#This Row],[ENERO ]]/45-1,0))</f>
        <v>0</v>
      </c>
      <c r="AF24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8" s="103">
        <f>IF(Tabla1[[#This Row],[TIPO DE CONSUMIDOR]]="MEDIO",IF(Tabla1[[#This Row],[MARZO]]&gt;22.5,Tabla1[[#This Row],[MARZO]]/22.5-1,0),IF(Tabla1[[#This Row],[MARZO]]&gt;45,Tabla1[[#This Row],[MARZO]]/45-1,0))</f>
        <v>0</v>
      </c>
      <c r="AH248" s="103">
        <f>IF(Tabla1[[#This Row],[TIPO DE CONSUMIDOR]]="MEDIO",IF(Tabla1[[#This Row],[ABRIL]]&gt;22.5,Tabla1[[#This Row],[ABRIL]]/22.5-1,0),IF(Tabla1[[#This Row],[ABRIL]]&gt;45,Tabla1[[#This Row],[ABRIL]]/45-1,0))</f>
        <v>0</v>
      </c>
      <c r="AI248" s="103">
        <f>IF(Tabla1[[#This Row],[TIPO DE CONSUMIDOR]]="MEDIO",IF(Tabla1[[#This Row],[MAYO ]]&gt;22.5,Tabla1[[#This Row],[MAYO ]]/22.5-1,0),IF(Tabla1[[#This Row],[MAYO ]]&gt;45,Tabla1[[#This Row],[MAYO ]]/45-1,0))</f>
        <v>0</v>
      </c>
      <c r="AJ248" s="103">
        <f>IF(Tabla1[[#This Row],[TIPO DE CONSUMIDOR]]="MEDIO",IF(Tabla1[[#This Row],[JUNIO ]]&gt;22.5,Tabla1[[#This Row],[JUNIO ]]/22.5-1,0),IF(Tabla1[[#This Row],[JUNIO ]]&gt;45,Tabla1[[#This Row],[JUNIO ]]/45-1,0))</f>
        <v>0</v>
      </c>
      <c r="AK248" s="103">
        <f>IF(Tabla1[[#This Row],[TIPO DE CONSUMIDOR]]="MEDIO",IF(Tabla1[[#This Row],[JULIO ]]&gt;22.5,Tabla1[[#This Row],[JULIO ]]/22.5-1,0),IF(Tabla1[[#This Row],[JULIO ]]&gt;45,Tabla1[[#This Row],[JULIO ]]/45-1,0))</f>
        <v>0</v>
      </c>
      <c r="AL248" s="103">
        <f>IF(Tabla1[[#This Row],[TIPO DE CONSUMIDOR]]="MEDIO",IF(Tabla1[[#This Row],[AGOSTO]]&gt;22.5,Tabla1[[#This Row],[AGOSTO]]/22.5-1,0),IF(Tabla1[[#This Row],[AGOSTO]]&gt;45,Tabla1[[#This Row],[AGOSTO]]/45-1,0))</f>
        <v>0</v>
      </c>
      <c r="AM24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8" s="104">
        <f t="shared" si="8"/>
        <v>0</v>
      </c>
      <c r="AR248" s="9">
        <f t="shared" si="7"/>
        <v>0</v>
      </c>
      <c r="AS248" s="60">
        <f>IF(Tabla1[[#This Row],[MESES DE ADEUDO DEL AÑO EN CURSO ]]&gt;0,1,0)</f>
        <v>0</v>
      </c>
      <c r="AT248" s="42"/>
      <c r="AU248" s="42"/>
      <c r="AV248" s="42"/>
      <c r="AW248" s="43"/>
    </row>
    <row r="249" spans="1:49" ht="21.75" thickBot="1" x14ac:dyDescent="0.35">
      <c r="A249" s="109">
        <v>243</v>
      </c>
      <c r="B249" s="5" t="s">
        <v>587</v>
      </c>
      <c r="C249" s="2"/>
      <c r="D249" s="32"/>
      <c r="E249" s="35" t="s">
        <v>489</v>
      </c>
      <c r="F249" s="34">
        <v>0</v>
      </c>
      <c r="G249" s="34">
        <v>0</v>
      </c>
      <c r="H249" s="34">
        <v>0</v>
      </c>
      <c r="I249" s="34">
        <v>0</v>
      </c>
      <c r="J249" s="34">
        <v>0</v>
      </c>
      <c r="K249" s="34">
        <v>0</v>
      </c>
      <c r="L249" s="34">
        <v>0</v>
      </c>
      <c r="M249" s="34">
        <v>0</v>
      </c>
      <c r="N249" s="34">
        <v>0</v>
      </c>
      <c r="O249" s="34">
        <v>22.5</v>
      </c>
      <c r="P249" s="34">
        <v>22.5</v>
      </c>
      <c r="Q249" s="34">
        <v>22.5</v>
      </c>
      <c r="R249" s="24">
        <f>SUM(Tabla1[[#This Row],[ENERO ]:[DICIEMBRE]])</f>
        <v>67.5</v>
      </c>
      <c r="S249" t="s">
        <v>626</v>
      </c>
      <c r="T249" t="s">
        <v>434</v>
      </c>
      <c r="U249" t="s">
        <v>625</v>
      </c>
      <c r="V249" t="s">
        <v>9</v>
      </c>
      <c r="W249" s="65">
        <v>0</v>
      </c>
      <c r="X249" s="21">
        <f>COUNTIF(Tabla1[[#This Row],[ENERO ]:[DICIEMBRE]],0)-(AQ249)-IF(Tabla1[[#This Row],[BAJAS]]="BAJA",IF(Tabla1[[#This Row],[ALTAS]]="ALTA",VLOOKUP(Tabla1[[#This Row],[MES DE ALTA ]],$AT$6:$AU$17,2,FALSE),12)-VLOOKUP(Tabla1[[#This Row],[MES DE BAJA ]],$AT$6:$AU$17,2,FALSE),0)</f>
        <v>0</v>
      </c>
      <c r="Y249" s="69">
        <f>SUM(Tabla1[[#This Row],[MES ADEUDO DE AÑOS PASADOS ]:[MESES DE ADEUDO DEL AÑO EN CURSO ]])</f>
        <v>0</v>
      </c>
      <c r="Z249" s="15">
        <f>IF(Tabla1[[#This Row],[TIPO DE CONSUMIDOR]]="COMPLETO",W249*$T$2,W249*($T$2/2))</f>
        <v>0</v>
      </c>
      <c r="AA249" s="15">
        <f>IF(Tabla1[[#This Row],[TIPO DE CONSUMIDOR]]="COMPLETO",Tabla1[[#This Row],[MESES DE ADEUDO DEL AÑO EN CURSO ]]*$T$2,Tabla1[[#This Row],[MESES DE ADEUDO DEL AÑO EN CURSO ]]*($T$2/2))</f>
        <v>0</v>
      </c>
      <c r="AB249" s="70">
        <f>SUM(Tabla1[[#This Row],[DEUDA DE LOS MESES PASADOS EN $$]:[DEUDA DEL AÑO 2013 $$ ]])</f>
        <v>0</v>
      </c>
      <c r="AE249" s="103">
        <f>IF(Tabla1[[#This Row],[TIPO DE CONSUMIDOR]]="MEDIO",IF(Tabla1[[#This Row],[ENERO ]]&gt;22.5,Tabla1[[#This Row],[ENERO ]]/22.5-1,0),IF(Tabla1[[#This Row],[ENERO ]]&gt;45,Tabla1[[#This Row],[ENERO ]]/45-1,0))</f>
        <v>0</v>
      </c>
      <c r="AF24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49" s="103">
        <f>IF(Tabla1[[#This Row],[TIPO DE CONSUMIDOR]]="MEDIO",IF(Tabla1[[#This Row],[MARZO]]&gt;22.5,Tabla1[[#This Row],[MARZO]]/22.5-1,0),IF(Tabla1[[#This Row],[MARZO]]&gt;45,Tabla1[[#This Row],[MARZO]]/45-1,0))</f>
        <v>0</v>
      </c>
      <c r="AH249" s="103">
        <f>IF(Tabla1[[#This Row],[TIPO DE CONSUMIDOR]]="MEDIO",IF(Tabla1[[#This Row],[ABRIL]]&gt;22.5,Tabla1[[#This Row],[ABRIL]]/22.5-1,0),IF(Tabla1[[#This Row],[ABRIL]]&gt;45,Tabla1[[#This Row],[ABRIL]]/45-1,0))</f>
        <v>0</v>
      </c>
      <c r="AI249" s="103">
        <f>IF(Tabla1[[#This Row],[TIPO DE CONSUMIDOR]]="MEDIO",IF(Tabla1[[#This Row],[MAYO ]]&gt;22.5,Tabla1[[#This Row],[MAYO ]]/22.5-1,0),IF(Tabla1[[#This Row],[MAYO ]]&gt;45,Tabla1[[#This Row],[MAYO ]]/45-1,0))</f>
        <v>0</v>
      </c>
      <c r="AJ249" s="103">
        <f>IF(Tabla1[[#This Row],[TIPO DE CONSUMIDOR]]="MEDIO",IF(Tabla1[[#This Row],[JUNIO ]]&gt;22.5,Tabla1[[#This Row],[JUNIO ]]/22.5-1,0),IF(Tabla1[[#This Row],[JUNIO ]]&gt;45,Tabla1[[#This Row],[JUNIO ]]/45-1,0))</f>
        <v>0</v>
      </c>
      <c r="AK249" s="103">
        <f>IF(Tabla1[[#This Row],[TIPO DE CONSUMIDOR]]="MEDIO",IF(Tabla1[[#This Row],[JULIO ]]&gt;22.5,Tabla1[[#This Row],[JULIO ]]/22.5-1,0),IF(Tabla1[[#This Row],[JULIO ]]&gt;45,Tabla1[[#This Row],[JULIO ]]/45-1,0))</f>
        <v>0</v>
      </c>
      <c r="AL249" s="103">
        <f>IF(Tabla1[[#This Row],[TIPO DE CONSUMIDOR]]="MEDIO",IF(Tabla1[[#This Row],[AGOSTO]]&gt;22.5,Tabla1[[#This Row],[AGOSTO]]/22.5-1,0),IF(Tabla1[[#This Row],[AGOSTO]]&gt;45,Tabla1[[#This Row],[AGOSTO]]/45-1,0))</f>
        <v>0</v>
      </c>
      <c r="AM24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4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4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4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49" s="104">
        <f t="shared" si="8"/>
        <v>0</v>
      </c>
      <c r="AR249" s="9">
        <f t="shared" si="7"/>
        <v>0</v>
      </c>
      <c r="AS249" s="60">
        <f>IF(Tabla1[[#This Row],[MESES DE ADEUDO DEL AÑO EN CURSO ]]&gt;0,1,0)</f>
        <v>0</v>
      </c>
      <c r="AT249" s="42"/>
      <c r="AU249" s="42"/>
      <c r="AV249" s="42"/>
      <c r="AW249" s="43"/>
    </row>
    <row r="250" spans="1:49" ht="21.75" thickBot="1" x14ac:dyDescent="0.35">
      <c r="A250" s="109">
        <v>244</v>
      </c>
      <c r="B250" s="5" t="s">
        <v>327</v>
      </c>
      <c r="C250" s="2"/>
      <c r="D250" s="32"/>
      <c r="E250" s="35" t="s">
        <v>455</v>
      </c>
      <c r="F250" s="34">
        <v>45</v>
      </c>
      <c r="G250" s="34">
        <v>45</v>
      </c>
      <c r="H250" s="34">
        <v>45</v>
      </c>
      <c r="I250" s="34">
        <v>45</v>
      </c>
      <c r="J250" s="34">
        <v>45</v>
      </c>
      <c r="K250" s="34">
        <v>45</v>
      </c>
      <c r="L250" s="34">
        <v>45</v>
      </c>
      <c r="M250" s="34">
        <v>45</v>
      </c>
      <c r="N250" s="34">
        <v>45</v>
      </c>
      <c r="O250" s="34">
        <v>45</v>
      </c>
      <c r="P250" s="34">
        <v>45</v>
      </c>
      <c r="Q250" s="34">
        <v>45</v>
      </c>
      <c r="R250" s="24">
        <f>SUM(Tabla1[[#This Row],[ENERO ]:[DICIEMBRE]])</f>
        <v>540</v>
      </c>
      <c r="W250" s="65">
        <v>0</v>
      </c>
      <c r="X250" s="21">
        <f>COUNTIF(Tabla1[[#This Row],[ENERO ]:[DICIEMBRE]],0)-(AQ250)-IF(Tabla1[[#This Row],[BAJAS]]="BAJA",IF(Tabla1[[#This Row],[ALTAS]]="ALTA",VLOOKUP(Tabla1[[#This Row],[MES DE ALTA ]],$AT$6:$AU$17,2,FALSE),12)-VLOOKUP(Tabla1[[#This Row],[MES DE BAJA ]],$AT$6:$AU$17,2,FALSE),0)</f>
        <v>0</v>
      </c>
      <c r="Y250" s="69">
        <f>SUM(Tabla1[[#This Row],[MES ADEUDO DE AÑOS PASADOS ]:[MESES DE ADEUDO DEL AÑO EN CURSO ]])</f>
        <v>0</v>
      </c>
      <c r="Z250" s="15">
        <f>IF(Tabla1[[#This Row],[TIPO DE CONSUMIDOR]]="COMPLETO",W250*$T$2,W250*($T$2/2))</f>
        <v>0</v>
      </c>
      <c r="AA250" s="15">
        <f>IF(Tabla1[[#This Row],[TIPO DE CONSUMIDOR]]="COMPLETO",Tabla1[[#This Row],[MESES DE ADEUDO DEL AÑO EN CURSO ]]*$T$2,Tabla1[[#This Row],[MESES DE ADEUDO DEL AÑO EN CURSO ]]*($T$2/2))</f>
        <v>0</v>
      </c>
      <c r="AB250" s="70">
        <f>SUM(Tabla1[[#This Row],[DEUDA DE LOS MESES PASADOS EN $$]:[DEUDA DEL AÑO 2013 $$ ]])</f>
        <v>0</v>
      </c>
      <c r="AE250" s="103">
        <f>IF(Tabla1[[#This Row],[TIPO DE CONSUMIDOR]]="MEDIO",IF(Tabla1[[#This Row],[ENERO ]]&gt;22.5,Tabla1[[#This Row],[ENERO ]]/22.5-1,0),IF(Tabla1[[#This Row],[ENERO ]]&gt;45,Tabla1[[#This Row],[ENERO ]]/45-1,0))</f>
        <v>0</v>
      </c>
      <c r="AF25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0" s="103">
        <f>IF(Tabla1[[#This Row],[TIPO DE CONSUMIDOR]]="MEDIO",IF(Tabla1[[#This Row],[MARZO]]&gt;22.5,Tabla1[[#This Row],[MARZO]]/22.5-1,0),IF(Tabla1[[#This Row],[MARZO]]&gt;45,Tabla1[[#This Row],[MARZO]]/45-1,0))</f>
        <v>0</v>
      </c>
      <c r="AH250" s="103">
        <f>IF(Tabla1[[#This Row],[TIPO DE CONSUMIDOR]]="MEDIO",IF(Tabla1[[#This Row],[ABRIL]]&gt;22.5,Tabla1[[#This Row],[ABRIL]]/22.5-1,0),IF(Tabla1[[#This Row],[ABRIL]]&gt;45,Tabla1[[#This Row],[ABRIL]]/45-1,0))</f>
        <v>0</v>
      </c>
      <c r="AI250" s="103">
        <f>IF(Tabla1[[#This Row],[TIPO DE CONSUMIDOR]]="MEDIO",IF(Tabla1[[#This Row],[MAYO ]]&gt;22.5,Tabla1[[#This Row],[MAYO ]]/22.5-1,0),IF(Tabla1[[#This Row],[MAYO ]]&gt;45,Tabla1[[#This Row],[MAYO ]]/45-1,0))</f>
        <v>0</v>
      </c>
      <c r="AJ250" s="103">
        <f>IF(Tabla1[[#This Row],[TIPO DE CONSUMIDOR]]="MEDIO",IF(Tabla1[[#This Row],[JUNIO ]]&gt;22.5,Tabla1[[#This Row],[JUNIO ]]/22.5-1,0),IF(Tabla1[[#This Row],[JUNIO ]]&gt;45,Tabla1[[#This Row],[JUNIO ]]/45-1,0))</f>
        <v>0</v>
      </c>
      <c r="AK250" s="103">
        <f>IF(Tabla1[[#This Row],[TIPO DE CONSUMIDOR]]="MEDIO",IF(Tabla1[[#This Row],[JULIO ]]&gt;22.5,Tabla1[[#This Row],[JULIO ]]/22.5-1,0),IF(Tabla1[[#This Row],[JULIO ]]&gt;45,Tabla1[[#This Row],[JULIO ]]/45-1,0))</f>
        <v>0</v>
      </c>
      <c r="AL250" s="103">
        <f>IF(Tabla1[[#This Row],[TIPO DE CONSUMIDOR]]="MEDIO",IF(Tabla1[[#This Row],[AGOSTO]]&gt;22.5,Tabla1[[#This Row],[AGOSTO]]/22.5-1,0),IF(Tabla1[[#This Row],[AGOSTO]]&gt;45,Tabla1[[#This Row],[AGOSTO]]/45-1,0))</f>
        <v>0</v>
      </c>
      <c r="AM25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0" s="104">
        <f t="shared" si="8"/>
        <v>0</v>
      </c>
      <c r="AR250" s="9">
        <f t="shared" si="7"/>
        <v>0</v>
      </c>
      <c r="AS250" s="60">
        <f>IF(Tabla1[[#This Row],[MESES DE ADEUDO DEL AÑO EN CURSO ]]&gt;0,1,0)</f>
        <v>0</v>
      </c>
      <c r="AT250" s="42"/>
      <c r="AU250" s="42"/>
      <c r="AV250" s="42"/>
      <c r="AW250" s="43"/>
    </row>
    <row r="251" spans="1:49" ht="21.75" thickBot="1" x14ac:dyDescent="0.35">
      <c r="A251" s="109">
        <v>245</v>
      </c>
      <c r="B251" s="5" t="s">
        <v>319</v>
      </c>
      <c r="C251" s="2"/>
      <c r="D251" s="32"/>
      <c r="E251" s="35" t="s">
        <v>455</v>
      </c>
      <c r="F251" s="34">
        <v>45</v>
      </c>
      <c r="G251" s="34">
        <v>45</v>
      </c>
      <c r="H251" s="34">
        <v>45</v>
      </c>
      <c r="I251" s="34">
        <v>45</v>
      </c>
      <c r="J251" s="34">
        <v>45</v>
      </c>
      <c r="K251" s="34">
        <v>45</v>
      </c>
      <c r="L251" s="34">
        <v>45</v>
      </c>
      <c r="M251" s="34">
        <v>45</v>
      </c>
      <c r="N251" s="34">
        <v>45</v>
      </c>
      <c r="O251" s="34">
        <v>45</v>
      </c>
      <c r="P251" s="34">
        <v>45</v>
      </c>
      <c r="Q251" s="34">
        <v>45</v>
      </c>
      <c r="R251" s="24">
        <f>SUM(Tabla1[[#This Row],[ENERO ]:[DICIEMBRE]])</f>
        <v>540</v>
      </c>
      <c r="W251" s="65">
        <v>0</v>
      </c>
      <c r="X251" s="21">
        <f>COUNTIF(Tabla1[[#This Row],[ENERO ]:[DICIEMBRE]],0)-(AQ251)-IF(Tabla1[[#This Row],[BAJAS]]="BAJA",IF(Tabla1[[#This Row],[ALTAS]]="ALTA",VLOOKUP(Tabla1[[#This Row],[MES DE ALTA ]],$AT$6:$AU$17,2,FALSE),12)-VLOOKUP(Tabla1[[#This Row],[MES DE BAJA ]],$AT$6:$AU$17,2,FALSE),0)</f>
        <v>0</v>
      </c>
      <c r="Y251" s="69">
        <f>SUM(Tabla1[[#This Row],[MES ADEUDO DE AÑOS PASADOS ]:[MESES DE ADEUDO DEL AÑO EN CURSO ]])</f>
        <v>0</v>
      </c>
      <c r="Z251" s="15">
        <f>IF(Tabla1[[#This Row],[TIPO DE CONSUMIDOR]]="COMPLETO",W251*$T$2,W251*($T$2/2))</f>
        <v>0</v>
      </c>
      <c r="AA251" s="15">
        <f>IF(Tabla1[[#This Row],[TIPO DE CONSUMIDOR]]="COMPLETO",Tabla1[[#This Row],[MESES DE ADEUDO DEL AÑO EN CURSO ]]*$T$2,Tabla1[[#This Row],[MESES DE ADEUDO DEL AÑO EN CURSO ]]*($T$2/2))</f>
        <v>0</v>
      </c>
      <c r="AB251" s="70">
        <f>SUM(Tabla1[[#This Row],[DEUDA DE LOS MESES PASADOS EN $$]:[DEUDA DEL AÑO 2013 $$ ]])</f>
        <v>0</v>
      </c>
      <c r="AE251" s="103">
        <f>IF(Tabla1[[#This Row],[TIPO DE CONSUMIDOR]]="MEDIO",IF(Tabla1[[#This Row],[ENERO ]]&gt;22.5,Tabla1[[#This Row],[ENERO ]]/22.5-1,0),IF(Tabla1[[#This Row],[ENERO ]]&gt;45,Tabla1[[#This Row],[ENERO ]]/45-1,0))</f>
        <v>0</v>
      </c>
      <c r="AF25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1" s="103">
        <f>IF(Tabla1[[#This Row],[TIPO DE CONSUMIDOR]]="MEDIO",IF(Tabla1[[#This Row],[MARZO]]&gt;22.5,Tabla1[[#This Row],[MARZO]]/22.5-1,0),IF(Tabla1[[#This Row],[MARZO]]&gt;45,Tabla1[[#This Row],[MARZO]]/45-1,0))</f>
        <v>0</v>
      </c>
      <c r="AH251" s="103">
        <f>IF(Tabla1[[#This Row],[TIPO DE CONSUMIDOR]]="MEDIO",IF(Tabla1[[#This Row],[ABRIL]]&gt;22.5,Tabla1[[#This Row],[ABRIL]]/22.5-1,0),IF(Tabla1[[#This Row],[ABRIL]]&gt;45,Tabla1[[#This Row],[ABRIL]]/45-1,0))</f>
        <v>0</v>
      </c>
      <c r="AI251" s="103">
        <f>IF(Tabla1[[#This Row],[TIPO DE CONSUMIDOR]]="MEDIO",IF(Tabla1[[#This Row],[MAYO ]]&gt;22.5,Tabla1[[#This Row],[MAYO ]]/22.5-1,0),IF(Tabla1[[#This Row],[MAYO ]]&gt;45,Tabla1[[#This Row],[MAYO ]]/45-1,0))</f>
        <v>0</v>
      </c>
      <c r="AJ251" s="103">
        <f>IF(Tabla1[[#This Row],[TIPO DE CONSUMIDOR]]="MEDIO",IF(Tabla1[[#This Row],[JUNIO ]]&gt;22.5,Tabla1[[#This Row],[JUNIO ]]/22.5-1,0),IF(Tabla1[[#This Row],[JUNIO ]]&gt;45,Tabla1[[#This Row],[JUNIO ]]/45-1,0))</f>
        <v>0</v>
      </c>
      <c r="AK251" s="103">
        <f>IF(Tabla1[[#This Row],[TIPO DE CONSUMIDOR]]="MEDIO",IF(Tabla1[[#This Row],[JULIO ]]&gt;22.5,Tabla1[[#This Row],[JULIO ]]/22.5-1,0),IF(Tabla1[[#This Row],[JULIO ]]&gt;45,Tabla1[[#This Row],[JULIO ]]/45-1,0))</f>
        <v>0</v>
      </c>
      <c r="AL251" s="103">
        <f>IF(Tabla1[[#This Row],[TIPO DE CONSUMIDOR]]="MEDIO",IF(Tabla1[[#This Row],[AGOSTO]]&gt;22.5,Tabla1[[#This Row],[AGOSTO]]/22.5-1,0),IF(Tabla1[[#This Row],[AGOSTO]]&gt;45,Tabla1[[#This Row],[AGOSTO]]/45-1,0))</f>
        <v>0</v>
      </c>
      <c r="AM25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1" s="104">
        <f t="shared" si="8"/>
        <v>0</v>
      </c>
      <c r="AR251" s="9">
        <f t="shared" si="7"/>
        <v>0</v>
      </c>
      <c r="AS251" s="60">
        <f>IF(Tabla1[[#This Row],[MESES DE ADEUDO DEL AÑO EN CURSO ]]&gt;0,1,0)</f>
        <v>0</v>
      </c>
      <c r="AT251" s="42"/>
      <c r="AU251" s="42"/>
      <c r="AV251" s="42"/>
      <c r="AW251" s="43"/>
    </row>
    <row r="252" spans="1:49" ht="21.75" thickBot="1" x14ac:dyDescent="0.35">
      <c r="A252" s="109">
        <v>246</v>
      </c>
      <c r="B252" s="5" t="s">
        <v>306</v>
      </c>
      <c r="C252" s="2"/>
      <c r="D252" s="32"/>
      <c r="E252" s="35" t="s">
        <v>455</v>
      </c>
      <c r="F252" s="34">
        <v>45</v>
      </c>
      <c r="G252" s="34">
        <v>45</v>
      </c>
      <c r="H252" s="34">
        <v>45</v>
      </c>
      <c r="I252" s="34">
        <v>45</v>
      </c>
      <c r="J252" s="34">
        <v>45</v>
      </c>
      <c r="K252" s="34">
        <v>45</v>
      </c>
      <c r="L252" s="34">
        <v>45</v>
      </c>
      <c r="M252" s="34">
        <v>45</v>
      </c>
      <c r="N252" s="34">
        <v>45</v>
      </c>
      <c r="O252" s="34">
        <v>45</v>
      </c>
      <c r="P252" s="34">
        <v>45</v>
      </c>
      <c r="Q252" s="34">
        <v>45</v>
      </c>
      <c r="R252" s="24">
        <f>SUM(Tabla1[[#This Row],[ENERO ]:[DICIEMBRE]])</f>
        <v>540</v>
      </c>
      <c r="W252" s="65">
        <v>0</v>
      </c>
      <c r="X252" s="21">
        <f>COUNTIF(Tabla1[[#This Row],[ENERO ]:[DICIEMBRE]],0)-(AQ252)-IF(Tabla1[[#This Row],[BAJAS]]="BAJA",IF(Tabla1[[#This Row],[ALTAS]]="ALTA",VLOOKUP(Tabla1[[#This Row],[MES DE ALTA ]],$AT$6:$AU$17,2,FALSE),12)-VLOOKUP(Tabla1[[#This Row],[MES DE BAJA ]],$AT$6:$AU$17,2,FALSE),0)</f>
        <v>0</v>
      </c>
      <c r="Y252" s="69">
        <f>SUM(Tabla1[[#This Row],[MES ADEUDO DE AÑOS PASADOS ]:[MESES DE ADEUDO DEL AÑO EN CURSO ]])</f>
        <v>0</v>
      </c>
      <c r="Z252" s="15">
        <f>IF(Tabla1[[#This Row],[TIPO DE CONSUMIDOR]]="COMPLETO",W252*$T$2,W252*($T$2/2))</f>
        <v>0</v>
      </c>
      <c r="AA252" s="15">
        <f>IF(Tabla1[[#This Row],[TIPO DE CONSUMIDOR]]="COMPLETO",Tabla1[[#This Row],[MESES DE ADEUDO DEL AÑO EN CURSO ]]*$T$2,Tabla1[[#This Row],[MESES DE ADEUDO DEL AÑO EN CURSO ]]*($T$2/2))</f>
        <v>0</v>
      </c>
      <c r="AB252" s="70">
        <f>SUM(Tabla1[[#This Row],[DEUDA DE LOS MESES PASADOS EN $$]:[DEUDA DEL AÑO 2013 $$ ]])</f>
        <v>0</v>
      </c>
      <c r="AE252" s="103">
        <f>IF(Tabla1[[#This Row],[TIPO DE CONSUMIDOR]]="MEDIO",IF(Tabla1[[#This Row],[ENERO ]]&gt;22.5,Tabla1[[#This Row],[ENERO ]]/22.5-1,0),IF(Tabla1[[#This Row],[ENERO ]]&gt;45,Tabla1[[#This Row],[ENERO ]]/45-1,0))</f>
        <v>0</v>
      </c>
      <c r="AF25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2" s="103">
        <f>IF(Tabla1[[#This Row],[TIPO DE CONSUMIDOR]]="MEDIO",IF(Tabla1[[#This Row],[MARZO]]&gt;22.5,Tabla1[[#This Row],[MARZO]]/22.5-1,0),IF(Tabla1[[#This Row],[MARZO]]&gt;45,Tabla1[[#This Row],[MARZO]]/45-1,0))</f>
        <v>0</v>
      </c>
      <c r="AH252" s="103">
        <f>IF(Tabla1[[#This Row],[TIPO DE CONSUMIDOR]]="MEDIO",IF(Tabla1[[#This Row],[ABRIL]]&gt;22.5,Tabla1[[#This Row],[ABRIL]]/22.5-1,0),IF(Tabla1[[#This Row],[ABRIL]]&gt;45,Tabla1[[#This Row],[ABRIL]]/45-1,0))</f>
        <v>0</v>
      </c>
      <c r="AI252" s="103">
        <f>IF(Tabla1[[#This Row],[TIPO DE CONSUMIDOR]]="MEDIO",IF(Tabla1[[#This Row],[MAYO ]]&gt;22.5,Tabla1[[#This Row],[MAYO ]]/22.5-1,0),IF(Tabla1[[#This Row],[MAYO ]]&gt;45,Tabla1[[#This Row],[MAYO ]]/45-1,0))</f>
        <v>0</v>
      </c>
      <c r="AJ252" s="103">
        <f>IF(Tabla1[[#This Row],[TIPO DE CONSUMIDOR]]="MEDIO",IF(Tabla1[[#This Row],[JUNIO ]]&gt;22.5,Tabla1[[#This Row],[JUNIO ]]/22.5-1,0),IF(Tabla1[[#This Row],[JUNIO ]]&gt;45,Tabla1[[#This Row],[JUNIO ]]/45-1,0))</f>
        <v>0</v>
      </c>
      <c r="AK252" s="103">
        <f>IF(Tabla1[[#This Row],[TIPO DE CONSUMIDOR]]="MEDIO",IF(Tabla1[[#This Row],[JULIO ]]&gt;22.5,Tabla1[[#This Row],[JULIO ]]/22.5-1,0),IF(Tabla1[[#This Row],[JULIO ]]&gt;45,Tabla1[[#This Row],[JULIO ]]/45-1,0))</f>
        <v>0</v>
      </c>
      <c r="AL252" s="103">
        <f>IF(Tabla1[[#This Row],[TIPO DE CONSUMIDOR]]="MEDIO",IF(Tabla1[[#This Row],[AGOSTO]]&gt;22.5,Tabla1[[#This Row],[AGOSTO]]/22.5-1,0),IF(Tabla1[[#This Row],[AGOSTO]]&gt;45,Tabla1[[#This Row],[AGOSTO]]/45-1,0))</f>
        <v>0</v>
      </c>
      <c r="AM25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2" s="104">
        <f t="shared" si="8"/>
        <v>0</v>
      </c>
      <c r="AR252" s="9">
        <f t="shared" si="7"/>
        <v>0</v>
      </c>
      <c r="AS252" s="60">
        <f>IF(Tabla1[[#This Row],[MESES DE ADEUDO DEL AÑO EN CURSO ]]&gt;0,1,0)</f>
        <v>0</v>
      </c>
      <c r="AT252" s="42"/>
      <c r="AU252" s="42"/>
      <c r="AV252" s="42"/>
      <c r="AW252" s="43"/>
    </row>
    <row r="253" spans="1:49" ht="21.75" thickBot="1" x14ac:dyDescent="0.35">
      <c r="A253" s="109">
        <v>247</v>
      </c>
      <c r="B253" s="5" t="s">
        <v>352</v>
      </c>
      <c r="C253" s="2"/>
      <c r="D253" s="32"/>
      <c r="E253" s="35" t="s">
        <v>455</v>
      </c>
      <c r="F253" s="34">
        <v>45</v>
      </c>
      <c r="G253" s="34">
        <v>45</v>
      </c>
      <c r="H253" s="34">
        <v>45</v>
      </c>
      <c r="I253" s="34">
        <v>45</v>
      </c>
      <c r="J253" s="34">
        <v>45</v>
      </c>
      <c r="K253" s="34">
        <v>45</v>
      </c>
      <c r="L253" s="34">
        <v>45</v>
      </c>
      <c r="M253" s="34">
        <v>45</v>
      </c>
      <c r="N253" s="34">
        <v>45</v>
      </c>
      <c r="O253" s="34">
        <v>45</v>
      </c>
      <c r="P253" s="34">
        <v>45</v>
      </c>
      <c r="Q253" s="34">
        <v>45</v>
      </c>
      <c r="R253" s="24">
        <f>SUM(Tabla1[[#This Row],[ENERO ]:[DICIEMBRE]])</f>
        <v>540</v>
      </c>
      <c r="W253" s="65">
        <v>0</v>
      </c>
      <c r="X253" s="21">
        <f>COUNTIF(Tabla1[[#This Row],[ENERO ]:[DICIEMBRE]],0)-(AQ253)-IF(Tabla1[[#This Row],[BAJAS]]="BAJA",IF(Tabla1[[#This Row],[ALTAS]]="ALTA",VLOOKUP(Tabla1[[#This Row],[MES DE ALTA ]],$AT$6:$AU$17,2,FALSE),12)-VLOOKUP(Tabla1[[#This Row],[MES DE BAJA ]],$AT$6:$AU$17,2,FALSE),0)</f>
        <v>0</v>
      </c>
      <c r="Y253" s="69">
        <f>SUM(Tabla1[[#This Row],[MES ADEUDO DE AÑOS PASADOS ]:[MESES DE ADEUDO DEL AÑO EN CURSO ]])</f>
        <v>0</v>
      </c>
      <c r="Z253" s="15">
        <f>IF(Tabla1[[#This Row],[TIPO DE CONSUMIDOR]]="COMPLETO",W253*$T$2,W253*($T$2/2))</f>
        <v>0</v>
      </c>
      <c r="AA253" s="15">
        <f>IF(Tabla1[[#This Row],[TIPO DE CONSUMIDOR]]="COMPLETO",Tabla1[[#This Row],[MESES DE ADEUDO DEL AÑO EN CURSO ]]*$T$2,Tabla1[[#This Row],[MESES DE ADEUDO DEL AÑO EN CURSO ]]*($T$2/2))</f>
        <v>0</v>
      </c>
      <c r="AB253" s="70">
        <f>SUM(Tabla1[[#This Row],[DEUDA DE LOS MESES PASADOS EN $$]:[DEUDA DEL AÑO 2013 $$ ]])</f>
        <v>0</v>
      </c>
      <c r="AE253" s="103">
        <f>IF(Tabla1[[#This Row],[TIPO DE CONSUMIDOR]]="MEDIO",IF(Tabla1[[#This Row],[ENERO ]]&gt;22.5,Tabla1[[#This Row],[ENERO ]]/22.5-1,0),IF(Tabla1[[#This Row],[ENERO ]]&gt;45,Tabla1[[#This Row],[ENERO ]]/45-1,0))</f>
        <v>0</v>
      </c>
      <c r="AF25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3" s="103">
        <f>IF(Tabla1[[#This Row],[TIPO DE CONSUMIDOR]]="MEDIO",IF(Tabla1[[#This Row],[MARZO]]&gt;22.5,Tabla1[[#This Row],[MARZO]]/22.5-1,0),IF(Tabla1[[#This Row],[MARZO]]&gt;45,Tabla1[[#This Row],[MARZO]]/45-1,0))</f>
        <v>0</v>
      </c>
      <c r="AH253" s="103">
        <f>IF(Tabla1[[#This Row],[TIPO DE CONSUMIDOR]]="MEDIO",IF(Tabla1[[#This Row],[ABRIL]]&gt;22.5,Tabla1[[#This Row],[ABRIL]]/22.5-1,0),IF(Tabla1[[#This Row],[ABRIL]]&gt;45,Tabla1[[#This Row],[ABRIL]]/45-1,0))</f>
        <v>0</v>
      </c>
      <c r="AI253" s="103">
        <f>IF(Tabla1[[#This Row],[TIPO DE CONSUMIDOR]]="MEDIO",IF(Tabla1[[#This Row],[MAYO ]]&gt;22.5,Tabla1[[#This Row],[MAYO ]]/22.5-1,0),IF(Tabla1[[#This Row],[MAYO ]]&gt;45,Tabla1[[#This Row],[MAYO ]]/45-1,0))</f>
        <v>0</v>
      </c>
      <c r="AJ253" s="103">
        <f>IF(Tabla1[[#This Row],[TIPO DE CONSUMIDOR]]="MEDIO",IF(Tabla1[[#This Row],[JUNIO ]]&gt;22.5,Tabla1[[#This Row],[JUNIO ]]/22.5-1,0),IF(Tabla1[[#This Row],[JUNIO ]]&gt;45,Tabla1[[#This Row],[JUNIO ]]/45-1,0))</f>
        <v>0</v>
      </c>
      <c r="AK253" s="103">
        <f>IF(Tabla1[[#This Row],[TIPO DE CONSUMIDOR]]="MEDIO",IF(Tabla1[[#This Row],[JULIO ]]&gt;22.5,Tabla1[[#This Row],[JULIO ]]/22.5-1,0),IF(Tabla1[[#This Row],[JULIO ]]&gt;45,Tabla1[[#This Row],[JULIO ]]/45-1,0))</f>
        <v>0</v>
      </c>
      <c r="AL253" s="103">
        <f>IF(Tabla1[[#This Row],[TIPO DE CONSUMIDOR]]="MEDIO",IF(Tabla1[[#This Row],[AGOSTO]]&gt;22.5,Tabla1[[#This Row],[AGOSTO]]/22.5-1,0),IF(Tabla1[[#This Row],[AGOSTO]]&gt;45,Tabla1[[#This Row],[AGOSTO]]/45-1,0))</f>
        <v>0</v>
      </c>
      <c r="AM25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3" s="104">
        <f t="shared" si="8"/>
        <v>0</v>
      </c>
      <c r="AR253" s="9">
        <f t="shared" si="7"/>
        <v>0</v>
      </c>
      <c r="AS253" s="60">
        <f>IF(Tabla1[[#This Row],[MESES DE ADEUDO DEL AÑO EN CURSO ]]&gt;0,1,0)</f>
        <v>0</v>
      </c>
      <c r="AT253" s="42"/>
      <c r="AU253" s="42"/>
      <c r="AV253" s="42"/>
      <c r="AW253" s="43"/>
    </row>
    <row r="254" spans="1:49" ht="21.75" thickBot="1" x14ac:dyDescent="0.35">
      <c r="A254" s="109">
        <v>248</v>
      </c>
      <c r="B254" s="5" t="s">
        <v>590</v>
      </c>
      <c r="C254" s="2"/>
      <c r="D254" s="32"/>
      <c r="E254" s="35" t="s">
        <v>455</v>
      </c>
      <c r="F254" s="34">
        <v>45</v>
      </c>
      <c r="G254" s="34">
        <v>45</v>
      </c>
      <c r="H254" s="34">
        <v>45</v>
      </c>
      <c r="I254" s="34">
        <v>45</v>
      </c>
      <c r="J254" s="34">
        <v>45</v>
      </c>
      <c r="K254" s="34">
        <v>45</v>
      </c>
      <c r="L254" s="34">
        <v>45</v>
      </c>
      <c r="M254" s="34">
        <v>45</v>
      </c>
      <c r="N254" s="34">
        <v>45</v>
      </c>
      <c r="O254" s="34">
        <v>45</v>
      </c>
      <c r="P254" s="34">
        <v>45</v>
      </c>
      <c r="Q254" s="34">
        <v>45</v>
      </c>
      <c r="R254" s="24">
        <f>SUM(Tabla1[[#This Row],[ENERO ]:[DICIEMBRE]])</f>
        <v>540</v>
      </c>
      <c r="W254" s="65">
        <v>0</v>
      </c>
      <c r="X254" s="21">
        <f>COUNTIF(Tabla1[[#This Row],[ENERO ]:[DICIEMBRE]],0)-(AQ254)-IF(Tabla1[[#This Row],[BAJAS]]="BAJA",IF(Tabla1[[#This Row],[ALTAS]]="ALTA",VLOOKUP(Tabla1[[#This Row],[MES DE ALTA ]],$AT$6:$AU$17,2,FALSE),12)-VLOOKUP(Tabla1[[#This Row],[MES DE BAJA ]],$AT$6:$AU$17,2,FALSE),0)</f>
        <v>0</v>
      </c>
      <c r="Y254" s="69">
        <f>SUM(Tabla1[[#This Row],[MES ADEUDO DE AÑOS PASADOS ]:[MESES DE ADEUDO DEL AÑO EN CURSO ]])</f>
        <v>0</v>
      </c>
      <c r="Z254" s="15">
        <f>IF(Tabla1[[#This Row],[TIPO DE CONSUMIDOR]]="COMPLETO",W254*$T$2,W254*($T$2/2))</f>
        <v>0</v>
      </c>
      <c r="AA254" s="15">
        <f>IF(Tabla1[[#This Row],[TIPO DE CONSUMIDOR]]="COMPLETO",Tabla1[[#This Row],[MESES DE ADEUDO DEL AÑO EN CURSO ]]*$T$2,Tabla1[[#This Row],[MESES DE ADEUDO DEL AÑO EN CURSO ]]*($T$2/2))</f>
        <v>0</v>
      </c>
      <c r="AB254" s="70">
        <f>SUM(Tabla1[[#This Row],[DEUDA DE LOS MESES PASADOS EN $$]:[DEUDA DEL AÑO 2013 $$ ]])</f>
        <v>0</v>
      </c>
      <c r="AE254" s="103">
        <f>IF(Tabla1[[#This Row],[TIPO DE CONSUMIDOR]]="MEDIO",IF(Tabla1[[#This Row],[ENERO ]]&gt;22.5,Tabla1[[#This Row],[ENERO ]]/22.5-1,0),IF(Tabla1[[#This Row],[ENERO ]]&gt;45,Tabla1[[#This Row],[ENERO ]]/45-1,0))</f>
        <v>0</v>
      </c>
      <c r="AF25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4" s="103">
        <f>IF(Tabla1[[#This Row],[TIPO DE CONSUMIDOR]]="MEDIO",IF(Tabla1[[#This Row],[MARZO]]&gt;22.5,Tabla1[[#This Row],[MARZO]]/22.5-1,0),IF(Tabla1[[#This Row],[MARZO]]&gt;45,Tabla1[[#This Row],[MARZO]]/45-1,0))</f>
        <v>0</v>
      </c>
      <c r="AH254" s="103">
        <f>IF(Tabla1[[#This Row],[TIPO DE CONSUMIDOR]]="MEDIO",IF(Tabla1[[#This Row],[ABRIL]]&gt;22.5,Tabla1[[#This Row],[ABRIL]]/22.5-1,0),IF(Tabla1[[#This Row],[ABRIL]]&gt;45,Tabla1[[#This Row],[ABRIL]]/45-1,0))</f>
        <v>0</v>
      </c>
      <c r="AI254" s="103">
        <f>IF(Tabla1[[#This Row],[TIPO DE CONSUMIDOR]]="MEDIO",IF(Tabla1[[#This Row],[MAYO ]]&gt;22.5,Tabla1[[#This Row],[MAYO ]]/22.5-1,0),IF(Tabla1[[#This Row],[MAYO ]]&gt;45,Tabla1[[#This Row],[MAYO ]]/45-1,0))</f>
        <v>0</v>
      </c>
      <c r="AJ254" s="103">
        <f>IF(Tabla1[[#This Row],[TIPO DE CONSUMIDOR]]="MEDIO",IF(Tabla1[[#This Row],[JUNIO ]]&gt;22.5,Tabla1[[#This Row],[JUNIO ]]/22.5-1,0),IF(Tabla1[[#This Row],[JUNIO ]]&gt;45,Tabla1[[#This Row],[JUNIO ]]/45-1,0))</f>
        <v>0</v>
      </c>
      <c r="AK254" s="103">
        <f>IF(Tabla1[[#This Row],[TIPO DE CONSUMIDOR]]="MEDIO",IF(Tabla1[[#This Row],[JULIO ]]&gt;22.5,Tabla1[[#This Row],[JULIO ]]/22.5-1,0),IF(Tabla1[[#This Row],[JULIO ]]&gt;45,Tabla1[[#This Row],[JULIO ]]/45-1,0))</f>
        <v>0</v>
      </c>
      <c r="AL254" s="103">
        <f>IF(Tabla1[[#This Row],[TIPO DE CONSUMIDOR]]="MEDIO",IF(Tabla1[[#This Row],[AGOSTO]]&gt;22.5,Tabla1[[#This Row],[AGOSTO]]/22.5-1,0),IF(Tabla1[[#This Row],[AGOSTO]]&gt;45,Tabla1[[#This Row],[AGOSTO]]/45-1,0))</f>
        <v>0</v>
      </c>
      <c r="AM25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4" s="104">
        <f t="shared" si="8"/>
        <v>0</v>
      </c>
      <c r="AR254" s="9">
        <f t="shared" si="7"/>
        <v>0</v>
      </c>
      <c r="AS254" s="60">
        <f>IF(Tabla1[[#This Row],[MESES DE ADEUDO DEL AÑO EN CURSO ]]&gt;0,1,0)</f>
        <v>0</v>
      </c>
      <c r="AT254" s="42"/>
      <c r="AU254" s="42"/>
      <c r="AV254" s="42"/>
      <c r="AW254" s="43"/>
    </row>
    <row r="255" spans="1:49" ht="21.75" thickBot="1" x14ac:dyDescent="0.35">
      <c r="A255" s="109">
        <v>249</v>
      </c>
      <c r="B255" s="5" t="s">
        <v>382</v>
      </c>
      <c r="C255" s="2"/>
      <c r="D255" s="32"/>
      <c r="E255" s="35" t="s">
        <v>455</v>
      </c>
      <c r="F255" s="34">
        <v>45</v>
      </c>
      <c r="G255" s="34">
        <v>45</v>
      </c>
      <c r="H255" s="34">
        <v>45</v>
      </c>
      <c r="I255" s="34">
        <v>45</v>
      </c>
      <c r="J255" s="34">
        <v>45</v>
      </c>
      <c r="K255" s="34">
        <v>45</v>
      </c>
      <c r="L255" s="34">
        <v>45</v>
      </c>
      <c r="M255" s="34">
        <v>45</v>
      </c>
      <c r="N255" s="34">
        <v>45</v>
      </c>
      <c r="O255" s="34">
        <v>45</v>
      </c>
      <c r="P255" s="34">
        <v>0</v>
      </c>
      <c r="Q255" s="34">
        <v>0</v>
      </c>
      <c r="R255" s="58">
        <f>SUM(Tabla1[[#This Row],[ENERO ]:[DICIEMBRE]])</f>
        <v>450</v>
      </c>
      <c r="S255" t="s">
        <v>626</v>
      </c>
      <c r="T255" t="s">
        <v>10</v>
      </c>
      <c r="W255" s="65">
        <v>0</v>
      </c>
      <c r="X255" s="21">
        <f>COUNTIF(Tabla1[[#This Row],[ENERO ]:[DICIEMBRE]],0)-(AQ255)-IF(Tabla1[[#This Row],[BAJAS]]="BAJA",IF(Tabla1[[#This Row],[ALTAS]]="ALTA",VLOOKUP(Tabla1[[#This Row],[MES DE ALTA ]],$AT$6:$AU$17,2,FALSE),12)-VLOOKUP(Tabla1[[#This Row],[MES DE BAJA ]],$AT$6:$AU$17,2,FALSE),0)</f>
        <v>0</v>
      </c>
      <c r="Y255" s="69">
        <f>SUM(Tabla1[[#This Row],[MES ADEUDO DE AÑOS PASADOS ]:[MESES DE ADEUDO DEL AÑO EN CURSO ]])</f>
        <v>0</v>
      </c>
      <c r="Z255" s="15">
        <f>IF(Tabla1[[#This Row],[TIPO DE CONSUMIDOR]]="COMPLETO",W255*$T$2,W255*($T$2/2))</f>
        <v>0</v>
      </c>
      <c r="AA255" s="15">
        <f>IF(Tabla1[[#This Row],[TIPO DE CONSUMIDOR]]="COMPLETO",Tabla1[[#This Row],[MESES DE ADEUDO DEL AÑO EN CURSO ]]*$T$2,Tabla1[[#This Row],[MESES DE ADEUDO DEL AÑO EN CURSO ]]*($T$2/2))</f>
        <v>0</v>
      </c>
      <c r="AB255" s="70">
        <f>SUM(Tabla1[[#This Row],[DEUDA DE LOS MESES PASADOS EN $$]:[DEUDA DEL AÑO 2013 $$ ]])</f>
        <v>0</v>
      </c>
      <c r="AE255" s="103">
        <f>IF(Tabla1[[#This Row],[TIPO DE CONSUMIDOR]]="MEDIO",IF(Tabla1[[#This Row],[ENERO ]]&gt;22.5,Tabla1[[#This Row],[ENERO ]]/22.5-1,0),IF(Tabla1[[#This Row],[ENERO ]]&gt;45,Tabla1[[#This Row],[ENERO ]]/45-1,0))</f>
        <v>0</v>
      </c>
      <c r="AF25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5" s="103">
        <f>IF(Tabla1[[#This Row],[TIPO DE CONSUMIDOR]]="MEDIO",IF(Tabla1[[#This Row],[MARZO]]&gt;22.5,Tabla1[[#This Row],[MARZO]]/22.5-1,0),IF(Tabla1[[#This Row],[MARZO]]&gt;45,Tabla1[[#This Row],[MARZO]]/45-1,0))</f>
        <v>0</v>
      </c>
      <c r="AH255" s="103">
        <f>IF(Tabla1[[#This Row],[TIPO DE CONSUMIDOR]]="MEDIO",IF(Tabla1[[#This Row],[ABRIL]]&gt;22.5,Tabla1[[#This Row],[ABRIL]]/22.5-1,0),IF(Tabla1[[#This Row],[ABRIL]]&gt;45,Tabla1[[#This Row],[ABRIL]]/45-1,0))</f>
        <v>0</v>
      </c>
      <c r="AI255" s="103">
        <f>IF(Tabla1[[#This Row],[TIPO DE CONSUMIDOR]]="MEDIO",IF(Tabla1[[#This Row],[MAYO ]]&gt;22.5,Tabla1[[#This Row],[MAYO ]]/22.5-1,0),IF(Tabla1[[#This Row],[MAYO ]]&gt;45,Tabla1[[#This Row],[MAYO ]]/45-1,0))</f>
        <v>0</v>
      </c>
      <c r="AJ255" s="103">
        <f>IF(Tabla1[[#This Row],[TIPO DE CONSUMIDOR]]="MEDIO",IF(Tabla1[[#This Row],[JUNIO ]]&gt;22.5,Tabla1[[#This Row],[JUNIO ]]/22.5-1,0),IF(Tabla1[[#This Row],[JUNIO ]]&gt;45,Tabla1[[#This Row],[JUNIO ]]/45-1,0))</f>
        <v>0</v>
      </c>
      <c r="AK255" s="103">
        <f>IF(Tabla1[[#This Row],[TIPO DE CONSUMIDOR]]="MEDIO",IF(Tabla1[[#This Row],[JULIO ]]&gt;22.5,Tabla1[[#This Row],[JULIO ]]/22.5-1,0),IF(Tabla1[[#This Row],[JULIO ]]&gt;45,Tabla1[[#This Row],[JULIO ]]/45-1,0))</f>
        <v>0</v>
      </c>
      <c r="AL255" s="103">
        <f>IF(Tabla1[[#This Row],[TIPO DE CONSUMIDOR]]="MEDIO",IF(Tabla1[[#This Row],[AGOSTO]]&gt;22.5,Tabla1[[#This Row],[AGOSTO]]/22.5-1,0),IF(Tabla1[[#This Row],[AGOSTO]]&gt;45,Tabla1[[#This Row],[AGOSTO]]/45-1,0))</f>
        <v>0</v>
      </c>
      <c r="AM25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5" s="104">
        <f t="shared" si="8"/>
        <v>0</v>
      </c>
      <c r="AR255" s="9">
        <f t="shared" si="7"/>
        <v>0</v>
      </c>
      <c r="AS255" s="60">
        <f>IF(Tabla1[[#This Row],[MESES DE ADEUDO DEL AÑO EN CURSO ]]&gt;0,1,0)</f>
        <v>0</v>
      </c>
      <c r="AT255" s="42"/>
      <c r="AU255" s="42"/>
      <c r="AV255" s="42"/>
      <c r="AW255" s="43"/>
    </row>
    <row r="256" spans="1:49" ht="21.75" thickBot="1" x14ac:dyDescent="0.35">
      <c r="A256" s="109">
        <v>250</v>
      </c>
      <c r="B256" s="5" t="s">
        <v>414</v>
      </c>
      <c r="C256" s="2"/>
      <c r="D256" s="32"/>
      <c r="E256" s="35" t="s">
        <v>455</v>
      </c>
      <c r="F256" s="34">
        <v>45</v>
      </c>
      <c r="G256" s="34">
        <v>45</v>
      </c>
      <c r="H256" s="34">
        <v>45</v>
      </c>
      <c r="I256" s="34">
        <v>45</v>
      </c>
      <c r="J256" s="34">
        <v>45</v>
      </c>
      <c r="K256" s="34">
        <v>45</v>
      </c>
      <c r="L256" s="34">
        <v>45</v>
      </c>
      <c r="M256" s="34">
        <v>45</v>
      </c>
      <c r="N256" s="34">
        <v>45</v>
      </c>
      <c r="O256" s="34">
        <v>45</v>
      </c>
      <c r="P256" s="34">
        <v>45</v>
      </c>
      <c r="Q256" s="34">
        <v>45</v>
      </c>
      <c r="R256" s="24">
        <f>SUM(Tabla1[[#This Row],[ENERO ]:[DICIEMBRE]])</f>
        <v>540</v>
      </c>
      <c r="W256" s="65">
        <v>0</v>
      </c>
      <c r="X256" s="21">
        <f>COUNTIF(Tabla1[[#This Row],[ENERO ]:[DICIEMBRE]],0)-(AQ256)-IF(Tabla1[[#This Row],[BAJAS]]="BAJA",IF(Tabla1[[#This Row],[ALTAS]]="ALTA",VLOOKUP(Tabla1[[#This Row],[MES DE ALTA ]],$AT$6:$AU$17,2,FALSE),12)-VLOOKUP(Tabla1[[#This Row],[MES DE BAJA ]],$AT$6:$AU$17,2,FALSE),0)</f>
        <v>0</v>
      </c>
      <c r="Y256" s="69">
        <f>SUM(Tabla1[[#This Row],[MES ADEUDO DE AÑOS PASADOS ]:[MESES DE ADEUDO DEL AÑO EN CURSO ]])</f>
        <v>0</v>
      </c>
      <c r="Z256" s="15">
        <f>IF(Tabla1[[#This Row],[TIPO DE CONSUMIDOR]]="COMPLETO",W256*$T$2,W256*($T$2/2))</f>
        <v>0</v>
      </c>
      <c r="AA256" s="15">
        <f>IF(Tabla1[[#This Row],[TIPO DE CONSUMIDOR]]="COMPLETO",Tabla1[[#This Row],[MESES DE ADEUDO DEL AÑO EN CURSO ]]*$T$2,Tabla1[[#This Row],[MESES DE ADEUDO DEL AÑO EN CURSO ]]*($T$2/2))</f>
        <v>0</v>
      </c>
      <c r="AB256" s="70">
        <f>SUM(Tabla1[[#This Row],[DEUDA DE LOS MESES PASADOS EN $$]:[DEUDA DEL AÑO 2013 $$ ]])</f>
        <v>0</v>
      </c>
      <c r="AE256" s="103">
        <f>IF(Tabla1[[#This Row],[TIPO DE CONSUMIDOR]]="MEDIO",IF(Tabla1[[#This Row],[ENERO ]]&gt;22.5,Tabla1[[#This Row],[ENERO ]]/22.5-1,0),IF(Tabla1[[#This Row],[ENERO ]]&gt;45,Tabla1[[#This Row],[ENERO ]]/45-1,0))</f>
        <v>0</v>
      </c>
      <c r="AF25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6" s="103">
        <f>IF(Tabla1[[#This Row],[TIPO DE CONSUMIDOR]]="MEDIO",IF(Tabla1[[#This Row],[MARZO]]&gt;22.5,Tabla1[[#This Row],[MARZO]]/22.5-1,0),IF(Tabla1[[#This Row],[MARZO]]&gt;45,Tabla1[[#This Row],[MARZO]]/45-1,0))</f>
        <v>0</v>
      </c>
      <c r="AH256" s="103">
        <f>IF(Tabla1[[#This Row],[TIPO DE CONSUMIDOR]]="MEDIO",IF(Tabla1[[#This Row],[ABRIL]]&gt;22.5,Tabla1[[#This Row],[ABRIL]]/22.5-1,0),IF(Tabla1[[#This Row],[ABRIL]]&gt;45,Tabla1[[#This Row],[ABRIL]]/45-1,0))</f>
        <v>0</v>
      </c>
      <c r="AI256" s="103">
        <f>IF(Tabla1[[#This Row],[TIPO DE CONSUMIDOR]]="MEDIO",IF(Tabla1[[#This Row],[MAYO ]]&gt;22.5,Tabla1[[#This Row],[MAYO ]]/22.5-1,0),IF(Tabla1[[#This Row],[MAYO ]]&gt;45,Tabla1[[#This Row],[MAYO ]]/45-1,0))</f>
        <v>0</v>
      </c>
      <c r="AJ256" s="103">
        <f>IF(Tabla1[[#This Row],[TIPO DE CONSUMIDOR]]="MEDIO",IF(Tabla1[[#This Row],[JUNIO ]]&gt;22.5,Tabla1[[#This Row],[JUNIO ]]/22.5-1,0),IF(Tabla1[[#This Row],[JUNIO ]]&gt;45,Tabla1[[#This Row],[JUNIO ]]/45-1,0))</f>
        <v>0</v>
      </c>
      <c r="AK256" s="103">
        <f>IF(Tabla1[[#This Row],[TIPO DE CONSUMIDOR]]="MEDIO",IF(Tabla1[[#This Row],[JULIO ]]&gt;22.5,Tabla1[[#This Row],[JULIO ]]/22.5-1,0),IF(Tabla1[[#This Row],[JULIO ]]&gt;45,Tabla1[[#This Row],[JULIO ]]/45-1,0))</f>
        <v>0</v>
      </c>
      <c r="AL256" s="103">
        <f>IF(Tabla1[[#This Row],[TIPO DE CONSUMIDOR]]="MEDIO",IF(Tabla1[[#This Row],[AGOSTO]]&gt;22.5,Tabla1[[#This Row],[AGOSTO]]/22.5-1,0),IF(Tabla1[[#This Row],[AGOSTO]]&gt;45,Tabla1[[#This Row],[AGOSTO]]/45-1,0))</f>
        <v>0</v>
      </c>
      <c r="AM25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6" s="104">
        <f t="shared" si="8"/>
        <v>0</v>
      </c>
      <c r="AR256" s="9">
        <f t="shared" si="7"/>
        <v>0</v>
      </c>
      <c r="AS256" s="60">
        <f>IF(Tabla1[[#This Row],[MESES DE ADEUDO DEL AÑO EN CURSO ]]&gt;0,1,0)</f>
        <v>0</v>
      </c>
      <c r="AT256" s="42"/>
      <c r="AU256" s="42"/>
      <c r="AV256" s="42"/>
      <c r="AW256" s="43"/>
    </row>
    <row r="257" spans="1:49" ht="21.75" thickBot="1" x14ac:dyDescent="0.35">
      <c r="A257" s="109">
        <v>251</v>
      </c>
      <c r="B257" s="5"/>
      <c r="C257" s="97"/>
      <c r="D257" s="32"/>
      <c r="E257" s="35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121">
        <f>SUM(Tabla1[[#This Row],[ENERO ]:[DICIEMBRE]])</f>
        <v>0</v>
      </c>
      <c r="W257" s="65"/>
      <c r="X257" s="21">
        <f>COUNTIF(Tabla1[[#This Row],[ENERO ]:[DICIEMBRE]],0)-(AQ257)-IF(Tabla1[[#This Row],[BAJAS]]="BAJA",IF(Tabla1[[#This Row],[ALTAS]]="ALTA",VLOOKUP(Tabla1[[#This Row],[MES DE ALTA ]],$AT$6:$AU$17,2,FALSE),12)-VLOOKUP(Tabla1[[#This Row],[MES DE BAJA ]],$AT$6:$AU$17,2,FALSE),0)</f>
        <v>0</v>
      </c>
      <c r="Y257" s="94">
        <f>SUM(Tabla1[[#This Row],[MES ADEUDO DE AÑOS PASADOS ]:[MESES DE ADEUDO DEL AÑO EN CURSO ]])</f>
        <v>0</v>
      </c>
      <c r="Z257" s="15">
        <f>IF(Tabla1[[#This Row],[TIPO DE CONSUMIDOR]]="COMPLETO",W257*$T$2,W257*($T$2/2))</f>
        <v>0</v>
      </c>
      <c r="AA257" s="15">
        <f>IF(Tabla1[[#This Row],[TIPO DE CONSUMIDOR]]="COMPLETO",Tabla1[[#This Row],[MESES DE ADEUDO DEL AÑO EN CURSO ]]*$T$2,Tabla1[[#This Row],[MESES DE ADEUDO DEL AÑO EN CURSO ]]*($T$2/2))</f>
        <v>0</v>
      </c>
      <c r="AB257" s="70">
        <f>SUM(Tabla1[[#This Row],[DEUDA DE LOS MESES PASADOS EN $$]:[DEUDA DEL AÑO 2013 $$ ]])</f>
        <v>0</v>
      </c>
      <c r="AE257" s="103">
        <f>IF(Tabla1[[#This Row],[TIPO DE CONSUMIDOR]]="MEDIO",IF(Tabla1[[#This Row],[ENERO ]]&gt;22.5,Tabla1[[#This Row],[ENERO ]]/22.5-1,0),IF(Tabla1[[#This Row],[ENERO ]]&gt;45,Tabla1[[#This Row],[ENERO ]]/45-1,0))</f>
        <v>0</v>
      </c>
      <c r="AF25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7" s="103">
        <f>IF(Tabla1[[#This Row],[TIPO DE CONSUMIDOR]]="MEDIO",IF(Tabla1[[#This Row],[MARZO]]&gt;22.5,Tabla1[[#This Row],[MARZO]]/22.5-1,0),IF(Tabla1[[#This Row],[MARZO]]&gt;45,Tabla1[[#This Row],[MARZO]]/45-1,0))</f>
        <v>0</v>
      </c>
      <c r="AH257" s="103">
        <f>IF(Tabla1[[#This Row],[TIPO DE CONSUMIDOR]]="MEDIO",IF(Tabla1[[#This Row],[ABRIL]]&gt;22.5,Tabla1[[#This Row],[ABRIL]]/22.5-1,0),IF(Tabla1[[#This Row],[ABRIL]]&gt;45,Tabla1[[#This Row],[ABRIL]]/45-1,0))</f>
        <v>0</v>
      </c>
      <c r="AI257" s="103">
        <f>IF(Tabla1[[#This Row],[TIPO DE CONSUMIDOR]]="MEDIO",IF(Tabla1[[#This Row],[MAYO ]]&gt;22.5,Tabla1[[#This Row],[MAYO ]]/22.5-1,0),IF(Tabla1[[#This Row],[MAYO ]]&gt;45,Tabla1[[#This Row],[MAYO ]]/45-1,0))</f>
        <v>0</v>
      </c>
      <c r="AJ257" s="103">
        <f>IF(Tabla1[[#This Row],[TIPO DE CONSUMIDOR]]="MEDIO",IF(Tabla1[[#This Row],[JUNIO ]]&gt;22.5,Tabla1[[#This Row],[JUNIO ]]/22.5-1,0),IF(Tabla1[[#This Row],[JUNIO ]]&gt;45,Tabla1[[#This Row],[JUNIO ]]/45-1,0))</f>
        <v>0</v>
      </c>
      <c r="AK257" s="103">
        <f>IF(Tabla1[[#This Row],[TIPO DE CONSUMIDOR]]="MEDIO",IF(Tabla1[[#This Row],[JULIO ]]&gt;22.5,Tabla1[[#This Row],[JULIO ]]/22.5-1,0),IF(Tabla1[[#This Row],[JULIO ]]&gt;45,Tabla1[[#This Row],[JULIO ]]/45-1,0))</f>
        <v>0</v>
      </c>
      <c r="AL257" s="103">
        <f>IF(Tabla1[[#This Row],[TIPO DE CONSUMIDOR]]="MEDIO",IF(Tabla1[[#This Row],[AGOSTO]]&gt;22.5,Tabla1[[#This Row],[AGOSTO]]/22.5-1,0),IF(Tabla1[[#This Row],[AGOSTO]]&gt;45,Tabla1[[#This Row],[AGOSTO]]/45-1,0))</f>
        <v>0</v>
      </c>
      <c r="AM25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7" s="104">
        <f t="shared" si="8"/>
        <v>0</v>
      </c>
      <c r="AR257" s="9">
        <f t="shared" si="7"/>
        <v>0</v>
      </c>
      <c r="AS257" s="60">
        <f>IF(Tabla1[[#This Row],[MESES DE ADEUDO DEL AÑO EN CURSO ]]&gt;0,1,0)</f>
        <v>0</v>
      </c>
      <c r="AT257" s="42"/>
      <c r="AU257" s="42"/>
      <c r="AV257" s="42"/>
      <c r="AW257" s="43"/>
    </row>
    <row r="258" spans="1:49" ht="21.75" thickBot="1" x14ac:dyDescent="0.35">
      <c r="A258" s="109">
        <v>252</v>
      </c>
      <c r="B258" s="5"/>
      <c r="C258" s="97"/>
      <c r="D258" s="32"/>
      <c r="E258" s="35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121">
        <f>SUM(Tabla1[[#This Row],[ENERO ]:[DICIEMBRE]])</f>
        <v>0</v>
      </c>
      <c r="W258" s="65"/>
      <c r="X258" s="21">
        <f>COUNTIF(Tabla1[[#This Row],[ENERO ]:[DICIEMBRE]],0)-(AQ258)-IF(Tabla1[[#This Row],[BAJAS]]="BAJA",IF(Tabla1[[#This Row],[ALTAS]]="ALTA",VLOOKUP(Tabla1[[#This Row],[MES DE ALTA ]],$AT$6:$AU$17,2,FALSE),12)-VLOOKUP(Tabla1[[#This Row],[MES DE BAJA ]],$AT$6:$AU$17,2,FALSE),0)</f>
        <v>0</v>
      </c>
      <c r="Y258" s="94">
        <f>SUM(Tabla1[[#This Row],[MES ADEUDO DE AÑOS PASADOS ]:[MESES DE ADEUDO DEL AÑO EN CURSO ]])</f>
        <v>0</v>
      </c>
      <c r="Z258" s="15">
        <f>IF(Tabla1[[#This Row],[TIPO DE CONSUMIDOR]]="COMPLETO",W258*$T$2,W258*($T$2/2))</f>
        <v>0</v>
      </c>
      <c r="AA258" s="15">
        <f>IF(Tabla1[[#This Row],[TIPO DE CONSUMIDOR]]="COMPLETO",Tabla1[[#This Row],[MESES DE ADEUDO DEL AÑO EN CURSO ]]*$T$2,Tabla1[[#This Row],[MESES DE ADEUDO DEL AÑO EN CURSO ]]*($T$2/2))</f>
        <v>0</v>
      </c>
      <c r="AB258" s="70">
        <f>SUM(Tabla1[[#This Row],[DEUDA DE LOS MESES PASADOS EN $$]:[DEUDA DEL AÑO 2013 $$ ]])</f>
        <v>0</v>
      </c>
      <c r="AE258" s="103">
        <f>IF(Tabla1[[#This Row],[TIPO DE CONSUMIDOR]]="MEDIO",IF(Tabla1[[#This Row],[ENERO ]]&gt;22.5,Tabla1[[#This Row],[ENERO ]]/22.5-1,0),IF(Tabla1[[#This Row],[ENERO ]]&gt;45,Tabla1[[#This Row],[ENERO ]]/45-1,0))</f>
        <v>0</v>
      </c>
      <c r="AF25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8" s="103">
        <f>IF(Tabla1[[#This Row],[TIPO DE CONSUMIDOR]]="MEDIO",IF(Tabla1[[#This Row],[MARZO]]&gt;22.5,Tabla1[[#This Row],[MARZO]]/22.5-1,0),IF(Tabla1[[#This Row],[MARZO]]&gt;45,Tabla1[[#This Row],[MARZO]]/45-1,0))</f>
        <v>0</v>
      </c>
      <c r="AH258" s="103">
        <f>IF(Tabla1[[#This Row],[TIPO DE CONSUMIDOR]]="MEDIO",IF(Tabla1[[#This Row],[ABRIL]]&gt;22.5,Tabla1[[#This Row],[ABRIL]]/22.5-1,0),IF(Tabla1[[#This Row],[ABRIL]]&gt;45,Tabla1[[#This Row],[ABRIL]]/45-1,0))</f>
        <v>0</v>
      </c>
      <c r="AI258" s="103">
        <f>IF(Tabla1[[#This Row],[TIPO DE CONSUMIDOR]]="MEDIO",IF(Tabla1[[#This Row],[MAYO ]]&gt;22.5,Tabla1[[#This Row],[MAYO ]]/22.5-1,0),IF(Tabla1[[#This Row],[MAYO ]]&gt;45,Tabla1[[#This Row],[MAYO ]]/45-1,0))</f>
        <v>0</v>
      </c>
      <c r="AJ258" s="103">
        <f>IF(Tabla1[[#This Row],[TIPO DE CONSUMIDOR]]="MEDIO",IF(Tabla1[[#This Row],[JUNIO ]]&gt;22.5,Tabla1[[#This Row],[JUNIO ]]/22.5-1,0),IF(Tabla1[[#This Row],[JUNIO ]]&gt;45,Tabla1[[#This Row],[JUNIO ]]/45-1,0))</f>
        <v>0</v>
      </c>
      <c r="AK258" s="103">
        <f>IF(Tabla1[[#This Row],[TIPO DE CONSUMIDOR]]="MEDIO",IF(Tabla1[[#This Row],[JULIO ]]&gt;22.5,Tabla1[[#This Row],[JULIO ]]/22.5-1,0),IF(Tabla1[[#This Row],[JULIO ]]&gt;45,Tabla1[[#This Row],[JULIO ]]/45-1,0))</f>
        <v>0</v>
      </c>
      <c r="AL258" s="103">
        <f>IF(Tabla1[[#This Row],[TIPO DE CONSUMIDOR]]="MEDIO",IF(Tabla1[[#This Row],[AGOSTO]]&gt;22.5,Tabla1[[#This Row],[AGOSTO]]/22.5-1,0),IF(Tabla1[[#This Row],[AGOSTO]]&gt;45,Tabla1[[#This Row],[AGOSTO]]/45-1,0))</f>
        <v>0</v>
      </c>
      <c r="AM25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8" s="104">
        <f t="shared" si="8"/>
        <v>0</v>
      </c>
      <c r="AR258" s="9">
        <f t="shared" si="7"/>
        <v>0</v>
      </c>
      <c r="AS258" s="60">
        <f>IF(Tabla1[[#This Row],[MESES DE ADEUDO DEL AÑO EN CURSO ]]&gt;0,1,0)</f>
        <v>0</v>
      </c>
      <c r="AT258" s="42"/>
      <c r="AU258" s="42"/>
      <c r="AV258" s="42"/>
      <c r="AW258" s="43"/>
    </row>
    <row r="259" spans="1:49" ht="21.75" thickBot="1" x14ac:dyDescent="0.35">
      <c r="A259" s="109">
        <v>253</v>
      </c>
      <c r="B259" s="5"/>
      <c r="C259" s="97"/>
      <c r="D259" s="32"/>
      <c r="E259" s="35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121">
        <f>SUM(Tabla1[[#This Row],[ENERO ]:[DICIEMBRE]])</f>
        <v>0</v>
      </c>
      <c r="W259" s="65"/>
      <c r="X259" s="21">
        <f>COUNTIF(Tabla1[[#This Row],[ENERO ]:[DICIEMBRE]],0)-(AQ259)-IF(Tabla1[[#This Row],[BAJAS]]="BAJA",IF(Tabla1[[#This Row],[ALTAS]]="ALTA",VLOOKUP(Tabla1[[#This Row],[MES DE ALTA ]],$AT$6:$AU$17,2,FALSE),12)-VLOOKUP(Tabla1[[#This Row],[MES DE BAJA ]],$AT$6:$AU$17,2,FALSE),0)</f>
        <v>0</v>
      </c>
      <c r="Y259" s="94">
        <f>SUM(Tabla1[[#This Row],[MES ADEUDO DE AÑOS PASADOS ]:[MESES DE ADEUDO DEL AÑO EN CURSO ]])</f>
        <v>0</v>
      </c>
      <c r="Z259" s="15">
        <f>IF(Tabla1[[#This Row],[TIPO DE CONSUMIDOR]]="COMPLETO",W259*$T$2,W259*($T$2/2))</f>
        <v>0</v>
      </c>
      <c r="AA259" s="15">
        <f>IF(Tabla1[[#This Row],[TIPO DE CONSUMIDOR]]="COMPLETO",Tabla1[[#This Row],[MESES DE ADEUDO DEL AÑO EN CURSO ]]*$T$2,Tabla1[[#This Row],[MESES DE ADEUDO DEL AÑO EN CURSO ]]*($T$2/2))</f>
        <v>0</v>
      </c>
      <c r="AB259" s="70">
        <f>SUM(Tabla1[[#This Row],[DEUDA DE LOS MESES PASADOS EN $$]:[DEUDA DEL AÑO 2013 $$ ]])</f>
        <v>0</v>
      </c>
      <c r="AE259" s="103">
        <f>IF(Tabla1[[#This Row],[TIPO DE CONSUMIDOR]]="MEDIO",IF(Tabla1[[#This Row],[ENERO ]]&gt;22.5,Tabla1[[#This Row],[ENERO ]]/22.5-1,0),IF(Tabla1[[#This Row],[ENERO ]]&gt;45,Tabla1[[#This Row],[ENERO ]]/45-1,0))</f>
        <v>0</v>
      </c>
      <c r="AF25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59" s="103">
        <f>IF(Tabla1[[#This Row],[TIPO DE CONSUMIDOR]]="MEDIO",IF(Tabla1[[#This Row],[MARZO]]&gt;22.5,Tabla1[[#This Row],[MARZO]]/22.5-1,0),IF(Tabla1[[#This Row],[MARZO]]&gt;45,Tabla1[[#This Row],[MARZO]]/45-1,0))</f>
        <v>0</v>
      </c>
      <c r="AH259" s="103">
        <f>IF(Tabla1[[#This Row],[TIPO DE CONSUMIDOR]]="MEDIO",IF(Tabla1[[#This Row],[ABRIL]]&gt;22.5,Tabla1[[#This Row],[ABRIL]]/22.5-1,0),IF(Tabla1[[#This Row],[ABRIL]]&gt;45,Tabla1[[#This Row],[ABRIL]]/45-1,0))</f>
        <v>0</v>
      </c>
      <c r="AI259" s="103">
        <f>IF(Tabla1[[#This Row],[TIPO DE CONSUMIDOR]]="MEDIO",IF(Tabla1[[#This Row],[MAYO ]]&gt;22.5,Tabla1[[#This Row],[MAYO ]]/22.5-1,0),IF(Tabla1[[#This Row],[MAYO ]]&gt;45,Tabla1[[#This Row],[MAYO ]]/45-1,0))</f>
        <v>0</v>
      </c>
      <c r="AJ259" s="103">
        <f>IF(Tabla1[[#This Row],[TIPO DE CONSUMIDOR]]="MEDIO",IF(Tabla1[[#This Row],[JUNIO ]]&gt;22.5,Tabla1[[#This Row],[JUNIO ]]/22.5-1,0),IF(Tabla1[[#This Row],[JUNIO ]]&gt;45,Tabla1[[#This Row],[JUNIO ]]/45-1,0))</f>
        <v>0</v>
      </c>
      <c r="AK259" s="103">
        <f>IF(Tabla1[[#This Row],[TIPO DE CONSUMIDOR]]="MEDIO",IF(Tabla1[[#This Row],[JULIO ]]&gt;22.5,Tabla1[[#This Row],[JULIO ]]/22.5-1,0),IF(Tabla1[[#This Row],[JULIO ]]&gt;45,Tabla1[[#This Row],[JULIO ]]/45-1,0))</f>
        <v>0</v>
      </c>
      <c r="AL259" s="103">
        <f>IF(Tabla1[[#This Row],[TIPO DE CONSUMIDOR]]="MEDIO",IF(Tabla1[[#This Row],[AGOSTO]]&gt;22.5,Tabla1[[#This Row],[AGOSTO]]/22.5-1,0),IF(Tabla1[[#This Row],[AGOSTO]]&gt;45,Tabla1[[#This Row],[AGOSTO]]/45-1,0))</f>
        <v>0</v>
      </c>
      <c r="AM25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5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5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5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59" s="104">
        <f t="shared" si="8"/>
        <v>0</v>
      </c>
      <c r="AR259" s="9">
        <f t="shared" si="7"/>
        <v>0</v>
      </c>
      <c r="AS259" s="60">
        <f>IF(Tabla1[[#This Row],[MESES DE ADEUDO DEL AÑO EN CURSO ]]&gt;0,1,0)</f>
        <v>0</v>
      </c>
      <c r="AT259" s="42"/>
      <c r="AU259" s="42"/>
      <c r="AV259" s="42"/>
      <c r="AW259" s="43"/>
    </row>
    <row r="260" spans="1:49" ht="21.75" thickBot="1" x14ac:dyDescent="0.35">
      <c r="A260" s="109">
        <v>254</v>
      </c>
      <c r="B260" s="5"/>
      <c r="C260" s="97"/>
      <c r="D260" s="32"/>
      <c r="E260" s="35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121">
        <f>SUM(Tabla1[[#This Row],[ENERO ]:[DICIEMBRE]])</f>
        <v>0</v>
      </c>
      <c r="W260" s="65"/>
      <c r="X260" s="21">
        <f>COUNTIF(Tabla1[[#This Row],[ENERO ]:[DICIEMBRE]],0)-(AQ260)-IF(Tabla1[[#This Row],[BAJAS]]="BAJA",IF(Tabla1[[#This Row],[ALTAS]]="ALTA",VLOOKUP(Tabla1[[#This Row],[MES DE ALTA ]],$AT$6:$AU$17,2,FALSE),12)-VLOOKUP(Tabla1[[#This Row],[MES DE BAJA ]],$AT$6:$AU$17,2,FALSE),0)</f>
        <v>0</v>
      </c>
      <c r="Y260" s="94">
        <f>SUM(Tabla1[[#This Row],[MES ADEUDO DE AÑOS PASADOS ]:[MESES DE ADEUDO DEL AÑO EN CURSO ]])</f>
        <v>0</v>
      </c>
      <c r="Z260" s="15">
        <f>IF(Tabla1[[#This Row],[TIPO DE CONSUMIDOR]]="COMPLETO",W260*$T$2,W260*($T$2/2))</f>
        <v>0</v>
      </c>
      <c r="AA260" s="15">
        <f>IF(Tabla1[[#This Row],[TIPO DE CONSUMIDOR]]="COMPLETO",Tabla1[[#This Row],[MESES DE ADEUDO DEL AÑO EN CURSO ]]*$T$2,Tabla1[[#This Row],[MESES DE ADEUDO DEL AÑO EN CURSO ]]*($T$2/2))</f>
        <v>0</v>
      </c>
      <c r="AB260" s="70">
        <f>SUM(Tabla1[[#This Row],[DEUDA DE LOS MESES PASADOS EN $$]:[DEUDA DEL AÑO 2013 $$ ]])</f>
        <v>0</v>
      </c>
      <c r="AE260" s="103">
        <f>IF(Tabla1[[#This Row],[TIPO DE CONSUMIDOR]]="MEDIO",IF(Tabla1[[#This Row],[ENERO ]]&gt;22.5,Tabla1[[#This Row],[ENERO ]]/22.5-1,0),IF(Tabla1[[#This Row],[ENERO ]]&gt;45,Tabla1[[#This Row],[ENERO ]]/45-1,0))</f>
        <v>0</v>
      </c>
      <c r="AF26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0" s="103">
        <f>IF(Tabla1[[#This Row],[TIPO DE CONSUMIDOR]]="MEDIO",IF(Tabla1[[#This Row],[MARZO]]&gt;22.5,Tabla1[[#This Row],[MARZO]]/22.5-1,0),IF(Tabla1[[#This Row],[MARZO]]&gt;45,Tabla1[[#This Row],[MARZO]]/45-1,0))</f>
        <v>0</v>
      </c>
      <c r="AH260" s="103">
        <f>IF(Tabla1[[#This Row],[TIPO DE CONSUMIDOR]]="MEDIO",IF(Tabla1[[#This Row],[ABRIL]]&gt;22.5,Tabla1[[#This Row],[ABRIL]]/22.5-1,0),IF(Tabla1[[#This Row],[ABRIL]]&gt;45,Tabla1[[#This Row],[ABRIL]]/45-1,0))</f>
        <v>0</v>
      </c>
      <c r="AI260" s="103">
        <f>IF(Tabla1[[#This Row],[TIPO DE CONSUMIDOR]]="MEDIO",IF(Tabla1[[#This Row],[MAYO ]]&gt;22.5,Tabla1[[#This Row],[MAYO ]]/22.5-1,0),IF(Tabla1[[#This Row],[MAYO ]]&gt;45,Tabla1[[#This Row],[MAYO ]]/45-1,0))</f>
        <v>0</v>
      </c>
      <c r="AJ260" s="103">
        <f>IF(Tabla1[[#This Row],[TIPO DE CONSUMIDOR]]="MEDIO",IF(Tabla1[[#This Row],[JUNIO ]]&gt;22.5,Tabla1[[#This Row],[JUNIO ]]/22.5-1,0),IF(Tabla1[[#This Row],[JUNIO ]]&gt;45,Tabla1[[#This Row],[JUNIO ]]/45-1,0))</f>
        <v>0</v>
      </c>
      <c r="AK260" s="103">
        <f>IF(Tabla1[[#This Row],[TIPO DE CONSUMIDOR]]="MEDIO",IF(Tabla1[[#This Row],[JULIO ]]&gt;22.5,Tabla1[[#This Row],[JULIO ]]/22.5-1,0),IF(Tabla1[[#This Row],[JULIO ]]&gt;45,Tabla1[[#This Row],[JULIO ]]/45-1,0))</f>
        <v>0</v>
      </c>
      <c r="AL260" s="103">
        <f>IF(Tabla1[[#This Row],[TIPO DE CONSUMIDOR]]="MEDIO",IF(Tabla1[[#This Row],[AGOSTO]]&gt;22.5,Tabla1[[#This Row],[AGOSTO]]/22.5-1,0),IF(Tabla1[[#This Row],[AGOSTO]]&gt;45,Tabla1[[#This Row],[AGOSTO]]/45-1,0))</f>
        <v>0</v>
      </c>
      <c r="AM26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0" s="104">
        <f t="shared" si="8"/>
        <v>0</v>
      </c>
      <c r="AR260" s="9">
        <f t="shared" si="7"/>
        <v>0</v>
      </c>
      <c r="AS260" s="60">
        <f>IF(Tabla1[[#This Row],[MESES DE ADEUDO DEL AÑO EN CURSO ]]&gt;0,1,0)</f>
        <v>0</v>
      </c>
      <c r="AT260" s="42"/>
      <c r="AU260" s="42"/>
      <c r="AV260" s="42"/>
      <c r="AW260" s="43"/>
    </row>
    <row r="261" spans="1:49" ht="21.75" thickBot="1" x14ac:dyDescent="0.35">
      <c r="A261" s="109">
        <v>255</v>
      </c>
      <c r="B261" s="5" t="s">
        <v>183</v>
      </c>
      <c r="C261" s="2" t="s">
        <v>501</v>
      </c>
      <c r="D261" s="32"/>
      <c r="E261" s="35" t="s">
        <v>455</v>
      </c>
      <c r="F261" s="34">
        <v>45</v>
      </c>
      <c r="G261" s="34">
        <v>45</v>
      </c>
      <c r="H261" s="34">
        <v>45</v>
      </c>
      <c r="I261" s="34">
        <v>45</v>
      </c>
      <c r="J261" s="34">
        <v>45</v>
      </c>
      <c r="K261" s="34">
        <v>45</v>
      </c>
      <c r="L261" s="34">
        <v>45</v>
      </c>
      <c r="M261" s="34">
        <v>45</v>
      </c>
      <c r="N261" s="34">
        <v>45</v>
      </c>
      <c r="O261" s="34">
        <v>45</v>
      </c>
      <c r="P261" s="34">
        <v>45</v>
      </c>
      <c r="Q261" s="34">
        <v>45</v>
      </c>
      <c r="R261" s="24">
        <f>SUM(Tabla1[[#This Row],[ENERO ]:[DICIEMBRE]])</f>
        <v>540</v>
      </c>
      <c r="W261" s="65">
        <v>0</v>
      </c>
      <c r="X261" s="21">
        <f>COUNTIF(Tabla1[[#This Row],[ENERO ]:[DICIEMBRE]],0)-(AQ261)-IF(Tabla1[[#This Row],[BAJAS]]="BAJA",IF(Tabla1[[#This Row],[ALTAS]]="ALTA",VLOOKUP(Tabla1[[#This Row],[MES DE ALTA ]],$AT$6:$AU$17,2,FALSE),12)-VLOOKUP(Tabla1[[#This Row],[MES DE BAJA ]],$AT$6:$AU$17,2,FALSE),0)</f>
        <v>0</v>
      </c>
      <c r="Y261" s="69">
        <f>SUM(Tabla1[[#This Row],[MES ADEUDO DE AÑOS PASADOS ]:[MESES DE ADEUDO DEL AÑO EN CURSO ]])</f>
        <v>0</v>
      </c>
      <c r="Z261" s="15">
        <f>IF(Tabla1[[#This Row],[TIPO DE CONSUMIDOR]]="COMPLETO",W261*$T$2,W261*($T$2/2))</f>
        <v>0</v>
      </c>
      <c r="AA261" s="15">
        <f>IF(Tabla1[[#This Row],[TIPO DE CONSUMIDOR]]="COMPLETO",Tabla1[[#This Row],[MESES DE ADEUDO DEL AÑO EN CURSO ]]*$T$2,Tabla1[[#This Row],[MESES DE ADEUDO DEL AÑO EN CURSO ]]*($T$2/2))</f>
        <v>0</v>
      </c>
      <c r="AB261" s="70">
        <f>SUM(Tabla1[[#This Row],[DEUDA DE LOS MESES PASADOS EN $$]:[DEUDA DEL AÑO 2013 $$ ]])</f>
        <v>0</v>
      </c>
      <c r="AE261" s="103">
        <f>IF(Tabla1[[#This Row],[TIPO DE CONSUMIDOR]]="MEDIO",IF(Tabla1[[#This Row],[ENERO ]]&gt;22.5,Tabla1[[#This Row],[ENERO ]]/22.5-1,0),IF(Tabla1[[#This Row],[ENERO ]]&gt;45,Tabla1[[#This Row],[ENERO ]]/45-1,0))</f>
        <v>0</v>
      </c>
      <c r="AF26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1" s="103">
        <f>IF(Tabla1[[#This Row],[TIPO DE CONSUMIDOR]]="MEDIO",IF(Tabla1[[#This Row],[MARZO]]&gt;22.5,Tabla1[[#This Row],[MARZO]]/22.5-1,0),IF(Tabla1[[#This Row],[MARZO]]&gt;45,Tabla1[[#This Row],[MARZO]]/45-1,0))</f>
        <v>0</v>
      </c>
      <c r="AH261" s="103">
        <f>IF(Tabla1[[#This Row],[TIPO DE CONSUMIDOR]]="MEDIO",IF(Tabla1[[#This Row],[ABRIL]]&gt;22.5,Tabla1[[#This Row],[ABRIL]]/22.5-1,0),IF(Tabla1[[#This Row],[ABRIL]]&gt;45,Tabla1[[#This Row],[ABRIL]]/45-1,0))</f>
        <v>0</v>
      </c>
      <c r="AI261" s="103">
        <f>IF(Tabla1[[#This Row],[TIPO DE CONSUMIDOR]]="MEDIO",IF(Tabla1[[#This Row],[MAYO ]]&gt;22.5,Tabla1[[#This Row],[MAYO ]]/22.5-1,0),IF(Tabla1[[#This Row],[MAYO ]]&gt;45,Tabla1[[#This Row],[MAYO ]]/45-1,0))</f>
        <v>0</v>
      </c>
      <c r="AJ261" s="103">
        <f>IF(Tabla1[[#This Row],[TIPO DE CONSUMIDOR]]="MEDIO",IF(Tabla1[[#This Row],[JUNIO ]]&gt;22.5,Tabla1[[#This Row],[JUNIO ]]/22.5-1,0),IF(Tabla1[[#This Row],[JUNIO ]]&gt;45,Tabla1[[#This Row],[JUNIO ]]/45-1,0))</f>
        <v>0</v>
      </c>
      <c r="AK261" s="103">
        <f>IF(Tabla1[[#This Row],[TIPO DE CONSUMIDOR]]="MEDIO",IF(Tabla1[[#This Row],[JULIO ]]&gt;22.5,Tabla1[[#This Row],[JULIO ]]/22.5-1,0),IF(Tabla1[[#This Row],[JULIO ]]&gt;45,Tabla1[[#This Row],[JULIO ]]/45-1,0))</f>
        <v>0</v>
      </c>
      <c r="AL261" s="103">
        <f>IF(Tabla1[[#This Row],[TIPO DE CONSUMIDOR]]="MEDIO",IF(Tabla1[[#This Row],[AGOSTO]]&gt;22.5,Tabla1[[#This Row],[AGOSTO]]/22.5-1,0),IF(Tabla1[[#This Row],[AGOSTO]]&gt;45,Tabla1[[#This Row],[AGOSTO]]/45-1,0))</f>
        <v>0</v>
      </c>
      <c r="AM26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1" s="104">
        <f t="shared" si="8"/>
        <v>0</v>
      </c>
      <c r="AR261" s="9">
        <f t="shared" si="7"/>
        <v>0</v>
      </c>
      <c r="AS261" s="60">
        <f>IF(Tabla1[[#This Row],[MESES DE ADEUDO DEL AÑO EN CURSO ]]&gt;0,1,0)</f>
        <v>0</v>
      </c>
      <c r="AT261" s="42"/>
      <c r="AU261" s="42"/>
      <c r="AV261" s="42"/>
      <c r="AW261" s="43"/>
    </row>
    <row r="262" spans="1:49" ht="21.75" thickBot="1" x14ac:dyDescent="0.35">
      <c r="A262" s="109">
        <v>256</v>
      </c>
      <c r="B262" s="5" t="s">
        <v>601</v>
      </c>
      <c r="C262" s="2" t="s">
        <v>488</v>
      </c>
      <c r="D262" s="32"/>
      <c r="E262" s="35" t="s">
        <v>455</v>
      </c>
      <c r="F262" s="34">
        <v>45</v>
      </c>
      <c r="G262" s="34">
        <v>45</v>
      </c>
      <c r="H262" s="34">
        <v>45</v>
      </c>
      <c r="I262" s="34">
        <v>45</v>
      </c>
      <c r="J262" s="34">
        <v>45</v>
      </c>
      <c r="K262" s="34">
        <v>45</v>
      </c>
      <c r="L262" s="34">
        <v>45</v>
      </c>
      <c r="M262" s="34">
        <v>45</v>
      </c>
      <c r="N262" s="34">
        <v>45</v>
      </c>
      <c r="O262" s="34">
        <v>45</v>
      </c>
      <c r="P262" s="34">
        <v>45</v>
      </c>
      <c r="Q262" s="34">
        <v>0</v>
      </c>
      <c r="R262" s="24">
        <f>SUM(Tabla1[[#This Row],[ENERO ]:[DICIEMBRE]])</f>
        <v>495</v>
      </c>
      <c r="W262" s="65">
        <v>0</v>
      </c>
      <c r="X262" s="21">
        <f>COUNTIF(Tabla1[[#This Row],[ENERO ]:[DICIEMBRE]],0)-(AQ262)-IF(Tabla1[[#This Row],[BAJAS]]="BAJA",IF(Tabla1[[#This Row],[ALTAS]]="ALTA",VLOOKUP(Tabla1[[#This Row],[MES DE ALTA ]],$AT$6:$AU$17,2,FALSE),12)-VLOOKUP(Tabla1[[#This Row],[MES DE BAJA ]],$AT$6:$AU$17,2,FALSE),0)</f>
        <v>1</v>
      </c>
      <c r="Y262" s="69">
        <f>SUM(Tabla1[[#This Row],[MES ADEUDO DE AÑOS PASADOS ]:[MESES DE ADEUDO DEL AÑO EN CURSO ]])</f>
        <v>1</v>
      </c>
      <c r="Z262" s="15">
        <f>IF(Tabla1[[#This Row],[TIPO DE CONSUMIDOR]]="COMPLETO",W262*$T$2,W262*($T$2/2))</f>
        <v>0</v>
      </c>
      <c r="AA262" s="15">
        <f>IF(Tabla1[[#This Row],[TIPO DE CONSUMIDOR]]="COMPLETO",Tabla1[[#This Row],[MESES DE ADEUDO DEL AÑO EN CURSO ]]*$T$2,Tabla1[[#This Row],[MESES DE ADEUDO DEL AÑO EN CURSO ]]*($T$2/2))</f>
        <v>45</v>
      </c>
      <c r="AB262" s="70">
        <f>SUM(Tabla1[[#This Row],[DEUDA DE LOS MESES PASADOS EN $$]:[DEUDA DEL AÑO 2013 $$ ]])</f>
        <v>45</v>
      </c>
      <c r="AE262" s="103">
        <f>IF(Tabla1[[#This Row],[TIPO DE CONSUMIDOR]]="MEDIO",IF(Tabla1[[#This Row],[ENERO ]]&gt;22.5,Tabla1[[#This Row],[ENERO ]]/22.5-1,0),IF(Tabla1[[#This Row],[ENERO ]]&gt;45,Tabla1[[#This Row],[ENERO ]]/45-1,0))</f>
        <v>0</v>
      </c>
      <c r="AF26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2" s="103">
        <f>IF(Tabla1[[#This Row],[TIPO DE CONSUMIDOR]]="MEDIO",IF(Tabla1[[#This Row],[MARZO]]&gt;22.5,Tabla1[[#This Row],[MARZO]]/22.5-1,0),IF(Tabla1[[#This Row],[MARZO]]&gt;45,Tabla1[[#This Row],[MARZO]]/45-1,0))</f>
        <v>0</v>
      </c>
      <c r="AH262" s="103">
        <f>IF(Tabla1[[#This Row],[TIPO DE CONSUMIDOR]]="MEDIO",IF(Tabla1[[#This Row],[ABRIL]]&gt;22.5,Tabla1[[#This Row],[ABRIL]]/22.5-1,0),IF(Tabla1[[#This Row],[ABRIL]]&gt;45,Tabla1[[#This Row],[ABRIL]]/45-1,0))</f>
        <v>0</v>
      </c>
      <c r="AI262" s="103">
        <f>IF(Tabla1[[#This Row],[TIPO DE CONSUMIDOR]]="MEDIO",IF(Tabla1[[#This Row],[MAYO ]]&gt;22.5,Tabla1[[#This Row],[MAYO ]]/22.5-1,0),IF(Tabla1[[#This Row],[MAYO ]]&gt;45,Tabla1[[#This Row],[MAYO ]]/45-1,0))</f>
        <v>0</v>
      </c>
      <c r="AJ262" s="103">
        <f>IF(Tabla1[[#This Row],[TIPO DE CONSUMIDOR]]="MEDIO",IF(Tabla1[[#This Row],[JUNIO ]]&gt;22.5,Tabla1[[#This Row],[JUNIO ]]/22.5-1,0),IF(Tabla1[[#This Row],[JUNIO ]]&gt;45,Tabla1[[#This Row],[JUNIO ]]/45-1,0))</f>
        <v>0</v>
      </c>
      <c r="AK262" s="103">
        <f>IF(Tabla1[[#This Row],[TIPO DE CONSUMIDOR]]="MEDIO",IF(Tabla1[[#This Row],[JULIO ]]&gt;22.5,Tabla1[[#This Row],[JULIO ]]/22.5-1,0),IF(Tabla1[[#This Row],[JULIO ]]&gt;45,Tabla1[[#This Row],[JULIO ]]/45-1,0))</f>
        <v>0</v>
      </c>
      <c r="AL262" s="103">
        <f>IF(Tabla1[[#This Row],[TIPO DE CONSUMIDOR]]="MEDIO",IF(Tabla1[[#This Row],[AGOSTO]]&gt;22.5,Tabla1[[#This Row],[AGOSTO]]/22.5-1,0),IF(Tabla1[[#This Row],[AGOSTO]]&gt;45,Tabla1[[#This Row],[AGOSTO]]/45-1,0))</f>
        <v>0</v>
      </c>
      <c r="AM26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2" s="104">
        <f t="shared" si="8"/>
        <v>0</v>
      </c>
      <c r="AR262" s="9">
        <f t="shared" si="7"/>
        <v>1</v>
      </c>
      <c r="AS262" s="60">
        <f>IF(Tabla1[[#This Row],[MESES DE ADEUDO DEL AÑO EN CURSO ]]&gt;0,1,0)</f>
        <v>1</v>
      </c>
      <c r="AT262" s="42"/>
      <c r="AU262" s="42"/>
      <c r="AV262" s="42"/>
      <c r="AW262" s="43"/>
    </row>
    <row r="263" spans="1:49" ht="21.75" thickBot="1" x14ac:dyDescent="0.35">
      <c r="A263" s="109">
        <v>257</v>
      </c>
      <c r="B263" s="5" t="s">
        <v>212</v>
      </c>
      <c r="C263" s="2" t="s">
        <v>492</v>
      </c>
      <c r="D263" s="32"/>
      <c r="E263" s="35" t="s">
        <v>455</v>
      </c>
      <c r="F263" s="34">
        <v>45</v>
      </c>
      <c r="G263" s="34">
        <v>45</v>
      </c>
      <c r="H263" s="34">
        <v>45</v>
      </c>
      <c r="I263" s="34">
        <v>45</v>
      </c>
      <c r="J263" s="34">
        <v>0</v>
      </c>
      <c r="K263" s="34">
        <v>0</v>
      </c>
      <c r="L263" s="34">
        <v>0</v>
      </c>
      <c r="M263" s="34">
        <v>45</v>
      </c>
      <c r="N263" s="34">
        <v>45</v>
      </c>
      <c r="O263" s="34">
        <v>45</v>
      </c>
      <c r="P263" s="34">
        <v>45</v>
      </c>
      <c r="Q263" s="34">
        <v>0</v>
      </c>
      <c r="R263" s="24">
        <f>SUM(Tabla1[[#This Row],[ENERO ]:[DICIEMBRE]])</f>
        <v>360</v>
      </c>
      <c r="S263" t="s">
        <v>626</v>
      </c>
      <c r="T263" t="s">
        <v>437</v>
      </c>
      <c r="U263" t="s">
        <v>625</v>
      </c>
      <c r="V263" t="s">
        <v>7</v>
      </c>
      <c r="W263" s="65">
        <v>0</v>
      </c>
      <c r="X263" s="21">
        <f>COUNTIF(Tabla1[[#This Row],[ENERO ]:[DICIEMBRE]],0)-(AQ263)-IF(Tabla1[[#This Row],[BAJAS]]="BAJA",IF(Tabla1[[#This Row],[ALTAS]]="ALTA",VLOOKUP(Tabla1[[#This Row],[MES DE ALTA ]],$AT$6:$AU$17,2,FALSE),12)-VLOOKUP(Tabla1[[#This Row],[MES DE BAJA ]],$AT$6:$AU$17,2,FALSE),0)</f>
        <v>1</v>
      </c>
      <c r="Y263" s="69">
        <f>SUM(Tabla1[[#This Row],[MES ADEUDO DE AÑOS PASADOS ]:[MESES DE ADEUDO DEL AÑO EN CURSO ]])</f>
        <v>1</v>
      </c>
      <c r="Z263" s="15">
        <f>IF(Tabla1[[#This Row],[TIPO DE CONSUMIDOR]]="COMPLETO",W263*$T$2,W263*($T$2/2))</f>
        <v>0</v>
      </c>
      <c r="AA263" s="15">
        <f>IF(Tabla1[[#This Row],[TIPO DE CONSUMIDOR]]="COMPLETO",Tabla1[[#This Row],[MESES DE ADEUDO DEL AÑO EN CURSO ]]*$T$2,Tabla1[[#This Row],[MESES DE ADEUDO DEL AÑO EN CURSO ]]*($T$2/2))</f>
        <v>45</v>
      </c>
      <c r="AB263" s="70">
        <f>SUM(Tabla1[[#This Row],[DEUDA DE LOS MESES PASADOS EN $$]:[DEUDA DEL AÑO 2013 $$ ]])</f>
        <v>45</v>
      </c>
      <c r="AE263" s="103">
        <f>IF(Tabla1[[#This Row],[TIPO DE CONSUMIDOR]]="MEDIO",IF(Tabla1[[#This Row],[ENERO ]]&gt;22.5,Tabla1[[#This Row],[ENERO ]]/22.5-1,0),IF(Tabla1[[#This Row],[ENERO ]]&gt;45,Tabla1[[#This Row],[ENERO ]]/45-1,0))</f>
        <v>0</v>
      </c>
      <c r="AF26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3" s="103">
        <f>IF(Tabla1[[#This Row],[TIPO DE CONSUMIDOR]]="MEDIO",IF(Tabla1[[#This Row],[MARZO]]&gt;22.5,Tabla1[[#This Row],[MARZO]]/22.5-1,0),IF(Tabla1[[#This Row],[MARZO]]&gt;45,Tabla1[[#This Row],[MARZO]]/45-1,0))</f>
        <v>0</v>
      </c>
      <c r="AH263" s="103">
        <f>IF(Tabla1[[#This Row],[TIPO DE CONSUMIDOR]]="MEDIO",IF(Tabla1[[#This Row],[ABRIL]]&gt;22.5,Tabla1[[#This Row],[ABRIL]]/22.5-1,0),IF(Tabla1[[#This Row],[ABRIL]]&gt;45,Tabla1[[#This Row],[ABRIL]]/45-1,0))</f>
        <v>0</v>
      </c>
      <c r="AI263" s="103">
        <f>IF(Tabla1[[#This Row],[TIPO DE CONSUMIDOR]]="MEDIO",IF(Tabla1[[#This Row],[MAYO ]]&gt;22.5,Tabla1[[#This Row],[MAYO ]]/22.5-1,0),IF(Tabla1[[#This Row],[MAYO ]]&gt;45,Tabla1[[#This Row],[MAYO ]]/45-1,0))</f>
        <v>0</v>
      </c>
      <c r="AJ263" s="103">
        <f>IF(Tabla1[[#This Row],[TIPO DE CONSUMIDOR]]="MEDIO",IF(Tabla1[[#This Row],[JUNIO ]]&gt;22.5,Tabla1[[#This Row],[JUNIO ]]/22.5-1,0),IF(Tabla1[[#This Row],[JUNIO ]]&gt;45,Tabla1[[#This Row],[JUNIO ]]/45-1,0))</f>
        <v>0</v>
      </c>
      <c r="AK263" s="103">
        <f>IF(Tabla1[[#This Row],[TIPO DE CONSUMIDOR]]="MEDIO",IF(Tabla1[[#This Row],[JULIO ]]&gt;22.5,Tabla1[[#This Row],[JULIO ]]/22.5-1,0),IF(Tabla1[[#This Row],[JULIO ]]&gt;45,Tabla1[[#This Row],[JULIO ]]/45-1,0))</f>
        <v>0</v>
      </c>
      <c r="AL263" s="103">
        <f>IF(Tabla1[[#This Row],[TIPO DE CONSUMIDOR]]="MEDIO",IF(Tabla1[[#This Row],[AGOSTO]]&gt;22.5,Tabla1[[#This Row],[AGOSTO]]/22.5-1,0),IF(Tabla1[[#This Row],[AGOSTO]]&gt;45,Tabla1[[#This Row],[AGOSTO]]/45-1,0))</f>
        <v>0</v>
      </c>
      <c r="AM26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3" s="104">
        <f t="shared" si="8"/>
        <v>0</v>
      </c>
      <c r="AR263" s="9">
        <f t="shared" ref="AR263:AR326" si="9">IF(Y263&gt;0,1,0)</f>
        <v>1</v>
      </c>
      <c r="AS263" s="60">
        <f>IF(Tabla1[[#This Row],[MESES DE ADEUDO DEL AÑO EN CURSO ]]&gt;0,1,0)</f>
        <v>1</v>
      </c>
      <c r="AT263" s="42"/>
      <c r="AU263" s="42"/>
      <c r="AV263" s="42"/>
      <c r="AW263" s="43"/>
    </row>
    <row r="264" spans="1:49" ht="21.75" thickBot="1" x14ac:dyDescent="0.35">
      <c r="A264" s="109">
        <v>258</v>
      </c>
      <c r="B264" s="5" t="s">
        <v>155</v>
      </c>
      <c r="C264" s="2" t="s">
        <v>504</v>
      </c>
      <c r="D264" s="32"/>
      <c r="E264" s="35" t="s">
        <v>455</v>
      </c>
      <c r="F264" s="34">
        <v>45</v>
      </c>
      <c r="G264" s="34">
        <v>45</v>
      </c>
      <c r="H264" s="34">
        <v>45</v>
      </c>
      <c r="I264" s="34">
        <v>45</v>
      </c>
      <c r="J264" s="34">
        <v>45</v>
      </c>
      <c r="K264" s="34">
        <v>45</v>
      </c>
      <c r="L264" s="34">
        <v>45</v>
      </c>
      <c r="M264" s="34">
        <v>45</v>
      </c>
      <c r="N264" s="34">
        <v>45</v>
      </c>
      <c r="O264" s="34">
        <v>45</v>
      </c>
      <c r="P264" s="34">
        <v>45</v>
      </c>
      <c r="Q264" s="34">
        <v>0</v>
      </c>
      <c r="R264" s="24">
        <f>SUM(Tabla1[[#This Row],[ENERO ]:[DICIEMBRE]])</f>
        <v>495</v>
      </c>
      <c r="W264" s="65">
        <v>0</v>
      </c>
      <c r="X264" s="21">
        <f>COUNTIF(Tabla1[[#This Row],[ENERO ]:[DICIEMBRE]],0)-(AQ264)-IF(Tabla1[[#This Row],[BAJAS]]="BAJA",IF(Tabla1[[#This Row],[ALTAS]]="ALTA",VLOOKUP(Tabla1[[#This Row],[MES DE ALTA ]],$AT$6:$AU$17,2,FALSE),12)-VLOOKUP(Tabla1[[#This Row],[MES DE BAJA ]],$AT$6:$AU$17,2,FALSE),0)</f>
        <v>1</v>
      </c>
      <c r="Y264" s="69">
        <f>SUM(Tabla1[[#This Row],[MES ADEUDO DE AÑOS PASADOS ]:[MESES DE ADEUDO DEL AÑO EN CURSO ]])</f>
        <v>1</v>
      </c>
      <c r="Z264" s="15">
        <f>IF(Tabla1[[#This Row],[TIPO DE CONSUMIDOR]]="COMPLETO",W264*$T$2,W264*($T$2/2))</f>
        <v>0</v>
      </c>
      <c r="AA264" s="15">
        <f>IF(Tabla1[[#This Row],[TIPO DE CONSUMIDOR]]="COMPLETO",Tabla1[[#This Row],[MESES DE ADEUDO DEL AÑO EN CURSO ]]*$T$2,Tabla1[[#This Row],[MESES DE ADEUDO DEL AÑO EN CURSO ]]*($T$2/2))</f>
        <v>45</v>
      </c>
      <c r="AB264" s="70">
        <f>SUM(Tabla1[[#This Row],[DEUDA DE LOS MESES PASADOS EN $$]:[DEUDA DEL AÑO 2013 $$ ]])</f>
        <v>45</v>
      </c>
      <c r="AE264" s="103">
        <f>IF(Tabla1[[#This Row],[TIPO DE CONSUMIDOR]]="MEDIO",IF(Tabla1[[#This Row],[ENERO ]]&gt;22.5,Tabla1[[#This Row],[ENERO ]]/22.5-1,0),IF(Tabla1[[#This Row],[ENERO ]]&gt;45,Tabla1[[#This Row],[ENERO ]]/45-1,0))</f>
        <v>0</v>
      </c>
      <c r="AF26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4" s="103">
        <f>IF(Tabla1[[#This Row],[TIPO DE CONSUMIDOR]]="MEDIO",IF(Tabla1[[#This Row],[MARZO]]&gt;22.5,Tabla1[[#This Row],[MARZO]]/22.5-1,0),IF(Tabla1[[#This Row],[MARZO]]&gt;45,Tabla1[[#This Row],[MARZO]]/45-1,0))</f>
        <v>0</v>
      </c>
      <c r="AH264" s="103">
        <f>IF(Tabla1[[#This Row],[TIPO DE CONSUMIDOR]]="MEDIO",IF(Tabla1[[#This Row],[ABRIL]]&gt;22.5,Tabla1[[#This Row],[ABRIL]]/22.5-1,0),IF(Tabla1[[#This Row],[ABRIL]]&gt;45,Tabla1[[#This Row],[ABRIL]]/45-1,0))</f>
        <v>0</v>
      </c>
      <c r="AI264" s="103">
        <f>IF(Tabla1[[#This Row],[TIPO DE CONSUMIDOR]]="MEDIO",IF(Tabla1[[#This Row],[MAYO ]]&gt;22.5,Tabla1[[#This Row],[MAYO ]]/22.5-1,0),IF(Tabla1[[#This Row],[MAYO ]]&gt;45,Tabla1[[#This Row],[MAYO ]]/45-1,0))</f>
        <v>0</v>
      </c>
      <c r="AJ264" s="103">
        <f>IF(Tabla1[[#This Row],[TIPO DE CONSUMIDOR]]="MEDIO",IF(Tabla1[[#This Row],[JUNIO ]]&gt;22.5,Tabla1[[#This Row],[JUNIO ]]/22.5-1,0),IF(Tabla1[[#This Row],[JUNIO ]]&gt;45,Tabla1[[#This Row],[JUNIO ]]/45-1,0))</f>
        <v>0</v>
      </c>
      <c r="AK264" s="103">
        <f>IF(Tabla1[[#This Row],[TIPO DE CONSUMIDOR]]="MEDIO",IF(Tabla1[[#This Row],[JULIO ]]&gt;22.5,Tabla1[[#This Row],[JULIO ]]/22.5-1,0),IF(Tabla1[[#This Row],[JULIO ]]&gt;45,Tabla1[[#This Row],[JULIO ]]/45-1,0))</f>
        <v>0</v>
      </c>
      <c r="AL264" s="103">
        <f>IF(Tabla1[[#This Row],[TIPO DE CONSUMIDOR]]="MEDIO",IF(Tabla1[[#This Row],[AGOSTO]]&gt;22.5,Tabla1[[#This Row],[AGOSTO]]/22.5-1,0),IF(Tabla1[[#This Row],[AGOSTO]]&gt;45,Tabla1[[#This Row],[AGOSTO]]/45-1,0))</f>
        <v>0</v>
      </c>
      <c r="AM26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4" s="104">
        <f t="shared" ref="AQ264:AQ327" si="10">SUM(AE264:AP264)</f>
        <v>0</v>
      </c>
      <c r="AR264" s="9">
        <f t="shared" si="9"/>
        <v>1</v>
      </c>
      <c r="AS264" s="60">
        <f>IF(Tabla1[[#This Row],[MESES DE ADEUDO DEL AÑO EN CURSO ]]&gt;0,1,0)</f>
        <v>1</v>
      </c>
      <c r="AT264" s="42"/>
      <c r="AU264" s="42"/>
      <c r="AV264" s="42"/>
      <c r="AW264" s="43"/>
    </row>
    <row r="265" spans="1:49" ht="21.75" thickBot="1" x14ac:dyDescent="0.35">
      <c r="A265" s="109">
        <v>259</v>
      </c>
      <c r="B265" s="5" t="s">
        <v>87</v>
      </c>
      <c r="C265" s="2" t="s">
        <v>520</v>
      </c>
      <c r="D265" s="32"/>
      <c r="E265" s="35" t="s">
        <v>455</v>
      </c>
      <c r="F265" s="34">
        <v>45</v>
      </c>
      <c r="G265" s="34">
        <v>45</v>
      </c>
      <c r="H265" s="34">
        <v>45</v>
      </c>
      <c r="I265" s="34">
        <v>45</v>
      </c>
      <c r="J265" s="34">
        <v>45</v>
      </c>
      <c r="K265" s="34">
        <v>45</v>
      </c>
      <c r="L265" s="34">
        <v>45</v>
      </c>
      <c r="M265" s="34">
        <v>45</v>
      </c>
      <c r="N265" s="34">
        <v>45</v>
      </c>
      <c r="O265" s="34">
        <v>45</v>
      </c>
      <c r="P265" s="34">
        <v>45</v>
      </c>
      <c r="Q265" s="34">
        <v>0</v>
      </c>
      <c r="R265" s="24">
        <f>SUM(Tabla1[[#This Row],[ENERO ]:[DICIEMBRE]])</f>
        <v>495</v>
      </c>
      <c r="W265" s="65">
        <v>0</v>
      </c>
      <c r="X265" s="21">
        <f>COUNTIF(Tabla1[[#This Row],[ENERO ]:[DICIEMBRE]],0)-(AQ265)-IF(Tabla1[[#This Row],[BAJAS]]="BAJA",IF(Tabla1[[#This Row],[ALTAS]]="ALTA",VLOOKUP(Tabla1[[#This Row],[MES DE ALTA ]],$AT$6:$AU$17,2,FALSE),12)-VLOOKUP(Tabla1[[#This Row],[MES DE BAJA ]],$AT$6:$AU$17,2,FALSE),0)</f>
        <v>1</v>
      </c>
      <c r="Y265" s="69">
        <f>SUM(Tabla1[[#This Row],[MES ADEUDO DE AÑOS PASADOS ]:[MESES DE ADEUDO DEL AÑO EN CURSO ]])</f>
        <v>1</v>
      </c>
      <c r="Z265" s="15">
        <f>IF(Tabla1[[#This Row],[TIPO DE CONSUMIDOR]]="COMPLETO",W265*$T$2,W265*($T$2/2))</f>
        <v>0</v>
      </c>
      <c r="AA265" s="15">
        <f>IF(Tabla1[[#This Row],[TIPO DE CONSUMIDOR]]="COMPLETO",Tabla1[[#This Row],[MESES DE ADEUDO DEL AÑO EN CURSO ]]*$T$2,Tabla1[[#This Row],[MESES DE ADEUDO DEL AÑO EN CURSO ]]*($T$2/2))</f>
        <v>45</v>
      </c>
      <c r="AB265" s="70">
        <f>SUM(Tabla1[[#This Row],[DEUDA DE LOS MESES PASADOS EN $$]:[DEUDA DEL AÑO 2013 $$ ]])</f>
        <v>45</v>
      </c>
      <c r="AE265" s="103">
        <f>IF(Tabla1[[#This Row],[TIPO DE CONSUMIDOR]]="MEDIO",IF(Tabla1[[#This Row],[ENERO ]]&gt;22.5,Tabla1[[#This Row],[ENERO ]]/22.5-1,0),IF(Tabla1[[#This Row],[ENERO ]]&gt;45,Tabla1[[#This Row],[ENERO ]]/45-1,0))</f>
        <v>0</v>
      </c>
      <c r="AF26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5" s="103">
        <f>IF(Tabla1[[#This Row],[TIPO DE CONSUMIDOR]]="MEDIO",IF(Tabla1[[#This Row],[MARZO]]&gt;22.5,Tabla1[[#This Row],[MARZO]]/22.5-1,0),IF(Tabla1[[#This Row],[MARZO]]&gt;45,Tabla1[[#This Row],[MARZO]]/45-1,0))</f>
        <v>0</v>
      </c>
      <c r="AH265" s="103">
        <f>IF(Tabla1[[#This Row],[TIPO DE CONSUMIDOR]]="MEDIO",IF(Tabla1[[#This Row],[ABRIL]]&gt;22.5,Tabla1[[#This Row],[ABRIL]]/22.5-1,0),IF(Tabla1[[#This Row],[ABRIL]]&gt;45,Tabla1[[#This Row],[ABRIL]]/45-1,0))</f>
        <v>0</v>
      </c>
      <c r="AI265" s="103">
        <f>IF(Tabla1[[#This Row],[TIPO DE CONSUMIDOR]]="MEDIO",IF(Tabla1[[#This Row],[MAYO ]]&gt;22.5,Tabla1[[#This Row],[MAYO ]]/22.5-1,0),IF(Tabla1[[#This Row],[MAYO ]]&gt;45,Tabla1[[#This Row],[MAYO ]]/45-1,0))</f>
        <v>0</v>
      </c>
      <c r="AJ265" s="103">
        <f>IF(Tabla1[[#This Row],[TIPO DE CONSUMIDOR]]="MEDIO",IF(Tabla1[[#This Row],[JUNIO ]]&gt;22.5,Tabla1[[#This Row],[JUNIO ]]/22.5-1,0),IF(Tabla1[[#This Row],[JUNIO ]]&gt;45,Tabla1[[#This Row],[JUNIO ]]/45-1,0))</f>
        <v>0</v>
      </c>
      <c r="AK265" s="103">
        <f>IF(Tabla1[[#This Row],[TIPO DE CONSUMIDOR]]="MEDIO",IF(Tabla1[[#This Row],[JULIO ]]&gt;22.5,Tabla1[[#This Row],[JULIO ]]/22.5-1,0),IF(Tabla1[[#This Row],[JULIO ]]&gt;45,Tabla1[[#This Row],[JULIO ]]/45-1,0))</f>
        <v>0</v>
      </c>
      <c r="AL265" s="103">
        <f>IF(Tabla1[[#This Row],[TIPO DE CONSUMIDOR]]="MEDIO",IF(Tabla1[[#This Row],[AGOSTO]]&gt;22.5,Tabla1[[#This Row],[AGOSTO]]/22.5-1,0),IF(Tabla1[[#This Row],[AGOSTO]]&gt;45,Tabla1[[#This Row],[AGOSTO]]/45-1,0))</f>
        <v>0</v>
      </c>
      <c r="AM26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5" s="104">
        <f t="shared" si="10"/>
        <v>0</v>
      </c>
      <c r="AR265" s="9">
        <f t="shared" si="9"/>
        <v>1</v>
      </c>
      <c r="AS265" s="60">
        <f>IF(Tabla1[[#This Row],[MESES DE ADEUDO DEL AÑO EN CURSO ]]&gt;0,1,0)</f>
        <v>1</v>
      </c>
      <c r="AT265" s="42"/>
      <c r="AU265" s="42"/>
      <c r="AV265" s="42"/>
      <c r="AW265" s="43"/>
    </row>
    <row r="266" spans="1:49" ht="21.75" thickBot="1" x14ac:dyDescent="0.35">
      <c r="A266" s="109">
        <v>260</v>
      </c>
      <c r="B266" s="5" t="s">
        <v>46</v>
      </c>
      <c r="C266" s="2" t="s">
        <v>530</v>
      </c>
      <c r="D266" s="32"/>
      <c r="E266" s="35" t="s">
        <v>455</v>
      </c>
      <c r="F266" s="34">
        <v>45</v>
      </c>
      <c r="G266" s="34">
        <v>45</v>
      </c>
      <c r="H266" s="34">
        <v>45</v>
      </c>
      <c r="I266" s="34">
        <v>45</v>
      </c>
      <c r="J266" s="34">
        <v>45</v>
      </c>
      <c r="K266" s="34">
        <v>45</v>
      </c>
      <c r="L266" s="34">
        <v>45</v>
      </c>
      <c r="M266" s="34">
        <v>45</v>
      </c>
      <c r="N266" s="34">
        <v>45</v>
      </c>
      <c r="O266" s="34">
        <v>45</v>
      </c>
      <c r="P266" s="34">
        <v>45</v>
      </c>
      <c r="Q266" s="34">
        <v>0</v>
      </c>
      <c r="R266" s="24">
        <f>SUM(Tabla1[[#This Row],[ENERO ]:[DICIEMBRE]])</f>
        <v>495</v>
      </c>
      <c r="W266" s="65">
        <v>0</v>
      </c>
      <c r="X266" s="21">
        <f>COUNTIF(Tabla1[[#This Row],[ENERO ]:[DICIEMBRE]],0)-(AQ266)-IF(Tabla1[[#This Row],[BAJAS]]="BAJA",IF(Tabla1[[#This Row],[ALTAS]]="ALTA",VLOOKUP(Tabla1[[#This Row],[MES DE ALTA ]],$AT$6:$AU$17,2,FALSE),12)-VLOOKUP(Tabla1[[#This Row],[MES DE BAJA ]],$AT$6:$AU$17,2,FALSE),0)</f>
        <v>1</v>
      </c>
      <c r="Y266" s="69">
        <f>SUM(Tabla1[[#This Row],[MES ADEUDO DE AÑOS PASADOS ]:[MESES DE ADEUDO DEL AÑO EN CURSO ]])</f>
        <v>1</v>
      </c>
      <c r="Z266" s="15">
        <f>IF(Tabla1[[#This Row],[TIPO DE CONSUMIDOR]]="COMPLETO",W266*$T$2,W266*($T$2/2))</f>
        <v>0</v>
      </c>
      <c r="AA266" s="15">
        <f>IF(Tabla1[[#This Row],[TIPO DE CONSUMIDOR]]="COMPLETO",Tabla1[[#This Row],[MESES DE ADEUDO DEL AÑO EN CURSO ]]*$T$2,Tabla1[[#This Row],[MESES DE ADEUDO DEL AÑO EN CURSO ]]*($T$2/2))</f>
        <v>45</v>
      </c>
      <c r="AB266" s="70">
        <f>SUM(Tabla1[[#This Row],[DEUDA DE LOS MESES PASADOS EN $$]:[DEUDA DEL AÑO 2013 $$ ]])</f>
        <v>45</v>
      </c>
      <c r="AE266" s="103">
        <f>IF(Tabla1[[#This Row],[TIPO DE CONSUMIDOR]]="MEDIO",IF(Tabla1[[#This Row],[ENERO ]]&gt;22.5,Tabla1[[#This Row],[ENERO ]]/22.5-1,0),IF(Tabla1[[#This Row],[ENERO ]]&gt;45,Tabla1[[#This Row],[ENERO ]]/45-1,0))</f>
        <v>0</v>
      </c>
      <c r="AF26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6" s="103">
        <f>IF(Tabla1[[#This Row],[TIPO DE CONSUMIDOR]]="MEDIO",IF(Tabla1[[#This Row],[MARZO]]&gt;22.5,Tabla1[[#This Row],[MARZO]]/22.5-1,0),IF(Tabla1[[#This Row],[MARZO]]&gt;45,Tabla1[[#This Row],[MARZO]]/45-1,0))</f>
        <v>0</v>
      </c>
      <c r="AH266" s="103">
        <f>IF(Tabla1[[#This Row],[TIPO DE CONSUMIDOR]]="MEDIO",IF(Tabla1[[#This Row],[ABRIL]]&gt;22.5,Tabla1[[#This Row],[ABRIL]]/22.5-1,0),IF(Tabla1[[#This Row],[ABRIL]]&gt;45,Tabla1[[#This Row],[ABRIL]]/45-1,0))</f>
        <v>0</v>
      </c>
      <c r="AI266" s="103">
        <f>IF(Tabla1[[#This Row],[TIPO DE CONSUMIDOR]]="MEDIO",IF(Tabla1[[#This Row],[MAYO ]]&gt;22.5,Tabla1[[#This Row],[MAYO ]]/22.5-1,0),IF(Tabla1[[#This Row],[MAYO ]]&gt;45,Tabla1[[#This Row],[MAYO ]]/45-1,0))</f>
        <v>0</v>
      </c>
      <c r="AJ266" s="103">
        <f>IF(Tabla1[[#This Row],[TIPO DE CONSUMIDOR]]="MEDIO",IF(Tabla1[[#This Row],[JUNIO ]]&gt;22.5,Tabla1[[#This Row],[JUNIO ]]/22.5-1,0),IF(Tabla1[[#This Row],[JUNIO ]]&gt;45,Tabla1[[#This Row],[JUNIO ]]/45-1,0))</f>
        <v>0</v>
      </c>
      <c r="AK266" s="103">
        <f>IF(Tabla1[[#This Row],[TIPO DE CONSUMIDOR]]="MEDIO",IF(Tabla1[[#This Row],[JULIO ]]&gt;22.5,Tabla1[[#This Row],[JULIO ]]/22.5-1,0),IF(Tabla1[[#This Row],[JULIO ]]&gt;45,Tabla1[[#This Row],[JULIO ]]/45-1,0))</f>
        <v>0</v>
      </c>
      <c r="AL266" s="103">
        <f>IF(Tabla1[[#This Row],[TIPO DE CONSUMIDOR]]="MEDIO",IF(Tabla1[[#This Row],[AGOSTO]]&gt;22.5,Tabla1[[#This Row],[AGOSTO]]/22.5-1,0),IF(Tabla1[[#This Row],[AGOSTO]]&gt;45,Tabla1[[#This Row],[AGOSTO]]/45-1,0))</f>
        <v>0</v>
      </c>
      <c r="AM26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6" s="104">
        <f t="shared" si="10"/>
        <v>0</v>
      </c>
      <c r="AR266" s="9">
        <f t="shared" si="9"/>
        <v>1</v>
      </c>
      <c r="AS266" s="60">
        <f>IF(Tabla1[[#This Row],[MESES DE ADEUDO DEL AÑO EN CURSO ]]&gt;0,1,0)</f>
        <v>1</v>
      </c>
      <c r="AT266" s="42"/>
      <c r="AU266" s="42"/>
      <c r="AV266" s="42"/>
      <c r="AW266" s="43"/>
    </row>
    <row r="267" spans="1:49" ht="21.75" thickBot="1" x14ac:dyDescent="0.35">
      <c r="A267" s="109">
        <v>261</v>
      </c>
      <c r="B267" s="5" t="s">
        <v>103</v>
      </c>
      <c r="C267" s="2" t="s">
        <v>530</v>
      </c>
      <c r="D267" s="32"/>
      <c r="E267" s="35" t="s">
        <v>455</v>
      </c>
      <c r="F267" s="34">
        <v>45</v>
      </c>
      <c r="G267" s="34">
        <v>45</v>
      </c>
      <c r="H267" s="34">
        <v>45</v>
      </c>
      <c r="I267" s="34">
        <v>45</v>
      </c>
      <c r="J267" s="34">
        <v>45</v>
      </c>
      <c r="K267" s="34">
        <v>45</v>
      </c>
      <c r="L267" s="34">
        <v>45</v>
      </c>
      <c r="M267" s="34">
        <v>45</v>
      </c>
      <c r="N267" s="34">
        <v>45</v>
      </c>
      <c r="O267" s="34">
        <v>45</v>
      </c>
      <c r="P267" s="34">
        <v>45</v>
      </c>
      <c r="Q267" s="34">
        <v>0</v>
      </c>
      <c r="R267" s="24">
        <f>SUM(Tabla1[[#This Row],[ENERO ]:[DICIEMBRE]])</f>
        <v>495</v>
      </c>
      <c r="W267" s="65">
        <v>0</v>
      </c>
      <c r="X267" s="21">
        <f>COUNTIF(Tabla1[[#This Row],[ENERO ]:[DICIEMBRE]],0)-(AQ267)-IF(Tabla1[[#This Row],[BAJAS]]="BAJA",IF(Tabla1[[#This Row],[ALTAS]]="ALTA",VLOOKUP(Tabla1[[#This Row],[MES DE ALTA ]],$AT$6:$AU$17,2,FALSE),12)-VLOOKUP(Tabla1[[#This Row],[MES DE BAJA ]],$AT$6:$AU$17,2,FALSE),0)</f>
        <v>1</v>
      </c>
      <c r="Y267" s="69">
        <f>SUM(Tabla1[[#This Row],[MES ADEUDO DE AÑOS PASADOS ]:[MESES DE ADEUDO DEL AÑO EN CURSO ]])</f>
        <v>1</v>
      </c>
      <c r="Z267" s="15">
        <f>IF(Tabla1[[#This Row],[TIPO DE CONSUMIDOR]]="COMPLETO",W267*$T$2,W267*($T$2/2))</f>
        <v>0</v>
      </c>
      <c r="AA267" s="15">
        <f>IF(Tabla1[[#This Row],[TIPO DE CONSUMIDOR]]="COMPLETO",Tabla1[[#This Row],[MESES DE ADEUDO DEL AÑO EN CURSO ]]*$T$2,Tabla1[[#This Row],[MESES DE ADEUDO DEL AÑO EN CURSO ]]*($T$2/2))</f>
        <v>45</v>
      </c>
      <c r="AB267" s="70">
        <f>SUM(Tabla1[[#This Row],[DEUDA DE LOS MESES PASADOS EN $$]:[DEUDA DEL AÑO 2013 $$ ]])</f>
        <v>45</v>
      </c>
      <c r="AE267" s="103">
        <f>IF(Tabla1[[#This Row],[TIPO DE CONSUMIDOR]]="MEDIO",IF(Tabla1[[#This Row],[ENERO ]]&gt;22.5,Tabla1[[#This Row],[ENERO ]]/22.5-1,0),IF(Tabla1[[#This Row],[ENERO ]]&gt;45,Tabla1[[#This Row],[ENERO ]]/45-1,0))</f>
        <v>0</v>
      </c>
      <c r="AF26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7" s="103">
        <f>IF(Tabla1[[#This Row],[TIPO DE CONSUMIDOR]]="MEDIO",IF(Tabla1[[#This Row],[MARZO]]&gt;22.5,Tabla1[[#This Row],[MARZO]]/22.5-1,0),IF(Tabla1[[#This Row],[MARZO]]&gt;45,Tabla1[[#This Row],[MARZO]]/45-1,0))</f>
        <v>0</v>
      </c>
      <c r="AH267" s="103">
        <f>IF(Tabla1[[#This Row],[TIPO DE CONSUMIDOR]]="MEDIO",IF(Tabla1[[#This Row],[ABRIL]]&gt;22.5,Tabla1[[#This Row],[ABRIL]]/22.5-1,0),IF(Tabla1[[#This Row],[ABRIL]]&gt;45,Tabla1[[#This Row],[ABRIL]]/45-1,0))</f>
        <v>0</v>
      </c>
      <c r="AI267" s="103">
        <f>IF(Tabla1[[#This Row],[TIPO DE CONSUMIDOR]]="MEDIO",IF(Tabla1[[#This Row],[MAYO ]]&gt;22.5,Tabla1[[#This Row],[MAYO ]]/22.5-1,0),IF(Tabla1[[#This Row],[MAYO ]]&gt;45,Tabla1[[#This Row],[MAYO ]]/45-1,0))</f>
        <v>0</v>
      </c>
      <c r="AJ267" s="103">
        <f>IF(Tabla1[[#This Row],[TIPO DE CONSUMIDOR]]="MEDIO",IF(Tabla1[[#This Row],[JUNIO ]]&gt;22.5,Tabla1[[#This Row],[JUNIO ]]/22.5-1,0),IF(Tabla1[[#This Row],[JUNIO ]]&gt;45,Tabla1[[#This Row],[JUNIO ]]/45-1,0))</f>
        <v>0</v>
      </c>
      <c r="AK267" s="103">
        <f>IF(Tabla1[[#This Row],[TIPO DE CONSUMIDOR]]="MEDIO",IF(Tabla1[[#This Row],[JULIO ]]&gt;22.5,Tabla1[[#This Row],[JULIO ]]/22.5-1,0),IF(Tabla1[[#This Row],[JULIO ]]&gt;45,Tabla1[[#This Row],[JULIO ]]/45-1,0))</f>
        <v>0</v>
      </c>
      <c r="AL267" s="103">
        <f>IF(Tabla1[[#This Row],[TIPO DE CONSUMIDOR]]="MEDIO",IF(Tabla1[[#This Row],[AGOSTO]]&gt;22.5,Tabla1[[#This Row],[AGOSTO]]/22.5-1,0),IF(Tabla1[[#This Row],[AGOSTO]]&gt;45,Tabla1[[#This Row],[AGOSTO]]/45-1,0))</f>
        <v>0</v>
      </c>
      <c r="AM26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7" s="104">
        <f t="shared" si="10"/>
        <v>0</v>
      </c>
      <c r="AR267" s="9">
        <f t="shared" si="9"/>
        <v>1</v>
      </c>
      <c r="AS267" s="60">
        <f>IF(Tabla1[[#This Row],[MESES DE ADEUDO DEL AÑO EN CURSO ]]&gt;0,1,0)</f>
        <v>1</v>
      </c>
      <c r="AT267" s="42"/>
      <c r="AU267" s="42"/>
      <c r="AV267" s="42"/>
      <c r="AW267" s="43"/>
    </row>
    <row r="268" spans="1:49" ht="21.75" thickBot="1" x14ac:dyDescent="0.35">
      <c r="A268" s="109">
        <v>262</v>
      </c>
      <c r="B268" s="5" t="s">
        <v>205</v>
      </c>
      <c r="C268" s="2" t="s">
        <v>530</v>
      </c>
      <c r="D268" s="32"/>
      <c r="E268" s="35" t="s">
        <v>455</v>
      </c>
      <c r="F268" s="34">
        <v>45</v>
      </c>
      <c r="G268" s="34">
        <v>45</v>
      </c>
      <c r="H268" s="34">
        <v>45</v>
      </c>
      <c r="I268" s="34">
        <v>45</v>
      </c>
      <c r="J268" s="34">
        <v>45</v>
      </c>
      <c r="K268" s="34">
        <v>45</v>
      </c>
      <c r="L268" s="34">
        <v>45</v>
      </c>
      <c r="M268" s="34">
        <v>45</v>
      </c>
      <c r="N268" s="34">
        <v>45</v>
      </c>
      <c r="O268" s="34">
        <v>45</v>
      </c>
      <c r="P268" s="34">
        <v>45</v>
      </c>
      <c r="Q268" s="34">
        <v>0</v>
      </c>
      <c r="R268" s="24">
        <f>SUM(Tabla1[[#This Row],[ENERO ]:[DICIEMBRE]])</f>
        <v>495</v>
      </c>
      <c r="W268" s="65">
        <v>0</v>
      </c>
      <c r="X268" s="21">
        <f>COUNTIF(Tabla1[[#This Row],[ENERO ]:[DICIEMBRE]],0)-(AQ268)-IF(Tabla1[[#This Row],[BAJAS]]="BAJA",IF(Tabla1[[#This Row],[ALTAS]]="ALTA",VLOOKUP(Tabla1[[#This Row],[MES DE ALTA ]],$AT$6:$AU$17,2,FALSE),12)-VLOOKUP(Tabla1[[#This Row],[MES DE BAJA ]],$AT$6:$AU$17,2,FALSE),0)</f>
        <v>1</v>
      </c>
      <c r="Y268" s="69">
        <f>SUM(Tabla1[[#This Row],[MES ADEUDO DE AÑOS PASADOS ]:[MESES DE ADEUDO DEL AÑO EN CURSO ]])</f>
        <v>1</v>
      </c>
      <c r="Z268" s="15">
        <f>IF(Tabla1[[#This Row],[TIPO DE CONSUMIDOR]]="COMPLETO",W268*$T$2,W268*($T$2/2))</f>
        <v>0</v>
      </c>
      <c r="AA268" s="15">
        <f>IF(Tabla1[[#This Row],[TIPO DE CONSUMIDOR]]="COMPLETO",Tabla1[[#This Row],[MESES DE ADEUDO DEL AÑO EN CURSO ]]*$T$2,Tabla1[[#This Row],[MESES DE ADEUDO DEL AÑO EN CURSO ]]*($T$2/2))</f>
        <v>45</v>
      </c>
      <c r="AB268" s="70">
        <f>SUM(Tabla1[[#This Row],[DEUDA DE LOS MESES PASADOS EN $$]:[DEUDA DEL AÑO 2013 $$ ]])</f>
        <v>45</v>
      </c>
      <c r="AE268" s="103">
        <f>IF(Tabla1[[#This Row],[TIPO DE CONSUMIDOR]]="MEDIO",IF(Tabla1[[#This Row],[ENERO ]]&gt;22.5,Tabla1[[#This Row],[ENERO ]]/22.5-1,0),IF(Tabla1[[#This Row],[ENERO ]]&gt;45,Tabla1[[#This Row],[ENERO ]]/45-1,0))</f>
        <v>0</v>
      </c>
      <c r="AF26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8" s="103">
        <f>IF(Tabla1[[#This Row],[TIPO DE CONSUMIDOR]]="MEDIO",IF(Tabla1[[#This Row],[MARZO]]&gt;22.5,Tabla1[[#This Row],[MARZO]]/22.5-1,0),IF(Tabla1[[#This Row],[MARZO]]&gt;45,Tabla1[[#This Row],[MARZO]]/45-1,0))</f>
        <v>0</v>
      </c>
      <c r="AH268" s="103">
        <f>IF(Tabla1[[#This Row],[TIPO DE CONSUMIDOR]]="MEDIO",IF(Tabla1[[#This Row],[ABRIL]]&gt;22.5,Tabla1[[#This Row],[ABRIL]]/22.5-1,0),IF(Tabla1[[#This Row],[ABRIL]]&gt;45,Tabla1[[#This Row],[ABRIL]]/45-1,0))</f>
        <v>0</v>
      </c>
      <c r="AI268" s="103">
        <f>IF(Tabla1[[#This Row],[TIPO DE CONSUMIDOR]]="MEDIO",IF(Tabla1[[#This Row],[MAYO ]]&gt;22.5,Tabla1[[#This Row],[MAYO ]]/22.5-1,0),IF(Tabla1[[#This Row],[MAYO ]]&gt;45,Tabla1[[#This Row],[MAYO ]]/45-1,0))</f>
        <v>0</v>
      </c>
      <c r="AJ268" s="103">
        <f>IF(Tabla1[[#This Row],[TIPO DE CONSUMIDOR]]="MEDIO",IF(Tabla1[[#This Row],[JUNIO ]]&gt;22.5,Tabla1[[#This Row],[JUNIO ]]/22.5-1,0),IF(Tabla1[[#This Row],[JUNIO ]]&gt;45,Tabla1[[#This Row],[JUNIO ]]/45-1,0))</f>
        <v>0</v>
      </c>
      <c r="AK268" s="103">
        <f>IF(Tabla1[[#This Row],[TIPO DE CONSUMIDOR]]="MEDIO",IF(Tabla1[[#This Row],[JULIO ]]&gt;22.5,Tabla1[[#This Row],[JULIO ]]/22.5-1,0),IF(Tabla1[[#This Row],[JULIO ]]&gt;45,Tabla1[[#This Row],[JULIO ]]/45-1,0))</f>
        <v>0</v>
      </c>
      <c r="AL268" s="103">
        <f>IF(Tabla1[[#This Row],[TIPO DE CONSUMIDOR]]="MEDIO",IF(Tabla1[[#This Row],[AGOSTO]]&gt;22.5,Tabla1[[#This Row],[AGOSTO]]/22.5-1,0),IF(Tabla1[[#This Row],[AGOSTO]]&gt;45,Tabla1[[#This Row],[AGOSTO]]/45-1,0))</f>
        <v>0</v>
      </c>
      <c r="AM26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8" s="104">
        <f t="shared" si="10"/>
        <v>0</v>
      </c>
      <c r="AR268" s="9">
        <f t="shared" si="9"/>
        <v>1</v>
      </c>
      <c r="AS268" s="60">
        <f>IF(Tabla1[[#This Row],[MESES DE ADEUDO DEL AÑO EN CURSO ]]&gt;0,1,0)</f>
        <v>1</v>
      </c>
      <c r="AT268" s="42"/>
      <c r="AU268" s="42"/>
      <c r="AV268" s="42"/>
      <c r="AW268" s="43"/>
    </row>
    <row r="269" spans="1:49" ht="21.75" thickBot="1" x14ac:dyDescent="0.35">
      <c r="A269" s="109">
        <v>263</v>
      </c>
      <c r="B269" s="5" t="s">
        <v>551</v>
      </c>
      <c r="C269" s="2" t="s">
        <v>549</v>
      </c>
      <c r="D269" s="32"/>
      <c r="E269" s="35" t="s">
        <v>455</v>
      </c>
      <c r="F269" s="34">
        <v>0</v>
      </c>
      <c r="G269" s="34">
        <v>0</v>
      </c>
      <c r="H269" s="34">
        <v>0</v>
      </c>
      <c r="I269" s="34">
        <v>0</v>
      </c>
      <c r="J269" s="34">
        <v>0</v>
      </c>
      <c r="K269" s="34">
        <v>0</v>
      </c>
      <c r="L269" s="34">
        <v>0</v>
      </c>
      <c r="M269" s="34">
        <v>0</v>
      </c>
      <c r="N269" s="34">
        <v>0</v>
      </c>
      <c r="O269" s="34">
        <v>0</v>
      </c>
      <c r="P269" s="34">
        <v>45</v>
      </c>
      <c r="Q269" s="34">
        <v>0</v>
      </c>
      <c r="R269" s="24">
        <f>SUM(Tabla1[[#This Row],[ENERO ]:[DICIEMBRE]])</f>
        <v>45</v>
      </c>
      <c r="S269" t="s">
        <v>626</v>
      </c>
      <c r="T269" t="s">
        <v>434</v>
      </c>
      <c r="U269" t="s">
        <v>625</v>
      </c>
      <c r="V269" t="s">
        <v>10</v>
      </c>
      <c r="W269" s="65">
        <v>0</v>
      </c>
      <c r="X269" s="21">
        <f>COUNTIF(Tabla1[[#This Row],[ENERO ]:[DICIEMBRE]],0)-(AQ269)-IF(Tabla1[[#This Row],[BAJAS]]="BAJA",IF(Tabla1[[#This Row],[ALTAS]]="ALTA",VLOOKUP(Tabla1[[#This Row],[MES DE ALTA ]],$AT$6:$AU$17,2,FALSE),12)-VLOOKUP(Tabla1[[#This Row],[MES DE BAJA ]],$AT$6:$AU$17,2,FALSE),0)</f>
        <v>1</v>
      </c>
      <c r="Y269" s="69">
        <f>SUM(Tabla1[[#This Row],[MES ADEUDO DE AÑOS PASADOS ]:[MESES DE ADEUDO DEL AÑO EN CURSO ]])</f>
        <v>1</v>
      </c>
      <c r="Z269" s="15">
        <f>IF(Tabla1[[#This Row],[TIPO DE CONSUMIDOR]]="COMPLETO",W269*$T$2,W269*($T$2/2))</f>
        <v>0</v>
      </c>
      <c r="AA269" s="15">
        <f>IF(Tabla1[[#This Row],[TIPO DE CONSUMIDOR]]="COMPLETO",Tabla1[[#This Row],[MESES DE ADEUDO DEL AÑO EN CURSO ]]*$T$2,Tabla1[[#This Row],[MESES DE ADEUDO DEL AÑO EN CURSO ]]*($T$2/2))</f>
        <v>45</v>
      </c>
      <c r="AB269" s="70">
        <f>SUM(Tabla1[[#This Row],[DEUDA DE LOS MESES PASADOS EN $$]:[DEUDA DEL AÑO 2013 $$ ]])</f>
        <v>45</v>
      </c>
      <c r="AE269" s="103">
        <f>IF(Tabla1[[#This Row],[TIPO DE CONSUMIDOR]]="MEDIO",IF(Tabla1[[#This Row],[ENERO ]]&gt;22.5,Tabla1[[#This Row],[ENERO ]]/22.5-1,0),IF(Tabla1[[#This Row],[ENERO ]]&gt;45,Tabla1[[#This Row],[ENERO ]]/45-1,0))</f>
        <v>0</v>
      </c>
      <c r="AF26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69" s="103">
        <f>IF(Tabla1[[#This Row],[TIPO DE CONSUMIDOR]]="MEDIO",IF(Tabla1[[#This Row],[MARZO]]&gt;22.5,Tabla1[[#This Row],[MARZO]]/22.5-1,0),IF(Tabla1[[#This Row],[MARZO]]&gt;45,Tabla1[[#This Row],[MARZO]]/45-1,0))</f>
        <v>0</v>
      </c>
      <c r="AH269" s="103">
        <f>IF(Tabla1[[#This Row],[TIPO DE CONSUMIDOR]]="MEDIO",IF(Tabla1[[#This Row],[ABRIL]]&gt;22.5,Tabla1[[#This Row],[ABRIL]]/22.5-1,0),IF(Tabla1[[#This Row],[ABRIL]]&gt;45,Tabla1[[#This Row],[ABRIL]]/45-1,0))</f>
        <v>0</v>
      </c>
      <c r="AI269" s="103">
        <f>IF(Tabla1[[#This Row],[TIPO DE CONSUMIDOR]]="MEDIO",IF(Tabla1[[#This Row],[MAYO ]]&gt;22.5,Tabla1[[#This Row],[MAYO ]]/22.5-1,0),IF(Tabla1[[#This Row],[MAYO ]]&gt;45,Tabla1[[#This Row],[MAYO ]]/45-1,0))</f>
        <v>0</v>
      </c>
      <c r="AJ269" s="103">
        <f>IF(Tabla1[[#This Row],[TIPO DE CONSUMIDOR]]="MEDIO",IF(Tabla1[[#This Row],[JUNIO ]]&gt;22.5,Tabla1[[#This Row],[JUNIO ]]/22.5-1,0),IF(Tabla1[[#This Row],[JUNIO ]]&gt;45,Tabla1[[#This Row],[JUNIO ]]/45-1,0))</f>
        <v>0</v>
      </c>
      <c r="AK269" s="103">
        <f>IF(Tabla1[[#This Row],[TIPO DE CONSUMIDOR]]="MEDIO",IF(Tabla1[[#This Row],[JULIO ]]&gt;22.5,Tabla1[[#This Row],[JULIO ]]/22.5-1,0),IF(Tabla1[[#This Row],[JULIO ]]&gt;45,Tabla1[[#This Row],[JULIO ]]/45-1,0))</f>
        <v>0</v>
      </c>
      <c r="AL269" s="103">
        <f>IF(Tabla1[[#This Row],[TIPO DE CONSUMIDOR]]="MEDIO",IF(Tabla1[[#This Row],[AGOSTO]]&gt;22.5,Tabla1[[#This Row],[AGOSTO]]/22.5-1,0),IF(Tabla1[[#This Row],[AGOSTO]]&gt;45,Tabla1[[#This Row],[AGOSTO]]/45-1,0))</f>
        <v>0</v>
      </c>
      <c r="AM26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6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6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6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69" s="104">
        <f t="shared" si="10"/>
        <v>0</v>
      </c>
      <c r="AR269" s="9">
        <f t="shared" si="9"/>
        <v>1</v>
      </c>
      <c r="AS269" s="60">
        <f>IF(Tabla1[[#This Row],[MESES DE ADEUDO DEL AÑO EN CURSO ]]&gt;0,1,0)</f>
        <v>1</v>
      </c>
      <c r="AT269" s="42"/>
      <c r="AU269" s="42"/>
      <c r="AV269" s="42"/>
      <c r="AW269" s="43"/>
    </row>
    <row r="270" spans="1:49" ht="21.75" thickBot="1" x14ac:dyDescent="0.35">
      <c r="A270" s="109">
        <v>264</v>
      </c>
      <c r="B270" s="5" t="s">
        <v>559</v>
      </c>
      <c r="C270" s="2" t="s">
        <v>556</v>
      </c>
      <c r="D270" s="32"/>
      <c r="E270" s="35" t="s">
        <v>455</v>
      </c>
      <c r="F270" s="34">
        <v>45</v>
      </c>
      <c r="G270" s="34">
        <v>45</v>
      </c>
      <c r="H270" s="34">
        <v>45</v>
      </c>
      <c r="I270" s="34">
        <v>45</v>
      </c>
      <c r="J270" s="34">
        <v>45</v>
      </c>
      <c r="K270" s="34">
        <v>45</v>
      </c>
      <c r="L270" s="34">
        <v>45</v>
      </c>
      <c r="M270" s="34">
        <v>45</v>
      </c>
      <c r="N270" s="34">
        <v>45</v>
      </c>
      <c r="O270" s="34">
        <v>45</v>
      </c>
      <c r="P270" s="34">
        <v>45</v>
      </c>
      <c r="Q270" s="34">
        <v>0</v>
      </c>
      <c r="R270" s="24">
        <f>SUM(Tabla1[[#This Row],[ENERO ]:[DICIEMBRE]])</f>
        <v>495</v>
      </c>
      <c r="W270" s="65">
        <v>0</v>
      </c>
      <c r="X270" s="21">
        <f>COUNTIF(Tabla1[[#This Row],[ENERO ]:[DICIEMBRE]],0)-(AQ270)-IF(Tabla1[[#This Row],[BAJAS]]="BAJA",IF(Tabla1[[#This Row],[ALTAS]]="ALTA",VLOOKUP(Tabla1[[#This Row],[MES DE ALTA ]],$AT$6:$AU$17,2,FALSE),12)-VLOOKUP(Tabla1[[#This Row],[MES DE BAJA ]],$AT$6:$AU$17,2,FALSE),0)</f>
        <v>1</v>
      </c>
      <c r="Y270" s="69">
        <f>SUM(Tabla1[[#This Row],[MES ADEUDO DE AÑOS PASADOS ]:[MESES DE ADEUDO DEL AÑO EN CURSO ]])</f>
        <v>1</v>
      </c>
      <c r="Z270" s="15">
        <f>IF(Tabla1[[#This Row],[TIPO DE CONSUMIDOR]]="COMPLETO",W270*$T$2,W270*($T$2/2))</f>
        <v>0</v>
      </c>
      <c r="AA270" s="15">
        <f>IF(Tabla1[[#This Row],[TIPO DE CONSUMIDOR]]="COMPLETO",Tabla1[[#This Row],[MESES DE ADEUDO DEL AÑO EN CURSO ]]*$T$2,Tabla1[[#This Row],[MESES DE ADEUDO DEL AÑO EN CURSO ]]*($T$2/2))</f>
        <v>45</v>
      </c>
      <c r="AB270" s="70">
        <f>SUM(Tabla1[[#This Row],[DEUDA DE LOS MESES PASADOS EN $$]:[DEUDA DEL AÑO 2013 $$ ]])</f>
        <v>45</v>
      </c>
      <c r="AE270" s="103">
        <f>IF(Tabla1[[#This Row],[TIPO DE CONSUMIDOR]]="MEDIO",IF(Tabla1[[#This Row],[ENERO ]]&gt;22.5,Tabla1[[#This Row],[ENERO ]]/22.5-1,0),IF(Tabla1[[#This Row],[ENERO ]]&gt;45,Tabla1[[#This Row],[ENERO ]]/45-1,0))</f>
        <v>0</v>
      </c>
      <c r="AF27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0" s="103">
        <f>IF(Tabla1[[#This Row],[TIPO DE CONSUMIDOR]]="MEDIO",IF(Tabla1[[#This Row],[MARZO]]&gt;22.5,Tabla1[[#This Row],[MARZO]]/22.5-1,0),IF(Tabla1[[#This Row],[MARZO]]&gt;45,Tabla1[[#This Row],[MARZO]]/45-1,0))</f>
        <v>0</v>
      </c>
      <c r="AH270" s="103">
        <f>IF(Tabla1[[#This Row],[TIPO DE CONSUMIDOR]]="MEDIO",IF(Tabla1[[#This Row],[ABRIL]]&gt;22.5,Tabla1[[#This Row],[ABRIL]]/22.5-1,0),IF(Tabla1[[#This Row],[ABRIL]]&gt;45,Tabla1[[#This Row],[ABRIL]]/45-1,0))</f>
        <v>0</v>
      </c>
      <c r="AI270" s="103">
        <f>IF(Tabla1[[#This Row],[TIPO DE CONSUMIDOR]]="MEDIO",IF(Tabla1[[#This Row],[MAYO ]]&gt;22.5,Tabla1[[#This Row],[MAYO ]]/22.5-1,0),IF(Tabla1[[#This Row],[MAYO ]]&gt;45,Tabla1[[#This Row],[MAYO ]]/45-1,0))</f>
        <v>0</v>
      </c>
      <c r="AJ270" s="103">
        <f>IF(Tabla1[[#This Row],[TIPO DE CONSUMIDOR]]="MEDIO",IF(Tabla1[[#This Row],[JUNIO ]]&gt;22.5,Tabla1[[#This Row],[JUNIO ]]/22.5-1,0),IF(Tabla1[[#This Row],[JUNIO ]]&gt;45,Tabla1[[#This Row],[JUNIO ]]/45-1,0))</f>
        <v>0</v>
      </c>
      <c r="AK270" s="103">
        <f>IF(Tabla1[[#This Row],[TIPO DE CONSUMIDOR]]="MEDIO",IF(Tabla1[[#This Row],[JULIO ]]&gt;22.5,Tabla1[[#This Row],[JULIO ]]/22.5-1,0),IF(Tabla1[[#This Row],[JULIO ]]&gt;45,Tabla1[[#This Row],[JULIO ]]/45-1,0))</f>
        <v>0</v>
      </c>
      <c r="AL270" s="103">
        <f>IF(Tabla1[[#This Row],[TIPO DE CONSUMIDOR]]="MEDIO",IF(Tabla1[[#This Row],[AGOSTO]]&gt;22.5,Tabla1[[#This Row],[AGOSTO]]/22.5-1,0),IF(Tabla1[[#This Row],[AGOSTO]]&gt;45,Tabla1[[#This Row],[AGOSTO]]/45-1,0))</f>
        <v>0</v>
      </c>
      <c r="AM27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0" s="104">
        <f t="shared" si="10"/>
        <v>0</v>
      </c>
      <c r="AR270" s="9">
        <f t="shared" si="9"/>
        <v>1</v>
      </c>
      <c r="AS270" s="60">
        <f>IF(Tabla1[[#This Row],[MESES DE ADEUDO DEL AÑO EN CURSO ]]&gt;0,1,0)</f>
        <v>1</v>
      </c>
      <c r="AT270" s="42"/>
      <c r="AU270" s="42"/>
      <c r="AV270" s="42"/>
      <c r="AW270" s="43"/>
    </row>
    <row r="271" spans="1:49" ht="21.75" thickBot="1" x14ac:dyDescent="0.35">
      <c r="A271" s="109">
        <v>265</v>
      </c>
      <c r="B271" s="5" t="s">
        <v>256</v>
      </c>
      <c r="C271" s="2" t="s">
        <v>556</v>
      </c>
      <c r="D271" s="32"/>
      <c r="E271" s="35" t="s">
        <v>455</v>
      </c>
      <c r="F271" s="34">
        <v>45</v>
      </c>
      <c r="G271" s="34">
        <v>45</v>
      </c>
      <c r="H271" s="34">
        <v>45</v>
      </c>
      <c r="I271" s="34">
        <v>45</v>
      </c>
      <c r="J271" s="34">
        <v>45</v>
      </c>
      <c r="K271" s="34">
        <v>45</v>
      </c>
      <c r="L271" s="34">
        <v>45</v>
      </c>
      <c r="M271" s="34">
        <v>45</v>
      </c>
      <c r="N271" s="34">
        <v>45</v>
      </c>
      <c r="O271" s="34">
        <v>45</v>
      </c>
      <c r="P271" s="34">
        <v>45</v>
      </c>
      <c r="Q271" s="34">
        <v>0</v>
      </c>
      <c r="R271" s="24">
        <f>SUM(Tabla1[[#This Row],[ENERO ]:[DICIEMBRE]])</f>
        <v>495</v>
      </c>
      <c r="W271" s="65">
        <v>0</v>
      </c>
      <c r="X271" s="21">
        <f>COUNTIF(Tabla1[[#This Row],[ENERO ]:[DICIEMBRE]],0)-(AQ271)-IF(Tabla1[[#This Row],[BAJAS]]="BAJA",IF(Tabla1[[#This Row],[ALTAS]]="ALTA",VLOOKUP(Tabla1[[#This Row],[MES DE ALTA ]],$AT$6:$AU$17,2,FALSE),12)-VLOOKUP(Tabla1[[#This Row],[MES DE BAJA ]],$AT$6:$AU$17,2,FALSE),0)</f>
        <v>1</v>
      </c>
      <c r="Y271" s="69">
        <f>SUM(Tabla1[[#This Row],[MES ADEUDO DE AÑOS PASADOS ]:[MESES DE ADEUDO DEL AÑO EN CURSO ]])</f>
        <v>1</v>
      </c>
      <c r="Z271" s="15">
        <f>IF(Tabla1[[#This Row],[TIPO DE CONSUMIDOR]]="COMPLETO",W271*$T$2,W271*($T$2/2))</f>
        <v>0</v>
      </c>
      <c r="AA271" s="15">
        <f>IF(Tabla1[[#This Row],[TIPO DE CONSUMIDOR]]="COMPLETO",Tabla1[[#This Row],[MESES DE ADEUDO DEL AÑO EN CURSO ]]*$T$2,Tabla1[[#This Row],[MESES DE ADEUDO DEL AÑO EN CURSO ]]*($T$2/2))</f>
        <v>45</v>
      </c>
      <c r="AB271" s="70">
        <f>SUM(Tabla1[[#This Row],[DEUDA DE LOS MESES PASADOS EN $$]:[DEUDA DEL AÑO 2013 $$ ]])</f>
        <v>45</v>
      </c>
      <c r="AE271" s="103">
        <f>IF(Tabla1[[#This Row],[TIPO DE CONSUMIDOR]]="MEDIO",IF(Tabla1[[#This Row],[ENERO ]]&gt;22.5,Tabla1[[#This Row],[ENERO ]]/22.5-1,0),IF(Tabla1[[#This Row],[ENERO ]]&gt;45,Tabla1[[#This Row],[ENERO ]]/45-1,0))</f>
        <v>0</v>
      </c>
      <c r="AF27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1" s="103">
        <f>IF(Tabla1[[#This Row],[TIPO DE CONSUMIDOR]]="MEDIO",IF(Tabla1[[#This Row],[MARZO]]&gt;22.5,Tabla1[[#This Row],[MARZO]]/22.5-1,0),IF(Tabla1[[#This Row],[MARZO]]&gt;45,Tabla1[[#This Row],[MARZO]]/45-1,0))</f>
        <v>0</v>
      </c>
      <c r="AH271" s="103">
        <f>IF(Tabla1[[#This Row],[TIPO DE CONSUMIDOR]]="MEDIO",IF(Tabla1[[#This Row],[ABRIL]]&gt;22.5,Tabla1[[#This Row],[ABRIL]]/22.5-1,0),IF(Tabla1[[#This Row],[ABRIL]]&gt;45,Tabla1[[#This Row],[ABRIL]]/45-1,0))</f>
        <v>0</v>
      </c>
      <c r="AI271" s="103">
        <f>IF(Tabla1[[#This Row],[TIPO DE CONSUMIDOR]]="MEDIO",IF(Tabla1[[#This Row],[MAYO ]]&gt;22.5,Tabla1[[#This Row],[MAYO ]]/22.5-1,0),IF(Tabla1[[#This Row],[MAYO ]]&gt;45,Tabla1[[#This Row],[MAYO ]]/45-1,0))</f>
        <v>0</v>
      </c>
      <c r="AJ271" s="103">
        <f>IF(Tabla1[[#This Row],[TIPO DE CONSUMIDOR]]="MEDIO",IF(Tabla1[[#This Row],[JUNIO ]]&gt;22.5,Tabla1[[#This Row],[JUNIO ]]/22.5-1,0),IF(Tabla1[[#This Row],[JUNIO ]]&gt;45,Tabla1[[#This Row],[JUNIO ]]/45-1,0))</f>
        <v>0</v>
      </c>
      <c r="AK271" s="103">
        <f>IF(Tabla1[[#This Row],[TIPO DE CONSUMIDOR]]="MEDIO",IF(Tabla1[[#This Row],[JULIO ]]&gt;22.5,Tabla1[[#This Row],[JULIO ]]/22.5-1,0),IF(Tabla1[[#This Row],[JULIO ]]&gt;45,Tabla1[[#This Row],[JULIO ]]/45-1,0))</f>
        <v>0</v>
      </c>
      <c r="AL271" s="103">
        <f>IF(Tabla1[[#This Row],[TIPO DE CONSUMIDOR]]="MEDIO",IF(Tabla1[[#This Row],[AGOSTO]]&gt;22.5,Tabla1[[#This Row],[AGOSTO]]/22.5-1,0),IF(Tabla1[[#This Row],[AGOSTO]]&gt;45,Tabla1[[#This Row],[AGOSTO]]/45-1,0))</f>
        <v>0</v>
      </c>
      <c r="AM27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1" s="104">
        <f t="shared" si="10"/>
        <v>0</v>
      </c>
      <c r="AR271" s="9">
        <f t="shared" si="9"/>
        <v>1</v>
      </c>
      <c r="AS271" s="60">
        <f>IF(Tabla1[[#This Row],[MESES DE ADEUDO DEL AÑO EN CURSO ]]&gt;0,1,0)</f>
        <v>1</v>
      </c>
      <c r="AT271" s="42"/>
      <c r="AU271" s="42"/>
      <c r="AV271" s="42"/>
      <c r="AW271" s="43"/>
    </row>
    <row r="272" spans="1:49" ht="21.75" thickBot="1" x14ac:dyDescent="0.35">
      <c r="A272" s="109">
        <v>266</v>
      </c>
      <c r="B272" s="5" t="s">
        <v>374</v>
      </c>
      <c r="C272" s="2" t="s">
        <v>556</v>
      </c>
      <c r="D272" s="32"/>
      <c r="E272" s="35" t="s">
        <v>455</v>
      </c>
      <c r="F272" s="34">
        <v>45</v>
      </c>
      <c r="G272" s="34">
        <v>45</v>
      </c>
      <c r="H272" s="34">
        <v>45</v>
      </c>
      <c r="I272" s="34">
        <v>45</v>
      </c>
      <c r="J272" s="34">
        <v>45</v>
      </c>
      <c r="K272" s="34">
        <v>45</v>
      </c>
      <c r="L272" s="34">
        <v>45</v>
      </c>
      <c r="M272" s="34">
        <v>45</v>
      </c>
      <c r="N272" s="34">
        <v>45</v>
      </c>
      <c r="O272" s="34">
        <v>45</v>
      </c>
      <c r="P272" s="34">
        <v>45</v>
      </c>
      <c r="Q272" s="34">
        <v>0</v>
      </c>
      <c r="R272" s="24">
        <f>SUM(Tabla1[[#This Row],[ENERO ]:[DICIEMBRE]])</f>
        <v>495</v>
      </c>
      <c r="W272" s="65">
        <v>0</v>
      </c>
      <c r="X272" s="21">
        <f>COUNTIF(Tabla1[[#This Row],[ENERO ]:[DICIEMBRE]],0)-(AQ272)-IF(Tabla1[[#This Row],[BAJAS]]="BAJA",IF(Tabla1[[#This Row],[ALTAS]]="ALTA",VLOOKUP(Tabla1[[#This Row],[MES DE ALTA ]],$AT$6:$AU$17,2,FALSE),12)-VLOOKUP(Tabla1[[#This Row],[MES DE BAJA ]],$AT$6:$AU$17,2,FALSE),0)</f>
        <v>1</v>
      </c>
      <c r="Y272" s="69">
        <f>SUM(Tabla1[[#This Row],[MES ADEUDO DE AÑOS PASADOS ]:[MESES DE ADEUDO DEL AÑO EN CURSO ]])</f>
        <v>1</v>
      </c>
      <c r="Z272" s="15">
        <f>IF(Tabla1[[#This Row],[TIPO DE CONSUMIDOR]]="COMPLETO",W272*$T$2,W272*($T$2/2))</f>
        <v>0</v>
      </c>
      <c r="AA272" s="15">
        <f>IF(Tabla1[[#This Row],[TIPO DE CONSUMIDOR]]="COMPLETO",Tabla1[[#This Row],[MESES DE ADEUDO DEL AÑO EN CURSO ]]*$T$2,Tabla1[[#This Row],[MESES DE ADEUDO DEL AÑO EN CURSO ]]*($T$2/2))</f>
        <v>45</v>
      </c>
      <c r="AB272" s="70">
        <f>SUM(Tabla1[[#This Row],[DEUDA DE LOS MESES PASADOS EN $$]:[DEUDA DEL AÑO 2013 $$ ]])</f>
        <v>45</v>
      </c>
      <c r="AE272" s="103">
        <f>IF(Tabla1[[#This Row],[TIPO DE CONSUMIDOR]]="MEDIO",IF(Tabla1[[#This Row],[ENERO ]]&gt;22.5,Tabla1[[#This Row],[ENERO ]]/22.5-1,0),IF(Tabla1[[#This Row],[ENERO ]]&gt;45,Tabla1[[#This Row],[ENERO ]]/45-1,0))</f>
        <v>0</v>
      </c>
      <c r="AF27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2" s="103">
        <f>IF(Tabla1[[#This Row],[TIPO DE CONSUMIDOR]]="MEDIO",IF(Tabla1[[#This Row],[MARZO]]&gt;22.5,Tabla1[[#This Row],[MARZO]]/22.5-1,0),IF(Tabla1[[#This Row],[MARZO]]&gt;45,Tabla1[[#This Row],[MARZO]]/45-1,0))</f>
        <v>0</v>
      </c>
      <c r="AH272" s="103">
        <f>IF(Tabla1[[#This Row],[TIPO DE CONSUMIDOR]]="MEDIO",IF(Tabla1[[#This Row],[ABRIL]]&gt;22.5,Tabla1[[#This Row],[ABRIL]]/22.5-1,0),IF(Tabla1[[#This Row],[ABRIL]]&gt;45,Tabla1[[#This Row],[ABRIL]]/45-1,0))</f>
        <v>0</v>
      </c>
      <c r="AI272" s="103">
        <f>IF(Tabla1[[#This Row],[TIPO DE CONSUMIDOR]]="MEDIO",IF(Tabla1[[#This Row],[MAYO ]]&gt;22.5,Tabla1[[#This Row],[MAYO ]]/22.5-1,0),IF(Tabla1[[#This Row],[MAYO ]]&gt;45,Tabla1[[#This Row],[MAYO ]]/45-1,0))</f>
        <v>0</v>
      </c>
      <c r="AJ272" s="103">
        <f>IF(Tabla1[[#This Row],[TIPO DE CONSUMIDOR]]="MEDIO",IF(Tabla1[[#This Row],[JUNIO ]]&gt;22.5,Tabla1[[#This Row],[JUNIO ]]/22.5-1,0),IF(Tabla1[[#This Row],[JUNIO ]]&gt;45,Tabla1[[#This Row],[JUNIO ]]/45-1,0))</f>
        <v>0</v>
      </c>
      <c r="AK272" s="103">
        <f>IF(Tabla1[[#This Row],[TIPO DE CONSUMIDOR]]="MEDIO",IF(Tabla1[[#This Row],[JULIO ]]&gt;22.5,Tabla1[[#This Row],[JULIO ]]/22.5-1,0),IF(Tabla1[[#This Row],[JULIO ]]&gt;45,Tabla1[[#This Row],[JULIO ]]/45-1,0))</f>
        <v>0</v>
      </c>
      <c r="AL272" s="103">
        <f>IF(Tabla1[[#This Row],[TIPO DE CONSUMIDOR]]="MEDIO",IF(Tabla1[[#This Row],[AGOSTO]]&gt;22.5,Tabla1[[#This Row],[AGOSTO]]/22.5-1,0),IF(Tabla1[[#This Row],[AGOSTO]]&gt;45,Tabla1[[#This Row],[AGOSTO]]/45-1,0))</f>
        <v>0</v>
      </c>
      <c r="AM27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2" s="104">
        <f t="shared" si="10"/>
        <v>0</v>
      </c>
      <c r="AR272" s="9">
        <f t="shared" si="9"/>
        <v>1</v>
      </c>
      <c r="AS272" s="60">
        <f>IF(Tabla1[[#This Row],[MESES DE ADEUDO DEL AÑO EN CURSO ]]&gt;0,1,0)</f>
        <v>1</v>
      </c>
      <c r="AT272" s="42"/>
      <c r="AU272" s="42"/>
      <c r="AV272" s="42"/>
      <c r="AW272" s="43"/>
    </row>
    <row r="273" spans="1:49" ht="21.75" thickBot="1" x14ac:dyDescent="0.35">
      <c r="A273" s="109">
        <v>267</v>
      </c>
      <c r="B273" s="5" t="s">
        <v>163</v>
      </c>
      <c r="C273" s="2" t="s">
        <v>562</v>
      </c>
      <c r="D273" s="32"/>
      <c r="E273" s="35" t="s">
        <v>455</v>
      </c>
      <c r="F273" s="34">
        <v>45</v>
      </c>
      <c r="G273" s="34">
        <v>45</v>
      </c>
      <c r="H273" s="34">
        <v>45</v>
      </c>
      <c r="I273" s="34">
        <v>45</v>
      </c>
      <c r="J273" s="34">
        <v>45</v>
      </c>
      <c r="K273" s="34">
        <v>45</v>
      </c>
      <c r="L273" s="34">
        <v>45</v>
      </c>
      <c r="M273" s="34">
        <v>45</v>
      </c>
      <c r="N273" s="34">
        <v>45</v>
      </c>
      <c r="O273" s="34">
        <v>45</v>
      </c>
      <c r="P273" s="34">
        <v>45</v>
      </c>
      <c r="Q273" s="34">
        <v>0</v>
      </c>
      <c r="R273" s="24">
        <f>SUM(Tabla1[[#This Row],[ENERO ]:[DICIEMBRE]])</f>
        <v>495</v>
      </c>
      <c r="W273" s="65">
        <v>0</v>
      </c>
      <c r="X273" s="21">
        <f>COUNTIF(Tabla1[[#This Row],[ENERO ]:[DICIEMBRE]],0)-(AQ273)-IF(Tabla1[[#This Row],[BAJAS]]="BAJA",IF(Tabla1[[#This Row],[ALTAS]]="ALTA",VLOOKUP(Tabla1[[#This Row],[MES DE ALTA ]],$AT$6:$AU$17,2,FALSE),12)-VLOOKUP(Tabla1[[#This Row],[MES DE BAJA ]],$AT$6:$AU$17,2,FALSE),0)</f>
        <v>1</v>
      </c>
      <c r="Y273" s="69">
        <f>SUM(Tabla1[[#This Row],[MES ADEUDO DE AÑOS PASADOS ]:[MESES DE ADEUDO DEL AÑO EN CURSO ]])</f>
        <v>1</v>
      </c>
      <c r="Z273" s="15">
        <f>IF(Tabla1[[#This Row],[TIPO DE CONSUMIDOR]]="COMPLETO",W273*$T$2,W273*($T$2/2))</f>
        <v>0</v>
      </c>
      <c r="AA273" s="15">
        <f>IF(Tabla1[[#This Row],[TIPO DE CONSUMIDOR]]="COMPLETO",Tabla1[[#This Row],[MESES DE ADEUDO DEL AÑO EN CURSO ]]*$T$2,Tabla1[[#This Row],[MESES DE ADEUDO DEL AÑO EN CURSO ]]*($T$2/2))</f>
        <v>45</v>
      </c>
      <c r="AB273" s="70">
        <f>SUM(Tabla1[[#This Row],[DEUDA DE LOS MESES PASADOS EN $$]:[DEUDA DEL AÑO 2013 $$ ]])</f>
        <v>45</v>
      </c>
      <c r="AE273" s="103">
        <f>IF(Tabla1[[#This Row],[TIPO DE CONSUMIDOR]]="MEDIO",IF(Tabla1[[#This Row],[ENERO ]]&gt;22.5,Tabla1[[#This Row],[ENERO ]]/22.5-1,0),IF(Tabla1[[#This Row],[ENERO ]]&gt;45,Tabla1[[#This Row],[ENERO ]]/45-1,0))</f>
        <v>0</v>
      </c>
      <c r="AF27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3" s="103">
        <f>IF(Tabla1[[#This Row],[TIPO DE CONSUMIDOR]]="MEDIO",IF(Tabla1[[#This Row],[MARZO]]&gt;22.5,Tabla1[[#This Row],[MARZO]]/22.5-1,0),IF(Tabla1[[#This Row],[MARZO]]&gt;45,Tabla1[[#This Row],[MARZO]]/45-1,0))</f>
        <v>0</v>
      </c>
      <c r="AH273" s="103">
        <f>IF(Tabla1[[#This Row],[TIPO DE CONSUMIDOR]]="MEDIO",IF(Tabla1[[#This Row],[ABRIL]]&gt;22.5,Tabla1[[#This Row],[ABRIL]]/22.5-1,0),IF(Tabla1[[#This Row],[ABRIL]]&gt;45,Tabla1[[#This Row],[ABRIL]]/45-1,0))</f>
        <v>0</v>
      </c>
      <c r="AI273" s="103">
        <f>IF(Tabla1[[#This Row],[TIPO DE CONSUMIDOR]]="MEDIO",IF(Tabla1[[#This Row],[MAYO ]]&gt;22.5,Tabla1[[#This Row],[MAYO ]]/22.5-1,0),IF(Tabla1[[#This Row],[MAYO ]]&gt;45,Tabla1[[#This Row],[MAYO ]]/45-1,0))</f>
        <v>0</v>
      </c>
      <c r="AJ273" s="103">
        <f>IF(Tabla1[[#This Row],[TIPO DE CONSUMIDOR]]="MEDIO",IF(Tabla1[[#This Row],[JUNIO ]]&gt;22.5,Tabla1[[#This Row],[JUNIO ]]/22.5-1,0),IF(Tabla1[[#This Row],[JUNIO ]]&gt;45,Tabla1[[#This Row],[JUNIO ]]/45-1,0))</f>
        <v>0</v>
      </c>
      <c r="AK273" s="103">
        <f>IF(Tabla1[[#This Row],[TIPO DE CONSUMIDOR]]="MEDIO",IF(Tabla1[[#This Row],[JULIO ]]&gt;22.5,Tabla1[[#This Row],[JULIO ]]/22.5-1,0),IF(Tabla1[[#This Row],[JULIO ]]&gt;45,Tabla1[[#This Row],[JULIO ]]/45-1,0))</f>
        <v>0</v>
      </c>
      <c r="AL273" s="103">
        <f>IF(Tabla1[[#This Row],[TIPO DE CONSUMIDOR]]="MEDIO",IF(Tabla1[[#This Row],[AGOSTO]]&gt;22.5,Tabla1[[#This Row],[AGOSTO]]/22.5-1,0),IF(Tabla1[[#This Row],[AGOSTO]]&gt;45,Tabla1[[#This Row],[AGOSTO]]/45-1,0))</f>
        <v>0</v>
      </c>
      <c r="AM27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3" s="104">
        <f t="shared" si="10"/>
        <v>0</v>
      </c>
      <c r="AR273" s="9">
        <f t="shared" si="9"/>
        <v>1</v>
      </c>
      <c r="AS273" s="60">
        <f>IF(Tabla1[[#This Row],[MESES DE ADEUDO DEL AÑO EN CURSO ]]&gt;0,1,0)</f>
        <v>1</v>
      </c>
      <c r="AT273" s="42"/>
      <c r="AU273" s="42"/>
      <c r="AV273" s="42"/>
      <c r="AW273" s="43"/>
    </row>
    <row r="274" spans="1:49" ht="21.75" thickBot="1" x14ac:dyDescent="0.35">
      <c r="A274" s="109">
        <v>268</v>
      </c>
      <c r="B274" s="5" t="s">
        <v>214</v>
      </c>
      <c r="C274" s="2" t="s">
        <v>562</v>
      </c>
      <c r="D274" s="32"/>
      <c r="E274" s="35" t="s">
        <v>455</v>
      </c>
      <c r="F274" s="34">
        <v>45</v>
      </c>
      <c r="G274" s="34">
        <v>45</v>
      </c>
      <c r="H274" s="34">
        <v>45</v>
      </c>
      <c r="I274" s="34">
        <v>45</v>
      </c>
      <c r="J274" s="34">
        <v>45</v>
      </c>
      <c r="K274" s="34">
        <v>45</v>
      </c>
      <c r="L274" s="34">
        <v>45</v>
      </c>
      <c r="M274" s="34">
        <v>45</v>
      </c>
      <c r="N274" s="34">
        <v>45</v>
      </c>
      <c r="O274" s="34">
        <v>45</v>
      </c>
      <c r="P274" s="34">
        <v>45</v>
      </c>
      <c r="Q274" s="34">
        <v>0</v>
      </c>
      <c r="R274" s="24">
        <f>SUM(Tabla1[[#This Row],[ENERO ]:[DICIEMBRE]])</f>
        <v>495</v>
      </c>
      <c r="W274" s="65">
        <v>0</v>
      </c>
      <c r="X274" s="21">
        <f>COUNTIF(Tabla1[[#This Row],[ENERO ]:[DICIEMBRE]],0)-(AQ274)-IF(Tabla1[[#This Row],[BAJAS]]="BAJA",IF(Tabla1[[#This Row],[ALTAS]]="ALTA",VLOOKUP(Tabla1[[#This Row],[MES DE ALTA ]],$AT$6:$AU$17,2,FALSE),12)-VLOOKUP(Tabla1[[#This Row],[MES DE BAJA ]],$AT$6:$AU$17,2,FALSE),0)</f>
        <v>1</v>
      </c>
      <c r="Y274" s="69">
        <f>SUM(Tabla1[[#This Row],[MES ADEUDO DE AÑOS PASADOS ]:[MESES DE ADEUDO DEL AÑO EN CURSO ]])</f>
        <v>1</v>
      </c>
      <c r="Z274" s="15">
        <f>IF(Tabla1[[#This Row],[TIPO DE CONSUMIDOR]]="COMPLETO",W274*$T$2,W274*($T$2/2))</f>
        <v>0</v>
      </c>
      <c r="AA274" s="15">
        <f>IF(Tabla1[[#This Row],[TIPO DE CONSUMIDOR]]="COMPLETO",Tabla1[[#This Row],[MESES DE ADEUDO DEL AÑO EN CURSO ]]*$T$2,Tabla1[[#This Row],[MESES DE ADEUDO DEL AÑO EN CURSO ]]*($T$2/2))</f>
        <v>45</v>
      </c>
      <c r="AB274" s="70">
        <f>SUM(Tabla1[[#This Row],[DEUDA DE LOS MESES PASADOS EN $$]:[DEUDA DEL AÑO 2013 $$ ]])</f>
        <v>45</v>
      </c>
      <c r="AE274" s="103">
        <f>IF(Tabla1[[#This Row],[TIPO DE CONSUMIDOR]]="MEDIO",IF(Tabla1[[#This Row],[ENERO ]]&gt;22.5,Tabla1[[#This Row],[ENERO ]]/22.5-1,0),IF(Tabla1[[#This Row],[ENERO ]]&gt;45,Tabla1[[#This Row],[ENERO ]]/45-1,0))</f>
        <v>0</v>
      </c>
      <c r="AF27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4" s="103">
        <f>IF(Tabla1[[#This Row],[TIPO DE CONSUMIDOR]]="MEDIO",IF(Tabla1[[#This Row],[MARZO]]&gt;22.5,Tabla1[[#This Row],[MARZO]]/22.5-1,0),IF(Tabla1[[#This Row],[MARZO]]&gt;45,Tabla1[[#This Row],[MARZO]]/45-1,0))</f>
        <v>0</v>
      </c>
      <c r="AH274" s="103">
        <f>IF(Tabla1[[#This Row],[TIPO DE CONSUMIDOR]]="MEDIO",IF(Tabla1[[#This Row],[ABRIL]]&gt;22.5,Tabla1[[#This Row],[ABRIL]]/22.5-1,0),IF(Tabla1[[#This Row],[ABRIL]]&gt;45,Tabla1[[#This Row],[ABRIL]]/45-1,0))</f>
        <v>0</v>
      </c>
      <c r="AI274" s="103">
        <f>IF(Tabla1[[#This Row],[TIPO DE CONSUMIDOR]]="MEDIO",IF(Tabla1[[#This Row],[MAYO ]]&gt;22.5,Tabla1[[#This Row],[MAYO ]]/22.5-1,0),IF(Tabla1[[#This Row],[MAYO ]]&gt;45,Tabla1[[#This Row],[MAYO ]]/45-1,0))</f>
        <v>0</v>
      </c>
      <c r="AJ274" s="103">
        <f>IF(Tabla1[[#This Row],[TIPO DE CONSUMIDOR]]="MEDIO",IF(Tabla1[[#This Row],[JUNIO ]]&gt;22.5,Tabla1[[#This Row],[JUNIO ]]/22.5-1,0),IF(Tabla1[[#This Row],[JUNIO ]]&gt;45,Tabla1[[#This Row],[JUNIO ]]/45-1,0))</f>
        <v>0</v>
      </c>
      <c r="AK274" s="103">
        <f>IF(Tabla1[[#This Row],[TIPO DE CONSUMIDOR]]="MEDIO",IF(Tabla1[[#This Row],[JULIO ]]&gt;22.5,Tabla1[[#This Row],[JULIO ]]/22.5-1,0),IF(Tabla1[[#This Row],[JULIO ]]&gt;45,Tabla1[[#This Row],[JULIO ]]/45-1,0))</f>
        <v>0</v>
      </c>
      <c r="AL274" s="103">
        <f>IF(Tabla1[[#This Row],[TIPO DE CONSUMIDOR]]="MEDIO",IF(Tabla1[[#This Row],[AGOSTO]]&gt;22.5,Tabla1[[#This Row],[AGOSTO]]/22.5-1,0),IF(Tabla1[[#This Row],[AGOSTO]]&gt;45,Tabla1[[#This Row],[AGOSTO]]/45-1,0))</f>
        <v>0</v>
      </c>
      <c r="AM27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4" s="104">
        <f t="shared" si="10"/>
        <v>0</v>
      </c>
      <c r="AR274" s="9">
        <f t="shared" si="9"/>
        <v>1</v>
      </c>
      <c r="AS274" s="60">
        <f>IF(Tabla1[[#This Row],[MESES DE ADEUDO DEL AÑO EN CURSO ]]&gt;0,1,0)</f>
        <v>1</v>
      </c>
      <c r="AT274" s="42"/>
      <c r="AU274" s="42"/>
      <c r="AV274" s="42"/>
      <c r="AW274" s="43"/>
    </row>
    <row r="275" spans="1:49" ht="21.75" thickBot="1" x14ac:dyDescent="0.35">
      <c r="A275" s="109">
        <v>269</v>
      </c>
      <c r="B275" s="5" t="s">
        <v>281</v>
      </c>
      <c r="C275" s="2" t="s">
        <v>480</v>
      </c>
      <c r="D275" s="32"/>
      <c r="E275" s="35" t="s">
        <v>455</v>
      </c>
      <c r="F275" s="34">
        <v>45</v>
      </c>
      <c r="G275" s="34">
        <v>45</v>
      </c>
      <c r="H275" s="34">
        <v>45</v>
      </c>
      <c r="I275" s="34">
        <v>45</v>
      </c>
      <c r="J275" s="34">
        <v>45</v>
      </c>
      <c r="K275" s="34">
        <v>45</v>
      </c>
      <c r="L275" s="34">
        <v>45</v>
      </c>
      <c r="M275" s="34">
        <v>45</v>
      </c>
      <c r="N275" s="34">
        <v>45</v>
      </c>
      <c r="O275" s="34">
        <v>45</v>
      </c>
      <c r="P275" s="34">
        <v>45</v>
      </c>
      <c r="Q275" s="34">
        <v>0</v>
      </c>
      <c r="R275" s="24">
        <f>SUM(Tabla1[[#This Row],[ENERO ]:[DICIEMBRE]])</f>
        <v>495</v>
      </c>
      <c r="W275" s="65">
        <v>0</v>
      </c>
      <c r="X275" s="21">
        <f>COUNTIF(Tabla1[[#This Row],[ENERO ]:[DICIEMBRE]],0)-(AQ275)-IF(Tabla1[[#This Row],[BAJAS]]="BAJA",IF(Tabla1[[#This Row],[ALTAS]]="ALTA",VLOOKUP(Tabla1[[#This Row],[MES DE ALTA ]],$AT$6:$AU$17,2,FALSE),12)-VLOOKUP(Tabla1[[#This Row],[MES DE BAJA ]],$AT$6:$AU$17,2,FALSE),0)</f>
        <v>1</v>
      </c>
      <c r="Y275" s="69">
        <f>SUM(Tabla1[[#This Row],[MES ADEUDO DE AÑOS PASADOS ]:[MESES DE ADEUDO DEL AÑO EN CURSO ]])</f>
        <v>1</v>
      </c>
      <c r="Z275" s="15">
        <f>IF(Tabla1[[#This Row],[TIPO DE CONSUMIDOR]]="COMPLETO",W275*$T$2,W275*($T$2/2))</f>
        <v>0</v>
      </c>
      <c r="AA275" s="15">
        <f>IF(Tabla1[[#This Row],[TIPO DE CONSUMIDOR]]="COMPLETO",Tabla1[[#This Row],[MESES DE ADEUDO DEL AÑO EN CURSO ]]*$T$2,Tabla1[[#This Row],[MESES DE ADEUDO DEL AÑO EN CURSO ]]*($T$2/2))</f>
        <v>45</v>
      </c>
      <c r="AB275" s="70">
        <f>SUM(Tabla1[[#This Row],[DEUDA DE LOS MESES PASADOS EN $$]:[DEUDA DEL AÑO 2013 $$ ]])</f>
        <v>45</v>
      </c>
      <c r="AE275" s="103">
        <f>IF(Tabla1[[#This Row],[TIPO DE CONSUMIDOR]]="MEDIO",IF(Tabla1[[#This Row],[ENERO ]]&gt;22.5,Tabla1[[#This Row],[ENERO ]]/22.5-1,0),IF(Tabla1[[#This Row],[ENERO ]]&gt;45,Tabla1[[#This Row],[ENERO ]]/45-1,0))</f>
        <v>0</v>
      </c>
      <c r="AF27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5" s="103">
        <f>IF(Tabla1[[#This Row],[TIPO DE CONSUMIDOR]]="MEDIO",IF(Tabla1[[#This Row],[MARZO]]&gt;22.5,Tabla1[[#This Row],[MARZO]]/22.5-1,0),IF(Tabla1[[#This Row],[MARZO]]&gt;45,Tabla1[[#This Row],[MARZO]]/45-1,0))</f>
        <v>0</v>
      </c>
      <c r="AH275" s="103">
        <f>IF(Tabla1[[#This Row],[TIPO DE CONSUMIDOR]]="MEDIO",IF(Tabla1[[#This Row],[ABRIL]]&gt;22.5,Tabla1[[#This Row],[ABRIL]]/22.5-1,0),IF(Tabla1[[#This Row],[ABRIL]]&gt;45,Tabla1[[#This Row],[ABRIL]]/45-1,0))</f>
        <v>0</v>
      </c>
      <c r="AI275" s="103">
        <f>IF(Tabla1[[#This Row],[TIPO DE CONSUMIDOR]]="MEDIO",IF(Tabla1[[#This Row],[MAYO ]]&gt;22.5,Tabla1[[#This Row],[MAYO ]]/22.5-1,0),IF(Tabla1[[#This Row],[MAYO ]]&gt;45,Tabla1[[#This Row],[MAYO ]]/45-1,0))</f>
        <v>0</v>
      </c>
      <c r="AJ275" s="103">
        <f>IF(Tabla1[[#This Row],[TIPO DE CONSUMIDOR]]="MEDIO",IF(Tabla1[[#This Row],[JUNIO ]]&gt;22.5,Tabla1[[#This Row],[JUNIO ]]/22.5-1,0),IF(Tabla1[[#This Row],[JUNIO ]]&gt;45,Tabla1[[#This Row],[JUNIO ]]/45-1,0))</f>
        <v>0</v>
      </c>
      <c r="AK275" s="103">
        <f>IF(Tabla1[[#This Row],[TIPO DE CONSUMIDOR]]="MEDIO",IF(Tabla1[[#This Row],[JULIO ]]&gt;22.5,Tabla1[[#This Row],[JULIO ]]/22.5-1,0),IF(Tabla1[[#This Row],[JULIO ]]&gt;45,Tabla1[[#This Row],[JULIO ]]/45-1,0))</f>
        <v>0</v>
      </c>
      <c r="AL275" s="103">
        <f>IF(Tabla1[[#This Row],[TIPO DE CONSUMIDOR]]="MEDIO",IF(Tabla1[[#This Row],[AGOSTO]]&gt;22.5,Tabla1[[#This Row],[AGOSTO]]/22.5-1,0),IF(Tabla1[[#This Row],[AGOSTO]]&gt;45,Tabla1[[#This Row],[AGOSTO]]/45-1,0))</f>
        <v>0</v>
      </c>
      <c r="AM27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5" s="104">
        <f t="shared" si="10"/>
        <v>0</v>
      </c>
      <c r="AR275" s="9">
        <f t="shared" si="9"/>
        <v>1</v>
      </c>
      <c r="AS275" s="60">
        <f>IF(Tabla1[[#This Row],[MESES DE ADEUDO DEL AÑO EN CURSO ]]&gt;0,1,0)</f>
        <v>1</v>
      </c>
      <c r="AT275" s="42"/>
      <c r="AU275" s="42"/>
      <c r="AV275" s="42"/>
      <c r="AW275" s="43"/>
    </row>
    <row r="276" spans="1:49" ht="21.75" thickBot="1" x14ac:dyDescent="0.35">
      <c r="A276" s="109">
        <v>270</v>
      </c>
      <c r="B276" s="5" t="s">
        <v>114</v>
      </c>
      <c r="C276" s="2" t="s">
        <v>461</v>
      </c>
      <c r="D276" s="32"/>
      <c r="E276" s="35" t="s">
        <v>455</v>
      </c>
      <c r="F276" s="34">
        <v>45</v>
      </c>
      <c r="G276" s="34">
        <v>45</v>
      </c>
      <c r="H276" s="34">
        <v>45</v>
      </c>
      <c r="I276" s="34">
        <v>45</v>
      </c>
      <c r="J276" s="34">
        <v>45</v>
      </c>
      <c r="K276" s="34">
        <v>45</v>
      </c>
      <c r="L276" s="34">
        <v>45</v>
      </c>
      <c r="M276" s="34">
        <v>45</v>
      </c>
      <c r="N276" s="34">
        <v>45</v>
      </c>
      <c r="O276" s="34">
        <v>45</v>
      </c>
      <c r="P276" s="34">
        <v>0</v>
      </c>
      <c r="Q276" s="34">
        <v>0</v>
      </c>
      <c r="R276" s="24">
        <f>SUM(Tabla1[[#This Row],[ENERO ]:[DICIEMBRE]])</f>
        <v>450</v>
      </c>
      <c r="W276" s="65">
        <v>0</v>
      </c>
      <c r="X276" s="21">
        <f>COUNTIF(Tabla1[[#This Row],[ENERO ]:[DICIEMBRE]],0)-(AQ276)-IF(Tabla1[[#This Row],[BAJAS]]="BAJA",IF(Tabla1[[#This Row],[ALTAS]]="ALTA",VLOOKUP(Tabla1[[#This Row],[MES DE ALTA ]],$AT$6:$AU$17,2,FALSE),12)-VLOOKUP(Tabla1[[#This Row],[MES DE BAJA ]],$AT$6:$AU$17,2,FALSE),0)</f>
        <v>2</v>
      </c>
      <c r="Y276" s="69">
        <f>SUM(Tabla1[[#This Row],[MES ADEUDO DE AÑOS PASADOS ]:[MESES DE ADEUDO DEL AÑO EN CURSO ]])</f>
        <v>2</v>
      </c>
      <c r="Z276" s="15">
        <f>IF(Tabla1[[#This Row],[TIPO DE CONSUMIDOR]]="COMPLETO",W276*$T$2,W276*($T$2/2))</f>
        <v>0</v>
      </c>
      <c r="AA276" s="15">
        <f>IF(Tabla1[[#This Row],[TIPO DE CONSUMIDOR]]="COMPLETO",Tabla1[[#This Row],[MESES DE ADEUDO DEL AÑO EN CURSO ]]*$T$2,Tabla1[[#This Row],[MESES DE ADEUDO DEL AÑO EN CURSO ]]*($T$2/2))</f>
        <v>90</v>
      </c>
      <c r="AB276" s="70">
        <f>SUM(Tabla1[[#This Row],[DEUDA DE LOS MESES PASADOS EN $$]:[DEUDA DEL AÑO 2013 $$ ]])</f>
        <v>90</v>
      </c>
      <c r="AE276" s="103">
        <f>IF(Tabla1[[#This Row],[TIPO DE CONSUMIDOR]]="MEDIO",IF(Tabla1[[#This Row],[ENERO ]]&gt;22.5,Tabla1[[#This Row],[ENERO ]]/22.5-1,0),IF(Tabla1[[#This Row],[ENERO ]]&gt;45,Tabla1[[#This Row],[ENERO ]]/45-1,0))</f>
        <v>0</v>
      </c>
      <c r="AF27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6" s="103">
        <f>IF(Tabla1[[#This Row],[TIPO DE CONSUMIDOR]]="MEDIO",IF(Tabla1[[#This Row],[MARZO]]&gt;22.5,Tabla1[[#This Row],[MARZO]]/22.5-1,0),IF(Tabla1[[#This Row],[MARZO]]&gt;45,Tabla1[[#This Row],[MARZO]]/45-1,0))</f>
        <v>0</v>
      </c>
      <c r="AH276" s="103">
        <f>IF(Tabla1[[#This Row],[TIPO DE CONSUMIDOR]]="MEDIO",IF(Tabla1[[#This Row],[ABRIL]]&gt;22.5,Tabla1[[#This Row],[ABRIL]]/22.5-1,0),IF(Tabla1[[#This Row],[ABRIL]]&gt;45,Tabla1[[#This Row],[ABRIL]]/45-1,0))</f>
        <v>0</v>
      </c>
      <c r="AI276" s="103">
        <f>IF(Tabla1[[#This Row],[TIPO DE CONSUMIDOR]]="MEDIO",IF(Tabla1[[#This Row],[MAYO ]]&gt;22.5,Tabla1[[#This Row],[MAYO ]]/22.5-1,0),IF(Tabla1[[#This Row],[MAYO ]]&gt;45,Tabla1[[#This Row],[MAYO ]]/45-1,0))</f>
        <v>0</v>
      </c>
      <c r="AJ276" s="103">
        <f>IF(Tabla1[[#This Row],[TIPO DE CONSUMIDOR]]="MEDIO",IF(Tabla1[[#This Row],[JUNIO ]]&gt;22.5,Tabla1[[#This Row],[JUNIO ]]/22.5-1,0),IF(Tabla1[[#This Row],[JUNIO ]]&gt;45,Tabla1[[#This Row],[JUNIO ]]/45-1,0))</f>
        <v>0</v>
      </c>
      <c r="AK276" s="103">
        <f>IF(Tabla1[[#This Row],[TIPO DE CONSUMIDOR]]="MEDIO",IF(Tabla1[[#This Row],[JULIO ]]&gt;22.5,Tabla1[[#This Row],[JULIO ]]/22.5-1,0),IF(Tabla1[[#This Row],[JULIO ]]&gt;45,Tabla1[[#This Row],[JULIO ]]/45-1,0))</f>
        <v>0</v>
      </c>
      <c r="AL276" s="103">
        <f>IF(Tabla1[[#This Row],[TIPO DE CONSUMIDOR]]="MEDIO",IF(Tabla1[[#This Row],[AGOSTO]]&gt;22.5,Tabla1[[#This Row],[AGOSTO]]/22.5-1,0),IF(Tabla1[[#This Row],[AGOSTO]]&gt;45,Tabla1[[#This Row],[AGOSTO]]/45-1,0))</f>
        <v>0</v>
      </c>
      <c r="AM27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6" s="104">
        <f t="shared" si="10"/>
        <v>0</v>
      </c>
      <c r="AR276" s="9">
        <f t="shared" si="9"/>
        <v>1</v>
      </c>
      <c r="AS276" s="60">
        <f>IF(Tabla1[[#This Row],[MESES DE ADEUDO DEL AÑO EN CURSO ]]&gt;0,1,0)</f>
        <v>1</v>
      </c>
      <c r="AT276" s="42"/>
      <c r="AU276" s="42"/>
      <c r="AV276" s="42"/>
      <c r="AW276" s="43"/>
    </row>
    <row r="277" spans="1:49" ht="21.75" thickBot="1" x14ac:dyDescent="0.35">
      <c r="A277" s="109">
        <v>271</v>
      </c>
      <c r="B277" s="5" t="s">
        <v>357</v>
      </c>
      <c r="C277" s="2" t="s">
        <v>493</v>
      </c>
      <c r="D277" s="32"/>
      <c r="E277" s="35" t="s">
        <v>455</v>
      </c>
      <c r="F277" s="34">
        <v>45</v>
      </c>
      <c r="G277" s="34">
        <v>45</v>
      </c>
      <c r="H277" s="34">
        <v>45</v>
      </c>
      <c r="I277" s="34">
        <v>45</v>
      </c>
      <c r="J277" s="34">
        <v>45</v>
      </c>
      <c r="K277" s="34">
        <v>45</v>
      </c>
      <c r="L277" s="34">
        <v>45</v>
      </c>
      <c r="M277" s="34">
        <v>45</v>
      </c>
      <c r="N277" s="34">
        <v>45</v>
      </c>
      <c r="O277" s="34">
        <v>45</v>
      </c>
      <c r="P277" s="34">
        <v>0</v>
      </c>
      <c r="Q277" s="34">
        <v>0</v>
      </c>
      <c r="R277" s="24">
        <f>SUM(Tabla1[[#This Row],[ENERO ]:[DICIEMBRE]])</f>
        <v>450</v>
      </c>
      <c r="W277" s="65">
        <v>0</v>
      </c>
      <c r="X277" s="21">
        <f>COUNTIF(Tabla1[[#This Row],[ENERO ]:[DICIEMBRE]],0)-(AQ277)-IF(Tabla1[[#This Row],[BAJAS]]="BAJA",IF(Tabla1[[#This Row],[ALTAS]]="ALTA",VLOOKUP(Tabla1[[#This Row],[MES DE ALTA ]],$AT$6:$AU$17,2,FALSE),12)-VLOOKUP(Tabla1[[#This Row],[MES DE BAJA ]],$AT$6:$AU$17,2,FALSE),0)</f>
        <v>2</v>
      </c>
      <c r="Y277" s="69">
        <f>SUM(Tabla1[[#This Row],[MES ADEUDO DE AÑOS PASADOS ]:[MESES DE ADEUDO DEL AÑO EN CURSO ]])</f>
        <v>2</v>
      </c>
      <c r="Z277" s="15">
        <f>IF(Tabla1[[#This Row],[TIPO DE CONSUMIDOR]]="COMPLETO",W277*$T$2,W277*($T$2/2))</f>
        <v>0</v>
      </c>
      <c r="AA277" s="15">
        <f>IF(Tabla1[[#This Row],[TIPO DE CONSUMIDOR]]="COMPLETO",Tabla1[[#This Row],[MESES DE ADEUDO DEL AÑO EN CURSO ]]*$T$2,Tabla1[[#This Row],[MESES DE ADEUDO DEL AÑO EN CURSO ]]*($T$2/2))</f>
        <v>90</v>
      </c>
      <c r="AB277" s="70">
        <f>SUM(Tabla1[[#This Row],[DEUDA DE LOS MESES PASADOS EN $$]:[DEUDA DEL AÑO 2013 $$ ]])</f>
        <v>90</v>
      </c>
      <c r="AE277" s="103">
        <f>IF(Tabla1[[#This Row],[TIPO DE CONSUMIDOR]]="MEDIO",IF(Tabla1[[#This Row],[ENERO ]]&gt;22.5,Tabla1[[#This Row],[ENERO ]]/22.5-1,0),IF(Tabla1[[#This Row],[ENERO ]]&gt;45,Tabla1[[#This Row],[ENERO ]]/45-1,0))</f>
        <v>0</v>
      </c>
      <c r="AF27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7" s="103">
        <f>IF(Tabla1[[#This Row],[TIPO DE CONSUMIDOR]]="MEDIO",IF(Tabla1[[#This Row],[MARZO]]&gt;22.5,Tabla1[[#This Row],[MARZO]]/22.5-1,0),IF(Tabla1[[#This Row],[MARZO]]&gt;45,Tabla1[[#This Row],[MARZO]]/45-1,0))</f>
        <v>0</v>
      </c>
      <c r="AH277" s="103">
        <f>IF(Tabla1[[#This Row],[TIPO DE CONSUMIDOR]]="MEDIO",IF(Tabla1[[#This Row],[ABRIL]]&gt;22.5,Tabla1[[#This Row],[ABRIL]]/22.5-1,0),IF(Tabla1[[#This Row],[ABRIL]]&gt;45,Tabla1[[#This Row],[ABRIL]]/45-1,0))</f>
        <v>0</v>
      </c>
      <c r="AI277" s="103">
        <f>IF(Tabla1[[#This Row],[TIPO DE CONSUMIDOR]]="MEDIO",IF(Tabla1[[#This Row],[MAYO ]]&gt;22.5,Tabla1[[#This Row],[MAYO ]]/22.5-1,0),IF(Tabla1[[#This Row],[MAYO ]]&gt;45,Tabla1[[#This Row],[MAYO ]]/45-1,0))</f>
        <v>0</v>
      </c>
      <c r="AJ277" s="103">
        <f>IF(Tabla1[[#This Row],[TIPO DE CONSUMIDOR]]="MEDIO",IF(Tabla1[[#This Row],[JUNIO ]]&gt;22.5,Tabla1[[#This Row],[JUNIO ]]/22.5-1,0),IF(Tabla1[[#This Row],[JUNIO ]]&gt;45,Tabla1[[#This Row],[JUNIO ]]/45-1,0))</f>
        <v>0</v>
      </c>
      <c r="AK277" s="103">
        <f>IF(Tabla1[[#This Row],[TIPO DE CONSUMIDOR]]="MEDIO",IF(Tabla1[[#This Row],[JULIO ]]&gt;22.5,Tabla1[[#This Row],[JULIO ]]/22.5-1,0),IF(Tabla1[[#This Row],[JULIO ]]&gt;45,Tabla1[[#This Row],[JULIO ]]/45-1,0))</f>
        <v>0</v>
      </c>
      <c r="AL277" s="103">
        <f>IF(Tabla1[[#This Row],[TIPO DE CONSUMIDOR]]="MEDIO",IF(Tabla1[[#This Row],[AGOSTO]]&gt;22.5,Tabla1[[#This Row],[AGOSTO]]/22.5-1,0),IF(Tabla1[[#This Row],[AGOSTO]]&gt;45,Tabla1[[#This Row],[AGOSTO]]/45-1,0))</f>
        <v>0</v>
      </c>
      <c r="AM27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7" s="104">
        <f t="shared" si="10"/>
        <v>0</v>
      </c>
      <c r="AR277" s="9">
        <f t="shared" si="9"/>
        <v>1</v>
      </c>
      <c r="AS277" s="60">
        <f>IF(Tabla1[[#This Row],[MESES DE ADEUDO DEL AÑO EN CURSO ]]&gt;0,1,0)</f>
        <v>1</v>
      </c>
      <c r="AT277" s="42"/>
      <c r="AU277" s="42"/>
      <c r="AV277" s="42"/>
      <c r="AW277" s="43"/>
    </row>
    <row r="278" spans="1:49" ht="21.75" thickBot="1" x14ac:dyDescent="0.35">
      <c r="A278" s="109">
        <v>272</v>
      </c>
      <c r="B278" s="5" t="s">
        <v>287</v>
      </c>
      <c r="C278" s="2" t="s">
        <v>501</v>
      </c>
      <c r="D278" s="32"/>
      <c r="E278" s="35" t="s">
        <v>455</v>
      </c>
      <c r="F278" s="34">
        <v>45</v>
      </c>
      <c r="G278" s="34">
        <v>45</v>
      </c>
      <c r="H278" s="34">
        <v>45</v>
      </c>
      <c r="I278" s="34">
        <v>45</v>
      </c>
      <c r="J278" s="34">
        <v>45</v>
      </c>
      <c r="K278" s="34">
        <v>45</v>
      </c>
      <c r="L278" s="34">
        <v>45</v>
      </c>
      <c r="M278" s="34">
        <v>45</v>
      </c>
      <c r="N278" s="34">
        <v>45</v>
      </c>
      <c r="O278" s="34">
        <v>45</v>
      </c>
      <c r="P278" s="34">
        <v>0</v>
      </c>
      <c r="Q278" s="34">
        <v>0</v>
      </c>
      <c r="R278" s="24">
        <f>SUM(Tabla1[[#This Row],[ENERO ]:[DICIEMBRE]])</f>
        <v>450</v>
      </c>
      <c r="W278" s="65">
        <v>0</v>
      </c>
      <c r="X278" s="21">
        <f>COUNTIF(Tabla1[[#This Row],[ENERO ]:[DICIEMBRE]],0)-(AQ278)-IF(Tabla1[[#This Row],[BAJAS]]="BAJA",IF(Tabla1[[#This Row],[ALTAS]]="ALTA",VLOOKUP(Tabla1[[#This Row],[MES DE ALTA ]],$AT$6:$AU$17,2,FALSE),12)-VLOOKUP(Tabla1[[#This Row],[MES DE BAJA ]],$AT$6:$AU$17,2,FALSE),0)</f>
        <v>2</v>
      </c>
      <c r="Y278" s="69">
        <f>SUM(Tabla1[[#This Row],[MES ADEUDO DE AÑOS PASADOS ]:[MESES DE ADEUDO DEL AÑO EN CURSO ]])</f>
        <v>2</v>
      </c>
      <c r="Z278" s="15">
        <f>IF(Tabla1[[#This Row],[TIPO DE CONSUMIDOR]]="COMPLETO",W278*$T$2,W278*($T$2/2))</f>
        <v>0</v>
      </c>
      <c r="AA278" s="15">
        <f>IF(Tabla1[[#This Row],[TIPO DE CONSUMIDOR]]="COMPLETO",Tabla1[[#This Row],[MESES DE ADEUDO DEL AÑO EN CURSO ]]*$T$2,Tabla1[[#This Row],[MESES DE ADEUDO DEL AÑO EN CURSO ]]*($T$2/2))</f>
        <v>90</v>
      </c>
      <c r="AB278" s="70">
        <f>SUM(Tabla1[[#This Row],[DEUDA DE LOS MESES PASADOS EN $$]:[DEUDA DEL AÑO 2013 $$ ]])</f>
        <v>90</v>
      </c>
      <c r="AE278" s="103">
        <f>IF(Tabla1[[#This Row],[TIPO DE CONSUMIDOR]]="MEDIO",IF(Tabla1[[#This Row],[ENERO ]]&gt;22.5,Tabla1[[#This Row],[ENERO ]]/22.5-1,0),IF(Tabla1[[#This Row],[ENERO ]]&gt;45,Tabla1[[#This Row],[ENERO ]]/45-1,0))</f>
        <v>0</v>
      </c>
      <c r="AF27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8" s="103">
        <f>IF(Tabla1[[#This Row],[TIPO DE CONSUMIDOR]]="MEDIO",IF(Tabla1[[#This Row],[MARZO]]&gt;22.5,Tabla1[[#This Row],[MARZO]]/22.5-1,0),IF(Tabla1[[#This Row],[MARZO]]&gt;45,Tabla1[[#This Row],[MARZO]]/45-1,0))</f>
        <v>0</v>
      </c>
      <c r="AH278" s="103">
        <f>IF(Tabla1[[#This Row],[TIPO DE CONSUMIDOR]]="MEDIO",IF(Tabla1[[#This Row],[ABRIL]]&gt;22.5,Tabla1[[#This Row],[ABRIL]]/22.5-1,0),IF(Tabla1[[#This Row],[ABRIL]]&gt;45,Tabla1[[#This Row],[ABRIL]]/45-1,0))</f>
        <v>0</v>
      </c>
      <c r="AI278" s="103">
        <f>IF(Tabla1[[#This Row],[TIPO DE CONSUMIDOR]]="MEDIO",IF(Tabla1[[#This Row],[MAYO ]]&gt;22.5,Tabla1[[#This Row],[MAYO ]]/22.5-1,0),IF(Tabla1[[#This Row],[MAYO ]]&gt;45,Tabla1[[#This Row],[MAYO ]]/45-1,0))</f>
        <v>0</v>
      </c>
      <c r="AJ278" s="103">
        <f>IF(Tabla1[[#This Row],[TIPO DE CONSUMIDOR]]="MEDIO",IF(Tabla1[[#This Row],[JUNIO ]]&gt;22.5,Tabla1[[#This Row],[JUNIO ]]/22.5-1,0),IF(Tabla1[[#This Row],[JUNIO ]]&gt;45,Tabla1[[#This Row],[JUNIO ]]/45-1,0))</f>
        <v>0</v>
      </c>
      <c r="AK278" s="103">
        <f>IF(Tabla1[[#This Row],[TIPO DE CONSUMIDOR]]="MEDIO",IF(Tabla1[[#This Row],[JULIO ]]&gt;22.5,Tabla1[[#This Row],[JULIO ]]/22.5-1,0),IF(Tabla1[[#This Row],[JULIO ]]&gt;45,Tabla1[[#This Row],[JULIO ]]/45-1,0))</f>
        <v>0</v>
      </c>
      <c r="AL278" s="103">
        <f>IF(Tabla1[[#This Row],[TIPO DE CONSUMIDOR]]="MEDIO",IF(Tabla1[[#This Row],[AGOSTO]]&gt;22.5,Tabla1[[#This Row],[AGOSTO]]/22.5-1,0),IF(Tabla1[[#This Row],[AGOSTO]]&gt;45,Tabla1[[#This Row],[AGOSTO]]/45-1,0))</f>
        <v>0</v>
      </c>
      <c r="AM27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8" s="104">
        <f t="shared" si="10"/>
        <v>0</v>
      </c>
      <c r="AR278" s="9">
        <f t="shared" si="9"/>
        <v>1</v>
      </c>
      <c r="AS278" s="60">
        <f>IF(Tabla1[[#This Row],[MESES DE ADEUDO DEL AÑO EN CURSO ]]&gt;0,1,0)</f>
        <v>1</v>
      </c>
      <c r="AT278" s="42"/>
      <c r="AU278" s="42"/>
      <c r="AV278" s="42"/>
      <c r="AW278" s="43"/>
    </row>
    <row r="279" spans="1:49" ht="21.75" thickBot="1" x14ac:dyDescent="0.35">
      <c r="A279" s="109">
        <v>273</v>
      </c>
      <c r="B279" s="5" t="s">
        <v>191</v>
      </c>
      <c r="C279" s="2" t="s">
        <v>504</v>
      </c>
      <c r="D279" s="32"/>
      <c r="E279" s="35" t="s">
        <v>455</v>
      </c>
      <c r="F279" s="34">
        <v>45</v>
      </c>
      <c r="G279" s="34">
        <v>45</v>
      </c>
      <c r="H279" s="34">
        <v>45</v>
      </c>
      <c r="I279" s="34">
        <v>45</v>
      </c>
      <c r="J279" s="34">
        <v>45</v>
      </c>
      <c r="K279" s="34">
        <v>45</v>
      </c>
      <c r="L279" s="34">
        <v>45</v>
      </c>
      <c r="M279" s="34">
        <v>45</v>
      </c>
      <c r="N279" s="34">
        <v>45</v>
      </c>
      <c r="O279" s="34">
        <v>45</v>
      </c>
      <c r="P279" s="34">
        <v>0</v>
      </c>
      <c r="Q279" s="34">
        <v>0</v>
      </c>
      <c r="R279" s="24">
        <f>SUM(Tabla1[[#This Row],[ENERO ]:[DICIEMBRE]])</f>
        <v>450</v>
      </c>
      <c r="W279" s="65">
        <v>0</v>
      </c>
      <c r="X279" s="21">
        <f>COUNTIF(Tabla1[[#This Row],[ENERO ]:[DICIEMBRE]],0)-(AQ279)-IF(Tabla1[[#This Row],[BAJAS]]="BAJA",IF(Tabla1[[#This Row],[ALTAS]]="ALTA",VLOOKUP(Tabla1[[#This Row],[MES DE ALTA ]],$AT$6:$AU$17,2,FALSE),12)-VLOOKUP(Tabla1[[#This Row],[MES DE BAJA ]],$AT$6:$AU$17,2,FALSE),0)</f>
        <v>2</v>
      </c>
      <c r="Y279" s="69">
        <f>SUM(Tabla1[[#This Row],[MES ADEUDO DE AÑOS PASADOS ]:[MESES DE ADEUDO DEL AÑO EN CURSO ]])</f>
        <v>2</v>
      </c>
      <c r="Z279" s="15">
        <f>IF(Tabla1[[#This Row],[TIPO DE CONSUMIDOR]]="COMPLETO",W279*$T$2,W279*($T$2/2))</f>
        <v>0</v>
      </c>
      <c r="AA279" s="15">
        <f>IF(Tabla1[[#This Row],[TIPO DE CONSUMIDOR]]="COMPLETO",Tabla1[[#This Row],[MESES DE ADEUDO DEL AÑO EN CURSO ]]*$T$2,Tabla1[[#This Row],[MESES DE ADEUDO DEL AÑO EN CURSO ]]*($T$2/2))</f>
        <v>90</v>
      </c>
      <c r="AB279" s="70">
        <f>SUM(Tabla1[[#This Row],[DEUDA DE LOS MESES PASADOS EN $$]:[DEUDA DEL AÑO 2013 $$ ]])</f>
        <v>90</v>
      </c>
      <c r="AE279" s="103">
        <f>IF(Tabla1[[#This Row],[TIPO DE CONSUMIDOR]]="MEDIO",IF(Tabla1[[#This Row],[ENERO ]]&gt;22.5,Tabla1[[#This Row],[ENERO ]]/22.5-1,0),IF(Tabla1[[#This Row],[ENERO ]]&gt;45,Tabla1[[#This Row],[ENERO ]]/45-1,0))</f>
        <v>0</v>
      </c>
      <c r="AF27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79" s="103">
        <f>IF(Tabla1[[#This Row],[TIPO DE CONSUMIDOR]]="MEDIO",IF(Tabla1[[#This Row],[MARZO]]&gt;22.5,Tabla1[[#This Row],[MARZO]]/22.5-1,0),IF(Tabla1[[#This Row],[MARZO]]&gt;45,Tabla1[[#This Row],[MARZO]]/45-1,0))</f>
        <v>0</v>
      </c>
      <c r="AH279" s="103">
        <f>IF(Tabla1[[#This Row],[TIPO DE CONSUMIDOR]]="MEDIO",IF(Tabla1[[#This Row],[ABRIL]]&gt;22.5,Tabla1[[#This Row],[ABRIL]]/22.5-1,0),IF(Tabla1[[#This Row],[ABRIL]]&gt;45,Tabla1[[#This Row],[ABRIL]]/45-1,0))</f>
        <v>0</v>
      </c>
      <c r="AI279" s="103">
        <f>IF(Tabla1[[#This Row],[TIPO DE CONSUMIDOR]]="MEDIO",IF(Tabla1[[#This Row],[MAYO ]]&gt;22.5,Tabla1[[#This Row],[MAYO ]]/22.5-1,0),IF(Tabla1[[#This Row],[MAYO ]]&gt;45,Tabla1[[#This Row],[MAYO ]]/45-1,0))</f>
        <v>0</v>
      </c>
      <c r="AJ279" s="103">
        <f>IF(Tabla1[[#This Row],[TIPO DE CONSUMIDOR]]="MEDIO",IF(Tabla1[[#This Row],[JUNIO ]]&gt;22.5,Tabla1[[#This Row],[JUNIO ]]/22.5-1,0),IF(Tabla1[[#This Row],[JUNIO ]]&gt;45,Tabla1[[#This Row],[JUNIO ]]/45-1,0))</f>
        <v>0</v>
      </c>
      <c r="AK279" s="103">
        <f>IF(Tabla1[[#This Row],[TIPO DE CONSUMIDOR]]="MEDIO",IF(Tabla1[[#This Row],[JULIO ]]&gt;22.5,Tabla1[[#This Row],[JULIO ]]/22.5-1,0),IF(Tabla1[[#This Row],[JULIO ]]&gt;45,Tabla1[[#This Row],[JULIO ]]/45-1,0))</f>
        <v>0</v>
      </c>
      <c r="AL279" s="103">
        <f>IF(Tabla1[[#This Row],[TIPO DE CONSUMIDOR]]="MEDIO",IF(Tabla1[[#This Row],[AGOSTO]]&gt;22.5,Tabla1[[#This Row],[AGOSTO]]/22.5-1,0),IF(Tabla1[[#This Row],[AGOSTO]]&gt;45,Tabla1[[#This Row],[AGOSTO]]/45-1,0))</f>
        <v>0</v>
      </c>
      <c r="AM27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7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7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7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79" s="104">
        <f t="shared" si="10"/>
        <v>0</v>
      </c>
      <c r="AR279" s="9">
        <f t="shared" si="9"/>
        <v>1</v>
      </c>
      <c r="AS279" s="60">
        <f>IF(Tabla1[[#This Row],[MESES DE ADEUDO DEL AÑO EN CURSO ]]&gt;0,1,0)</f>
        <v>1</v>
      </c>
      <c r="AT279" s="42"/>
      <c r="AU279" s="42"/>
      <c r="AV279" s="42"/>
      <c r="AW279" s="43"/>
    </row>
    <row r="280" spans="1:49" ht="21.75" thickBot="1" x14ac:dyDescent="0.35">
      <c r="A280" s="109">
        <v>274</v>
      </c>
      <c r="B280" s="5" t="s">
        <v>341</v>
      </c>
      <c r="C280" s="2" t="s">
        <v>504</v>
      </c>
      <c r="D280" s="32"/>
      <c r="E280" s="35" t="s">
        <v>455</v>
      </c>
      <c r="F280" s="34">
        <v>45</v>
      </c>
      <c r="G280" s="34">
        <v>45</v>
      </c>
      <c r="H280" s="34">
        <v>45</v>
      </c>
      <c r="I280" s="34">
        <v>45</v>
      </c>
      <c r="J280" s="34">
        <v>45</v>
      </c>
      <c r="K280" s="34">
        <v>45</v>
      </c>
      <c r="L280" s="34">
        <v>45</v>
      </c>
      <c r="M280" s="34">
        <v>45</v>
      </c>
      <c r="N280" s="34">
        <v>45</v>
      </c>
      <c r="O280" s="34">
        <v>45</v>
      </c>
      <c r="P280" s="34">
        <v>0</v>
      </c>
      <c r="Q280" s="34">
        <v>0</v>
      </c>
      <c r="R280" s="24">
        <f>SUM(Tabla1[[#This Row],[ENERO ]:[DICIEMBRE]])</f>
        <v>450</v>
      </c>
      <c r="W280" s="65">
        <v>0</v>
      </c>
      <c r="X280" s="21">
        <f>COUNTIF(Tabla1[[#This Row],[ENERO ]:[DICIEMBRE]],0)-(AQ280)-IF(Tabla1[[#This Row],[BAJAS]]="BAJA",IF(Tabla1[[#This Row],[ALTAS]]="ALTA",VLOOKUP(Tabla1[[#This Row],[MES DE ALTA ]],$AT$6:$AU$17,2,FALSE),12)-VLOOKUP(Tabla1[[#This Row],[MES DE BAJA ]],$AT$6:$AU$17,2,FALSE),0)</f>
        <v>2</v>
      </c>
      <c r="Y280" s="69">
        <f>SUM(Tabla1[[#This Row],[MES ADEUDO DE AÑOS PASADOS ]:[MESES DE ADEUDO DEL AÑO EN CURSO ]])</f>
        <v>2</v>
      </c>
      <c r="Z280" s="15">
        <f>IF(Tabla1[[#This Row],[TIPO DE CONSUMIDOR]]="COMPLETO",W280*$T$2,W280*($T$2/2))</f>
        <v>0</v>
      </c>
      <c r="AA280" s="15">
        <f>IF(Tabla1[[#This Row],[TIPO DE CONSUMIDOR]]="COMPLETO",Tabla1[[#This Row],[MESES DE ADEUDO DEL AÑO EN CURSO ]]*$T$2,Tabla1[[#This Row],[MESES DE ADEUDO DEL AÑO EN CURSO ]]*($T$2/2))</f>
        <v>90</v>
      </c>
      <c r="AB280" s="70">
        <f>SUM(Tabla1[[#This Row],[DEUDA DE LOS MESES PASADOS EN $$]:[DEUDA DEL AÑO 2013 $$ ]])</f>
        <v>90</v>
      </c>
      <c r="AE280" s="103">
        <f>IF(Tabla1[[#This Row],[TIPO DE CONSUMIDOR]]="MEDIO",IF(Tabla1[[#This Row],[ENERO ]]&gt;22.5,Tabla1[[#This Row],[ENERO ]]/22.5-1,0),IF(Tabla1[[#This Row],[ENERO ]]&gt;45,Tabla1[[#This Row],[ENERO ]]/45-1,0))</f>
        <v>0</v>
      </c>
      <c r="AF28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0" s="103">
        <f>IF(Tabla1[[#This Row],[TIPO DE CONSUMIDOR]]="MEDIO",IF(Tabla1[[#This Row],[MARZO]]&gt;22.5,Tabla1[[#This Row],[MARZO]]/22.5-1,0),IF(Tabla1[[#This Row],[MARZO]]&gt;45,Tabla1[[#This Row],[MARZO]]/45-1,0))</f>
        <v>0</v>
      </c>
      <c r="AH280" s="103">
        <f>IF(Tabla1[[#This Row],[TIPO DE CONSUMIDOR]]="MEDIO",IF(Tabla1[[#This Row],[ABRIL]]&gt;22.5,Tabla1[[#This Row],[ABRIL]]/22.5-1,0),IF(Tabla1[[#This Row],[ABRIL]]&gt;45,Tabla1[[#This Row],[ABRIL]]/45-1,0))</f>
        <v>0</v>
      </c>
      <c r="AI280" s="103">
        <f>IF(Tabla1[[#This Row],[TIPO DE CONSUMIDOR]]="MEDIO",IF(Tabla1[[#This Row],[MAYO ]]&gt;22.5,Tabla1[[#This Row],[MAYO ]]/22.5-1,0),IF(Tabla1[[#This Row],[MAYO ]]&gt;45,Tabla1[[#This Row],[MAYO ]]/45-1,0))</f>
        <v>0</v>
      </c>
      <c r="AJ280" s="103">
        <f>IF(Tabla1[[#This Row],[TIPO DE CONSUMIDOR]]="MEDIO",IF(Tabla1[[#This Row],[JUNIO ]]&gt;22.5,Tabla1[[#This Row],[JUNIO ]]/22.5-1,0),IF(Tabla1[[#This Row],[JUNIO ]]&gt;45,Tabla1[[#This Row],[JUNIO ]]/45-1,0))</f>
        <v>0</v>
      </c>
      <c r="AK280" s="103">
        <f>IF(Tabla1[[#This Row],[TIPO DE CONSUMIDOR]]="MEDIO",IF(Tabla1[[#This Row],[JULIO ]]&gt;22.5,Tabla1[[#This Row],[JULIO ]]/22.5-1,0),IF(Tabla1[[#This Row],[JULIO ]]&gt;45,Tabla1[[#This Row],[JULIO ]]/45-1,0))</f>
        <v>0</v>
      </c>
      <c r="AL280" s="103">
        <f>IF(Tabla1[[#This Row],[TIPO DE CONSUMIDOR]]="MEDIO",IF(Tabla1[[#This Row],[AGOSTO]]&gt;22.5,Tabla1[[#This Row],[AGOSTO]]/22.5-1,0),IF(Tabla1[[#This Row],[AGOSTO]]&gt;45,Tabla1[[#This Row],[AGOSTO]]/45-1,0))</f>
        <v>0</v>
      </c>
      <c r="AM28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0" s="104">
        <f t="shared" si="10"/>
        <v>0</v>
      </c>
      <c r="AR280" s="9">
        <f t="shared" si="9"/>
        <v>1</v>
      </c>
      <c r="AS280" s="60">
        <f>IF(Tabla1[[#This Row],[MESES DE ADEUDO DEL AÑO EN CURSO ]]&gt;0,1,0)</f>
        <v>1</v>
      </c>
      <c r="AT280" s="42"/>
      <c r="AU280" s="42"/>
      <c r="AV280" s="42"/>
      <c r="AW280" s="43"/>
    </row>
    <row r="281" spans="1:49" ht="21.75" thickBot="1" x14ac:dyDescent="0.35">
      <c r="A281" s="109">
        <v>275</v>
      </c>
      <c r="B281" s="5" t="s">
        <v>536</v>
      </c>
      <c r="C281" s="2" t="s">
        <v>530</v>
      </c>
      <c r="D281" s="32"/>
      <c r="E281" s="35" t="s">
        <v>455</v>
      </c>
      <c r="F281" s="34">
        <v>0</v>
      </c>
      <c r="G281" s="34">
        <v>0</v>
      </c>
      <c r="H281" s="34">
        <v>0</v>
      </c>
      <c r="I281" s="34">
        <v>0</v>
      </c>
      <c r="J281" s="34">
        <v>0</v>
      </c>
      <c r="K281" s="34">
        <v>0</v>
      </c>
      <c r="L281" s="34">
        <v>45</v>
      </c>
      <c r="M281" s="34">
        <v>45</v>
      </c>
      <c r="N281" s="34">
        <v>45</v>
      </c>
      <c r="O281" s="34">
        <v>45</v>
      </c>
      <c r="P281" s="34">
        <v>0</v>
      </c>
      <c r="Q281" s="34">
        <v>0</v>
      </c>
      <c r="R281" s="24">
        <f>SUM(Tabla1[[#This Row],[ENERO ]:[DICIEMBRE]])</f>
        <v>180</v>
      </c>
      <c r="S281" t="s">
        <v>626</v>
      </c>
      <c r="T281" t="s">
        <v>434</v>
      </c>
      <c r="U281" t="s">
        <v>625</v>
      </c>
      <c r="V281" t="s">
        <v>438</v>
      </c>
      <c r="W281" s="65">
        <v>0</v>
      </c>
      <c r="X281" s="21">
        <f>COUNTIF(Tabla1[[#This Row],[ENERO ]:[DICIEMBRE]],0)-(AQ281)-IF(Tabla1[[#This Row],[BAJAS]]="BAJA",IF(Tabla1[[#This Row],[ALTAS]]="ALTA",VLOOKUP(Tabla1[[#This Row],[MES DE ALTA ]],$AT$6:$AU$17,2,FALSE),12)-VLOOKUP(Tabla1[[#This Row],[MES DE BAJA ]],$AT$6:$AU$17,2,FALSE),0)</f>
        <v>2</v>
      </c>
      <c r="Y281" s="69">
        <f>SUM(Tabla1[[#This Row],[MES ADEUDO DE AÑOS PASADOS ]:[MESES DE ADEUDO DEL AÑO EN CURSO ]])</f>
        <v>2</v>
      </c>
      <c r="Z281" s="15">
        <f>IF(Tabla1[[#This Row],[TIPO DE CONSUMIDOR]]="COMPLETO",W281*$T$2,W281*($T$2/2))</f>
        <v>0</v>
      </c>
      <c r="AA281" s="15">
        <f>IF(Tabla1[[#This Row],[TIPO DE CONSUMIDOR]]="COMPLETO",Tabla1[[#This Row],[MESES DE ADEUDO DEL AÑO EN CURSO ]]*$T$2,Tabla1[[#This Row],[MESES DE ADEUDO DEL AÑO EN CURSO ]]*($T$2/2))</f>
        <v>90</v>
      </c>
      <c r="AB281" s="70">
        <f>SUM(Tabla1[[#This Row],[DEUDA DE LOS MESES PASADOS EN $$]:[DEUDA DEL AÑO 2013 $$ ]])</f>
        <v>90</v>
      </c>
      <c r="AE281" s="103">
        <f>IF(Tabla1[[#This Row],[TIPO DE CONSUMIDOR]]="MEDIO",IF(Tabla1[[#This Row],[ENERO ]]&gt;22.5,Tabla1[[#This Row],[ENERO ]]/22.5-1,0),IF(Tabla1[[#This Row],[ENERO ]]&gt;45,Tabla1[[#This Row],[ENERO ]]/45-1,0))</f>
        <v>0</v>
      </c>
      <c r="AF28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1" s="103">
        <f>IF(Tabla1[[#This Row],[TIPO DE CONSUMIDOR]]="MEDIO",IF(Tabla1[[#This Row],[MARZO]]&gt;22.5,Tabla1[[#This Row],[MARZO]]/22.5-1,0),IF(Tabla1[[#This Row],[MARZO]]&gt;45,Tabla1[[#This Row],[MARZO]]/45-1,0))</f>
        <v>0</v>
      </c>
      <c r="AH281" s="103">
        <f>IF(Tabla1[[#This Row],[TIPO DE CONSUMIDOR]]="MEDIO",IF(Tabla1[[#This Row],[ABRIL]]&gt;22.5,Tabla1[[#This Row],[ABRIL]]/22.5-1,0),IF(Tabla1[[#This Row],[ABRIL]]&gt;45,Tabla1[[#This Row],[ABRIL]]/45-1,0))</f>
        <v>0</v>
      </c>
      <c r="AI281" s="103">
        <f>IF(Tabla1[[#This Row],[TIPO DE CONSUMIDOR]]="MEDIO",IF(Tabla1[[#This Row],[MAYO ]]&gt;22.5,Tabla1[[#This Row],[MAYO ]]/22.5-1,0),IF(Tabla1[[#This Row],[MAYO ]]&gt;45,Tabla1[[#This Row],[MAYO ]]/45-1,0))</f>
        <v>0</v>
      </c>
      <c r="AJ281" s="103">
        <f>IF(Tabla1[[#This Row],[TIPO DE CONSUMIDOR]]="MEDIO",IF(Tabla1[[#This Row],[JUNIO ]]&gt;22.5,Tabla1[[#This Row],[JUNIO ]]/22.5-1,0),IF(Tabla1[[#This Row],[JUNIO ]]&gt;45,Tabla1[[#This Row],[JUNIO ]]/45-1,0))</f>
        <v>0</v>
      </c>
      <c r="AK281" s="103">
        <f>IF(Tabla1[[#This Row],[TIPO DE CONSUMIDOR]]="MEDIO",IF(Tabla1[[#This Row],[JULIO ]]&gt;22.5,Tabla1[[#This Row],[JULIO ]]/22.5-1,0),IF(Tabla1[[#This Row],[JULIO ]]&gt;45,Tabla1[[#This Row],[JULIO ]]/45-1,0))</f>
        <v>0</v>
      </c>
      <c r="AL281" s="103">
        <f>IF(Tabla1[[#This Row],[TIPO DE CONSUMIDOR]]="MEDIO",IF(Tabla1[[#This Row],[AGOSTO]]&gt;22.5,Tabla1[[#This Row],[AGOSTO]]/22.5-1,0),IF(Tabla1[[#This Row],[AGOSTO]]&gt;45,Tabla1[[#This Row],[AGOSTO]]/45-1,0))</f>
        <v>0</v>
      </c>
      <c r="AM28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1" s="104">
        <f t="shared" si="10"/>
        <v>0</v>
      </c>
      <c r="AR281" s="9">
        <f t="shared" si="9"/>
        <v>1</v>
      </c>
      <c r="AS281" s="60">
        <f>IF(Tabla1[[#This Row],[MESES DE ADEUDO DEL AÑO EN CURSO ]]&gt;0,1,0)</f>
        <v>1</v>
      </c>
      <c r="AT281" s="42"/>
      <c r="AU281" s="42"/>
      <c r="AV281" s="42"/>
      <c r="AW281" s="43"/>
    </row>
    <row r="282" spans="1:49" ht="21.75" thickBot="1" x14ac:dyDescent="0.35">
      <c r="A282" s="109">
        <v>276</v>
      </c>
      <c r="B282" s="5" t="s">
        <v>175</v>
      </c>
      <c r="C282" s="2" t="s">
        <v>530</v>
      </c>
      <c r="D282" s="32"/>
      <c r="E282" s="35" t="s">
        <v>455</v>
      </c>
      <c r="F282" s="34">
        <v>45</v>
      </c>
      <c r="G282" s="34">
        <v>45</v>
      </c>
      <c r="H282" s="34">
        <v>45</v>
      </c>
      <c r="I282" s="34">
        <v>45</v>
      </c>
      <c r="J282" s="34">
        <v>45</v>
      </c>
      <c r="K282" s="34">
        <v>45</v>
      </c>
      <c r="L282" s="34">
        <v>45</v>
      </c>
      <c r="M282" s="34">
        <v>45</v>
      </c>
      <c r="N282" s="34">
        <v>45</v>
      </c>
      <c r="O282" s="34">
        <v>45</v>
      </c>
      <c r="P282" s="34">
        <v>0</v>
      </c>
      <c r="Q282" s="34">
        <v>0</v>
      </c>
      <c r="R282" s="24">
        <f>SUM(Tabla1[[#This Row],[ENERO ]:[DICIEMBRE]])</f>
        <v>450</v>
      </c>
      <c r="W282" s="65">
        <v>0</v>
      </c>
      <c r="X282" s="21">
        <f>COUNTIF(Tabla1[[#This Row],[ENERO ]:[DICIEMBRE]],0)-(AQ282)-IF(Tabla1[[#This Row],[BAJAS]]="BAJA",IF(Tabla1[[#This Row],[ALTAS]]="ALTA",VLOOKUP(Tabla1[[#This Row],[MES DE ALTA ]],$AT$6:$AU$17,2,FALSE),12)-VLOOKUP(Tabla1[[#This Row],[MES DE BAJA ]],$AT$6:$AU$17,2,FALSE),0)</f>
        <v>2</v>
      </c>
      <c r="Y282" s="69">
        <f>SUM(Tabla1[[#This Row],[MES ADEUDO DE AÑOS PASADOS ]:[MESES DE ADEUDO DEL AÑO EN CURSO ]])</f>
        <v>2</v>
      </c>
      <c r="Z282" s="15">
        <f>IF(Tabla1[[#This Row],[TIPO DE CONSUMIDOR]]="COMPLETO",W282*$T$2,W282*($T$2/2))</f>
        <v>0</v>
      </c>
      <c r="AA282" s="15">
        <f>IF(Tabla1[[#This Row],[TIPO DE CONSUMIDOR]]="COMPLETO",Tabla1[[#This Row],[MESES DE ADEUDO DEL AÑO EN CURSO ]]*$T$2,Tabla1[[#This Row],[MESES DE ADEUDO DEL AÑO EN CURSO ]]*($T$2/2))</f>
        <v>90</v>
      </c>
      <c r="AB282" s="70">
        <f>SUM(Tabla1[[#This Row],[DEUDA DE LOS MESES PASADOS EN $$]:[DEUDA DEL AÑO 2013 $$ ]])</f>
        <v>90</v>
      </c>
      <c r="AE282" s="103">
        <f>IF(Tabla1[[#This Row],[TIPO DE CONSUMIDOR]]="MEDIO",IF(Tabla1[[#This Row],[ENERO ]]&gt;22.5,Tabla1[[#This Row],[ENERO ]]/22.5-1,0),IF(Tabla1[[#This Row],[ENERO ]]&gt;45,Tabla1[[#This Row],[ENERO ]]/45-1,0))</f>
        <v>0</v>
      </c>
      <c r="AF28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2" s="103">
        <f>IF(Tabla1[[#This Row],[TIPO DE CONSUMIDOR]]="MEDIO",IF(Tabla1[[#This Row],[MARZO]]&gt;22.5,Tabla1[[#This Row],[MARZO]]/22.5-1,0),IF(Tabla1[[#This Row],[MARZO]]&gt;45,Tabla1[[#This Row],[MARZO]]/45-1,0))</f>
        <v>0</v>
      </c>
      <c r="AH282" s="103">
        <f>IF(Tabla1[[#This Row],[TIPO DE CONSUMIDOR]]="MEDIO",IF(Tabla1[[#This Row],[ABRIL]]&gt;22.5,Tabla1[[#This Row],[ABRIL]]/22.5-1,0),IF(Tabla1[[#This Row],[ABRIL]]&gt;45,Tabla1[[#This Row],[ABRIL]]/45-1,0))</f>
        <v>0</v>
      </c>
      <c r="AI282" s="103">
        <f>IF(Tabla1[[#This Row],[TIPO DE CONSUMIDOR]]="MEDIO",IF(Tabla1[[#This Row],[MAYO ]]&gt;22.5,Tabla1[[#This Row],[MAYO ]]/22.5-1,0),IF(Tabla1[[#This Row],[MAYO ]]&gt;45,Tabla1[[#This Row],[MAYO ]]/45-1,0))</f>
        <v>0</v>
      </c>
      <c r="AJ282" s="103">
        <f>IF(Tabla1[[#This Row],[TIPO DE CONSUMIDOR]]="MEDIO",IF(Tabla1[[#This Row],[JUNIO ]]&gt;22.5,Tabla1[[#This Row],[JUNIO ]]/22.5-1,0),IF(Tabla1[[#This Row],[JUNIO ]]&gt;45,Tabla1[[#This Row],[JUNIO ]]/45-1,0))</f>
        <v>0</v>
      </c>
      <c r="AK282" s="103">
        <f>IF(Tabla1[[#This Row],[TIPO DE CONSUMIDOR]]="MEDIO",IF(Tabla1[[#This Row],[JULIO ]]&gt;22.5,Tabla1[[#This Row],[JULIO ]]/22.5-1,0),IF(Tabla1[[#This Row],[JULIO ]]&gt;45,Tabla1[[#This Row],[JULIO ]]/45-1,0))</f>
        <v>0</v>
      </c>
      <c r="AL282" s="103">
        <f>IF(Tabla1[[#This Row],[TIPO DE CONSUMIDOR]]="MEDIO",IF(Tabla1[[#This Row],[AGOSTO]]&gt;22.5,Tabla1[[#This Row],[AGOSTO]]/22.5-1,0),IF(Tabla1[[#This Row],[AGOSTO]]&gt;45,Tabla1[[#This Row],[AGOSTO]]/45-1,0))</f>
        <v>0</v>
      </c>
      <c r="AM28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2" s="104">
        <f t="shared" si="10"/>
        <v>0</v>
      </c>
      <c r="AR282" s="9">
        <f t="shared" si="9"/>
        <v>1</v>
      </c>
      <c r="AS282" s="60">
        <f>IF(Tabla1[[#This Row],[MESES DE ADEUDO DEL AÑO EN CURSO ]]&gt;0,1,0)</f>
        <v>1</v>
      </c>
      <c r="AT282" s="42"/>
      <c r="AU282" s="42"/>
      <c r="AV282" s="42"/>
      <c r="AW282" s="43"/>
    </row>
    <row r="283" spans="1:49" ht="21.75" thickBot="1" x14ac:dyDescent="0.35">
      <c r="A283" s="109">
        <v>277</v>
      </c>
      <c r="B283" s="5" t="s">
        <v>401</v>
      </c>
      <c r="C283" s="2" t="s">
        <v>530</v>
      </c>
      <c r="D283" s="32"/>
      <c r="E283" s="35" t="s">
        <v>455</v>
      </c>
      <c r="F283" s="34">
        <v>45</v>
      </c>
      <c r="G283" s="34">
        <v>45</v>
      </c>
      <c r="H283" s="34">
        <v>45</v>
      </c>
      <c r="I283" s="34">
        <v>45</v>
      </c>
      <c r="J283" s="34">
        <v>45</v>
      </c>
      <c r="K283" s="34">
        <v>45</v>
      </c>
      <c r="L283" s="34">
        <v>45</v>
      </c>
      <c r="M283" s="34">
        <v>45</v>
      </c>
      <c r="N283" s="34">
        <v>45</v>
      </c>
      <c r="O283" s="34">
        <v>45</v>
      </c>
      <c r="P283" s="34">
        <v>0</v>
      </c>
      <c r="Q283" s="34">
        <v>0</v>
      </c>
      <c r="R283" s="24">
        <f>SUM(Tabla1[[#This Row],[ENERO ]:[DICIEMBRE]])</f>
        <v>450</v>
      </c>
      <c r="W283" s="65">
        <v>0</v>
      </c>
      <c r="X283" s="21">
        <f>COUNTIF(Tabla1[[#This Row],[ENERO ]:[DICIEMBRE]],0)-(AQ283)-IF(Tabla1[[#This Row],[BAJAS]]="BAJA",IF(Tabla1[[#This Row],[ALTAS]]="ALTA",VLOOKUP(Tabla1[[#This Row],[MES DE ALTA ]],$AT$6:$AU$17,2,FALSE),12)-VLOOKUP(Tabla1[[#This Row],[MES DE BAJA ]],$AT$6:$AU$17,2,FALSE),0)</f>
        <v>2</v>
      </c>
      <c r="Y283" s="69">
        <f>SUM(Tabla1[[#This Row],[MES ADEUDO DE AÑOS PASADOS ]:[MESES DE ADEUDO DEL AÑO EN CURSO ]])</f>
        <v>2</v>
      </c>
      <c r="Z283" s="15">
        <f>IF(Tabla1[[#This Row],[TIPO DE CONSUMIDOR]]="COMPLETO",W283*$T$2,W283*($T$2/2))</f>
        <v>0</v>
      </c>
      <c r="AA283" s="15">
        <f>IF(Tabla1[[#This Row],[TIPO DE CONSUMIDOR]]="COMPLETO",Tabla1[[#This Row],[MESES DE ADEUDO DEL AÑO EN CURSO ]]*$T$2,Tabla1[[#This Row],[MESES DE ADEUDO DEL AÑO EN CURSO ]]*($T$2/2))</f>
        <v>90</v>
      </c>
      <c r="AB283" s="70">
        <f>SUM(Tabla1[[#This Row],[DEUDA DE LOS MESES PASADOS EN $$]:[DEUDA DEL AÑO 2013 $$ ]])</f>
        <v>90</v>
      </c>
      <c r="AE283" s="103">
        <f>IF(Tabla1[[#This Row],[TIPO DE CONSUMIDOR]]="MEDIO",IF(Tabla1[[#This Row],[ENERO ]]&gt;22.5,Tabla1[[#This Row],[ENERO ]]/22.5-1,0),IF(Tabla1[[#This Row],[ENERO ]]&gt;45,Tabla1[[#This Row],[ENERO ]]/45-1,0))</f>
        <v>0</v>
      </c>
      <c r="AF28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3" s="103">
        <f>IF(Tabla1[[#This Row],[TIPO DE CONSUMIDOR]]="MEDIO",IF(Tabla1[[#This Row],[MARZO]]&gt;22.5,Tabla1[[#This Row],[MARZO]]/22.5-1,0),IF(Tabla1[[#This Row],[MARZO]]&gt;45,Tabla1[[#This Row],[MARZO]]/45-1,0))</f>
        <v>0</v>
      </c>
      <c r="AH283" s="103">
        <f>IF(Tabla1[[#This Row],[TIPO DE CONSUMIDOR]]="MEDIO",IF(Tabla1[[#This Row],[ABRIL]]&gt;22.5,Tabla1[[#This Row],[ABRIL]]/22.5-1,0),IF(Tabla1[[#This Row],[ABRIL]]&gt;45,Tabla1[[#This Row],[ABRIL]]/45-1,0))</f>
        <v>0</v>
      </c>
      <c r="AI283" s="103">
        <f>IF(Tabla1[[#This Row],[TIPO DE CONSUMIDOR]]="MEDIO",IF(Tabla1[[#This Row],[MAYO ]]&gt;22.5,Tabla1[[#This Row],[MAYO ]]/22.5-1,0),IF(Tabla1[[#This Row],[MAYO ]]&gt;45,Tabla1[[#This Row],[MAYO ]]/45-1,0))</f>
        <v>0</v>
      </c>
      <c r="AJ283" s="103">
        <f>IF(Tabla1[[#This Row],[TIPO DE CONSUMIDOR]]="MEDIO",IF(Tabla1[[#This Row],[JUNIO ]]&gt;22.5,Tabla1[[#This Row],[JUNIO ]]/22.5-1,0),IF(Tabla1[[#This Row],[JUNIO ]]&gt;45,Tabla1[[#This Row],[JUNIO ]]/45-1,0))</f>
        <v>0</v>
      </c>
      <c r="AK283" s="103">
        <f>IF(Tabla1[[#This Row],[TIPO DE CONSUMIDOR]]="MEDIO",IF(Tabla1[[#This Row],[JULIO ]]&gt;22.5,Tabla1[[#This Row],[JULIO ]]/22.5-1,0),IF(Tabla1[[#This Row],[JULIO ]]&gt;45,Tabla1[[#This Row],[JULIO ]]/45-1,0))</f>
        <v>0</v>
      </c>
      <c r="AL283" s="103">
        <f>IF(Tabla1[[#This Row],[TIPO DE CONSUMIDOR]]="MEDIO",IF(Tabla1[[#This Row],[AGOSTO]]&gt;22.5,Tabla1[[#This Row],[AGOSTO]]/22.5-1,0),IF(Tabla1[[#This Row],[AGOSTO]]&gt;45,Tabla1[[#This Row],[AGOSTO]]/45-1,0))</f>
        <v>0</v>
      </c>
      <c r="AM28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3" s="104">
        <f t="shared" si="10"/>
        <v>0</v>
      </c>
      <c r="AR283" s="9">
        <f t="shared" si="9"/>
        <v>1</v>
      </c>
      <c r="AS283" s="60">
        <f>IF(Tabla1[[#This Row],[MESES DE ADEUDO DEL AÑO EN CURSO ]]&gt;0,1,0)</f>
        <v>1</v>
      </c>
      <c r="AT283" s="42"/>
      <c r="AU283" s="42"/>
      <c r="AV283" s="42"/>
      <c r="AW283" s="43"/>
    </row>
    <row r="284" spans="1:49" ht="21.75" thickBot="1" x14ac:dyDescent="0.35">
      <c r="A284" s="109">
        <v>278</v>
      </c>
      <c r="B284" s="12" t="s">
        <v>615</v>
      </c>
      <c r="C284" s="2" t="s">
        <v>545</v>
      </c>
      <c r="D284" s="32"/>
      <c r="E284" s="35" t="s">
        <v>489</v>
      </c>
      <c r="F284" s="34">
        <v>22.5</v>
      </c>
      <c r="G284" s="34">
        <v>22.5</v>
      </c>
      <c r="H284" s="34">
        <v>22.5</v>
      </c>
      <c r="I284" s="34">
        <v>22.5</v>
      </c>
      <c r="J284" s="34">
        <v>22.5</v>
      </c>
      <c r="K284" s="34">
        <v>22.5</v>
      </c>
      <c r="L284" s="34">
        <v>22.5</v>
      </c>
      <c r="M284" s="34">
        <v>22.5</v>
      </c>
      <c r="N284" s="34">
        <v>22.5</v>
      </c>
      <c r="O284" s="34">
        <v>22.5</v>
      </c>
      <c r="P284" s="34">
        <v>0</v>
      </c>
      <c r="Q284" s="34">
        <v>0</v>
      </c>
      <c r="R284" s="24">
        <f>SUM(Tabla1[[#This Row],[ENERO ]:[DICIEMBRE]])</f>
        <v>225</v>
      </c>
      <c r="W284" s="65">
        <v>0</v>
      </c>
      <c r="X284" s="21">
        <f>COUNTIF(Tabla1[[#This Row],[ENERO ]:[DICIEMBRE]],0)-(AQ284)-IF(Tabla1[[#This Row],[BAJAS]]="BAJA",IF(Tabla1[[#This Row],[ALTAS]]="ALTA",VLOOKUP(Tabla1[[#This Row],[MES DE ALTA ]],$AT$6:$AU$17,2,FALSE),12)-VLOOKUP(Tabla1[[#This Row],[MES DE BAJA ]],$AT$6:$AU$17,2,FALSE),0)</f>
        <v>2</v>
      </c>
      <c r="Y284" s="69">
        <f>SUM(Tabla1[[#This Row],[MES ADEUDO DE AÑOS PASADOS ]:[MESES DE ADEUDO DEL AÑO EN CURSO ]])</f>
        <v>2</v>
      </c>
      <c r="Z284" s="15">
        <f>IF(Tabla1[[#This Row],[TIPO DE CONSUMIDOR]]="COMPLETO",W284*$T$2,W284*($T$2/2))</f>
        <v>0</v>
      </c>
      <c r="AA284" s="15">
        <f>IF(Tabla1[[#This Row],[TIPO DE CONSUMIDOR]]="COMPLETO",Tabla1[[#This Row],[MESES DE ADEUDO DEL AÑO EN CURSO ]]*$T$2,Tabla1[[#This Row],[MESES DE ADEUDO DEL AÑO EN CURSO ]]*($T$2/2))</f>
        <v>45</v>
      </c>
      <c r="AB284" s="70">
        <f>SUM(Tabla1[[#This Row],[DEUDA DE LOS MESES PASADOS EN $$]:[DEUDA DEL AÑO 2013 $$ ]])</f>
        <v>45</v>
      </c>
      <c r="AE284" s="103">
        <f>IF(Tabla1[[#This Row],[TIPO DE CONSUMIDOR]]="MEDIO",IF(Tabla1[[#This Row],[ENERO ]]&gt;22.5,Tabla1[[#This Row],[ENERO ]]/22.5-1,0),IF(Tabla1[[#This Row],[ENERO ]]&gt;45,Tabla1[[#This Row],[ENERO ]]/45-1,0))</f>
        <v>0</v>
      </c>
      <c r="AF28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4" s="103">
        <f>IF(Tabla1[[#This Row],[TIPO DE CONSUMIDOR]]="MEDIO",IF(Tabla1[[#This Row],[MARZO]]&gt;22.5,Tabla1[[#This Row],[MARZO]]/22.5-1,0),IF(Tabla1[[#This Row],[MARZO]]&gt;45,Tabla1[[#This Row],[MARZO]]/45-1,0))</f>
        <v>0</v>
      </c>
      <c r="AH284" s="103">
        <f>IF(Tabla1[[#This Row],[TIPO DE CONSUMIDOR]]="MEDIO",IF(Tabla1[[#This Row],[ABRIL]]&gt;22.5,Tabla1[[#This Row],[ABRIL]]/22.5-1,0),IF(Tabla1[[#This Row],[ABRIL]]&gt;45,Tabla1[[#This Row],[ABRIL]]/45-1,0))</f>
        <v>0</v>
      </c>
      <c r="AI284" s="103">
        <f>IF(Tabla1[[#This Row],[TIPO DE CONSUMIDOR]]="MEDIO",IF(Tabla1[[#This Row],[MAYO ]]&gt;22.5,Tabla1[[#This Row],[MAYO ]]/22.5-1,0),IF(Tabla1[[#This Row],[MAYO ]]&gt;45,Tabla1[[#This Row],[MAYO ]]/45-1,0))</f>
        <v>0</v>
      </c>
      <c r="AJ284" s="103">
        <f>IF(Tabla1[[#This Row],[TIPO DE CONSUMIDOR]]="MEDIO",IF(Tabla1[[#This Row],[JUNIO ]]&gt;22.5,Tabla1[[#This Row],[JUNIO ]]/22.5-1,0),IF(Tabla1[[#This Row],[JUNIO ]]&gt;45,Tabla1[[#This Row],[JUNIO ]]/45-1,0))</f>
        <v>0</v>
      </c>
      <c r="AK284" s="103">
        <f>IF(Tabla1[[#This Row],[TIPO DE CONSUMIDOR]]="MEDIO",IF(Tabla1[[#This Row],[JULIO ]]&gt;22.5,Tabla1[[#This Row],[JULIO ]]/22.5-1,0),IF(Tabla1[[#This Row],[JULIO ]]&gt;45,Tabla1[[#This Row],[JULIO ]]/45-1,0))</f>
        <v>0</v>
      </c>
      <c r="AL284" s="103">
        <f>IF(Tabla1[[#This Row],[TIPO DE CONSUMIDOR]]="MEDIO",IF(Tabla1[[#This Row],[AGOSTO]]&gt;22.5,Tabla1[[#This Row],[AGOSTO]]/22.5-1,0),IF(Tabla1[[#This Row],[AGOSTO]]&gt;45,Tabla1[[#This Row],[AGOSTO]]/45-1,0))</f>
        <v>0</v>
      </c>
      <c r="AM28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4" s="104">
        <f t="shared" si="10"/>
        <v>0</v>
      </c>
      <c r="AR284" s="9">
        <f t="shared" si="9"/>
        <v>1</v>
      </c>
      <c r="AS284" s="60">
        <f>IF(Tabla1[[#This Row],[MESES DE ADEUDO DEL AÑO EN CURSO ]]&gt;0,1,0)</f>
        <v>1</v>
      </c>
      <c r="AT284" s="42"/>
      <c r="AU284" s="42"/>
      <c r="AV284" s="42"/>
      <c r="AW284" s="43"/>
    </row>
    <row r="285" spans="1:49" ht="21.75" thickBot="1" x14ac:dyDescent="0.35">
      <c r="A285" s="109">
        <v>279</v>
      </c>
      <c r="B285" s="5" t="s">
        <v>548</v>
      </c>
      <c r="C285" s="2" t="s">
        <v>549</v>
      </c>
      <c r="D285" s="32"/>
      <c r="E285" s="35" t="s">
        <v>455</v>
      </c>
      <c r="F285" s="34">
        <v>45</v>
      </c>
      <c r="G285" s="34">
        <v>45</v>
      </c>
      <c r="H285" s="34">
        <v>45</v>
      </c>
      <c r="I285" s="34">
        <v>45</v>
      </c>
      <c r="J285" s="34">
        <v>45</v>
      </c>
      <c r="K285" s="34">
        <v>45</v>
      </c>
      <c r="L285" s="34">
        <v>45</v>
      </c>
      <c r="M285" s="34">
        <v>45</v>
      </c>
      <c r="N285" s="34">
        <v>45</v>
      </c>
      <c r="O285" s="34">
        <v>45</v>
      </c>
      <c r="P285" s="34">
        <v>0</v>
      </c>
      <c r="Q285" s="34">
        <v>0</v>
      </c>
      <c r="R285" s="24">
        <f>SUM(Tabla1[[#This Row],[ENERO ]:[DICIEMBRE]])</f>
        <v>450</v>
      </c>
      <c r="W285" s="65">
        <v>0</v>
      </c>
      <c r="X285" s="21">
        <f>COUNTIF(Tabla1[[#This Row],[ENERO ]:[DICIEMBRE]],0)-(AQ285)-IF(Tabla1[[#This Row],[BAJAS]]="BAJA",IF(Tabla1[[#This Row],[ALTAS]]="ALTA",VLOOKUP(Tabla1[[#This Row],[MES DE ALTA ]],$AT$6:$AU$17,2,FALSE),12)-VLOOKUP(Tabla1[[#This Row],[MES DE BAJA ]],$AT$6:$AU$17,2,FALSE),0)</f>
        <v>2</v>
      </c>
      <c r="Y285" s="69">
        <f>SUM(Tabla1[[#This Row],[MES ADEUDO DE AÑOS PASADOS ]:[MESES DE ADEUDO DEL AÑO EN CURSO ]])</f>
        <v>2</v>
      </c>
      <c r="Z285" s="15">
        <f>IF(Tabla1[[#This Row],[TIPO DE CONSUMIDOR]]="COMPLETO",W285*$T$2,W285*($T$2/2))</f>
        <v>0</v>
      </c>
      <c r="AA285" s="15">
        <f>IF(Tabla1[[#This Row],[TIPO DE CONSUMIDOR]]="COMPLETO",Tabla1[[#This Row],[MESES DE ADEUDO DEL AÑO EN CURSO ]]*$T$2,Tabla1[[#This Row],[MESES DE ADEUDO DEL AÑO EN CURSO ]]*($T$2/2))</f>
        <v>90</v>
      </c>
      <c r="AB285" s="70">
        <f>SUM(Tabla1[[#This Row],[DEUDA DE LOS MESES PASADOS EN $$]:[DEUDA DEL AÑO 2013 $$ ]])</f>
        <v>90</v>
      </c>
      <c r="AE285" s="103">
        <f>IF(Tabla1[[#This Row],[TIPO DE CONSUMIDOR]]="MEDIO",IF(Tabla1[[#This Row],[ENERO ]]&gt;22.5,Tabla1[[#This Row],[ENERO ]]/22.5-1,0),IF(Tabla1[[#This Row],[ENERO ]]&gt;45,Tabla1[[#This Row],[ENERO ]]/45-1,0))</f>
        <v>0</v>
      </c>
      <c r="AF28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5" s="103">
        <f>IF(Tabla1[[#This Row],[TIPO DE CONSUMIDOR]]="MEDIO",IF(Tabla1[[#This Row],[MARZO]]&gt;22.5,Tabla1[[#This Row],[MARZO]]/22.5-1,0),IF(Tabla1[[#This Row],[MARZO]]&gt;45,Tabla1[[#This Row],[MARZO]]/45-1,0))</f>
        <v>0</v>
      </c>
      <c r="AH285" s="103">
        <f>IF(Tabla1[[#This Row],[TIPO DE CONSUMIDOR]]="MEDIO",IF(Tabla1[[#This Row],[ABRIL]]&gt;22.5,Tabla1[[#This Row],[ABRIL]]/22.5-1,0),IF(Tabla1[[#This Row],[ABRIL]]&gt;45,Tabla1[[#This Row],[ABRIL]]/45-1,0))</f>
        <v>0</v>
      </c>
      <c r="AI285" s="103">
        <f>IF(Tabla1[[#This Row],[TIPO DE CONSUMIDOR]]="MEDIO",IF(Tabla1[[#This Row],[MAYO ]]&gt;22.5,Tabla1[[#This Row],[MAYO ]]/22.5-1,0),IF(Tabla1[[#This Row],[MAYO ]]&gt;45,Tabla1[[#This Row],[MAYO ]]/45-1,0))</f>
        <v>0</v>
      </c>
      <c r="AJ285" s="103">
        <f>IF(Tabla1[[#This Row],[TIPO DE CONSUMIDOR]]="MEDIO",IF(Tabla1[[#This Row],[JUNIO ]]&gt;22.5,Tabla1[[#This Row],[JUNIO ]]/22.5-1,0),IF(Tabla1[[#This Row],[JUNIO ]]&gt;45,Tabla1[[#This Row],[JUNIO ]]/45-1,0))</f>
        <v>0</v>
      </c>
      <c r="AK285" s="103">
        <f>IF(Tabla1[[#This Row],[TIPO DE CONSUMIDOR]]="MEDIO",IF(Tabla1[[#This Row],[JULIO ]]&gt;22.5,Tabla1[[#This Row],[JULIO ]]/22.5-1,0),IF(Tabla1[[#This Row],[JULIO ]]&gt;45,Tabla1[[#This Row],[JULIO ]]/45-1,0))</f>
        <v>0</v>
      </c>
      <c r="AL285" s="103">
        <f>IF(Tabla1[[#This Row],[TIPO DE CONSUMIDOR]]="MEDIO",IF(Tabla1[[#This Row],[AGOSTO]]&gt;22.5,Tabla1[[#This Row],[AGOSTO]]/22.5-1,0),IF(Tabla1[[#This Row],[AGOSTO]]&gt;45,Tabla1[[#This Row],[AGOSTO]]/45-1,0))</f>
        <v>0</v>
      </c>
      <c r="AM28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5" s="104">
        <f t="shared" si="10"/>
        <v>0</v>
      </c>
      <c r="AR285" s="9">
        <f t="shared" si="9"/>
        <v>1</v>
      </c>
      <c r="AS285" s="60">
        <f>IF(Tabla1[[#This Row],[MESES DE ADEUDO DEL AÑO EN CURSO ]]&gt;0,1,0)</f>
        <v>1</v>
      </c>
      <c r="AT285" s="42"/>
      <c r="AU285" s="42"/>
      <c r="AV285" s="42"/>
      <c r="AW285" s="43"/>
    </row>
    <row r="286" spans="1:49" ht="21.75" thickBot="1" x14ac:dyDescent="0.35">
      <c r="A286" s="109">
        <v>280</v>
      </c>
      <c r="B286" s="5" t="s">
        <v>16</v>
      </c>
      <c r="C286" s="2" t="s">
        <v>556</v>
      </c>
      <c r="D286" s="32"/>
      <c r="E286" s="35" t="s">
        <v>455</v>
      </c>
      <c r="F286" s="34">
        <v>45</v>
      </c>
      <c r="G286" s="34">
        <v>45</v>
      </c>
      <c r="H286" s="34">
        <v>45</v>
      </c>
      <c r="I286" s="34">
        <v>45</v>
      </c>
      <c r="J286" s="34">
        <v>45</v>
      </c>
      <c r="K286" s="34">
        <v>45</v>
      </c>
      <c r="L286" s="34">
        <v>45</v>
      </c>
      <c r="M286" s="34">
        <v>45</v>
      </c>
      <c r="N286" s="34">
        <v>45</v>
      </c>
      <c r="O286" s="34">
        <v>45</v>
      </c>
      <c r="P286" s="34">
        <v>0</v>
      </c>
      <c r="Q286" s="34">
        <v>0</v>
      </c>
      <c r="R286" s="24">
        <f>SUM(Tabla1[[#This Row],[ENERO ]:[DICIEMBRE]])</f>
        <v>450</v>
      </c>
      <c r="W286" s="65">
        <v>0</v>
      </c>
      <c r="X286" s="21">
        <f>COUNTIF(Tabla1[[#This Row],[ENERO ]:[DICIEMBRE]],0)-(AQ286)-IF(Tabla1[[#This Row],[BAJAS]]="BAJA",IF(Tabla1[[#This Row],[ALTAS]]="ALTA",VLOOKUP(Tabla1[[#This Row],[MES DE ALTA ]],$AT$6:$AU$17,2,FALSE),12)-VLOOKUP(Tabla1[[#This Row],[MES DE BAJA ]],$AT$6:$AU$17,2,FALSE),0)</f>
        <v>2</v>
      </c>
      <c r="Y286" s="69">
        <f>SUM(Tabla1[[#This Row],[MES ADEUDO DE AÑOS PASADOS ]:[MESES DE ADEUDO DEL AÑO EN CURSO ]])</f>
        <v>2</v>
      </c>
      <c r="Z286" s="15">
        <f>IF(Tabla1[[#This Row],[TIPO DE CONSUMIDOR]]="COMPLETO",W286*$T$2,W286*($T$2/2))</f>
        <v>0</v>
      </c>
      <c r="AA286" s="15">
        <f>IF(Tabla1[[#This Row],[TIPO DE CONSUMIDOR]]="COMPLETO",Tabla1[[#This Row],[MESES DE ADEUDO DEL AÑO EN CURSO ]]*$T$2,Tabla1[[#This Row],[MESES DE ADEUDO DEL AÑO EN CURSO ]]*($T$2/2))</f>
        <v>90</v>
      </c>
      <c r="AB286" s="70">
        <f>SUM(Tabla1[[#This Row],[DEUDA DE LOS MESES PASADOS EN $$]:[DEUDA DEL AÑO 2013 $$ ]])</f>
        <v>90</v>
      </c>
      <c r="AE286" s="103">
        <f>IF(Tabla1[[#This Row],[TIPO DE CONSUMIDOR]]="MEDIO",IF(Tabla1[[#This Row],[ENERO ]]&gt;22.5,Tabla1[[#This Row],[ENERO ]]/22.5-1,0),IF(Tabla1[[#This Row],[ENERO ]]&gt;45,Tabla1[[#This Row],[ENERO ]]/45-1,0))</f>
        <v>0</v>
      </c>
      <c r="AF28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6" s="103">
        <f>IF(Tabla1[[#This Row],[TIPO DE CONSUMIDOR]]="MEDIO",IF(Tabla1[[#This Row],[MARZO]]&gt;22.5,Tabla1[[#This Row],[MARZO]]/22.5-1,0),IF(Tabla1[[#This Row],[MARZO]]&gt;45,Tabla1[[#This Row],[MARZO]]/45-1,0))</f>
        <v>0</v>
      </c>
      <c r="AH286" s="103">
        <f>IF(Tabla1[[#This Row],[TIPO DE CONSUMIDOR]]="MEDIO",IF(Tabla1[[#This Row],[ABRIL]]&gt;22.5,Tabla1[[#This Row],[ABRIL]]/22.5-1,0),IF(Tabla1[[#This Row],[ABRIL]]&gt;45,Tabla1[[#This Row],[ABRIL]]/45-1,0))</f>
        <v>0</v>
      </c>
      <c r="AI286" s="103">
        <f>IF(Tabla1[[#This Row],[TIPO DE CONSUMIDOR]]="MEDIO",IF(Tabla1[[#This Row],[MAYO ]]&gt;22.5,Tabla1[[#This Row],[MAYO ]]/22.5-1,0),IF(Tabla1[[#This Row],[MAYO ]]&gt;45,Tabla1[[#This Row],[MAYO ]]/45-1,0))</f>
        <v>0</v>
      </c>
      <c r="AJ286" s="103">
        <f>IF(Tabla1[[#This Row],[TIPO DE CONSUMIDOR]]="MEDIO",IF(Tabla1[[#This Row],[JUNIO ]]&gt;22.5,Tabla1[[#This Row],[JUNIO ]]/22.5-1,0),IF(Tabla1[[#This Row],[JUNIO ]]&gt;45,Tabla1[[#This Row],[JUNIO ]]/45-1,0))</f>
        <v>0</v>
      </c>
      <c r="AK286" s="103">
        <f>IF(Tabla1[[#This Row],[TIPO DE CONSUMIDOR]]="MEDIO",IF(Tabla1[[#This Row],[JULIO ]]&gt;22.5,Tabla1[[#This Row],[JULIO ]]/22.5-1,0),IF(Tabla1[[#This Row],[JULIO ]]&gt;45,Tabla1[[#This Row],[JULIO ]]/45-1,0))</f>
        <v>0</v>
      </c>
      <c r="AL286" s="103">
        <f>IF(Tabla1[[#This Row],[TIPO DE CONSUMIDOR]]="MEDIO",IF(Tabla1[[#This Row],[AGOSTO]]&gt;22.5,Tabla1[[#This Row],[AGOSTO]]/22.5-1,0),IF(Tabla1[[#This Row],[AGOSTO]]&gt;45,Tabla1[[#This Row],[AGOSTO]]/45-1,0))</f>
        <v>0</v>
      </c>
      <c r="AM28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6" s="104">
        <f t="shared" si="10"/>
        <v>0</v>
      </c>
      <c r="AR286" s="9">
        <f t="shared" si="9"/>
        <v>1</v>
      </c>
      <c r="AS286" s="60">
        <f>IF(Tabla1[[#This Row],[MESES DE ADEUDO DEL AÑO EN CURSO ]]&gt;0,1,0)</f>
        <v>1</v>
      </c>
      <c r="AT286" s="42"/>
      <c r="AU286" s="42"/>
      <c r="AV286" s="42"/>
      <c r="AW286" s="43"/>
    </row>
    <row r="287" spans="1:49" ht="21.75" thickBot="1" x14ac:dyDescent="0.35">
      <c r="A287" s="109">
        <v>281</v>
      </c>
      <c r="B287" s="5" t="s">
        <v>148</v>
      </c>
      <c r="C287" s="2" t="s">
        <v>556</v>
      </c>
      <c r="D287" s="32"/>
      <c r="E287" s="35" t="s">
        <v>455</v>
      </c>
      <c r="F287" s="34">
        <v>45</v>
      </c>
      <c r="G287" s="34">
        <v>45</v>
      </c>
      <c r="H287" s="34">
        <v>45</v>
      </c>
      <c r="I287" s="34">
        <v>45</v>
      </c>
      <c r="J287" s="34">
        <v>45</v>
      </c>
      <c r="K287" s="34">
        <v>45</v>
      </c>
      <c r="L287" s="34">
        <v>45</v>
      </c>
      <c r="M287" s="34">
        <v>45</v>
      </c>
      <c r="N287" s="34">
        <v>45</v>
      </c>
      <c r="O287" s="34">
        <v>45</v>
      </c>
      <c r="P287" s="34">
        <v>0</v>
      </c>
      <c r="Q287" s="34">
        <v>0</v>
      </c>
      <c r="R287" s="58">
        <f>SUM(Tabla1[[#This Row],[ENERO ]:[DICIEMBRE]])</f>
        <v>450</v>
      </c>
      <c r="W287" s="65">
        <v>0</v>
      </c>
      <c r="X287" s="21">
        <f>COUNTIF(Tabla1[[#This Row],[ENERO ]:[DICIEMBRE]],0)-(AQ287)-IF(Tabla1[[#This Row],[BAJAS]]="BAJA",IF(Tabla1[[#This Row],[ALTAS]]="ALTA",VLOOKUP(Tabla1[[#This Row],[MES DE ALTA ]],$AT$6:$AU$17,2,FALSE),12)-VLOOKUP(Tabla1[[#This Row],[MES DE BAJA ]],$AT$6:$AU$17,2,FALSE),0)</f>
        <v>2</v>
      </c>
      <c r="Y287" s="69">
        <f>SUM(Tabla1[[#This Row],[MES ADEUDO DE AÑOS PASADOS ]:[MESES DE ADEUDO DEL AÑO EN CURSO ]])</f>
        <v>2</v>
      </c>
      <c r="Z287" s="15">
        <f>IF(Tabla1[[#This Row],[TIPO DE CONSUMIDOR]]="COMPLETO",W287*$T$2,W287*($T$2/2))</f>
        <v>0</v>
      </c>
      <c r="AA287" s="15">
        <f>IF(Tabla1[[#This Row],[TIPO DE CONSUMIDOR]]="COMPLETO",Tabla1[[#This Row],[MESES DE ADEUDO DEL AÑO EN CURSO ]]*$T$2,Tabla1[[#This Row],[MESES DE ADEUDO DEL AÑO EN CURSO ]]*($T$2/2))</f>
        <v>90</v>
      </c>
      <c r="AB287" s="70">
        <f>SUM(Tabla1[[#This Row],[DEUDA DE LOS MESES PASADOS EN $$]:[DEUDA DEL AÑO 2013 $$ ]])</f>
        <v>90</v>
      </c>
      <c r="AE287" s="103">
        <f>IF(Tabla1[[#This Row],[TIPO DE CONSUMIDOR]]="MEDIO",IF(Tabla1[[#This Row],[ENERO ]]&gt;22.5,Tabla1[[#This Row],[ENERO ]]/22.5-1,0),IF(Tabla1[[#This Row],[ENERO ]]&gt;45,Tabla1[[#This Row],[ENERO ]]/45-1,0))</f>
        <v>0</v>
      </c>
      <c r="AF28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7" s="103">
        <f>IF(Tabla1[[#This Row],[TIPO DE CONSUMIDOR]]="MEDIO",IF(Tabla1[[#This Row],[MARZO]]&gt;22.5,Tabla1[[#This Row],[MARZO]]/22.5-1,0),IF(Tabla1[[#This Row],[MARZO]]&gt;45,Tabla1[[#This Row],[MARZO]]/45-1,0))</f>
        <v>0</v>
      </c>
      <c r="AH287" s="103">
        <f>IF(Tabla1[[#This Row],[TIPO DE CONSUMIDOR]]="MEDIO",IF(Tabla1[[#This Row],[ABRIL]]&gt;22.5,Tabla1[[#This Row],[ABRIL]]/22.5-1,0),IF(Tabla1[[#This Row],[ABRIL]]&gt;45,Tabla1[[#This Row],[ABRIL]]/45-1,0))</f>
        <v>0</v>
      </c>
      <c r="AI287" s="103">
        <f>IF(Tabla1[[#This Row],[TIPO DE CONSUMIDOR]]="MEDIO",IF(Tabla1[[#This Row],[MAYO ]]&gt;22.5,Tabla1[[#This Row],[MAYO ]]/22.5-1,0),IF(Tabla1[[#This Row],[MAYO ]]&gt;45,Tabla1[[#This Row],[MAYO ]]/45-1,0))</f>
        <v>0</v>
      </c>
      <c r="AJ287" s="103">
        <f>IF(Tabla1[[#This Row],[TIPO DE CONSUMIDOR]]="MEDIO",IF(Tabla1[[#This Row],[JUNIO ]]&gt;22.5,Tabla1[[#This Row],[JUNIO ]]/22.5-1,0),IF(Tabla1[[#This Row],[JUNIO ]]&gt;45,Tabla1[[#This Row],[JUNIO ]]/45-1,0))</f>
        <v>0</v>
      </c>
      <c r="AK287" s="103">
        <f>IF(Tabla1[[#This Row],[TIPO DE CONSUMIDOR]]="MEDIO",IF(Tabla1[[#This Row],[JULIO ]]&gt;22.5,Tabla1[[#This Row],[JULIO ]]/22.5-1,0),IF(Tabla1[[#This Row],[JULIO ]]&gt;45,Tabla1[[#This Row],[JULIO ]]/45-1,0))</f>
        <v>0</v>
      </c>
      <c r="AL287" s="103">
        <f>IF(Tabla1[[#This Row],[TIPO DE CONSUMIDOR]]="MEDIO",IF(Tabla1[[#This Row],[AGOSTO]]&gt;22.5,Tabla1[[#This Row],[AGOSTO]]/22.5-1,0),IF(Tabla1[[#This Row],[AGOSTO]]&gt;45,Tabla1[[#This Row],[AGOSTO]]/45-1,0))</f>
        <v>0</v>
      </c>
      <c r="AM28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7" s="104">
        <f t="shared" si="10"/>
        <v>0</v>
      </c>
      <c r="AR287" s="9">
        <f t="shared" si="9"/>
        <v>1</v>
      </c>
      <c r="AS287" s="60">
        <f>IF(Tabla1[[#This Row],[MESES DE ADEUDO DEL AÑO EN CURSO ]]&gt;0,1,0)</f>
        <v>1</v>
      </c>
      <c r="AT287" s="42"/>
      <c r="AU287" s="42"/>
      <c r="AV287" s="42"/>
      <c r="AW287" s="43"/>
    </row>
    <row r="288" spans="1:49" ht="21.75" thickBot="1" x14ac:dyDescent="0.35">
      <c r="A288" s="109">
        <v>282</v>
      </c>
      <c r="B288" s="5" t="s">
        <v>568</v>
      </c>
      <c r="C288" s="2" t="s">
        <v>562</v>
      </c>
      <c r="D288" s="32"/>
      <c r="E288" s="35" t="s">
        <v>455</v>
      </c>
      <c r="F288" s="34">
        <v>45</v>
      </c>
      <c r="G288" s="34">
        <v>45</v>
      </c>
      <c r="H288" s="34">
        <v>45</v>
      </c>
      <c r="I288" s="34">
        <v>45</v>
      </c>
      <c r="J288" s="34">
        <v>45</v>
      </c>
      <c r="K288" s="34">
        <v>45</v>
      </c>
      <c r="L288" s="34">
        <v>45</v>
      </c>
      <c r="M288" s="34">
        <v>45</v>
      </c>
      <c r="N288" s="34">
        <v>45</v>
      </c>
      <c r="O288" s="34">
        <v>45</v>
      </c>
      <c r="P288" s="34">
        <v>0</v>
      </c>
      <c r="Q288" s="34">
        <v>0</v>
      </c>
      <c r="R288" s="24">
        <f>SUM(Tabla1[[#This Row],[ENERO ]:[DICIEMBRE]])</f>
        <v>450</v>
      </c>
      <c r="W288" s="65">
        <v>0</v>
      </c>
      <c r="X288" s="21">
        <f>COUNTIF(Tabla1[[#This Row],[ENERO ]:[DICIEMBRE]],0)-(AQ288)-IF(Tabla1[[#This Row],[BAJAS]]="BAJA",IF(Tabla1[[#This Row],[ALTAS]]="ALTA",VLOOKUP(Tabla1[[#This Row],[MES DE ALTA ]],$AT$6:$AU$17,2,FALSE),12)-VLOOKUP(Tabla1[[#This Row],[MES DE BAJA ]],$AT$6:$AU$17,2,FALSE),0)</f>
        <v>2</v>
      </c>
      <c r="Y288" s="69">
        <f>SUM(Tabla1[[#This Row],[MES ADEUDO DE AÑOS PASADOS ]:[MESES DE ADEUDO DEL AÑO EN CURSO ]])</f>
        <v>2</v>
      </c>
      <c r="Z288" s="15">
        <f>IF(Tabla1[[#This Row],[TIPO DE CONSUMIDOR]]="COMPLETO",W288*$T$2,W288*($T$2/2))</f>
        <v>0</v>
      </c>
      <c r="AA288" s="15">
        <f>IF(Tabla1[[#This Row],[TIPO DE CONSUMIDOR]]="COMPLETO",Tabla1[[#This Row],[MESES DE ADEUDO DEL AÑO EN CURSO ]]*$T$2,Tabla1[[#This Row],[MESES DE ADEUDO DEL AÑO EN CURSO ]]*($T$2/2))</f>
        <v>90</v>
      </c>
      <c r="AB288" s="70">
        <f>SUM(Tabla1[[#This Row],[DEUDA DE LOS MESES PASADOS EN $$]:[DEUDA DEL AÑO 2013 $$ ]])</f>
        <v>90</v>
      </c>
      <c r="AE288" s="103">
        <f>IF(Tabla1[[#This Row],[TIPO DE CONSUMIDOR]]="MEDIO",IF(Tabla1[[#This Row],[ENERO ]]&gt;22.5,Tabla1[[#This Row],[ENERO ]]/22.5-1,0),IF(Tabla1[[#This Row],[ENERO ]]&gt;45,Tabla1[[#This Row],[ENERO ]]/45-1,0))</f>
        <v>0</v>
      </c>
      <c r="AF28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8" s="103">
        <f>IF(Tabla1[[#This Row],[TIPO DE CONSUMIDOR]]="MEDIO",IF(Tabla1[[#This Row],[MARZO]]&gt;22.5,Tabla1[[#This Row],[MARZO]]/22.5-1,0),IF(Tabla1[[#This Row],[MARZO]]&gt;45,Tabla1[[#This Row],[MARZO]]/45-1,0))</f>
        <v>0</v>
      </c>
      <c r="AH288" s="103">
        <f>IF(Tabla1[[#This Row],[TIPO DE CONSUMIDOR]]="MEDIO",IF(Tabla1[[#This Row],[ABRIL]]&gt;22.5,Tabla1[[#This Row],[ABRIL]]/22.5-1,0),IF(Tabla1[[#This Row],[ABRIL]]&gt;45,Tabla1[[#This Row],[ABRIL]]/45-1,0))</f>
        <v>0</v>
      </c>
      <c r="AI288" s="103">
        <f>IF(Tabla1[[#This Row],[TIPO DE CONSUMIDOR]]="MEDIO",IF(Tabla1[[#This Row],[MAYO ]]&gt;22.5,Tabla1[[#This Row],[MAYO ]]/22.5-1,0),IF(Tabla1[[#This Row],[MAYO ]]&gt;45,Tabla1[[#This Row],[MAYO ]]/45-1,0))</f>
        <v>0</v>
      </c>
      <c r="AJ288" s="103">
        <f>IF(Tabla1[[#This Row],[TIPO DE CONSUMIDOR]]="MEDIO",IF(Tabla1[[#This Row],[JUNIO ]]&gt;22.5,Tabla1[[#This Row],[JUNIO ]]/22.5-1,0),IF(Tabla1[[#This Row],[JUNIO ]]&gt;45,Tabla1[[#This Row],[JUNIO ]]/45-1,0))</f>
        <v>0</v>
      </c>
      <c r="AK288" s="103">
        <f>IF(Tabla1[[#This Row],[TIPO DE CONSUMIDOR]]="MEDIO",IF(Tabla1[[#This Row],[JULIO ]]&gt;22.5,Tabla1[[#This Row],[JULIO ]]/22.5-1,0),IF(Tabla1[[#This Row],[JULIO ]]&gt;45,Tabla1[[#This Row],[JULIO ]]/45-1,0))</f>
        <v>0</v>
      </c>
      <c r="AL288" s="103">
        <f>IF(Tabla1[[#This Row],[TIPO DE CONSUMIDOR]]="MEDIO",IF(Tabla1[[#This Row],[AGOSTO]]&gt;22.5,Tabla1[[#This Row],[AGOSTO]]/22.5-1,0),IF(Tabla1[[#This Row],[AGOSTO]]&gt;45,Tabla1[[#This Row],[AGOSTO]]/45-1,0))</f>
        <v>0</v>
      </c>
      <c r="AM28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8" s="104">
        <f t="shared" si="10"/>
        <v>0</v>
      </c>
      <c r="AR288" s="9">
        <f t="shared" si="9"/>
        <v>1</v>
      </c>
      <c r="AS288" s="60">
        <f>IF(Tabla1[[#This Row],[MESES DE ADEUDO DEL AÑO EN CURSO ]]&gt;0,1,0)</f>
        <v>1</v>
      </c>
      <c r="AT288" s="42"/>
      <c r="AU288" s="42"/>
      <c r="AV288" s="42"/>
      <c r="AW288" s="43"/>
    </row>
    <row r="289" spans="1:49" ht="21.75" thickBot="1" x14ac:dyDescent="0.35">
      <c r="A289" s="109">
        <v>283</v>
      </c>
      <c r="B289" s="5" t="s">
        <v>290</v>
      </c>
      <c r="C289" s="2" t="s">
        <v>562</v>
      </c>
      <c r="D289" s="32"/>
      <c r="E289" s="35" t="s">
        <v>455</v>
      </c>
      <c r="F289" s="34">
        <v>45</v>
      </c>
      <c r="G289" s="34">
        <v>45</v>
      </c>
      <c r="H289" s="34">
        <v>45</v>
      </c>
      <c r="I289" s="34">
        <v>45</v>
      </c>
      <c r="J289" s="34">
        <v>45</v>
      </c>
      <c r="K289" s="34">
        <v>45</v>
      </c>
      <c r="L289" s="34">
        <v>45</v>
      </c>
      <c r="M289" s="34">
        <v>45</v>
      </c>
      <c r="N289" s="34">
        <v>45</v>
      </c>
      <c r="O289" s="34">
        <v>45</v>
      </c>
      <c r="P289" s="34">
        <v>0</v>
      </c>
      <c r="Q289" s="34">
        <v>0</v>
      </c>
      <c r="R289" s="24">
        <f>SUM(Tabla1[[#This Row],[ENERO ]:[DICIEMBRE]])</f>
        <v>450</v>
      </c>
      <c r="W289" s="65">
        <v>0</v>
      </c>
      <c r="X289" s="21">
        <f>COUNTIF(Tabla1[[#This Row],[ENERO ]:[DICIEMBRE]],0)-(AQ289)-IF(Tabla1[[#This Row],[BAJAS]]="BAJA",IF(Tabla1[[#This Row],[ALTAS]]="ALTA",VLOOKUP(Tabla1[[#This Row],[MES DE ALTA ]],$AT$6:$AU$17,2,FALSE),12)-VLOOKUP(Tabla1[[#This Row],[MES DE BAJA ]],$AT$6:$AU$17,2,FALSE),0)</f>
        <v>2</v>
      </c>
      <c r="Y289" s="69">
        <f>SUM(Tabla1[[#This Row],[MES ADEUDO DE AÑOS PASADOS ]:[MESES DE ADEUDO DEL AÑO EN CURSO ]])</f>
        <v>2</v>
      </c>
      <c r="Z289" s="15">
        <f>IF(Tabla1[[#This Row],[TIPO DE CONSUMIDOR]]="COMPLETO",W289*$T$2,W289*($T$2/2))</f>
        <v>0</v>
      </c>
      <c r="AA289" s="15">
        <f>IF(Tabla1[[#This Row],[TIPO DE CONSUMIDOR]]="COMPLETO",Tabla1[[#This Row],[MESES DE ADEUDO DEL AÑO EN CURSO ]]*$T$2,Tabla1[[#This Row],[MESES DE ADEUDO DEL AÑO EN CURSO ]]*($T$2/2))</f>
        <v>90</v>
      </c>
      <c r="AB289" s="70">
        <f>SUM(Tabla1[[#This Row],[DEUDA DE LOS MESES PASADOS EN $$]:[DEUDA DEL AÑO 2013 $$ ]])</f>
        <v>90</v>
      </c>
      <c r="AE289" s="103">
        <f>IF(Tabla1[[#This Row],[TIPO DE CONSUMIDOR]]="MEDIO",IF(Tabla1[[#This Row],[ENERO ]]&gt;22.5,Tabla1[[#This Row],[ENERO ]]/22.5-1,0),IF(Tabla1[[#This Row],[ENERO ]]&gt;45,Tabla1[[#This Row],[ENERO ]]/45-1,0))</f>
        <v>0</v>
      </c>
      <c r="AF28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89" s="103">
        <f>IF(Tabla1[[#This Row],[TIPO DE CONSUMIDOR]]="MEDIO",IF(Tabla1[[#This Row],[MARZO]]&gt;22.5,Tabla1[[#This Row],[MARZO]]/22.5-1,0),IF(Tabla1[[#This Row],[MARZO]]&gt;45,Tabla1[[#This Row],[MARZO]]/45-1,0))</f>
        <v>0</v>
      </c>
      <c r="AH289" s="103">
        <f>IF(Tabla1[[#This Row],[TIPO DE CONSUMIDOR]]="MEDIO",IF(Tabla1[[#This Row],[ABRIL]]&gt;22.5,Tabla1[[#This Row],[ABRIL]]/22.5-1,0),IF(Tabla1[[#This Row],[ABRIL]]&gt;45,Tabla1[[#This Row],[ABRIL]]/45-1,0))</f>
        <v>0</v>
      </c>
      <c r="AI289" s="103">
        <f>IF(Tabla1[[#This Row],[TIPO DE CONSUMIDOR]]="MEDIO",IF(Tabla1[[#This Row],[MAYO ]]&gt;22.5,Tabla1[[#This Row],[MAYO ]]/22.5-1,0),IF(Tabla1[[#This Row],[MAYO ]]&gt;45,Tabla1[[#This Row],[MAYO ]]/45-1,0))</f>
        <v>0</v>
      </c>
      <c r="AJ289" s="103">
        <f>IF(Tabla1[[#This Row],[TIPO DE CONSUMIDOR]]="MEDIO",IF(Tabla1[[#This Row],[JUNIO ]]&gt;22.5,Tabla1[[#This Row],[JUNIO ]]/22.5-1,0),IF(Tabla1[[#This Row],[JUNIO ]]&gt;45,Tabla1[[#This Row],[JUNIO ]]/45-1,0))</f>
        <v>0</v>
      </c>
      <c r="AK289" s="103">
        <f>IF(Tabla1[[#This Row],[TIPO DE CONSUMIDOR]]="MEDIO",IF(Tabla1[[#This Row],[JULIO ]]&gt;22.5,Tabla1[[#This Row],[JULIO ]]/22.5-1,0),IF(Tabla1[[#This Row],[JULIO ]]&gt;45,Tabla1[[#This Row],[JULIO ]]/45-1,0))</f>
        <v>0</v>
      </c>
      <c r="AL289" s="103">
        <f>IF(Tabla1[[#This Row],[TIPO DE CONSUMIDOR]]="MEDIO",IF(Tabla1[[#This Row],[AGOSTO]]&gt;22.5,Tabla1[[#This Row],[AGOSTO]]/22.5-1,0),IF(Tabla1[[#This Row],[AGOSTO]]&gt;45,Tabla1[[#This Row],[AGOSTO]]/45-1,0))</f>
        <v>0</v>
      </c>
      <c r="AM28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8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8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8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89" s="104">
        <f t="shared" si="10"/>
        <v>0</v>
      </c>
      <c r="AR289" s="9">
        <f t="shared" si="9"/>
        <v>1</v>
      </c>
      <c r="AS289" s="60">
        <f>IF(Tabla1[[#This Row],[MESES DE ADEUDO DEL AÑO EN CURSO ]]&gt;0,1,0)</f>
        <v>1</v>
      </c>
      <c r="AT289" s="42"/>
      <c r="AU289" s="42"/>
      <c r="AV289" s="42"/>
      <c r="AW289" s="43"/>
    </row>
    <row r="290" spans="1:49" ht="21.75" thickBot="1" x14ac:dyDescent="0.35">
      <c r="A290" s="109">
        <v>284</v>
      </c>
      <c r="B290" s="5" t="s">
        <v>215</v>
      </c>
      <c r="C290" s="2"/>
      <c r="D290" s="32"/>
      <c r="E290" s="35" t="s">
        <v>455</v>
      </c>
      <c r="F290" s="34">
        <v>45</v>
      </c>
      <c r="G290" s="34">
        <v>45</v>
      </c>
      <c r="H290" s="34">
        <v>45</v>
      </c>
      <c r="I290" s="34">
        <v>45</v>
      </c>
      <c r="J290" s="34">
        <v>45</v>
      </c>
      <c r="K290" s="34">
        <v>45</v>
      </c>
      <c r="L290" s="34">
        <v>45</v>
      </c>
      <c r="M290" s="34">
        <v>45</v>
      </c>
      <c r="N290" s="34">
        <v>45</v>
      </c>
      <c r="O290" s="34">
        <v>45</v>
      </c>
      <c r="P290" s="34">
        <v>0</v>
      </c>
      <c r="Q290" s="34">
        <v>0</v>
      </c>
      <c r="R290" s="24">
        <f>SUM(Tabla1[[#This Row],[ENERO ]:[DICIEMBRE]])</f>
        <v>450</v>
      </c>
      <c r="W290" s="65">
        <v>0</v>
      </c>
      <c r="X290" s="21">
        <f>COUNTIF(Tabla1[[#This Row],[ENERO ]:[DICIEMBRE]],0)-(AQ290)-IF(Tabla1[[#This Row],[BAJAS]]="BAJA",IF(Tabla1[[#This Row],[ALTAS]]="ALTA",VLOOKUP(Tabla1[[#This Row],[MES DE ALTA ]],$AT$6:$AU$17,2,FALSE),12)-VLOOKUP(Tabla1[[#This Row],[MES DE BAJA ]],$AT$6:$AU$17,2,FALSE),0)</f>
        <v>2</v>
      </c>
      <c r="Y290" s="69">
        <f>SUM(Tabla1[[#This Row],[MES ADEUDO DE AÑOS PASADOS ]:[MESES DE ADEUDO DEL AÑO EN CURSO ]])</f>
        <v>2</v>
      </c>
      <c r="Z290" s="15">
        <f>IF(Tabla1[[#This Row],[TIPO DE CONSUMIDOR]]="COMPLETO",W290*$T$2,W290*($T$2/2))</f>
        <v>0</v>
      </c>
      <c r="AA290" s="15">
        <f>IF(Tabla1[[#This Row],[TIPO DE CONSUMIDOR]]="COMPLETO",Tabla1[[#This Row],[MESES DE ADEUDO DEL AÑO EN CURSO ]]*$T$2,Tabla1[[#This Row],[MESES DE ADEUDO DEL AÑO EN CURSO ]]*($T$2/2))</f>
        <v>90</v>
      </c>
      <c r="AB290" s="70">
        <f>SUM(Tabla1[[#This Row],[DEUDA DE LOS MESES PASADOS EN $$]:[DEUDA DEL AÑO 2013 $$ ]])</f>
        <v>90</v>
      </c>
      <c r="AE290" s="103">
        <f>IF(Tabla1[[#This Row],[TIPO DE CONSUMIDOR]]="MEDIO",IF(Tabla1[[#This Row],[ENERO ]]&gt;22.5,Tabla1[[#This Row],[ENERO ]]/22.5-1,0),IF(Tabla1[[#This Row],[ENERO ]]&gt;45,Tabla1[[#This Row],[ENERO ]]/45-1,0))</f>
        <v>0</v>
      </c>
      <c r="AF29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0" s="103">
        <f>IF(Tabla1[[#This Row],[TIPO DE CONSUMIDOR]]="MEDIO",IF(Tabla1[[#This Row],[MARZO]]&gt;22.5,Tabla1[[#This Row],[MARZO]]/22.5-1,0),IF(Tabla1[[#This Row],[MARZO]]&gt;45,Tabla1[[#This Row],[MARZO]]/45-1,0))</f>
        <v>0</v>
      </c>
      <c r="AH290" s="103">
        <f>IF(Tabla1[[#This Row],[TIPO DE CONSUMIDOR]]="MEDIO",IF(Tabla1[[#This Row],[ABRIL]]&gt;22.5,Tabla1[[#This Row],[ABRIL]]/22.5-1,0),IF(Tabla1[[#This Row],[ABRIL]]&gt;45,Tabla1[[#This Row],[ABRIL]]/45-1,0))</f>
        <v>0</v>
      </c>
      <c r="AI290" s="103">
        <f>IF(Tabla1[[#This Row],[TIPO DE CONSUMIDOR]]="MEDIO",IF(Tabla1[[#This Row],[MAYO ]]&gt;22.5,Tabla1[[#This Row],[MAYO ]]/22.5-1,0),IF(Tabla1[[#This Row],[MAYO ]]&gt;45,Tabla1[[#This Row],[MAYO ]]/45-1,0))</f>
        <v>0</v>
      </c>
      <c r="AJ290" s="103">
        <f>IF(Tabla1[[#This Row],[TIPO DE CONSUMIDOR]]="MEDIO",IF(Tabla1[[#This Row],[JUNIO ]]&gt;22.5,Tabla1[[#This Row],[JUNIO ]]/22.5-1,0),IF(Tabla1[[#This Row],[JUNIO ]]&gt;45,Tabla1[[#This Row],[JUNIO ]]/45-1,0))</f>
        <v>0</v>
      </c>
      <c r="AK290" s="103">
        <f>IF(Tabla1[[#This Row],[TIPO DE CONSUMIDOR]]="MEDIO",IF(Tabla1[[#This Row],[JULIO ]]&gt;22.5,Tabla1[[#This Row],[JULIO ]]/22.5-1,0),IF(Tabla1[[#This Row],[JULIO ]]&gt;45,Tabla1[[#This Row],[JULIO ]]/45-1,0))</f>
        <v>0</v>
      </c>
      <c r="AL290" s="103">
        <f>IF(Tabla1[[#This Row],[TIPO DE CONSUMIDOR]]="MEDIO",IF(Tabla1[[#This Row],[AGOSTO]]&gt;22.5,Tabla1[[#This Row],[AGOSTO]]/22.5-1,0),IF(Tabla1[[#This Row],[AGOSTO]]&gt;45,Tabla1[[#This Row],[AGOSTO]]/45-1,0))</f>
        <v>0</v>
      </c>
      <c r="AM29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0" s="104">
        <f t="shared" si="10"/>
        <v>0</v>
      </c>
      <c r="AR290" s="9">
        <f t="shared" si="9"/>
        <v>1</v>
      </c>
      <c r="AS290" s="60">
        <f>IF(Tabla1[[#This Row],[MESES DE ADEUDO DEL AÑO EN CURSO ]]&gt;0,1,0)</f>
        <v>1</v>
      </c>
      <c r="AT290" s="42"/>
      <c r="AU290" s="42"/>
      <c r="AV290" s="42"/>
      <c r="AW290" s="43"/>
    </row>
    <row r="291" spans="1:49" ht="21.75" thickBot="1" x14ac:dyDescent="0.35">
      <c r="A291" s="109">
        <v>285</v>
      </c>
      <c r="B291" s="5" t="s">
        <v>419</v>
      </c>
      <c r="C291" s="2"/>
      <c r="D291" s="32"/>
      <c r="E291" s="35" t="s">
        <v>455</v>
      </c>
      <c r="F291" s="34">
        <v>45</v>
      </c>
      <c r="G291" s="34">
        <v>45</v>
      </c>
      <c r="H291" s="34">
        <v>45</v>
      </c>
      <c r="I291" s="34">
        <v>45</v>
      </c>
      <c r="J291" s="34">
        <v>45</v>
      </c>
      <c r="K291" s="34">
        <v>45</v>
      </c>
      <c r="L291" s="34">
        <v>45</v>
      </c>
      <c r="M291" s="34">
        <v>45</v>
      </c>
      <c r="N291" s="34">
        <v>45</v>
      </c>
      <c r="O291" s="34">
        <v>45</v>
      </c>
      <c r="P291" s="34">
        <v>0</v>
      </c>
      <c r="Q291" s="34">
        <v>0</v>
      </c>
      <c r="R291" s="24">
        <f>SUM(Tabla1[[#This Row],[ENERO ]:[DICIEMBRE]])</f>
        <v>450</v>
      </c>
      <c r="W291" s="65">
        <v>0</v>
      </c>
      <c r="X291" s="21">
        <f>COUNTIF(Tabla1[[#This Row],[ENERO ]:[DICIEMBRE]],0)-(AQ291)-IF(Tabla1[[#This Row],[BAJAS]]="BAJA",IF(Tabla1[[#This Row],[ALTAS]]="ALTA",VLOOKUP(Tabla1[[#This Row],[MES DE ALTA ]],$AT$6:$AU$17,2,FALSE),12)-VLOOKUP(Tabla1[[#This Row],[MES DE BAJA ]],$AT$6:$AU$17,2,FALSE),0)</f>
        <v>2</v>
      </c>
      <c r="Y291" s="69">
        <f>SUM(Tabla1[[#This Row],[MES ADEUDO DE AÑOS PASADOS ]:[MESES DE ADEUDO DEL AÑO EN CURSO ]])</f>
        <v>2</v>
      </c>
      <c r="Z291" s="15">
        <f>IF(Tabla1[[#This Row],[TIPO DE CONSUMIDOR]]="COMPLETO",W291*$T$2,W291*($T$2/2))</f>
        <v>0</v>
      </c>
      <c r="AA291" s="15">
        <f>IF(Tabla1[[#This Row],[TIPO DE CONSUMIDOR]]="COMPLETO",Tabla1[[#This Row],[MESES DE ADEUDO DEL AÑO EN CURSO ]]*$T$2,Tabla1[[#This Row],[MESES DE ADEUDO DEL AÑO EN CURSO ]]*($T$2/2))</f>
        <v>90</v>
      </c>
      <c r="AB291" s="70">
        <f>SUM(Tabla1[[#This Row],[DEUDA DE LOS MESES PASADOS EN $$]:[DEUDA DEL AÑO 2013 $$ ]])</f>
        <v>90</v>
      </c>
      <c r="AE291" s="103">
        <f>IF(Tabla1[[#This Row],[TIPO DE CONSUMIDOR]]="MEDIO",IF(Tabla1[[#This Row],[ENERO ]]&gt;22.5,Tabla1[[#This Row],[ENERO ]]/22.5-1,0),IF(Tabla1[[#This Row],[ENERO ]]&gt;45,Tabla1[[#This Row],[ENERO ]]/45-1,0))</f>
        <v>0</v>
      </c>
      <c r="AF29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1" s="103">
        <f>IF(Tabla1[[#This Row],[TIPO DE CONSUMIDOR]]="MEDIO",IF(Tabla1[[#This Row],[MARZO]]&gt;22.5,Tabla1[[#This Row],[MARZO]]/22.5-1,0),IF(Tabla1[[#This Row],[MARZO]]&gt;45,Tabla1[[#This Row],[MARZO]]/45-1,0))</f>
        <v>0</v>
      </c>
      <c r="AH291" s="103">
        <f>IF(Tabla1[[#This Row],[TIPO DE CONSUMIDOR]]="MEDIO",IF(Tabla1[[#This Row],[ABRIL]]&gt;22.5,Tabla1[[#This Row],[ABRIL]]/22.5-1,0),IF(Tabla1[[#This Row],[ABRIL]]&gt;45,Tabla1[[#This Row],[ABRIL]]/45-1,0))</f>
        <v>0</v>
      </c>
      <c r="AI291" s="103">
        <f>IF(Tabla1[[#This Row],[TIPO DE CONSUMIDOR]]="MEDIO",IF(Tabla1[[#This Row],[MAYO ]]&gt;22.5,Tabla1[[#This Row],[MAYO ]]/22.5-1,0),IF(Tabla1[[#This Row],[MAYO ]]&gt;45,Tabla1[[#This Row],[MAYO ]]/45-1,0))</f>
        <v>0</v>
      </c>
      <c r="AJ291" s="103">
        <f>IF(Tabla1[[#This Row],[TIPO DE CONSUMIDOR]]="MEDIO",IF(Tabla1[[#This Row],[JUNIO ]]&gt;22.5,Tabla1[[#This Row],[JUNIO ]]/22.5-1,0),IF(Tabla1[[#This Row],[JUNIO ]]&gt;45,Tabla1[[#This Row],[JUNIO ]]/45-1,0))</f>
        <v>0</v>
      </c>
      <c r="AK291" s="103">
        <f>IF(Tabla1[[#This Row],[TIPO DE CONSUMIDOR]]="MEDIO",IF(Tabla1[[#This Row],[JULIO ]]&gt;22.5,Tabla1[[#This Row],[JULIO ]]/22.5-1,0),IF(Tabla1[[#This Row],[JULIO ]]&gt;45,Tabla1[[#This Row],[JULIO ]]/45-1,0))</f>
        <v>0</v>
      </c>
      <c r="AL291" s="103">
        <f>IF(Tabla1[[#This Row],[TIPO DE CONSUMIDOR]]="MEDIO",IF(Tabla1[[#This Row],[AGOSTO]]&gt;22.5,Tabla1[[#This Row],[AGOSTO]]/22.5-1,0),IF(Tabla1[[#This Row],[AGOSTO]]&gt;45,Tabla1[[#This Row],[AGOSTO]]/45-1,0))</f>
        <v>0</v>
      </c>
      <c r="AM29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1" s="104">
        <f t="shared" si="10"/>
        <v>0</v>
      </c>
      <c r="AR291" s="9">
        <f t="shared" si="9"/>
        <v>1</v>
      </c>
      <c r="AS291" s="60">
        <f>IF(Tabla1[[#This Row],[MESES DE ADEUDO DEL AÑO EN CURSO ]]&gt;0,1,0)</f>
        <v>1</v>
      </c>
      <c r="AT291" s="42"/>
      <c r="AU291" s="42"/>
      <c r="AV291" s="42"/>
      <c r="AW291" s="43"/>
    </row>
    <row r="292" spans="1:49" ht="21.75" thickBot="1" x14ac:dyDescent="0.35">
      <c r="A292" s="109">
        <v>286</v>
      </c>
      <c r="B292" s="5" t="s">
        <v>201</v>
      </c>
      <c r="C292" s="2" t="s">
        <v>488</v>
      </c>
      <c r="D292" s="32"/>
      <c r="E292" s="35" t="s">
        <v>455</v>
      </c>
      <c r="F292" s="34">
        <v>45</v>
      </c>
      <c r="G292" s="34">
        <v>45</v>
      </c>
      <c r="H292" s="34">
        <v>45</v>
      </c>
      <c r="I292" s="34">
        <v>45</v>
      </c>
      <c r="J292" s="34">
        <v>45</v>
      </c>
      <c r="K292" s="34">
        <v>45</v>
      </c>
      <c r="L292" s="34">
        <v>45</v>
      </c>
      <c r="M292" s="34">
        <v>45</v>
      </c>
      <c r="N292" s="34">
        <v>45</v>
      </c>
      <c r="O292" s="34">
        <v>0</v>
      </c>
      <c r="P292" s="34">
        <v>0</v>
      </c>
      <c r="Q292" s="34">
        <v>0</v>
      </c>
      <c r="R292" s="24">
        <f>SUM(Tabla1[[#This Row],[ENERO ]:[DICIEMBRE]])</f>
        <v>405</v>
      </c>
      <c r="W292" s="65">
        <v>0</v>
      </c>
      <c r="X292" s="21">
        <f>COUNTIF(Tabla1[[#This Row],[ENERO ]:[DICIEMBRE]],0)-(AQ292)-IF(Tabla1[[#This Row],[BAJAS]]="BAJA",IF(Tabla1[[#This Row],[ALTAS]]="ALTA",VLOOKUP(Tabla1[[#This Row],[MES DE ALTA ]],$AT$6:$AU$17,2,FALSE),12)-VLOOKUP(Tabla1[[#This Row],[MES DE BAJA ]],$AT$6:$AU$17,2,FALSE),0)</f>
        <v>3</v>
      </c>
      <c r="Y292" s="69">
        <f>SUM(Tabla1[[#This Row],[MES ADEUDO DE AÑOS PASADOS ]:[MESES DE ADEUDO DEL AÑO EN CURSO ]])</f>
        <v>3</v>
      </c>
      <c r="Z292" s="15">
        <f>IF(Tabla1[[#This Row],[TIPO DE CONSUMIDOR]]="COMPLETO",W292*$T$2,W292*($T$2/2))</f>
        <v>0</v>
      </c>
      <c r="AA292" s="15">
        <f>IF(Tabla1[[#This Row],[TIPO DE CONSUMIDOR]]="COMPLETO",Tabla1[[#This Row],[MESES DE ADEUDO DEL AÑO EN CURSO ]]*$T$2,Tabla1[[#This Row],[MESES DE ADEUDO DEL AÑO EN CURSO ]]*($T$2/2))</f>
        <v>135</v>
      </c>
      <c r="AB292" s="70">
        <f>SUM(Tabla1[[#This Row],[DEUDA DE LOS MESES PASADOS EN $$]:[DEUDA DEL AÑO 2013 $$ ]])</f>
        <v>135</v>
      </c>
      <c r="AE292" s="103">
        <f>IF(Tabla1[[#This Row],[TIPO DE CONSUMIDOR]]="MEDIO",IF(Tabla1[[#This Row],[ENERO ]]&gt;22.5,Tabla1[[#This Row],[ENERO ]]/22.5-1,0),IF(Tabla1[[#This Row],[ENERO ]]&gt;45,Tabla1[[#This Row],[ENERO ]]/45-1,0))</f>
        <v>0</v>
      </c>
      <c r="AF29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2" s="103">
        <f>IF(Tabla1[[#This Row],[TIPO DE CONSUMIDOR]]="MEDIO",IF(Tabla1[[#This Row],[MARZO]]&gt;22.5,Tabla1[[#This Row],[MARZO]]/22.5-1,0),IF(Tabla1[[#This Row],[MARZO]]&gt;45,Tabla1[[#This Row],[MARZO]]/45-1,0))</f>
        <v>0</v>
      </c>
      <c r="AH292" s="103">
        <f>IF(Tabla1[[#This Row],[TIPO DE CONSUMIDOR]]="MEDIO",IF(Tabla1[[#This Row],[ABRIL]]&gt;22.5,Tabla1[[#This Row],[ABRIL]]/22.5-1,0),IF(Tabla1[[#This Row],[ABRIL]]&gt;45,Tabla1[[#This Row],[ABRIL]]/45-1,0))</f>
        <v>0</v>
      </c>
      <c r="AI292" s="103">
        <f>IF(Tabla1[[#This Row],[TIPO DE CONSUMIDOR]]="MEDIO",IF(Tabla1[[#This Row],[MAYO ]]&gt;22.5,Tabla1[[#This Row],[MAYO ]]/22.5-1,0),IF(Tabla1[[#This Row],[MAYO ]]&gt;45,Tabla1[[#This Row],[MAYO ]]/45-1,0))</f>
        <v>0</v>
      </c>
      <c r="AJ292" s="103">
        <f>IF(Tabla1[[#This Row],[TIPO DE CONSUMIDOR]]="MEDIO",IF(Tabla1[[#This Row],[JUNIO ]]&gt;22.5,Tabla1[[#This Row],[JUNIO ]]/22.5-1,0),IF(Tabla1[[#This Row],[JUNIO ]]&gt;45,Tabla1[[#This Row],[JUNIO ]]/45-1,0))</f>
        <v>0</v>
      </c>
      <c r="AK292" s="103">
        <f>IF(Tabla1[[#This Row],[TIPO DE CONSUMIDOR]]="MEDIO",IF(Tabla1[[#This Row],[JULIO ]]&gt;22.5,Tabla1[[#This Row],[JULIO ]]/22.5-1,0),IF(Tabla1[[#This Row],[JULIO ]]&gt;45,Tabla1[[#This Row],[JULIO ]]/45-1,0))</f>
        <v>0</v>
      </c>
      <c r="AL292" s="103">
        <f>IF(Tabla1[[#This Row],[TIPO DE CONSUMIDOR]]="MEDIO",IF(Tabla1[[#This Row],[AGOSTO]]&gt;22.5,Tabla1[[#This Row],[AGOSTO]]/22.5-1,0),IF(Tabla1[[#This Row],[AGOSTO]]&gt;45,Tabla1[[#This Row],[AGOSTO]]/45-1,0))</f>
        <v>0</v>
      </c>
      <c r="AM29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2" s="104">
        <f t="shared" si="10"/>
        <v>0</v>
      </c>
      <c r="AR292" s="9">
        <f t="shared" si="9"/>
        <v>1</v>
      </c>
      <c r="AS292" s="60">
        <f>IF(Tabla1[[#This Row],[MESES DE ADEUDO DEL AÑO EN CURSO ]]&gt;0,1,0)</f>
        <v>1</v>
      </c>
      <c r="AT292" s="42"/>
      <c r="AU292" s="42"/>
      <c r="AV292" s="42"/>
      <c r="AW292" s="43"/>
    </row>
    <row r="293" spans="1:49" ht="21.75" thickBot="1" x14ac:dyDescent="0.35">
      <c r="A293" s="109">
        <v>287</v>
      </c>
      <c r="B293" s="5" t="s">
        <v>491</v>
      </c>
      <c r="C293" s="2" t="s">
        <v>492</v>
      </c>
      <c r="D293" s="32"/>
      <c r="E293" s="35" t="s">
        <v>455</v>
      </c>
      <c r="F293" s="34">
        <v>45</v>
      </c>
      <c r="G293" s="34">
        <v>45</v>
      </c>
      <c r="H293" s="34">
        <v>45</v>
      </c>
      <c r="I293" s="34">
        <v>45</v>
      </c>
      <c r="J293" s="34">
        <v>45</v>
      </c>
      <c r="K293" s="34">
        <v>45</v>
      </c>
      <c r="L293" s="34">
        <v>45</v>
      </c>
      <c r="M293" s="34">
        <v>45</v>
      </c>
      <c r="N293" s="34">
        <v>45</v>
      </c>
      <c r="O293" s="34">
        <v>0</v>
      </c>
      <c r="P293" s="34">
        <v>0</v>
      </c>
      <c r="Q293" s="34">
        <v>0</v>
      </c>
      <c r="R293" s="24">
        <f>SUM(Tabla1[[#This Row],[ENERO ]:[DICIEMBRE]])</f>
        <v>405</v>
      </c>
      <c r="W293" s="65">
        <v>0</v>
      </c>
      <c r="X293" s="21">
        <f>COUNTIF(Tabla1[[#This Row],[ENERO ]:[DICIEMBRE]],0)-(AQ293)-IF(Tabla1[[#This Row],[BAJAS]]="BAJA",IF(Tabla1[[#This Row],[ALTAS]]="ALTA",VLOOKUP(Tabla1[[#This Row],[MES DE ALTA ]],$AT$6:$AU$17,2,FALSE),12)-VLOOKUP(Tabla1[[#This Row],[MES DE BAJA ]],$AT$6:$AU$17,2,FALSE),0)</f>
        <v>3</v>
      </c>
      <c r="Y293" s="69">
        <f>SUM(Tabla1[[#This Row],[MES ADEUDO DE AÑOS PASADOS ]:[MESES DE ADEUDO DEL AÑO EN CURSO ]])</f>
        <v>3</v>
      </c>
      <c r="Z293" s="15">
        <f>IF(Tabla1[[#This Row],[TIPO DE CONSUMIDOR]]="COMPLETO",W293*$T$2,W293*($T$2/2))</f>
        <v>0</v>
      </c>
      <c r="AA293" s="15">
        <f>IF(Tabla1[[#This Row],[TIPO DE CONSUMIDOR]]="COMPLETO",Tabla1[[#This Row],[MESES DE ADEUDO DEL AÑO EN CURSO ]]*$T$2,Tabla1[[#This Row],[MESES DE ADEUDO DEL AÑO EN CURSO ]]*($T$2/2))</f>
        <v>135</v>
      </c>
      <c r="AB293" s="70">
        <f>SUM(Tabla1[[#This Row],[DEUDA DE LOS MESES PASADOS EN $$]:[DEUDA DEL AÑO 2013 $$ ]])</f>
        <v>135</v>
      </c>
      <c r="AE293" s="103">
        <f>IF(Tabla1[[#This Row],[TIPO DE CONSUMIDOR]]="MEDIO",IF(Tabla1[[#This Row],[ENERO ]]&gt;22.5,Tabla1[[#This Row],[ENERO ]]/22.5-1,0),IF(Tabla1[[#This Row],[ENERO ]]&gt;45,Tabla1[[#This Row],[ENERO ]]/45-1,0))</f>
        <v>0</v>
      </c>
      <c r="AF29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3" s="103">
        <f>IF(Tabla1[[#This Row],[TIPO DE CONSUMIDOR]]="MEDIO",IF(Tabla1[[#This Row],[MARZO]]&gt;22.5,Tabla1[[#This Row],[MARZO]]/22.5-1,0),IF(Tabla1[[#This Row],[MARZO]]&gt;45,Tabla1[[#This Row],[MARZO]]/45-1,0))</f>
        <v>0</v>
      </c>
      <c r="AH293" s="103">
        <f>IF(Tabla1[[#This Row],[TIPO DE CONSUMIDOR]]="MEDIO",IF(Tabla1[[#This Row],[ABRIL]]&gt;22.5,Tabla1[[#This Row],[ABRIL]]/22.5-1,0),IF(Tabla1[[#This Row],[ABRIL]]&gt;45,Tabla1[[#This Row],[ABRIL]]/45-1,0))</f>
        <v>0</v>
      </c>
      <c r="AI293" s="103">
        <f>IF(Tabla1[[#This Row],[TIPO DE CONSUMIDOR]]="MEDIO",IF(Tabla1[[#This Row],[MAYO ]]&gt;22.5,Tabla1[[#This Row],[MAYO ]]/22.5-1,0),IF(Tabla1[[#This Row],[MAYO ]]&gt;45,Tabla1[[#This Row],[MAYO ]]/45-1,0))</f>
        <v>0</v>
      </c>
      <c r="AJ293" s="103">
        <f>IF(Tabla1[[#This Row],[TIPO DE CONSUMIDOR]]="MEDIO",IF(Tabla1[[#This Row],[JUNIO ]]&gt;22.5,Tabla1[[#This Row],[JUNIO ]]/22.5-1,0),IF(Tabla1[[#This Row],[JUNIO ]]&gt;45,Tabla1[[#This Row],[JUNIO ]]/45-1,0))</f>
        <v>0</v>
      </c>
      <c r="AK293" s="103">
        <f>IF(Tabla1[[#This Row],[TIPO DE CONSUMIDOR]]="MEDIO",IF(Tabla1[[#This Row],[JULIO ]]&gt;22.5,Tabla1[[#This Row],[JULIO ]]/22.5-1,0),IF(Tabla1[[#This Row],[JULIO ]]&gt;45,Tabla1[[#This Row],[JULIO ]]/45-1,0))</f>
        <v>0</v>
      </c>
      <c r="AL293" s="103">
        <f>IF(Tabla1[[#This Row],[TIPO DE CONSUMIDOR]]="MEDIO",IF(Tabla1[[#This Row],[AGOSTO]]&gt;22.5,Tabla1[[#This Row],[AGOSTO]]/22.5-1,0),IF(Tabla1[[#This Row],[AGOSTO]]&gt;45,Tabla1[[#This Row],[AGOSTO]]/45-1,0))</f>
        <v>0</v>
      </c>
      <c r="AM29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3" s="104">
        <f t="shared" si="10"/>
        <v>0</v>
      </c>
      <c r="AR293" s="9">
        <f t="shared" si="9"/>
        <v>1</v>
      </c>
      <c r="AS293" s="60">
        <f>IF(Tabla1[[#This Row],[MESES DE ADEUDO DEL AÑO EN CURSO ]]&gt;0,1,0)</f>
        <v>1</v>
      </c>
      <c r="AT293" s="42"/>
      <c r="AU293" s="42"/>
      <c r="AV293" s="42"/>
      <c r="AW293" s="43"/>
    </row>
    <row r="294" spans="1:49" ht="21.75" thickBot="1" x14ac:dyDescent="0.35">
      <c r="A294" s="109">
        <v>288</v>
      </c>
      <c r="B294" s="5" t="s">
        <v>119</v>
      </c>
      <c r="C294" s="2" t="s">
        <v>501</v>
      </c>
      <c r="D294" s="32"/>
      <c r="E294" s="35" t="s">
        <v>455</v>
      </c>
      <c r="F294" s="34">
        <v>45</v>
      </c>
      <c r="G294" s="34">
        <v>45</v>
      </c>
      <c r="H294" s="34">
        <v>45</v>
      </c>
      <c r="I294" s="34">
        <v>45</v>
      </c>
      <c r="J294" s="34">
        <v>45</v>
      </c>
      <c r="K294" s="34">
        <v>45</v>
      </c>
      <c r="L294" s="34">
        <v>45</v>
      </c>
      <c r="M294" s="34">
        <v>45</v>
      </c>
      <c r="N294" s="34">
        <v>45</v>
      </c>
      <c r="O294" s="34">
        <v>0</v>
      </c>
      <c r="P294" s="34">
        <v>0</v>
      </c>
      <c r="Q294" s="34">
        <v>0</v>
      </c>
      <c r="R294" s="24">
        <f>SUM(Tabla1[[#This Row],[ENERO ]:[DICIEMBRE]])</f>
        <v>405</v>
      </c>
      <c r="W294" s="65">
        <v>0</v>
      </c>
      <c r="X294" s="21">
        <f>COUNTIF(Tabla1[[#This Row],[ENERO ]:[DICIEMBRE]],0)-(AQ294)-IF(Tabla1[[#This Row],[BAJAS]]="BAJA",IF(Tabla1[[#This Row],[ALTAS]]="ALTA",VLOOKUP(Tabla1[[#This Row],[MES DE ALTA ]],$AT$6:$AU$17,2,FALSE),12)-VLOOKUP(Tabla1[[#This Row],[MES DE BAJA ]],$AT$6:$AU$17,2,FALSE),0)</f>
        <v>3</v>
      </c>
      <c r="Y294" s="69">
        <f>SUM(Tabla1[[#This Row],[MES ADEUDO DE AÑOS PASADOS ]:[MESES DE ADEUDO DEL AÑO EN CURSO ]])</f>
        <v>3</v>
      </c>
      <c r="Z294" s="15">
        <f>IF(Tabla1[[#This Row],[TIPO DE CONSUMIDOR]]="COMPLETO",W294*$T$2,W294*($T$2/2))</f>
        <v>0</v>
      </c>
      <c r="AA294" s="15">
        <f>IF(Tabla1[[#This Row],[TIPO DE CONSUMIDOR]]="COMPLETO",Tabla1[[#This Row],[MESES DE ADEUDO DEL AÑO EN CURSO ]]*$T$2,Tabla1[[#This Row],[MESES DE ADEUDO DEL AÑO EN CURSO ]]*($T$2/2))</f>
        <v>135</v>
      </c>
      <c r="AB294" s="70">
        <f>SUM(Tabla1[[#This Row],[DEUDA DE LOS MESES PASADOS EN $$]:[DEUDA DEL AÑO 2013 $$ ]])</f>
        <v>135</v>
      </c>
      <c r="AE294" s="103">
        <f>IF(Tabla1[[#This Row],[TIPO DE CONSUMIDOR]]="MEDIO",IF(Tabla1[[#This Row],[ENERO ]]&gt;22.5,Tabla1[[#This Row],[ENERO ]]/22.5-1,0),IF(Tabla1[[#This Row],[ENERO ]]&gt;45,Tabla1[[#This Row],[ENERO ]]/45-1,0))</f>
        <v>0</v>
      </c>
      <c r="AF29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4" s="103">
        <f>IF(Tabla1[[#This Row],[TIPO DE CONSUMIDOR]]="MEDIO",IF(Tabla1[[#This Row],[MARZO]]&gt;22.5,Tabla1[[#This Row],[MARZO]]/22.5-1,0),IF(Tabla1[[#This Row],[MARZO]]&gt;45,Tabla1[[#This Row],[MARZO]]/45-1,0))</f>
        <v>0</v>
      </c>
      <c r="AH294" s="103">
        <f>IF(Tabla1[[#This Row],[TIPO DE CONSUMIDOR]]="MEDIO",IF(Tabla1[[#This Row],[ABRIL]]&gt;22.5,Tabla1[[#This Row],[ABRIL]]/22.5-1,0),IF(Tabla1[[#This Row],[ABRIL]]&gt;45,Tabla1[[#This Row],[ABRIL]]/45-1,0))</f>
        <v>0</v>
      </c>
      <c r="AI294" s="103">
        <f>IF(Tabla1[[#This Row],[TIPO DE CONSUMIDOR]]="MEDIO",IF(Tabla1[[#This Row],[MAYO ]]&gt;22.5,Tabla1[[#This Row],[MAYO ]]/22.5-1,0),IF(Tabla1[[#This Row],[MAYO ]]&gt;45,Tabla1[[#This Row],[MAYO ]]/45-1,0))</f>
        <v>0</v>
      </c>
      <c r="AJ294" s="103">
        <f>IF(Tabla1[[#This Row],[TIPO DE CONSUMIDOR]]="MEDIO",IF(Tabla1[[#This Row],[JUNIO ]]&gt;22.5,Tabla1[[#This Row],[JUNIO ]]/22.5-1,0),IF(Tabla1[[#This Row],[JUNIO ]]&gt;45,Tabla1[[#This Row],[JUNIO ]]/45-1,0))</f>
        <v>0</v>
      </c>
      <c r="AK294" s="103">
        <f>IF(Tabla1[[#This Row],[TIPO DE CONSUMIDOR]]="MEDIO",IF(Tabla1[[#This Row],[JULIO ]]&gt;22.5,Tabla1[[#This Row],[JULIO ]]/22.5-1,0),IF(Tabla1[[#This Row],[JULIO ]]&gt;45,Tabla1[[#This Row],[JULIO ]]/45-1,0))</f>
        <v>0</v>
      </c>
      <c r="AL294" s="103">
        <f>IF(Tabla1[[#This Row],[TIPO DE CONSUMIDOR]]="MEDIO",IF(Tabla1[[#This Row],[AGOSTO]]&gt;22.5,Tabla1[[#This Row],[AGOSTO]]/22.5-1,0),IF(Tabla1[[#This Row],[AGOSTO]]&gt;45,Tabla1[[#This Row],[AGOSTO]]/45-1,0))</f>
        <v>0</v>
      </c>
      <c r="AM29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4" s="104">
        <f t="shared" si="10"/>
        <v>0</v>
      </c>
      <c r="AR294" s="9">
        <f t="shared" si="9"/>
        <v>1</v>
      </c>
      <c r="AS294" s="60">
        <f>IF(Tabla1[[#This Row],[MESES DE ADEUDO DEL AÑO EN CURSO ]]&gt;0,1,0)</f>
        <v>1</v>
      </c>
      <c r="AT294" s="42"/>
      <c r="AU294" s="42"/>
      <c r="AV294" s="42"/>
      <c r="AW294" s="43"/>
    </row>
    <row r="295" spans="1:49" ht="21.75" thickBot="1" x14ac:dyDescent="0.35">
      <c r="A295" s="109">
        <v>289</v>
      </c>
      <c r="B295" s="5" t="s">
        <v>276</v>
      </c>
      <c r="C295" s="2" t="s">
        <v>504</v>
      </c>
      <c r="D295" s="32"/>
      <c r="E295" s="35" t="s">
        <v>455</v>
      </c>
      <c r="F295" s="34">
        <v>45</v>
      </c>
      <c r="G295" s="34">
        <v>45</v>
      </c>
      <c r="H295" s="34">
        <v>45</v>
      </c>
      <c r="I295" s="34">
        <v>45</v>
      </c>
      <c r="J295" s="34">
        <v>45</v>
      </c>
      <c r="K295" s="34">
        <v>45</v>
      </c>
      <c r="L295" s="34">
        <v>45</v>
      </c>
      <c r="M295" s="34">
        <v>45</v>
      </c>
      <c r="N295" s="34">
        <v>45</v>
      </c>
      <c r="O295" s="34">
        <v>0</v>
      </c>
      <c r="P295" s="34">
        <v>0</v>
      </c>
      <c r="Q295" s="34">
        <v>0</v>
      </c>
      <c r="R295" s="24">
        <f>SUM(Tabla1[[#This Row],[ENERO ]:[DICIEMBRE]])</f>
        <v>405</v>
      </c>
      <c r="W295" s="65">
        <v>0</v>
      </c>
      <c r="X295" s="21">
        <f>COUNTIF(Tabla1[[#This Row],[ENERO ]:[DICIEMBRE]],0)-(AQ295)-IF(Tabla1[[#This Row],[BAJAS]]="BAJA",IF(Tabla1[[#This Row],[ALTAS]]="ALTA",VLOOKUP(Tabla1[[#This Row],[MES DE ALTA ]],$AT$6:$AU$17,2,FALSE),12)-VLOOKUP(Tabla1[[#This Row],[MES DE BAJA ]],$AT$6:$AU$17,2,FALSE),0)</f>
        <v>3</v>
      </c>
      <c r="Y295" s="69">
        <f>SUM(Tabla1[[#This Row],[MES ADEUDO DE AÑOS PASADOS ]:[MESES DE ADEUDO DEL AÑO EN CURSO ]])</f>
        <v>3</v>
      </c>
      <c r="Z295" s="15">
        <f>IF(Tabla1[[#This Row],[TIPO DE CONSUMIDOR]]="COMPLETO",W295*$T$2,W295*($T$2/2))</f>
        <v>0</v>
      </c>
      <c r="AA295" s="15">
        <f>IF(Tabla1[[#This Row],[TIPO DE CONSUMIDOR]]="COMPLETO",Tabla1[[#This Row],[MESES DE ADEUDO DEL AÑO EN CURSO ]]*$T$2,Tabla1[[#This Row],[MESES DE ADEUDO DEL AÑO EN CURSO ]]*($T$2/2))</f>
        <v>135</v>
      </c>
      <c r="AB295" s="70">
        <f>SUM(Tabla1[[#This Row],[DEUDA DE LOS MESES PASADOS EN $$]:[DEUDA DEL AÑO 2013 $$ ]])</f>
        <v>135</v>
      </c>
      <c r="AE295" s="103">
        <f>IF(Tabla1[[#This Row],[TIPO DE CONSUMIDOR]]="MEDIO",IF(Tabla1[[#This Row],[ENERO ]]&gt;22.5,Tabla1[[#This Row],[ENERO ]]/22.5-1,0),IF(Tabla1[[#This Row],[ENERO ]]&gt;45,Tabla1[[#This Row],[ENERO ]]/45-1,0))</f>
        <v>0</v>
      </c>
      <c r="AF29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5" s="103">
        <f>IF(Tabla1[[#This Row],[TIPO DE CONSUMIDOR]]="MEDIO",IF(Tabla1[[#This Row],[MARZO]]&gt;22.5,Tabla1[[#This Row],[MARZO]]/22.5-1,0),IF(Tabla1[[#This Row],[MARZO]]&gt;45,Tabla1[[#This Row],[MARZO]]/45-1,0))</f>
        <v>0</v>
      </c>
      <c r="AH295" s="103">
        <f>IF(Tabla1[[#This Row],[TIPO DE CONSUMIDOR]]="MEDIO",IF(Tabla1[[#This Row],[ABRIL]]&gt;22.5,Tabla1[[#This Row],[ABRIL]]/22.5-1,0),IF(Tabla1[[#This Row],[ABRIL]]&gt;45,Tabla1[[#This Row],[ABRIL]]/45-1,0))</f>
        <v>0</v>
      </c>
      <c r="AI295" s="103">
        <f>IF(Tabla1[[#This Row],[TIPO DE CONSUMIDOR]]="MEDIO",IF(Tabla1[[#This Row],[MAYO ]]&gt;22.5,Tabla1[[#This Row],[MAYO ]]/22.5-1,0),IF(Tabla1[[#This Row],[MAYO ]]&gt;45,Tabla1[[#This Row],[MAYO ]]/45-1,0))</f>
        <v>0</v>
      </c>
      <c r="AJ295" s="103">
        <f>IF(Tabla1[[#This Row],[TIPO DE CONSUMIDOR]]="MEDIO",IF(Tabla1[[#This Row],[JUNIO ]]&gt;22.5,Tabla1[[#This Row],[JUNIO ]]/22.5-1,0),IF(Tabla1[[#This Row],[JUNIO ]]&gt;45,Tabla1[[#This Row],[JUNIO ]]/45-1,0))</f>
        <v>0</v>
      </c>
      <c r="AK295" s="103">
        <f>IF(Tabla1[[#This Row],[TIPO DE CONSUMIDOR]]="MEDIO",IF(Tabla1[[#This Row],[JULIO ]]&gt;22.5,Tabla1[[#This Row],[JULIO ]]/22.5-1,0),IF(Tabla1[[#This Row],[JULIO ]]&gt;45,Tabla1[[#This Row],[JULIO ]]/45-1,0))</f>
        <v>0</v>
      </c>
      <c r="AL295" s="103">
        <f>IF(Tabla1[[#This Row],[TIPO DE CONSUMIDOR]]="MEDIO",IF(Tabla1[[#This Row],[AGOSTO]]&gt;22.5,Tabla1[[#This Row],[AGOSTO]]/22.5-1,0),IF(Tabla1[[#This Row],[AGOSTO]]&gt;45,Tabla1[[#This Row],[AGOSTO]]/45-1,0))</f>
        <v>0</v>
      </c>
      <c r="AM29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5" s="104">
        <f t="shared" si="10"/>
        <v>0</v>
      </c>
      <c r="AR295" s="9">
        <f t="shared" si="9"/>
        <v>1</v>
      </c>
      <c r="AS295" s="60">
        <f>IF(Tabla1[[#This Row],[MESES DE ADEUDO DEL AÑO EN CURSO ]]&gt;0,1,0)</f>
        <v>1</v>
      </c>
      <c r="AT295" s="42"/>
      <c r="AU295" s="42"/>
      <c r="AV295" s="42"/>
      <c r="AW295" s="43"/>
    </row>
    <row r="296" spans="1:49" ht="21.75" thickBot="1" x14ac:dyDescent="0.35">
      <c r="A296" s="109">
        <v>290</v>
      </c>
      <c r="B296" s="5" t="s">
        <v>417</v>
      </c>
      <c r="C296" s="2" t="s">
        <v>511</v>
      </c>
      <c r="D296" s="32"/>
      <c r="E296" s="35" t="s">
        <v>455</v>
      </c>
      <c r="F296" s="34">
        <v>45</v>
      </c>
      <c r="G296" s="34">
        <v>0</v>
      </c>
      <c r="H296" s="34">
        <v>0</v>
      </c>
      <c r="I296" s="34">
        <v>0</v>
      </c>
      <c r="J296" s="34">
        <v>0</v>
      </c>
      <c r="K296" s="34">
        <v>0</v>
      </c>
      <c r="L296" s="34">
        <v>0</v>
      </c>
      <c r="M296" s="34">
        <v>0</v>
      </c>
      <c r="N296" s="34">
        <v>0</v>
      </c>
      <c r="O296" s="34">
        <v>0</v>
      </c>
      <c r="P296" s="34">
        <v>0</v>
      </c>
      <c r="Q296" s="34">
        <v>0</v>
      </c>
      <c r="R296" s="24">
        <f>SUM(Tabla1[[#This Row],[ENERO ]:[DICIEMBRE]])</f>
        <v>45</v>
      </c>
      <c r="S296" s="63" t="s">
        <v>626</v>
      </c>
      <c r="T296" t="s">
        <v>437</v>
      </c>
      <c r="W296" s="65">
        <v>0</v>
      </c>
      <c r="X296" s="21">
        <f>COUNTIF(Tabla1[[#This Row],[ENERO ]:[DICIEMBRE]],0)-(AQ296)-IF(Tabla1[[#This Row],[BAJAS]]="BAJA",IF(Tabla1[[#This Row],[ALTAS]]="ALTA",VLOOKUP(Tabla1[[#This Row],[MES DE ALTA ]],$AT$6:$AU$17,2,FALSE),12)-VLOOKUP(Tabla1[[#This Row],[MES DE BAJA ]],$AT$6:$AU$17,2,FALSE),0)</f>
        <v>3</v>
      </c>
      <c r="Y296" s="69">
        <f>SUM(Tabla1[[#This Row],[MES ADEUDO DE AÑOS PASADOS ]:[MESES DE ADEUDO DEL AÑO EN CURSO ]])</f>
        <v>3</v>
      </c>
      <c r="Z296" s="15">
        <f>IF(Tabla1[[#This Row],[TIPO DE CONSUMIDOR]]="COMPLETO",W296*$T$2,W296*($T$2/2))</f>
        <v>0</v>
      </c>
      <c r="AA296" s="15">
        <f>IF(Tabla1[[#This Row],[TIPO DE CONSUMIDOR]]="COMPLETO",Tabla1[[#This Row],[MESES DE ADEUDO DEL AÑO EN CURSO ]]*$T$2,Tabla1[[#This Row],[MESES DE ADEUDO DEL AÑO EN CURSO ]]*($T$2/2))</f>
        <v>135</v>
      </c>
      <c r="AB296" s="70">
        <f>SUM(Tabla1[[#This Row],[DEUDA DE LOS MESES PASADOS EN $$]:[DEUDA DEL AÑO 2013 $$ ]])</f>
        <v>135</v>
      </c>
      <c r="AE296" s="103">
        <f>IF(Tabla1[[#This Row],[TIPO DE CONSUMIDOR]]="MEDIO",IF(Tabla1[[#This Row],[ENERO ]]&gt;22.5,Tabla1[[#This Row],[ENERO ]]/22.5-1,0),IF(Tabla1[[#This Row],[ENERO ]]&gt;45,Tabla1[[#This Row],[ENERO ]]/45-1,0))</f>
        <v>0</v>
      </c>
      <c r="AF29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6" s="103">
        <f>IF(Tabla1[[#This Row],[TIPO DE CONSUMIDOR]]="MEDIO",IF(Tabla1[[#This Row],[MARZO]]&gt;22.5,Tabla1[[#This Row],[MARZO]]/22.5-1,0),IF(Tabla1[[#This Row],[MARZO]]&gt;45,Tabla1[[#This Row],[MARZO]]/45-1,0))</f>
        <v>0</v>
      </c>
      <c r="AH296" s="103">
        <f>IF(Tabla1[[#This Row],[TIPO DE CONSUMIDOR]]="MEDIO",IF(Tabla1[[#This Row],[ABRIL]]&gt;22.5,Tabla1[[#This Row],[ABRIL]]/22.5-1,0),IF(Tabla1[[#This Row],[ABRIL]]&gt;45,Tabla1[[#This Row],[ABRIL]]/45-1,0))</f>
        <v>0</v>
      </c>
      <c r="AI296" s="103">
        <f>IF(Tabla1[[#This Row],[TIPO DE CONSUMIDOR]]="MEDIO",IF(Tabla1[[#This Row],[MAYO ]]&gt;22.5,Tabla1[[#This Row],[MAYO ]]/22.5-1,0),IF(Tabla1[[#This Row],[MAYO ]]&gt;45,Tabla1[[#This Row],[MAYO ]]/45-1,0))</f>
        <v>0</v>
      </c>
      <c r="AJ296" s="103">
        <f>IF(Tabla1[[#This Row],[TIPO DE CONSUMIDOR]]="MEDIO",IF(Tabla1[[#This Row],[JUNIO ]]&gt;22.5,Tabla1[[#This Row],[JUNIO ]]/22.5-1,0),IF(Tabla1[[#This Row],[JUNIO ]]&gt;45,Tabla1[[#This Row],[JUNIO ]]/45-1,0))</f>
        <v>0</v>
      </c>
      <c r="AK296" s="103">
        <f>IF(Tabla1[[#This Row],[TIPO DE CONSUMIDOR]]="MEDIO",IF(Tabla1[[#This Row],[JULIO ]]&gt;22.5,Tabla1[[#This Row],[JULIO ]]/22.5-1,0),IF(Tabla1[[#This Row],[JULIO ]]&gt;45,Tabla1[[#This Row],[JULIO ]]/45-1,0))</f>
        <v>0</v>
      </c>
      <c r="AL296" s="103">
        <f>IF(Tabla1[[#This Row],[TIPO DE CONSUMIDOR]]="MEDIO",IF(Tabla1[[#This Row],[AGOSTO]]&gt;22.5,Tabla1[[#This Row],[AGOSTO]]/22.5-1,0),IF(Tabla1[[#This Row],[AGOSTO]]&gt;45,Tabla1[[#This Row],[AGOSTO]]/45-1,0))</f>
        <v>0</v>
      </c>
      <c r="AM29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6" s="104">
        <f t="shared" si="10"/>
        <v>0</v>
      </c>
      <c r="AR296" s="9">
        <f t="shared" si="9"/>
        <v>1</v>
      </c>
      <c r="AS296" s="60">
        <f>IF(Tabla1[[#This Row],[MESES DE ADEUDO DEL AÑO EN CURSO ]]&gt;0,1,0)</f>
        <v>1</v>
      </c>
      <c r="AT296" s="42"/>
      <c r="AU296" s="42"/>
      <c r="AV296" s="42"/>
      <c r="AW296" s="43"/>
    </row>
    <row r="297" spans="1:49" ht="21.75" thickBot="1" x14ac:dyDescent="0.35">
      <c r="A297" s="109">
        <v>291</v>
      </c>
      <c r="B297" s="5" t="s">
        <v>68</v>
      </c>
      <c r="C297" s="2" t="s">
        <v>530</v>
      </c>
      <c r="D297" s="32"/>
      <c r="E297" s="35" t="s">
        <v>455</v>
      </c>
      <c r="F297" s="34">
        <v>45</v>
      </c>
      <c r="G297" s="34">
        <v>45</v>
      </c>
      <c r="H297" s="34">
        <v>45</v>
      </c>
      <c r="I297" s="34">
        <v>45</v>
      </c>
      <c r="J297" s="34">
        <v>45</v>
      </c>
      <c r="K297" s="34">
        <v>45</v>
      </c>
      <c r="L297" s="34">
        <v>45</v>
      </c>
      <c r="M297" s="34">
        <v>45</v>
      </c>
      <c r="N297" s="34">
        <v>45</v>
      </c>
      <c r="O297" s="34">
        <v>0</v>
      </c>
      <c r="P297" s="34">
        <v>0</v>
      </c>
      <c r="Q297" s="34">
        <v>0</v>
      </c>
      <c r="R297" s="24">
        <f>SUM(Tabla1[[#This Row],[ENERO ]:[DICIEMBRE]])</f>
        <v>405</v>
      </c>
      <c r="W297" s="65">
        <v>0</v>
      </c>
      <c r="X297" s="21">
        <f>COUNTIF(Tabla1[[#This Row],[ENERO ]:[DICIEMBRE]],0)-(AQ297)-IF(Tabla1[[#This Row],[BAJAS]]="BAJA",IF(Tabla1[[#This Row],[ALTAS]]="ALTA",VLOOKUP(Tabla1[[#This Row],[MES DE ALTA ]],$AT$6:$AU$17,2,FALSE),12)-VLOOKUP(Tabla1[[#This Row],[MES DE BAJA ]],$AT$6:$AU$17,2,FALSE),0)</f>
        <v>3</v>
      </c>
      <c r="Y297" s="69">
        <f>SUM(Tabla1[[#This Row],[MES ADEUDO DE AÑOS PASADOS ]:[MESES DE ADEUDO DEL AÑO EN CURSO ]])</f>
        <v>3</v>
      </c>
      <c r="Z297" s="15">
        <f>IF(Tabla1[[#This Row],[TIPO DE CONSUMIDOR]]="COMPLETO",W297*$T$2,W297*($T$2/2))</f>
        <v>0</v>
      </c>
      <c r="AA297" s="15">
        <f>IF(Tabla1[[#This Row],[TIPO DE CONSUMIDOR]]="COMPLETO",Tabla1[[#This Row],[MESES DE ADEUDO DEL AÑO EN CURSO ]]*$T$2,Tabla1[[#This Row],[MESES DE ADEUDO DEL AÑO EN CURSO ]]*($T$2/2))</f>
        <v>135</v>
      </c>
      <c r="AB297" s="70">
        <f>SUM(Tabla1[[#This Row],[DEUDA DE LOS MESES PASADOS EN $$]:[DEUDA DEL AÑO 2013 $$ ]])</f>
        <v>135</v>
      </c>
      <c r="AE297" s="103">
        <f>IF(Tabla1[[#This Row],[TIPO DE CONSUMIDOR]]="MEDIO",IF(Tabla1[[#This Row],[ENERO ]]&gt;22.5,Tabla1[[#This Row],[ENERO ]]/22.5-1,0),IF(Tabla1[[#This Row],[ENERO ]]&gt;45,Tabla1[[#This Row],[ENERO ]]/45-1,0))</f>
        <v>0</v>
      </c>
      <c r="AF29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7" s="103">
        <f>IF(Tabla1[[#This Row],[TIPO DE CONSUMIDOR]]="MEDIO",IF(Tabla1[[#This Row],[MARZO]]&gt;22.5,Tabla1[[#This Row],[MARZO]]/22.5-1,0),IF(Tabla1[[#This Row],[MARZO]]&gt;45,Tabla1[[#This Row],[MARZO]]/45-1,0))</f>
        <v>0</v>
      </c>
      <c r="AH297" s="103">
        <f>IF(Tabla1[[#This Row],[TIPO DE CONSUMIDOR]]="MEDIO",IF(Tabla1[[#This Row],[ABRIL]]&gt;22.5,Tabla1[[#This Row],[ABRIL]]/22.5-1,0),IF(Tabla1[[#This Row],[ABRIL]]&gt;45,Tabla1[[#This Row],[ABRIL]]/45-1,0))</f>
        <v>0</v>
      </c>
      <c r="AI297" s="103">
        <f>IF(Tabla1[[#This Row],[TIPO DE CONSUMIDOR]]="MEDIO",IF(Tabla1[[#This Row],[MAYO ]]&gt;22.5,Tabla1[[#This Row],[MAYO ]]/22.5-1,0),IF(Tabla1[[#This Row],[MAYO ]]&gt;45,Tabla1[[#This Row],[MAYO ]]/45-1,0))</f>
        <v>0</v>
      </c>
      <c r="AJ297" s="103">
        <f>IF(Tabla1[[#This Row],[TIPO DE CONSUMIDOR]]="MEDIO",IF(Tabla1[[#This Row],[JUNIO ]]&gt;22.5,Tabla1[[#This Row],[JUNIO ]]/22.5-1,0),IF(Tabla1[[#This Row],[JUNIO ]]&gt;45,Tabla1[[#This Row],[JUNIO ]]/45-1,0))</f>
        <v>0</v>
      </c>
      <c r="AK297" s="103">
        <f>IF(Tabla1[[#This Row],[TIPO DE CONSUMIDOR]]="MEDIO",IF(Tabla1[[#This Row],[JULIO ]]&gt;22.5,Tabla1[[#This Row],[JULIO ]]/22.5-1,0),IF(Tabla1[[#This Row],[JULIO ]]&gt;45,Tabla1[[#This Row],[JULIO ]]/45-1,0))</f>
        <v>0</v>
      </c>
      <c r="AL297" s="103">
        <f>IF(Tabla1[[#This Row],[TIPO DE CONSUMIDOR]]="MEDIO",IF(Tabla1[[#This Row],[AGOSTO]]&gt;22.5,Tabla1[[#This Row],[AGOSTO]]/22.5-1,0),IF(Tabla1[[#This Row],[AGOSTO]]&gt;45,Tabla1[[#This Row],[AGOSTO]]/45-1,0))</f>
        <v>0</v>
      </c>
      <c r="AM29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7" s="104">
        <f t="shared" si="10"/>
        <v>0</v>
      </c>
      <c r="AR297" s="9">
        <f t="shared" si="9"/>
        <v>1</v>
      </c>
      <c r="AS297" s="60">
        <f>IF(Tabla1[[#This Row],[MESES DE ADEUDO DEL AÑO EN CURSO ]]&gt;0,1,0)</f>
        <v>1</v>
      </c>
      <c r="AT297" s="42"/>
      <c r="AU297" s="42"/>
      <c r="AV297" s="42"/>
      <c r="AW297" s="43"/>
    </row>
    <row r="298" spans="1:49" ht="21.75" thickBot="1" x14ac:dyDescent="0.35">
      <c r="A298" s="109">
        <v>292</v>
      </c>
      <c r="B298" s="5" t="s">
        <v>288</v>
      </c>
      <c r="C298" s="2" t="s">
        <v>530</v>
      </c>
      <c r="D298" s="32"/>
      <c r="E298" s="35" t="s">
        <v>455</v>
      </c>
      <c r="F298" s="34">
        <v>45</v>
      </c>
      <c r="G298" s="34">
        <v>45</v>
      </c>
      <c r="H298" s="34">
        <v>45</v>
      </c>
      <c r="I298" s="34">
        <v>45</v>
      </c>
      <c r="J298" s="34">
        <v>45</v>
      </c>
      <c r="K298" s="34">
        <v>45</v>
      </c>
      <c r="L298" s="34">
        <v>45</v>
      </c>
      <c r="M298" s="34">
        <v>45</v>
      </c>
      <c r="N298" s="34">
        <v>45</v>
      </c>
      <c r="O298" s="34">
        <v>0</v>
      </c>
      <c r="P298" s="34">
        <v>0</v>
      </c>
      <c r="Q298" s="34">
        <v>0</v>
      </c>
      <c r="R298" s="24">
        <f>SUM(Tabla1[[#This Row],[ENERO ]:[DICIEMBRE]])</f>
        <v>405</v>
      </c>
      <c r="W298" s="65">
        <v>0</v>
      </c>
      <c r="X298" s="21">
        <f>COUNTIF(Tabla1[[#This Row],[ENERO ]:[DICIEMBRE]],0)-(AQ298)-IF(Tabla1[[#This Row],[BAJAS]]="BAJA",IF(Tabla1[[#This Row],[ALTAS]]="ALTA",VLOOKUP(Tabla1[[#This Row],[MES DE ALTA ]],$AT$6:$AU$17,2,FALSE),12)-VLOOKUP(Tabla1[[#This Row],[MES DE BAJA ]],$AT$6:$AU$17,2,FALSE),0)</f>
        <v>3</v>
      </c>
      <c r="Y298" s="69">
        <f>SUM(Tabla1[[#This Row],[MES ADEUDO DE AÑOS PASADOS ]:[MESES DE ADEUDO DEL AÑO EN CURSO ]])</f>
        <v>3</v>
      </c>
      <c r="Z298" s="15">
        <f>IF(Tabla1[[#This Row],[TIPO DE CONSUMIDOR]]="COMPLETO",W298*$T$2,W298*($T$2/2))</f>
        <v>0</v>
      </c>
      <c r="AA298" s="15">
        <f>IF(Tabla1[[#This Row],[TIPO DE CONSUMIDOR]]="COMPLETO",Tabla1[[#This Row],[MESES DE ADEUDO DEL AÑO EN CURSO ]]*$T$2,Tabla1[[#This Row],[MESES DE ADEUDO DEL AÑO EN CURSO ]]*($T$2/2))</f>
        <v>135</v>
      </c>
      <c r="AB298" s="70">
        <f>SUM(Tabla1[[#This Row],[DEUDA DE LOS MESES PASADOS EN $$]:[DEUDA DEL AÑO 2013 $$ ]])</f>
        <v>135</v>
      </c>
      <c r="AE298" s="103">
        <f>IF(Tabla1[[#This Row],[TIPO DE CONSUMIDOR]]="MEDIO",IF(Tabla1[[#This Row],[ENERO ]]&gt;22.5,Tabla1[[#This Row],[ENERO ]]/22.5-1,0),IF(Tabla1[[#This Row],[ENERO ]]&gt;45,Tabla1[[#This Row],[ENERO ]]/45-1,0))</f>
        <v>0</v>
      </c>
      <c r="AF29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8" s="103">
        <f>IF(Tabla1[[#This Row],[TIPO DE CONSUMIDOR]]="MEDIO",IF(Tabla1[[#This Row],[MARZO]]&gt;22.5,Tabla1[[#This Row],[MARZO]]/22.5-1,0),IF(Tabla1[[#This Row],[MARZO]]&gt;45,Tabla1[[#This Row],[MARZO]]/45-1,0))</f>
        <v>0</v>
      </c>
      <c r="AH298" s="103">
        <f>IF(Tabla1[[#This Row],[TIPO DE CONSUMIDOR]]="MEDIO",IF(Tabla1[[#This Row],[ABRIL]]&gt;22.5,Tabla1[[#This Row],[ABRIL]]/22.5-1,0),IF(Tabla1[[#This Row],[ABRIL]]&gt;45,Tabla1[[#This Row],[ABRIL]]/45-1,0))</f>
        <v>0</v>
      </c>
      <c r="AI298" s="103">
        <f>IF(Tabla1[[#This Row],[TIPO DE CONSUMIDOR]]="MEDIO",IF(Tabla1[[#This Row],[MAYO ]]&gt;22.5,Tabla1[[#This Row],[MAYO ]]/22.5-1,0),IF(Tabla1[[#This Row],[MAYO ]]&gt;45,Tabla1[[#This Row],[MAYO ]]/45-1,0))</f>
        <v>0</v>
      </c>
      <c r="AJ298" s="103">
        <f>IF(Tabla1[[#This Row],[TIPO DE CONSUMIDOR]]="MEDIO",IF(Tabla1[[#This Row],[JUNIO ]]&gt;22.5,Tabla1[[#This Row],[JUNIO ]]/22.5-1,0),IF(Tabla1[[#This Row],[JUNIO ]]&gt;45,Tabla1[[#This Row],[JUNIO ]]/45-1,0))</f>
        <v>0</v>
      </c>
      <c r="AK298" s="103">
        <f>IF(Tabla1[[#This Row],[TIPO DE CONSUMIDOR]]="MEDIO",IF(Tabla1[[#This Row],[JULIO ]]&gt;22.5,Tabla1[[#This Row],[JULIO ]]/22.5-1,0),IF(Tabla1[[#This Row],[JULIO ]]&gt;45,Tabla1[[#This Row],[JULIO ]]/45-1,0))</f>
        <v>0</v>
      </c>
      <c r="AL298" s="103">
        <f>IF(Tabla1[[#This Row],[TIPO DE CONSUMIDOR]]="MEDIO",IF(Tabla1[[#This Row],[AGOSTO]]&gt;22.5,Tabla1[[#This Row],[AGOSTO]]/22.5-1,0),IF(Tabla1[[#This Row],[AGOSTO]]&gt;45,Tabla1[[#This Row],[AGOSTO]]/45-1,0))</f>
        <v>0</v>
      </c>
      <c r="AM29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8" s="104">
        <f t="shared" si="10"/>
        <v>0</v>
      </c>
      <c r="AR298" s="9">
        <f t="shared" si="9"/>
        <v>1</v>
      </c>
      <c r="AS298" s="60">
        <f>IF(Tabla1[[#This Row],[MESES DE ADEUDO DEL AÑO EN CURSO ]]&gt;0,1,0)</f>
        <v>1</v>
      </c>
      <c r="AT298" s="42"/>
      <c r="AU298" s="42"/>
      <c r="AV298" s="42"/>
      <c r="AW298" s="43"/>
    </row>
    <row r="299" spans="1:49" ht="21.75" thickBot="1" x14ac:dyDescent="0.35">
      <c r="A299" s="109">
        <v>293</v>
      </c>
      <c r="B299" s="5" t="s">
        <v>560</v>
      </c>
      <c r="C299" s="2" t="s">
        <v>556</v>
      </c>
      <c r="D299" s="32"/>
      <c r="E299" s="35" t="s">
        <v>455</v>
      </c>
      <c r="F299" s="34">
        <v>0</v>
      </c>
      <c r="G299" s="34">
        <v>0</v>
      </c>
      <c r="H299" s="34">
        <v>0</v>
      </c>
      <c r="I299" s="34">
        <v>0</v>
      </c>
      <c r="J299" s="34">
        <v>45</v>
      </c>
      <c r="K299" s="34">
        <v>45</v>
      </c>
      <c r="L299" s="34">
        <v>45</v>
      </c>
      <c r="M299" s="34">
        <v>45</v>
      </c>
      <c r="N299" s="34">
        <v>45</v>
      </c>
      <c r="O299" s="34">
        <v>0</v>
      </c>
      <c r="P299" s="34">
        <v>0</v>
      </c>
      <c r="Q299" s="34">
        <v>0</v>
      </c>
      <c r="R299" s="58">
        <f>SUM(Tabla1[[#This Row],[ENERO ]:[DICIEMBRE]])</f>
        <v>225</v>
      </c>
      <c r="S299" t="s">
        <v>626</v>
      </c>
      <c r="T299" t="s">
        <v>434</v>
      </c>
      <c r="U299" t="s">
        <v>625</v>
      </c>
      <c r="V299" t="s">
        <v>437</v>
      </c>
      <c r="W299" s="65">
        <v>0</v>
      </c>
      <c r="X299" s="21">
        <f>COUNTIF(Tabla1[[#This Row],[ENERO ]:[DICIEMBRE]],0)-(AQ299)-IF(Tabla1[[#This Row],[BAJAS]]="BAJA",IF(Tabla1[[#This Row],[ALTAS]]="ALTA",VLOOKUP(Tabla1[[#This Row],[MES DE ALTA ]],$AT$6:$AU$17,2,FALSE),12)-VLOOKUP(Tabla1[[#This Row],[MES DE BAJA ]],$AT$6:$AU$17,2,FALSE),0)</f>
        <v>3</v>
      </c>
      <c r="Y299" s="69">
        <f>SUM(Tabla1[[#This Row],[MES ADEUDO DE AÑOS PASADOS ]:[MESES DE ADEUDO DEL AÑO EN CURSO ]])</f>
        <v>3</v>
      </c>
      <c r="Z299" s="15">
        <f>IF(Tabla1[[#This Row],[TIPO DE CONSUMIDOR]]="COMPLETO",W299*$T$2,W299*($T$2/2))</f>
        <v>0</v>
      </c>
      <c r="AA299" s="15">
        <f>IF(Tabla1[[#This Row],[TIPO DE CONSUMIDOR]]="COMPLETO",Tabla1[[#This Row],[MESES DE ADEUDO DEL AÑO EN CURSO ]]*$T$2,Tabla1[[#This Row],[MESES DE ADEUDO DEL AÑO EN CURSO ]]*($T$2/2))</f>
        <v>135</v>
      </c>
      <c r="AB299" s="70">
        <f>SUM(Tabla1[[#This Row],[DEUDA DE LOS MESES PASADOS EN $$]:[DEUDA DEL AÑO 2013 $$ ]])</f>
        <v>135</v>
      </c>
      <c r="AE299" s="103">
        <f>IF(Tabla1[[#This Row],[TIPO DE CONSUMIDOR]]="MEDIO",IF(Tabla1[[#This Row],[ENERO ]]&gt;22.5,Tabla1[[#This Row],[ENERO ]]/22.5-1,0),IF(Tabla1[[#This Row],[ENERO ]]&gt;45,Tabla1[[#This Row],[ENERO ]]/45-1,0))</f>
        <v>0</v>
      </c>
      <c r="AF29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299" s="103">
        <f>IF(Tabla1[[#This Row],[TIPO DE CONSUMIDOR]]="MEDIO",IF(Tabla1[[#This Row],[MARZO]]&gt;22.5,Tabla1[[#This Row],[MARZO]]/22.5-1,0),IF(Tabla1[[#This Row],[MARZO]]&gt;45,Tabla1[[#This Row],[MARZO]]/45-1,0))</f>
        <v>0</v>
      </c>
      <c r="AH299" s="103">
        <f>IF(Tabla1[[#This Row],[TIPO DE CONSUMIDOR]]="MEDIO",IF(Tabla1[[#This Row],[ABRIL]]&gt;22.5,Tabla1[[#This Row],[ABRIL]]/22.5-1,0),IF(Tabla1[[#This Row],[ABRIL]]&gt;45,Tabla1[[#This Row],[ABRIL]]/45-1,0))</f>
        <v>0</v>
      </c>
      <c r="AI299" s="103">
        <f>IF(Tabla1[[#This Row],[TIPO DE CONSUMIDOR]]="MEDIO",IF(Tabla1[[#This Row],[MAYO ]]&gt;22.5,Tabla1[[#This Row],[MAYO ]]/22.5-1,0),IF(Tabla1[[#This Row],[MAYO ]]&gt;45,Tabla1[[#This Row],[MAYO ]]/45-1,0))</f>
        <v>0</v>
      </c>
      <c r="AJ299" s="103">
        <f>IF(Tabla1[[#This Row],[TIPO DE CONSUMIDOR]]="MEDIO",IF(Tabla1[[#This Row],[JUNIO ]]&gt;22.5,Tabla1[[#This Row],[JUNIO ]]/22.5-1,0),IF(Tabla1[[#This Row],[JUNIO ]]&gt;45,Tabla1[[#This Row],[JUNIO ]]/45-1,0))</f>
        <v>0</v>
      </c>
      <c r="AK299" s="103">
        <f>IF(Tabla1[[#This Row],[TIPO DE CONSUMIDOR]]="MEDIO",IF(Tabla1[[#This Row],[JULIO ]]&gt;22.5,Tabla1[[#This Row],[JULIO ]]/22.5-1,0),IF(Tabla1[[#This Row],[JULIO ]]&gt;45,Tabla1[[#This Row],[JULIO ]]/45-1,0))</f>
        <v>0</v>
      </c>
      <c r="AL299" s="103">
        <f>IF(Tabla1[[#This Row],[TIPO DE CONSUMIDOR]]="MEDIO",IF(Tabla1[[#This Row],[AGOSTO]]&gt;22.5,Tabla1[[#This Row],[AGOSTO]]/22.5-1,0),IF(Tabla1[[#This Row],[AGOSTO]]&gt;45,Tabla1[[#This Row],[AGOSTO]]/45-1,0))</f>
        <v>0</v>
      </c>
      <c r="AM29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29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29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29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299" s="104">
        <f t="shared" si="10"/>
        <v>0</v>
      </c>
      <c r="AR299" s="9">
        <f t="shared" si="9"/>
        <v>1</v>
      </c>
      <c r="AS299" s="60">
        <f>IF(Tabla1[[#This Row],[MESES DE ADEUDO DEL AÑO EN CURSO ]]&gt;0,1,0)</f>
        <v>1</v>
      </c>
      <c r="AT299" s="42"/>
      <c r="AU299" s="42"/>
      <c r="AV299" s="42"/>
      <c r="AW299" s="43"/>
    </row>
    <row r="300" spans="1:49" ht="21.75" thickBot="1" x14ac:dyDescent="0.35">
      <c r="A300" s="109">
        <v>294</v>
      </c>
      <c r="B300" s="5" t="s">
        <v>137</v>
      </c>
      <c r="C300" s="2" t="s">
        <v>562</v>
      </c>
      <c r="D300" s="32"/>
      <c r="E300" s="35" t="s">
        <v>455</v>
      </c>
      <c r="F300" s="34">
        <v>45</v>
      </c>
      <c r="G300" s="34">
        <v>45</v>
      </c>
      <c r="H300" s="34">
        <v>45</v>
      </c>
      <c r="I300" s="34">
        <v>45</v>
      </c>
      <c r="J300" s="34">
        <v>45</v>
      </c>
      <c r="K300" s="34">
        <v>45</v>
      </c>
      <c r="L300" s="34">
        <v>45</v>
      </c>
      <c r="M300" s="34">
        <v>45</v>
      </c>
      <c r="N300" s="34">
        <v>45</v>
      </c>
      <c r="O300" s="34">
        <v>0</v>
      </c>
      <c r="P300" s="34">
        <v>0</v>
      </c>
      <c r="Q300" s="34">
        <v>0</v>
      </c>
      <c r="R300" s="24">
        <f>SUM(Tabla1[[#This Row],[ENERO ]:[DICIEMBRE]])</f>
        <v>405</v>
      </c>
      <c r="W300" s="65">
        <v>0</v>
      </c>
      <c r="X300" s="21">
        <f>COUNTIF(Tabla1[[#This Row],[ENERO ]:[DICIEMBRE]],0)-(AQ300)-IF(Tabla1[[#This Row],[BAJAS]]="BAJA",IF(Tabla1[[#This Row],[ALTAS]]="ALTA",VLOOKUP(Tabla1[[#This Row],[MES DE ALTA ]],$AT$6:$AU$17,2,FALSE),12)-VLOOKUP(Tabla1[[#This Row],[MES DE BAJA ]],$AT$6:$AU$17,2,FALSE),0)</f>
        <v>3</v>
      </c>
      <c r="Y300" s="69">
        <f>SUM(Tabla1[[#This Row],[MES ADEUDO DE AÑOS PASADOS ]:[MESES DE ADEUDO DEL AÑO EN CURSO ]])</f>
        <v>3</v>
      </c>
      <c r="Z300" s="15">
        <f>IF(Tabla1[[#This Row],[TIPO DE CONSUMIDOR]]="COMPLETO",W300*$T$2,W300*($T$2/2))</f>
        <v>0</v>
      </c>
      <c r="AA300" s="15">
        <f>IF(Tabla1[[#This Row],[TIPO DE CONSUMIDOR]]="COMPLETO",Tabla1[[#This Row],[MESES DE ADEUDO DEL AÑO EN CURSO ]]*$T$2,Tabla1[[#This Row],[MESES DE ADEUDO DEL AÑO EN CURSO ]]*($T$2/2))</f>
        <v>135</v>
      </c>
      <c r="AB300" s="70">
        <f>SUM(Tabla1[[#This Row],[DEUDA DE LOS MESES PASADOS EN $$]:[DEUDA DEL AÑO 2013 $$ ]])</f>
        <v>135</v>
      </c>
      <c r="AE300" s="103">
        <f>IF(Tabla1[[#This Row],[TIPO DE CONSUMIDOR]]="MEDIO",IF(Tabla1[[#This Row],[ENERO ]]&gt;22.5,Tabla1[[#This Row],[ENERO ]]/22.5-1,0),IF(Tabla1[[#This Row],[ENERO ]]&gt;45,Tabla1[[#This Row],[ENERO ]]/45-1,0))</f>
        <v>0</v>
      </c>
      <c r="AF30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0" s="103">
        <f>IF(Tabla1[[#This Row],[TIPO DE CONSUMIDOR]]="MEDIO",IF(Tabla1[[#This Row],[MARZO]]&gt;22.5,Tabla1[[#This Row],[MARZO]]/22.5-1,0),IF(Tabla1[[#This Row],[MARZO]]&gt;45,Tabla1[[#This Row],[MARZO]]/45-1,0))</f>
        <v>0</v>
      </c>
      <c r="AH300" s="103">
        <f>IF(Tabla1[[#This Row],[TIPO DE CONSUMIDOR]]="MEDIO",IF(Tabla1[[#This Row],[ABRIL]]&gt;22.5,Tabla1[[#This Row],[ABRIL]]/22.5-1,0),IF(Tabla1[[#This Row],[ABRIL]]&gt;45,Tabla1[[#This Row],[ABRIL]]/45-1,0))</f>
        <v>0</v>
      </c>
      <c r="AI300" s="103">
        <f>IF(Tabla1[[#This Row],[TIPO DE CONSUMIDOR]]="MEDIO",IF(Tabla1[[#This Row],[MAYO ]]&gt;22.5,Tabla1[[#This Row],[MAYO ]]/22.5-1,0),IF(Tabla1[[#This Row],[MAYO ]]&gt;45,Tabla1[[#This Row],[MAYO ]]/45-1,0))</f>
        <v>0</v>
      </c>
      <c r="AJ300" s="103">
        <f>IF(Tabla1[[#This Row],[TIPO DE CONSUMIDOR]]="MEDIO",IF(Tabla1[[#This Row],[JUNIO ]]&gt;22.5,Tabla1[[#This Row],[JUNIO ]]/22.5-1,0),IF(Tabla1[[#This Row],[JUNIO ]]&gt;45,Tabla1[[#This Row],[JUNIO ]]/45-1,0))</f>
        <v>0</v>
      </c>
      <c r="AK300" s="103">
        <f>IF(Tabla1[[#This Row],[TIPO DE CONSUMIDOR]]="MEDIO",IF(Tabla1[[#This Row],[JULIO ]]&gt;22.5,Tabla1[[#This Row],[JULIO ]]/22.5-1,0),IF(Tabla1[[#This Row],[JULIO ]]&gt;45,Tabla1[[#This Row],[JULIO ]]/45-1,0))</f>
        <v>0</v>
      </c>
      <c r="AL300" s="103">
        <f>IF(Tabla1[[#This Row],[TIPO DE CONSUMIDOR]]="MEDIO",IF(Tabla1[[#This Row],[AGOSTO]]&gt;22.5,Tabla1[[#This Row],[AGOSTO]]/22.5-1,0),IF(Tabla1[[#This Row],[AGOSTO]]&gt;45,Tabla1[[#This Row],[AGOSTO]]/45-1,0))</f>
        <v>0</v>
      </c>
      <c r="AM30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0" s="104">
        <f t="shared" si="10"/>
        <v>0</v>
      </c>
      <c r="AR300" s="9">
        <f t="shared" si="9"/>
        <v>1</v>
      </c>
      <c r="AS300" s="60">
        <f>IF(Tabla1[[#This Row],[MESES DE ADEUDO DEL AÑO EN CURSO ]]&gt;0,1,0)</f>
        <v>1</v>
      </c>
      <c r="AT300" s="42"/>
      <c r="AU300" s="42"/>
      <c r="AV300" s="42"/>
      <c r="AW300" s="43"/>
    </row>
    <row r="301" spans="1:49" ht="21.75" thickBot="1" x14ac:dyDescent="0.35">
      <c r="A301" s="109">
        <v>295</v>
      </c>
      <c r="B301" s="5" t="s">
        <v>364</v>
      </c>
      <c r="C301" s="2" t="s">
        <v>569</v>
      </c>
      <c r="D301" s="32"/>
      <c r="E301" s="35" t="s">
        <v>455</v>
      </c>
      <c r="F301" s="34">
        <v>45</v>
      </c>
      <c r="G301" s="34">
        <v>45</v>
      </c>
      <c r="H301" s="34">
        <v>45</v>
      </c>
      <c r="I301" s="34">
        <v>45</v>
      </c>
      <c r="J301" s="34">
        <v>45</v>
      </c>
      <c r="K301" s="34">
        <v>45</v>
      </c>
      <c r="L301" s="34">
        <v>45</v>
      </c>
      <c r="M301" s="34">
        <v>45</v>
      </c>
      <c r="N301" s="34">
        <v>45</v>
      </c>
      <c r="O301" s="34">
        <v>0</v>
      </c>
      <c r="P301" s="34">
        <v>0</v>
      </c>
      <c r="Q301" s="34">
        <v>0</v>
      </c>
      <c r="R301" s="24">
        <f>SUM(Tabla1[[#This Row],[ENERO ]:[DICIEMBRE]])</f>
        <v>405</v>
      </c>
      <c r="W301" s="65">
        <v>0</v>
      </c>
      <c r="X301" s="21">
        <f>COUNTIF(Tabla1[[#This Row],[ENERO ]:[DICIEMBRE]],0)-(AQ301)-IF(Tabla1[[#This Row],[BAJAS]]="BAJA",IF(Tabla1[[#This Row],[ALTAS]]="ALTA",VLOOKUP(Tabla1[[#This Row],[MES DE ALTA ]],$AT$6:$AU$17,2,FALSE),12)-VLOOKUP(Tabla1[[#This Row],[MES DE BAJA ]],$AT$6:$AU$17,2,FALSE),0)</f>
        <v>3</v>
      </c>
      <c r="Y301" s="69">
        <f>SUM(Tabla1[[#This Row],[MES ADEUDO DE AÑOS PASADOS ]:[MESES DE ADEUDO DEL AÑO EN CURSO ]])</f>
        <v>3</v>
      </c>
      <c r="Z301" s="15">
        <f>IF(Tabla1[[#This Row],[TIPO DE CONSUMIDOR]]="COMPLETO",W301*$T$2,W301*($T$2/2))</f>
        <v>0</v>
      </c>
      <c r="AA301" s="15">
        <f>IF(Tabla1[[#This Row],[TIPO DE CONSUMIDOR]]="COMPLETO",Tabla1[[#This Row],[MESES DE ADEUDO DEL AÑO EN CURSO ]]*$T$2,Tabla1[[#This Row],[MESES DE ADEUDO DEL AÑO EN CURSO ]]*($T$2/2))</f>
        <v>135</v>
      </c>
      <c r="AB301" s="70">
        <f>SUM(Tabla1[[#This Row],[DEUDA DE LOS MESES PASADOS EN $$]:[DEUDA DEL AÑO 2013 $$ ]])</f>
        <v>135</v>
      </c>
      <c r="AE301" s="103">
        <f>IF(Tabla1[[#This Row],[TIPO DE CONSUMIDOR]]="MEDIO",IF(Tabla1[[#This Row],[ENERO ]]&gt;22.5,Tabla1[[#This Row],[ENERO ]]/22.5-1,0),IF(Tabla1[[#This Row],[ENERO ]]&gt;45,Tabla1[[#This Row],[ENERO ]]/45-1,0))</f>
        <v>0</v>
      </c>
      <c r="AF30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1" s="103">
        <f>IF(Tabla1[[#This Row],[TIPO DE CONSUMIDOR]]="MEDIO",IF(Tabla1[[#This Row],[MARZO]]&gt;22.5,Tabla1[[#This Row],[MARZO]]/22.5-1,0),IF(Tabla1[[#This Row],[MARZO]]&gt;45,Tabla1[[#This Row],[MARZO]]/45-1,0))</f>
        <v>0</v>
      </c>
      <c r="AH301" s="103">
        <f>IF(Tabla1[[#This Row],[TIPO DE CONSUMIDOR]]="MEDIO",IF(Tabla1[[#This Row],[ABRIL]]&gt;22.5,Tabla1[[#This Row],[ABRIL]]/22.5-1,0),IF(Tabla1[[#This Row],[ABRIL]]&gt;45,Tabla1[[#This Row],[ABRIL]]/45-1,0))</f>
        <v>0</v>
      </c>
      <c r="AI301" s="103">
        <f>IF(Tabla1[[#This Row],[TIPO DE CONSUMIDOR]]="MEDIO",IF(Tabla1[[#This Row],[MAYO ]]&gt;22.5,Tabla1[[#This Row],[MAYO ]]/22.5-1,0),IF(Tabla1[[#This Row],[MAYO ]]&gt;45,Tabla1[[#This Row],[MAYO ]]/45-1,0))</f>
        <v>0</v>
      </c>
      <c r="AJ301" s="103">
        <f>IF(Tabla1[[#This Row],[TIPO DE CONSUMIDOR]]="MEDIO",IF(Tabla1[[#This Row],[JUNIO ]]&gt;22.5,Tabla1[[#This Row],[JUNIO ]]/22.5-1,0),IF(Tabla1[[#This Row],[JUNIO ]]&gt;45,Tabla1[[#This Row],[JUNIO ]]/45-1,0))</f>
        <v>0</v>
      </c>
      <c r="AK301" s="103">
        <f>IF(Tabla1[[#This Row],[TIPO DE CONSUMIDOR]]="MEDIO",IF(Tabla1[[#This Row],[JULIO ]]&gt;22.5,Tabla1[[#This Row],[JULIO ]]/22.5-1,0),IF(Tabla1[[#This Row],[JULIO ]]&gt;45,Tabla1[[#This Row],[JULIO ]]/45-1,0))</f>
        <v>0</v>
      </c>
      <c r="AL301" s="103">
        <f>IF(Tabla1[[#This Row],[TIPO DE CONSUMIDOR]]="MEDIO",IF(Tabla1[[#This Row],[AGOSTO]]&gt;22.5,Tabla1[[#This Row],[AGOSTO]]/22.5-1,0),IF(Tabla1[[#This Row],[AGOSTO]]&gt;45,Tabla1[[#This Row],[AGOSTO]]/45-1,0))</f>
        <v>0</v>
      </c>
      <c r="AM30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1" s="104">
        <f t="shared" si="10"/>
        <v>0</v>
      </c>
      <c r="AR301" s="9">
        <f t="shared" si="9"/>
        <v>1</v>
      </c>
      <c r="AS301" s="60">
        <f>IF(Tabla1[[#This Row],[MESES DE ADEUDO DEL AÑO EN CURSO ]]&gt;0,1,0)</f>
        <v>1</v>
      </c>
      <c r="AT301" s="42"/>
      <c r="AU301" s="42"/>
      <c r="AV301" s="42"/>
      <c r="AW301" s="43"/>
    </row>
    <row r="302" spans="1:49" ht="21.75" thickBot="1" x14ac:dyDescent="0.35">
      <c r="A302" s="109">
        <v>296</v>
      </c>
      <c r="B302" s="5" t="s">
        <v>152</v>
      </c>
      <c r="C302" s="2" t="s">
        <v>575</v>
      </c>
      <c r="D302" s="32"/>
      <c r="E302" s="35" t="s">
        <v>455</v>
      </c>
      <c r="F302" s="34">
        <v>45</v>
      </c>
      <c r="G302" s="34">
        <v>45</v>
      </c>
      <c r="H302" s="34">
        <v>45</v>
      </c>
      <c r="I302" s="34">
        <v>45</v>
      </c>
      <c r="J302" s="34">
        <v>45</v>
      </c>
      <c r="K302" s="34">
        <v>45</v>
      </c>
      <c r="L302" s="34">
        <v>45</v>
      </c>
      <c r="M302" s="34">
        <v>45</v>
      </c>
      <c r="N302" s="34">
        <v>45</v>
      </c>
      <c r="O302" s="34">
        <v>0</v>
      </c>
      <c r="P302" s="34">
        <v>0</v>
      </c>
      <c r="Q302" s="34">
        <v>0</v>
      </c>
      <c r="R302" s="24">
        <f>SUM(Tabla1[[#This Row],[ENERO ]:[DICIEMBRE]])</f>
        <v>405</v>
      </c>
      <c r="W302" s="65">
        <v>0</v>
      </c>
      <c r="X302" s="21">
        <f>COUNTIF(Tabla1[[#This Row],[ENERO ]:[DICIEMBRE]],0)-(AQ302)-IF(Tabla1[[#This Row],[BAJAS]]="BAJA",IF(Tabla1[[#This Row],[ALTAS]]="ALTA",VLOOKUP(Tabla1[[#This Row],[MES DE ALTA ]],$AT$6:$AU$17,2,FALSE),12)-VLOOKUP(Tabla1[[#This Row],[MES DE BAJA ]],$AT$6:$AU$17,2,FALSE),0)</f>
        <v>3</v>
      </c>
      <c r="Y302" s="69">
        <f>SUM(Tabla1[[#This Row],[MES ADEUDO DE AÑOS PASADOS ]:[MESES DE ADEUDO DEL AÑO EN CURSO ]])</f>
        <v>3</v>
      </c>
      <c r="Z302" s="15">
        <f>IF(Tabla1[[#This Row],[TIPO DE CONSUMIDOR]]="COMPLETO",W302*$T$2,W302*($T$2/2))</f>
        <v>0</v>
      </c>
      <c r="AA302" s="15">
        <f>IF(Tabla1[[#This Row],[TIPO DE CONSUMIDOR]]="COMPLETO",Tabla1[[#This Row],[MESES DE ADEUDO DEL AÑO EN CURSO ]]*$T$2,Tabla1[[#This Row],[MESES DE ADEUDO DEL AÑO EN CURSO ]]*($T$2/2))</f>
        <v>135</v>
      </c>
      <c r="AB302" s="70">
        <f>SUM(Tabla1[[#This Row],[DEUDA DE LOS MESES PASADOS EN $$]:[DEUDA DEL AÑO 2013 $$ ]])</f>
        <v>135</v>
      </c>
      <c r="AE302" s="103">
        <f>IF(Tabla1[[#This Row],[TIPO DE CONSUMIDOR]]="MEDIO",IF(Tabla1[[#This Row],[ENERO ]]&gt;22.5,Tabla1[[#This Row],[ENERO ]]/22.5-1,0),IF(Tabla1[[#This Row],[ENERO ]]&gt;45,Tabla1[[#This Row],[ENERO ]]/45-1,0))</f>
        <v>0</v>
      </c>
      <c r="AF30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2" s="103">
        <f>IF(Tabla1[[#This Row],[TIPO DE CONSUMIDOR]]="MEDIO",IF(Tabla1[[#This Row],[MARZO]]&gt;22.5,Tabla1[[#This Row],[MARZO]]/22.5-1,0),IF(Tabla1[[#This Row],[MARZO]]&gt;45,Tabla1[[#This Row],[MARZO]]/45-1,0))</f>
        <v>0</v>
      </c>
      <c r="AH302" s="103">
        <f>IF(Tabla1[[#This Row],[TIPO DE CONSUMIDOR]]="MEDIO",IF(Tabla1[[#This Row],[ABRIL]]&gt;22.5,Tabla1[[#This Row],[ABRIL]]/22.5-1,0),IF(Tabla1[[#This Row],[ABRIL]]&gt;45,Tabla1[[#This Row],[ABRIL]]/45-1,0))</f>
        <v>0</v>
      </c>
      <c r="AI302" s="103">
        <f>IF(Tabla1[[#This Row],[TIPO DE CONSUMIDOR]]="MEDIO",IF(Tabla1[[#This Row],[MAYO ]]&gt;22.5,Tabla1[[#This Row],[MAYO ]]/22.5-1,0),IF(Tabla1[[#This Row],[MAYO ]]&gt;45,Tabla1[[#This Row],[MAYO ]]/45-1,0))</f>
        <v>0</v>
      </c>
      <c r="AJ302" s="103">
        <f>IF(Tabla1[[#This Row],[TIPO DE CONSUMIDOR]]="MEDIO",IF(Tabla1[[#This Row],[JUNIO ]]&gt;22.5,Tabla1[[#This Row],[JUNIO ]]/22.5-1,0),IF(Tabla1[[#This Row],[JUNIO ]]&gt;45,Tabla1[[#This Row],[JUNIO ]]/45-1,0))</f>
        <v>0</v>
      </c>
      <c r="AK302" s="103">
        <f>IF(Tabla1[[#This Row],[TIPO DE CONSUMIDOR]]="MEDIO",IF(Tabla1[[#This Row],[JULIO ]]&gt;22.5,Tabla1[[#This Row],[JULIO ]]/22.5-1,0),IF(Tabla1[[#This Row],[JULIO ]]&gt;45,Tabla1[[#This Row],[JULIO ]]/45-1,0))</f>
        <v>0</v>
      </c>
      <c r="AL302" s="103">
        <f>IF(Tabla1[[#This Row],[TIPO DE CONSUMIDOR]]="MEDIO",IF(Tabla1[[#This Row],[AGOSTO]]&gt;22.5,Tabla1[[#This Row],[AGOSTO]]/22.5-1,0),IF(Tabla1[[#This Row],[AGOSTO]]&gt;45,Tabla1[[#This Row],[AGOSTO]]/45-1,0))</f>
        <v>0</v>
      </c>
      <c r="AM30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2" s="104">
        <f t="shared" si="10"/>
        <v>0</v>
      </c>
      <c r="AR302" s="9">
        <f t="shared" si="9"/>
        <v>1</v>
      </c>
      <c r="AS302" s="60">
        <f>IF(Tabla1[[#This Row],[MESES DE ADEUDO DEL AÑO EN CURSO ]]&gt;0,1,0)</f>
        <v>1</v>
      </c>
      <c r="AT302" s="42"/>
      <c r="AU302" s="42"/>
      <c r="AV302" s="42"/>
      <c r="AW302" s="43"/>
    </row>
    <row r="303" spans="1:49" ht="21.75" thickBot="1" x14ac:dyDescent="0.35">
      <c r="A303" s="109">
        <v>297</v>
      </c>
      <c r="B303" s="5" t="s">
        <v>584</v>
      </c>
      <c r="C303" s="2"/>
      <c r="D303" s="32"/>
      <c r="E303" s="35" t="s">
        <v>455</v>
      </c>
      <c r="F303" s="34">
        <v>0</v>
      </c>
      <c r="G303" s="34">
        <v>0</v>
      </c>
      <c r="H303" s="34">
        <v>0</v>
      </c>
      <c r="I303" s="34">
        <v>0</v>
      </c>
      <c r="J303" s="34">
        <v>0</v>
      </c>
      <c r="K303" s="34">
        <v>0</v>
      </c>
      <c r="L303" s="34">
        <v>0</v>
      </c>
      <c r="M303" s="34">
        <v>0</v>
      </c>
      <c r="N303" s="34">
        <v>0</v>
      </c>
      <c r="O303" s="34">
        <v>0</v>
      </c>
      <c r="P303" s="34">
        <v>0</v>
      </c>
      <c r="Q303" s="34">
        <v>0</v>
      </c>
      <c r="R303" s="24">
        <f>SUM(Tabla1[[#This Row],[ENERO ]:[DICIEMBRE]])</f>
        <v>0</v>
      </c>
      <c r="S303" t="s">
        <v>626</v>
      </c>
      <c r="T303" t="s">
        <v>434</v>
      </c>
      <c r="U303" t="s">
        <v>625</v>
      </c>
      <c r="V303" t="s">
        <v>9</v>
      </c>
      <c r="W303" s="65">
        <v>0</v>
      </c>
      <c r="X303" s="21">
        <f>COUNTIF(Tabla1[[#This Row],[ENERO ]:[DICIEMBRE]],0)-(AQ303)-IF(Tabla1[[#This Row],[BAJAS]]="BAJA",IF(Tabla1[[#This Row],[ALTAS]]="ALTA",VLOOKUP(Tabla1[[#This Row],[MES DE ALTA ]],$AT$6:$AU$17,2,FALSE),12)-VLOOKUP(Tabla1[[#This Row],[MES DE BAJA ]],$AT$6:$AU$17,2,FALSE),0)</f>
        <v>3</v>
      </c>
      <c r="Y303" s="69">
        <f>SUM(Tabla1[[#This Row],[MES ADEUDO DE AÑOS PASADOS ]:[MESES DE ADEUDO DEL AÑO EN CURSO ]])</f>
        <v>3</v>
      </c>
      <c r="Z303" s="15">
        <f>IF(Tabla1[[#This Row],[TIPO DE CONSUMIDOR]]="COMPLETO",W303*$T$2,W303*($T$2/2))</f>
        <v>0</v>
      </c>
      <c r="AA303" s="15">
        <f>IF(Tabla1[[#This Row],[TIPO DE CONSUMIDOR]]="COMPLETO",Tabla1[[#This Row],[MESES DE ADEUDO DEL AÑO EN CURSO ]]*$T$2,Tabla1[[#This Row],[MESES DE ADEUDO DEL AÑO EN CURSO ]]*($T$2/2))</f>
        <v>135</v>
      </c>
      <c r="AB303" s="70">
        <f>SUM(Tabla1[[#This Row],[DEUDA DE LOS MESES PASADOS EN $$]:[DEUDA DEL AÑO 2013 $$ ]])</f>
        <v>135</v>
      </c>
      <c r="AE303" s="103">
        <f>IF(Tabla1[[#This Row],[TIPO DE CONSUMIDOR]]="MEDIO",IF(Tabla1[[#This Row],[ENERO ]]&gt;22.5,Tabla1[[#This Row],[ENERO ]]/22.5-1,0),IF(Tabla1[[#This Row],[ENERO ]]&gt;45,Tabla1[[#This Row],[ENERO ]]/45-1,0))</f>
        <v>0</v>
      </c>
      <c r="AF30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3" s="103">
        <f>IF(Tabla1[[#This Row],[TIPO DE CONSUMIDOR]]="MEDIO",IF(Tabla1[[#This Row],[MARZO]]&gt;22.5,Tabla1[[#This Row],[MARZO]]/22.5-1,0),IF(Tabla1[[#This Row],[MARZO]]&gt;45,Tabla1[[#This Row],[MARZO]]/45-1,0))</f>
        <v>0</v>
      </c>
      <c r="AH303" s="103">
        <f>IF(Tabla1[[#This Row],[TIPO DE CONSUMIDOR]]="MEDIO",IF(Tabla1[[#This Row],[ABRIL]]&gt;22.5,Tabla1[[#This Row],[ABRIL]]/22.5-1,0),IF(Tabla1[[#This Row],[ABRIL]]&gt;45,Tabla1[[#This Row],[ABRIL]]/45-1,0))</f>
        <v>0</v>
      </c>
      <c r="AI303" s="103">
        <f>IF(Tabla1[[#This Row],[TIPO DE CONSUMIDOR]]="MEDIO",IF(Tabla1[[#This Row],[MAYO ]]&gt;22.5,Tabla1[[#This Row],[MAYO ]]/22.5-1,0),IF(Tabla1[[#This Row],[MAYO ]]&gt;45,Tabla1[[#This Row],[MAYO ]]/45-1,0))</f>
        <v>0</v>
      </c>
      <c r="AJ303" s="103">
        <f>IF(Tabla1[[#This Row],[TIPO DE CONSUMIDOR]]="MEDIO",IF(Tabla1[[#This Row],[JUNIO ]]&gt;22.5,Tabla1[[#This Row],[JUNIO ]]/22.5-1,0),IF(Tabla1[[#This Row],[JUNIO ]]&gt;45,Tabla1[[#This Row],[JUNIO ]]/45-1,0))</f>
        <v>0</v>
      </c>
      <c r="AK303" s="103">
        <f>IF(Tabla1[[#This Row],[TIPO DE CONSUMIDOR]]="MEDIO",IF(Tabla1[[#This Row],[JULIO ]]&gt;22.5,Tabla1[[#This Row],[JULIO ]]/22.5-1,0),IF(Tabla1[[#This Row],[JULIO ]]&gt;45,Tabla1[[#This Row],[JULIO ]]/45-1,0))</f>
        <v>0</v>
      </c>
      <c r="AL303" s="103">
        <f>IF(Tabla1[[#This Row],[TIPO DE CONSUMIDOR]]="MEDIO",IF(Tabla1[[#This Row],[AGOSTO]]&gt;22.5,Tabla1[[#This Row],[AGOSTO]]/22.5-1,0),IF(Tabla1[[#This Row],[AGOSTO]]&gt;45,Tabla1[[#This Row],[AGOSTO]]/45-1,0))</f>
        <v>0</v>
      </c>
      <c r="AM30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3" s="104">
        <f t="shared" si="10"/>
        <v>0</v>
      </c>
      <c r="AR303" s="9">
        <f t="shared" si="9"/>
        <v>1</v>
      </c>
      <c r="AS303" s="60">
        <f>IF(Tabla1[[#This Row],[MESES DE ADEUDO DEL AÑO EN CURSO ]]&gt;0,1,0)</f>
        <v>1</v>
      </c>
      <c r="AT303" s="42"/>
      <c r="AU303" s="42"/>
      <c r="AV303" s="42"/>
      <c r="AW303" s="43"/>
    </row>
    <row r="304" spans="1:49" ht="21.75" thickBot="1" x14ac:dyDescent="0.35">
      <c r="A304" s="109">
        <v>298</v>
      </c>
      <c r="B304" s="5" t="s">
        <v>275</v>
      </c>
      <c r="C304" s="2" t="s">
        <v>461</v>
      </c>
      <c r="D304" s="32"/>
      <c r="E304" s="35" t="s">
        <v>455</v>
      </c>
      <c r="F304" s="34">
        <v>45</v>
      </c>
      <c r="G304" s="34">
        <v>45</v>
      </c>
      <c r="H304" s="34">
        <v>45</v>
      </c>
      <c r="I304" s="34">
        <v>45</v>
      </c>
      <c r="J304" s="34">
        <v>45</v>
      </c>
      <c r="K304" s="34">
        <v>45</v>
      </c>
      <c r="L304" s="34">
        <v>45</v>
      </c>
      <c r="M304" s="34">
        <v>45</v>
      </c>
      <c r="N304" s="34">
        <v>0</v>
      </c>
      <c r="O304" s="34">
        <v>0</v>
      </c>
      <c r="P304" s="34">
        <v>0</v>
      </c>
      <c r="Q304" s="34">
        <v>0</v>
      </c>
      <c r="R304" s="24">
        <f>SUM(Tabla1[[#This Row],[ENERO ]:[DICIEMBRE]])</f>
        <v>360</v>
      </c>
      <c r="W304" s="65">
        <v>0</v>
      </c>
      <c r="X304" s="21">
        <f>COUNTIF(Tabla1[[#This Row],[ENERO ]:[DICIEMBRE]],0)-(AQ304)-IF(Tabla1[[#This Row],[BAJAS]]="BAJA",IF(Tabla1[[#This Row],[ALTAS]]="ALTA",VLOOKUP(Tabla1[[#This Row],[MES DE ALTA ]],$AT$6:$AU$17,2,FALSE),12)-VLOOKUP(Tabla1[[#This Row],[MES DE BAJA ]],$AT$6:$AU$17,2,FALSE),0)</f>
        <v>4</v>
      </c>
      <c r="Y304" s="69">
        <f>SUM(Tabla1[[#This Row],[MES ADEUDO DE AÑOS PASADOS ]:[MESES DE ADEUDO DEL AÑO EN CURSO ]])</f>
        <v>4</v>
      </c>
      <c r="Z304" s="15">
        <f>IF(Tabla1[[#This Row],[TIPO DE CONSUMIDOR]]="COMPLETO",W304*$T$2,W304*($T$2/2))</f>
        <v>0</v>
      </c>
      <c r="AA304" s="15">
        <f>IF(Tabla1[[#This Row],[TIPO DE CONSUMIDOR]]="COMPLETO",Tabla1[[#This Row],[MESES DE ADEUDO DEL AÑO EN CURSO ]]*$T$2,Tabla1[[#This Row],[MESES DE ADEUDO DEL AÑO EN CURSO ]]*($T$2/2))</f>
        <v>180</v>
      </c>
      <c r="AB304" s="70">
        <f>SUM(Tabla1[[#This Row],[DEUDA DE LOS MESES PASADOS EN $$]:[DEUDA DEL AÑO 2013 $$ ]])</f>
        <v>180</v>
      </c>
      <c r="AE304" s="103">
        <f>IF(Tabla1[[#This Row],[TIPO DE CONSUMIDOR]]="MEDIO",IF(Tabla1[[#This Row],[ENERO ]]&gt;22.5,Tabla1[[#This Row],[ENERO ]]/22.5-1,0),IF(Tabla1[[#This Row],[ENERO ]]&gt;45,Tabla1[[#This Row],[ENERO ]]/45-1,0))</f>
        <v>0</v>
      </c>
      <c r="AF30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4" s="103">
        <f>IF(Tabla1[[#This Row],[TIPO DE CONSUMIDOR]]="MEDIO",IF(Tabla1[[#This Row],[MARZO]]&gt;22.5,Tabla1[[#This Row],[MARZO]]/22.5-1,0),IF(Tabla1[[#This Row],[MARZO]]&gt;45,Tabla1[[#This Row],[MARZO]]/45-1,0))</f>
        <v>0</v>
      </c>
      <c r="AH304" s="103">
        <f>IF(Tabla1[[#This Row],[TIPO DE CONSUMIDOR]]="MEDIO",IF(Tabla1[[#This Row],[ABRIL]]&gt;22.5,Tabla1[[#This Row],[ABRIL]]/22.5-1,0),IF(Tabla1[[#This Row],[ABRIL]]&gt;45,Tabla1[[#This Row],[ABRIL]]/45-1,0))</f>
        <v>0</v>
      </c>
      <c r="AI304" s="103">
        <f>IF(Tabla1[[#This Row],[TIPO DE CONSUMIDOR]]="MEDIO",IF(Tabla1[[#This Row],[MAYO ]]&gt;22.5,Tabla1[[#This Row],[MAYO ]]/22.5-1,0),IF(Tabla1[[#This Row],[MAYO ]]&gt;45,Tabla1[[#This Row],[MAYO ]]/45-1,0))</f>
        <v>0</v>
      </c>
      <c r="AJ304" s="103">
        <f>IF(Tabla1[[#This Row],[TIPO DE CONSUMIDOR]]="MEDIO",IF(Tabla1[[#This Row],[JUNIO ]]&gt;22.5,Tabla1[[#This Row],[JUNIO ]]/22.5-1,0),IF(Tabla1[[#This Row],[JUNIO ]]&gt;45,Tabla1[[#This Row],[JUNIO ]]/45-1,0))</f>
        <v>0</v>
      </c>
      <c r="AK304" s="103">
        <f>IF(Tabla1[[#This Row],[TIPO DE CONSUMIDOR]]="MEDIO",IF(Tabla1[[#This Row],[JULIO ]]&gt;22.5,Tabla1[[#This Row],[JULIO ]]/22.5-1,0),IF(Tabla1[[#This Row],[JULIO ]]&gt;45,Tabla1[[#This Row],[JULIO ]]/45-1,0))</f>
        <v>0</v>
      </c>
      <c r="AL304" s="103">
        <f>IF(Tabla1[[#This Row],[TIPO DE CONSUMIDOR]]="MEDIO",IF(Tabla1[[#This Row],[AGOSTO]]&gt;22.5,Tabla1[[#This Row],[AGOSTO]]/22.5-1,0),IF(Tabla1[[#This Row],[AGOSTO]]&gt;45,Tabla1[[#This Row],[AGOSTO]]/45-1,0))</f>
        <v>0</v>
      </c>
      <c r="AM30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4" s="104">
        <f t="shared" si="10"/>
        <v>0</v>
      </c>
      <c r="AR304" s="9">
        <f t="shared" si="9"/>
        <v>1</v>
      </c>
      <c r="AS304" s="60">
        <f>IF(Tabla1[[#This Row],[MESES DE ADEUDO DEL AÑO EN CURSO ]]&gt;0,1,0)</f>
        <v>1</v>
      </c>
      <c r="AT304" s="42"/>
      <c r="AU304" s="42"/>
      <c r="AV304" s="42"/>
      <c r="AW304" s="43"/>
    </row>
    <row r="305" spans="1:49" ht="21.75" thickBot="1" x14ac:dyDescent="0.35">
      <c r="A305" s="109">
        <v>299</v>
      </c>
      <c r="B305" s="5" t="s">
        <v>475</v>
      </c>
      <c r="C305" s="2" t="s">
        <v>488</v>
      </c>
      <c r="D305" s="32"/>
      <c r="E305" s="35" t="s">
        <v>455</v>
      </c>
      <c r="F305" s="34">
        <v>0</v>
      </c>
      <c r="G305" s="34">
        <v>0</v>
      </c>
      <c r="H305" s="34">
        <v>0</v>
      </c>
      <c r="I305" s="34">
        <v>45</v>
      </c>
      <c r="J305" s="34">
        <v>45</v>
      </c>
      <c r="K305" s="34">
        <v>45</v>
      </c>
      <c r="L305" s="34">
        <v>45</v>
      </c>
      <c r="M305" s="34">
        <v>45</v>
      </c>
      <c r="N305" s="34">
        <v>0</v>
      </c>
      <c r="O305" s="34">
        <v>0</v>
      </c>
      <c r="P305" s="34">
        <v>0</v>
      </c>
      <c r="Q305" s="34">
        <v>0</v>
      </c>
      <c r="R305" s="24">
        <f>SUM(Tabla1[[#This Row],[ENERO ]:[DICIEMBRE]])</f>
        <v>225</v>
      </c>
      <c r="S305" t="s">
        <v>626</v>
      </c>
      <c r="T305" t="s">
        <v>434</v>
      </c>
      <c r="U305" t="s">
        <v>625</v>
      </c>
      <c r="V305" t="s">
        <v>3</v>
      </c>
      <c r="W305" s="65">
        <v>0</v>
      </c>
      <c r="X305" s="21">
        <f>COUNTIF(Tabla1[[#This Row],[ENERO ]:[DICIEMBRE]],0)-(AQ305)-IF(Tabla1[[#This Row],[BAJAS]]="BAJA",IF(Tabla1[[#This Row],[ALTAS]]="ALTA",VLOOKUP(Tabla1[[#This Row],[MES DE ALTA ]],$AT$6:$AU$17,2,FALSE),12)-VLOOKUP(Tabla1[[#This Row],[MES DE BAJA ]],$AT$6:$AU$17,2,FALSE),0)</f>
        <v>4</v>
      </c>
      <c r="Y305" s="69">
        <f>SUM(Tabla1[[#This Row],[MES ADEUDO DE AÑOS PASADOS ]:[MESES DE ADEUDO DEL AÑO EN CURSO ]])</f>
        <v>4</v>
      </c>
      <c r="Z305" s="15">
        <f>IF(Tabla1[[#This Row],[TIPO DE CONSUMIDOR]]="COMPLETO",W305*$T$2,W305*($T$2/2))</f>
        <v>0</v>
      </c>
      <c r="AA305" s="15">
        <f>IF(Tabla1[[#This Row],[TIPO DE CONSUMIDOR]]="COMPLETO",Tabla1[[#This Row],[MESES DE ADEUDO DEL AÑO EN CURSO ]]*$T$2,Tabla1[[#This Row],[MESES DE ADEUDO DEL AÑO EN CURSO ]]*($T$2/2))</f>
        <v>180</v>
      </c>
      <c r="AB305" s="70">
        <f>SUM(Tabla1[[#This Row],[DEUDA DE LOS MESES PASADOS EN $$]:[DEUDA DEL AÑO 2013 $$ ]])</f>
        <v>180</v>
      </c>
      <c r="AE305" s="103">
        <f>IF(Tabla1[[#This Row],[TIPO DE CONSUMIDOR]]="MEDIO",IF(Tabla1[[#This Row],[ENERO ]]&gt;22.5,Tabla1[[#This Row],[ENERO ]]/22.5-1,0),IF(Tabla1[[#This Row],[ENERO ]]&gt;45,Tabla1[[#This Row],[ENERO ]]/45-1,0))</f>
        <v>0</v>
      </c>
      <c r="AF30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5" s="103">
        <f>IF(Tabla1[[#This Row],[TIPO DE CONSUMIDOR]]="MEDIO",IF(Tabla1[[#This Row],[MARZO]]&gt;22.5,Tabla1[[#This Row],[MARZO]]/22.5-1,0),IF(Tabla1[[#This Row],[MARZO]]&gt;45,Tabla1[[#This Row],[MARZO]]/45-1,0))</f>
        <v>0</v>
      </c>
      <c r="AH305" s="103">
        <f>IF(Tabla1[[#This Row],[TIPO DE CONSUMIDOR]]="MEDIO",IF(Tabla1[[#This Row],[ABRIL]]&gt;22.5,Tabla1[[#This Row],[ABRIL]]/22.5-1,0),IF(Tabla1[[#This Row],[ABRIL]]&gt;45,Tabla1[[#This Row],[ABRIL]]/45-1,0))</f>
        <v>0</v>
      </c>
      <c r="AI305" s="103">
        <f>IF(Tabla1[[#This Row],[TIPO DE CONSUMIDOR]]="MEDIO",IF(Tabla1[[#This Row],[MAYO ]]&gt;22.5,Tabla1[[#This Row],[MAYO ]]/22.5-1,0),IF(Tabla1[[#This Row],[MAYO ]]&gt;45,Tabla1[[#This Row],[MAYO ]]/45-1,0))</f>
        <v>0</v>
      </c>
      <c r="AJ305" s="103">
        <f>IF(Tabla1[[#This Row],[TIPO DE CONSUMIDOR]]="MEDIO",IF(Tabla1[[#This Row],[JUNIO ]]&gt;22.5,Tabla1[[#This Row],[JUNIO ]]/22.5-1,0),IF(Tabla1[[#This Row],[JUNIO ]]&gt;45,Tabla1[[#This Row],[JUNIO ]]/45-1,0))</f>
        <v>0</v>
      </c>
      <c r="AK305" s="103">
        <f>IF(Tabla1[[#This Row],[TIPO DE CONSUMIDOR]]="MEDIO",IF(Tabla1[[#This Row],[JULIO ]]&gt;22.5,Tabla1[[#This Row],[JULIO ]]/22.5-1,0),IF(Tabla1[[#This Row],[JULIO ]]&gt;45,Tabla1[[#This Row],[JULIO ]]/45-1,0))</f>
        <v>0</v>
      </c>
      <c r="AL305" s="103">
        <f>IF(Tabla1[[#This Row],[TIPO DE CONSUMIDOR]]="MEDIO",IF(Tabla1[[#This Row],[AGOSTO]]&gt;22.5,Tabla1[[#This Row],[AGOSTO]]/22.5-1,0),IF(Tabla1[[#This Row],[AGOSTO]]&gt;45,Tabla1[[#This Row],[AGOSTO]]/45-1,0))</f>
        <v>0</v>
      </c>
      <c r="AM30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5" s="104">
        <f t="shared" si="10"/>
        <v>0</v>
      </c>
      <c r="AR305" s="9">
        <f t="shared" si="9"/>
        <v>1</v>
      </c>
      <c r="AS305" s="60">
        <f>IF(Tabla1[[#This Row],[MESES DE ADEUDO DEL AÑO EN CURSO ]]&gt;0,1,0)</f>
        <v>1</v>
      </c>
      <c r="AT305" s="42"/>
      <c r="AU305" s="42"/>
      <c r="AV305" s="42"/>
      <c r="AW305" s="43"/>
    </row>
    <row r="306" spans="1:49" ht="21.75" thickBot="1" x14ac:dyDescent="0.35">
      <c r="A306" s="109">
        <v>300</v>
      </c>
      <c r="B306" s="5" t="s">
        <v>170</v>
      </c>
      <c r="C306" s="2" t="s">
        <v>493</v>
      </c>
      <c r="D306" s="32"/>
      <c r="E306" s="35" t="s">
        <v>455</v>
      </c>
      <c r="F306" s="34">
        <v>45</v>
      </c>
      <c r="G306" s="34">
        <v>45</v>
      </c>
      <c r="H306" s="34">
        <v>45</v>
      </c>
      <c r="I306" s="34">
        <v>45</v>
      </c>
      <c r="J306" s="34">
        <v>45</v>
      </c>
      <c r="K306" s="34">
        <v>45</v>
      </c>
      <c r="L306" s="34">
        <v>45</v>
      </c>
      <c r="M306" s="34">
        <v>45</v>
      </c>
      <c r="N306" s="34">
        <v>0</v>
      </c>
      <c r="O306" s="34">
        <v>0</v>
      </c>
      <c r="P306" s="34">
        <v>0</v>
      </c>
      <c r="Q306" s="34">
        <v>0</v>
      </c>
      <c r="R306" s="24">
        <f>SUM(Tabla1[[#This Row],[ENERO ]:[DICIEMBRE]])</f>
        <v>360</v>
      </c>
      <c r="W306" s="65">
        <v>0</v>
      </c>
      <c r="X306" s="21">
        <f>COUNTIF(Tabla1[[#This Row],[ENERO ]:[DICIEMBRE]],0)-(AQ306)-IF(Tabla1[[#This Row],[BAJAS]]="BAJA",IF(Tabla1[[#This Row],[ALTAS]]="ALTA",VLOOKUP(Tabla1[[#This Row],[MES DE ALTA ]],$AT$6:$AU$17,2,FALSE),12)-VLOOKUP(Tabla1[[#This Row],[MES DE BAJA ]],$AT$6:$AU$17,2,FALSE),0)</f>
        <v>4</v>
      </c>
      <c r="Y306" s="69">
        <f>SUM(Tabla1[[#This Row],[MES ADEUDO DE AÑOS PASADOS ]:[MESES DE ADEUDO DEL AÑO EN CURSO ]])</f>
        <v>4</v>
      </c>
      <c r="Z306" s="15">
        <f>IF(Tabla1[[#This Row],[TIPO DE CONSUMIDOR]]="COMPLETO",W306*$T$2,W306*($T$2/2))</f>
        <v>0</v>
      </c>
      <c r="AA306" s="15">
        <f>IF(Tabla1[[#This Row],[TIPO DE CONSUMIDOR]]="COMPLETO",Tabla1[[#This Row],[MESES DE ADEUDO DEL AÑO EN CURSO ]]*$T$2,Tabla1[[#This Row],[MESES DE ADEUDO DEL AÑO EN CURSO ]]*($T$2/2))</f>
        <v>180</v>
      </c>
      <c r="AB306" s="70">
        <f>SUM(Tabla1[[#This Row],[DEUDA DE LOS MESES PASADOS EN $$]:[DEUDA DEL AÑO 2013 $$ ]])</f>
        <v>180</v>
      </c>
      <c r="AE306" s="103">
        <f>IF(Tabla1[[#This Row],[TIPO DE CONSUMIDOR]]="MEDIO",IF(Tabla1[[#This Row],[ENERO ]]&gt;22.5,Tabla1[[#This Row],[ENERO ]]/22.5-1,0),IF(Tabla1[[#This Row],[ENERO ]]&gt;45,Tabla1[[#This Row],[ENERO ]]/45-1,0))</f>
        <v>0</v>
      </c>
      <c r="AF30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6" s="103">
        <f>IF(Tabla1[[#This Row],[TIPO DE CONSUMIDOR]]="MEDIO",IF(Tabla1[[#This Row],[MARZO]]&gt;22.5,Tabla1[[#This Row],[MARZO]]/22.5-1,0),IF(Tabla1[[#This Row],[MARZO]]&gt;45,Tabla1[[#This Row],[MARZO]]/45-1,0))</f>
        <v>0</v>
      </c>
      <c r="AH306" s="103">
        <f>IF(Tabla1[[#This Row],[TIPO DE CONSUMIDOR]]="MEDIO",IF(Tabla1[[#This Row],[ABRIL]]&gt;22.5,Tabla1[[#This Row],[ABRIL]]/22.5-1,0),IF(Tabla1[[#This Row],[ABRIL]]&gt;45,Tabla1[[#This Row],[ABRIL]]/45-1,0))</f>
        <v>0</v>
      </c>
      <c r="AI306" s="103">
        <f>IF(Tabla1[[#This Row],[TIPO DE CONSUMIDOR]]="MEDIO",IF(Tabla1[[#This Row],[MAYO ]]&gt;22.5,Tabla1[[#This Row],[MAYO ]]/22.5-1,0),IF(Tabla1[[#This Row],[MAYO ]]&gt;45,Tabla1[[#This Row],[MAYO ]]/45-1,0))</f>
        <v>0</v>
      </c>
      <c r="AJ306" s="103">
        <f>IF(Tabla1[[#This Row],[TIPO DE CONSUMIDOR]]="MEDIO",IF(Tabla1[[#This Row],[JUNIO ]]&gt;22.5,Tabla1[[#This Row],[JUNIO ]]/22.5-1,0),IF(Tabla1[[#This Row],[JUNIO ]]&gt;45,Tabla1[[#This Row],[JUNIO ]]/45-1,0))</f>
        <v>0</v>
      </c>
      <c r="AK306" s="103">
        <f>IF(Tabla1[[#This Row],[TIPO DE CONSUMIDOR]]="MEDIO",IF(Tabla1[[#This Row],[JULIO ]]&gt;22.5,Tabla1[[#This Row],[JULIO ]]/22.5-1,0),IF(Tabla1[[#This Row],[JULIO ]]&gt;45,Tabla1[[#This Row],[JULIO ]]/45-1,0))</f>
        <v>0</v>
      </c>
      <c r="AL306" s="103">
        <f>IF(Tabla1[[#This Row],[TIPO DE CONSUMIDOR]]="MEDIO",IF(Tabla1[[#This Row],[AGOSTO]]&gt;22.5,Tabla1[[#This Row],[AGOSTO]]/22.5-1,0),IF(Tabla1[[#This Row],[AGOSTO]]&gt;45,Tabla1[[#This Row],[AGOSTO]]/45-1,0))</f>
        <v>0</v>
      </c>
      <c r="AM30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6" s="104">
        <f t="shared" si="10"/>
        <v>0</v>
      </c>
      <c r="AR306" s="9">
        <f t="shared" si="9"/>
        <v>1</v>
      </c>
      <c r="AS306" s="60">
        <f>IF(Tabla1[[#This Row],[MESES DE ADEUDO DEL AÑO EN CURSO ]]&gt;0,1,0)</f>
        <v>1</v>
      </c>
      <c r="AT306" s="42"/>
      <c r="AU306" s="42"/>
      <c r="AV306" s="42"/>
      <c r="AW306" s="43"/>
    </row>
    <row r="307" spans="1:49" ht="21.75" thickBot="1" x14ac:dyDescent="0.35">
      <c r="A307" s="109">
        <v>301</v>
      </c>
      <c r="B307" s="5" t="s">
        <v>503</v>
      </c>
      <c r="C307" s="2" t="s">
        <v>501</v>
      </c>
      <c r="D307" s="32"/>
      <c r="E307" s="35" t="s">
        <v>455</v>
      </c>
      <c r="F307" s="34">
        <v>0</v>
      </c>
      <c r="G307" s="34">
        <v>0</v>
      </c>
      <c r="H307" s="34">
        <v>0</v>
      </c>
      <c r="I307" s="34">
        <v>0</v>
      </c>
      <c r="J307" s="34">
        <v>0</v>
      </c>
      <c r="K307" s="34">
        <v>45</v>
      </c>
      <c r="L307" s="34">
        <v>45</v>
      </c>
      <c r="M307" s="34">
        <v>45</v>
      </c>
      <c r="N307" s="34">
        <v>0</v>
      </c>
      <c r="O307" s="34">
        <v>0</v>
      </c>
      <c r="P307" s="34">
        <v>0</v>
      </c>
      <c r="Q307" s="34">
        <v>0</v>
      </c>
      <c r="R307" s="24">
        <f>SUM(Tabla1[[#This Row],[ENERO ]:[DICIEMBRE]])</f>
        <v>135</v>
      </c>
      <c r="S307" t="s">
        <v>626</v>
      </c>
      <c r="T307" t="s">
        <v>434</v>
      </c>
      <c r="U307" t="s">
        <v>625</v>
      </c>
      <c r="V307" t="s">
        <v>443</v>
      </c>
      <c r="W307" s="65">
        <v>0</v>
      </c>
      <c r="X307" s="21">
        <f>COUNTIF(Tabla1[[#This Row],[ENERO ]:[DICIEMBRE]],0)-(AQ307)-IF(Tabla1[[#This Row],[BAJAS]]="BAJA",IF(Tabla1[[#This Row],[ALTAS]]="ALTA",VLOOKUP(Tabla1[[#This Row],[MES DE ALTA ]],$AT$6:$AU$17,2,FALSE),12)-VLOOKUP(Tabla1[[#This Row],[MES DE BAJA ]],$AT$6:$AU$17,2,FALSE),0)</f>
        <v>4</v>
      </c>
      <c r="Y307" s="69">
        <f>SUM(Tabla1[[#This Row],[MES ADEUDO DE AÑOS PASADOS ]:[MESES DE ADEUDO DEL AÑO EN CURSO ]])</f>
        <v>4</v>
      </c>
      <c r="Z307" s="15">
        <f>IF(Tabla1[[#This Row],[TIPO DE CONSUMIDOR]]="COMPLETO",W307*$T$2,W307*($T$2/2))</f>
        <v>0</v>
      </c>
      <c r="AA307" s="15">
        <f>IF(Tabla1[[#This Row],[TIPO DE CONSUMIDOR]]="COMPLETO",Tabla1[[#This Row],[MESES DE ADEUDO DEL AÑO EN CURSO ]]*$T$2,Tabla1[[#This Row],[MESES DE ADEUDO DEL AÑO EN CURSO ]]*($T$2/2))</f>
        <v>180</v>
      </c>
      <c r="AB307" s="70">
        <f>SUM(Tabla1[[#This Row],[DEUDA DE LOS MESES PASADOS EN $$]:[DEUDA DEL AÑO 2013 $$ ]])</f>
        <v>180</v>
      </c>
      <c r="AE307" s="103">
        <f>IF(Tabla1[[#This Row],[TIPO DE CONSUMIDOR]]="MEDIO",IF(Tabla1[[#This Row],[ENERO ]]&gt;22.5,Tabla1[[#This Row],[ENERO ]]/22.5-1,0),IF(Tabla1[[#This Row],[ENERO ]]&gt;45,Tabla1[[#This Row],[ENERO ]]/45-1,0))</f>
        <v>0</v>
      </c>
      <c r="AF30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7" s="103">
        <f>IF(Tabla1[[#This Row],[TIPO DE CONSUMIDOR]]="MEDIO",IF(Tabla1[[#This Row],[MARZO]]&gt;22.5,Tabla1[[#This Row],[MARZO]]/22.5-1,0),IF(Tabla1[[#This Row],[MARZO]]&gt;45,Tabla1[[#This Row],[MARZO]]/45-1,0))</f>
        <v>0</v>
      </c>
      <c r="AH307" s="103">
        <f>IF(Tabla1[[#This Row],[TIPO DE CONSUMIDOR]]="MEDIO",IF(Tabla1[[#This Row],[ABRIL]]&gt;22.5,Tabla1[[#This Row],[ABRIL]]/22.5-1,0),IF(Tabla1[[#This Row],[ABRIL]]&gt;45,Tabla1[[#This Row],[ABRIL]]/45-1,0))</f>
        <v>0</v>
      </c>
      <c r="AI307" s="103">
        <f>IF(Tabla1[[#This Row],[TIPO DE CONSUMIDOR]]="MEDIO",IF(Tabla1[[#This Row],[MAYO ]]&gt;22.5,Tabla1[[#This Row],[MAYO ]]/22.5-1,0),IF(Tabla1[[#This Row],[MAYO ]]&gt;45,Tabla1[[#This Row],[MAYO ]]/45-1,0))</f>
        <v>0</v>
      </c>
      <c r="AJ307" s="103">
        <f>IF(Tabla1[[#This Row],[TIPO DE CONSUMIDOR]]="MEDIO",IF(Tabla1[[#This Row],[JUNIO ]]&gt;22.5,Tabla1[[#This Row],[JUNIO ]]/22.5-1,0),IF(Tabla1[[#This Row],[JUNIO ]]&gt;45,Tabla1[[#This Row],[JUNIO ]]/45-1,0))</f>
        <v>0</v>
      </c>
      <c r="AK307" s="103">
        <f>IF(Tabla1[[#This Row],[TIPO DE CONSUMIDOR]]="MEDIO",IF(Tabla1[[#This Row],[JULIO ]]&gt;22.5,Tabla1[[#This Row],[JULIO ]]/22.5-1,0),IF(Tabla1[[#This Row],[JULIO ]]&gt;45,Tabla1[[#This Row],[JULIO ]]/45-1,0))</f>
        <v>0</v>
      </c>
      <c r="AL307" s="103">
        <f>IF(Tabla1[[#This Row],[TIPO DE CONSUMIDOR]]="MEDIO",IF(Tabla1[[#This Row],[AGOSTO]]&gt;22.5,Tabla1[[#This Row],[AGOSTO]]/22.5-1,0),IF(Tabla1[[#This Row],[AGOSTO]]&gt;45,Tabla1[[#This Row],[AGOSTO]]/45-1,0))</f>
        <v>0</v>
      </c>
      <c r="AM30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7" s="104">
        <f t="shared" si="10"/>
        <v>0</v>
      </c>
      <c r="AR307" s="9">
        <f t="shared" si="9"/>
        <v>1</v>
      </c>
      <c r="AS307" s="60">
        <f>IF(Tabla1[[#This Row],[MESES DE ADEUDO DEL AÑO EN CURSO ]]&gt;0,1,0)</f>
        <v>1</v>
      </c>
      <c r="AT307" s="42"/>
      <c r="AU307" s="42"/>
      <c r="AV307" s="42"/>
      <c r="AW307" s="43"/>
    </row>
    <row r="308" spans="1:49" ht="21.75" thickBot="1" x14ac:dyDescent="0.35">
      <c r="A308" s="109">
        <v>302</v>
      </c>
      <c r="B308" s="5" t="s">
        <v>102</v>
      </c>
      <c r="C308" s="2" t="s">
        <v>504</v>
      </c>
      <c r="D308" s="32"/>
      <c r="E308" s="35" t="s">
        <v>455</v>
      </c>
      <c r="F308" s="34">
        <v>45</v>
      </c>
      <c r="G308" s="34">
        <v>45</v>
      </c>
      <c r="H308" s="34">
        <v>45</v>
      </c>
      <c r="I308" s="34">
        <v>45</v>
      </c>
      <c r="J308" s="34">
        <v>45</v>
      </c>
      <c r="K308" s="34">
        <v>45</v>
      </c>
      <c r="L308" s="34">
        <v>45</v>
      </c>
      <c r="M308" s="34">
        <v>45</v>
      </c>
      <c r="N308" s="34">
        <v>0</v>
      </c>
      <c r="O308" s="34">
        <v>0</v>
      </c>
      <c r="P308" s="34">
        <v>0</v>
      </c>
      <c r="Q308" s="34">
        <v>0</v>
      </c>
      <c r="R308" s="24">
        <f>SUM(Tabla1[[#This Row],[ENERO ]:[DICIEMBRE]])</f>
        <v>360</v>
      </c>
      <c r="W308" s="65">
        <v>0</v>
      </c>
      <c r="X308" s="21">
        <f>COUNTIF(Tabla1[[#This Row],[ENERO ]:[DICIEMBRE]],0)-(AQ308)-IF(Tabla1[[#This Row],[BAJAS]]="BAJA",IF(Tabla1[[#This Row],[ALTAS]]="ALTA",VLOOKUP(Tabla1[[#This Row],[MES DE ALTA ]],$AT$6:$AU$17,2,FALSE),12)-VLOOKUP(Tabla1[[#This Row],[MES DE BAJA ]],$AT$6:$AU$17,2,FALSE),0)</f>
        <v>4</v>
      </c>
      <c r="Y308" s="69">
        <f>SUM(Tabla1[[#This Row],[MES ADEUDO DE AÑOS PASADOS ]:[MESES DE ADEUDO DEL AÑO EN CURSO ]])</f>
        <v>4</v>
      </c>
      <c r="Z308" s="15">
        <f>IF(Tabla1[[#This Row],[TIPO DE CONSUMIDOR]]="COMPLETO",W308*$T$2,W308*($T$2/2))</f>
        <v>0</v>
      </c>
      <c r="AA308" s="15">
        <f>IF(Tabla1[[#This Row],[TIPO DE CONSUMIDOR]]="COMPLETO",Tabla1[[#This Row],[MESES DE ADEUDO DEL AÑO EN CURSO ]]*$T$2,Tabla1[[#This Row],[MESES DE ADEUDO DEL AÑO EN CURSO ]]*($T$2/2))</f>
        <v>180</v>
      </c>
      <c r="AB308" s="70">
        <f>SUM(Tabla1[[#This Row],[DEUDA DE LOS MESES PASADOS EN $$]:[DEUDA DEL AÑO 2013 $$ ]])</f>
        <v>180</v>
      </c>
      <c r="AE308" s="103">
        <f>IF(Tabla1[[#This Row],[TIPO DE CONSUMIDOR]]="MEDIO",IF(Tabla1[[#This Row],[ENERO ]]&gt;22.5,Tabla1[[#This Row],[ENERO ]]/22.5-1,0),IF(Tabla1[[#This Row],[ENERO ]]&gt;45,Tabla1[[#This Row],[ENERO ]]/45-1,0))</f>
        <v>0</v>
      </c>
      <c r="AF30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8" s="103">
        <f>IF(Tabla1[[#This Row],[TIPO DE CONSUMIDOR]]="MEDIO",IF(Tabla1[[#This Row],[MARZO]]&gt;22.5,Tabla1[[#This Row],[MARZO]]/22.5-1,0),IF(Tabla1[[#This Row],[MARZO]]&gt;45,Tabla1[[#This Row],[MARZO]]/45-1,0))</f>
        <v>0</v>
      </c>
      <c r="AH308" s="103">
        <f>IF(Tabla1[[#This Row],[TIPO DE CONSUMIDOR]]="MEDIO",IF(Tabla1[[#This Row],[ABRIL]]&gt;22.5,Tabla1[[#This Row],[ABRIL]]/22.5-1,0),IF(Tabla1[[#This Row],[ABRIL]]&gt;45,Tabla1[[#This Row],[ABRIL]]/45-1,0))</f>
        <v>0</v>
      </c>
      <c r="AI308" s="103">
        <f>IF(Tabla1[[#This Row],[TIPO DE CONSUMIDOR]]="MEDIO",IF(Tabla1[[#This Row],[MAYO ]]&gt;22.5,Tabla1[[#This Row],[MAYO ]]/22.5-1,0),IF(Tabla1[[#This Row],[MAYO ]]&gt;45,Tabla1[[#This Row],[MAYO ]]/45-1,0))</f>
        <v>0</v>
      </c>
      <c r="AJ308" s="103">
        <f>IF(Tabla1[[#This Row],[TIPO DE CONSUMIDOR]]="MEDIO",IF(Tabla1[[#This Row],[JUNIO ]]&gt;22.5,Tabla1[[#This Row],[JUNIO ]]/22.5-1,0),IF(Tabla1[[#This Row],[JUNIO ]]&gt;45,Tabla1[[#This Row],[JUNIO ]]/45-1,0))</f>
        <v>0</v>
      </c>
      <c r="AK308" s="103">
        <f>IF(Tabla1[[#This Row],[TIPO DE CONSUMIDOR]]="MEDIO",IF(Tabla1[[#This Row],[JULIO ]]&gt;22.5,Tabla1[[#This Row],[JULIO ]]/22.5-1,0),IF(Tabla1[[#This Row],[JULIO ]]&gt;45,Tabla1[[#This Row],[JULIO ]]/45-1,0))</f>
        <v>0</v>
      </c>
      <c r="AL308" s="103">
        <f>IF(Tabla1[[#This Row],[TIPO DE CONSUMIDOR]]="MEDIO",IF(Tabla1[[#This Row],[AGOSTO]]&gt;22.5,Tabla1[[#This Row],[AGOSTO]]/22.5-1,0),IF(Tabla1[[#This Row],[AGOSTO]]&gt;45,Tabla1[[#This Row],[AGOSTO]]/45-1,0))</f>
        <v>0</v>
      </c>
      <c r="AM30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8" s="104">
        <f t="shared" si="10"/>
        <v>0</v>
      </c>
      <c r="AR308" s="9">
        <f t="shared" si="9"/>
        <v>1</v>
      </c>
      <c r="AS308" s="60">
        <f>IF(Tabla1[[#This Row],[MESES DE ADEUDO DEL AÑO EN CURSO ]]&gt;0,1,0)</f>
        <v>1</v>
      </c>
      <c r="AT308" s="42"/>
      <c r="AU308" s="42"/>
      <c r="AV308" s="42"/>
      <c r="AW308" s="43"/>
    </row>
    <row r="309" spans="1:49" ht="21.75" thickBot="1" x14ac:dyDescent="0.35">
      <c r="A309" s="109">
        <v>303</v>
      </c>
      <c r="B309" s="5" t="s">
        <v>393</v>
      </c>
      <c r="C309" s="2" t="s">
        <v>504</v>
      </c>
      <c r="D309" s="32"/>
      <c r="E309" s="35" t="s">
        <v>455</v>
      </c>
      <c r="F309" s="34">
        <v>45</v>
      </c>
      <c r="G309" s="34">
        <v>45</v>
      </c>
      <c r="H309" s="34">
        <v>45</v>
      </c>
      <c r="I309" s="34">
        <v>45</v>
      </c>
      <c r="J309" s="34">
        <v>45</v>
      </c>
      <c r="K309" s="34">
        <v>45</v>
      </c>
      <c r="L309" s="34">
        <v>45</v>
      </c>
      <c r="M309" s="34">
        <v>45</v>
      </c>
      <c r="N309" s="34">
        <v>0</v>
      </c>
      <c r="O309" s="34">
        <v>0</v>
      </c>
      <c r="P309" s="34">
        <v>0</v>
      </c>
      <c r="Q309" s="34">
        <v>0</v>
      </c>
      <c r="R309" s="24">
        <f>SUM(Tabla1[[#This Row],[ENERO ]:[DICIEMBRE]])</f>
        <v>360</v>
      </c>
      <c r="W309" s="65">
        <v>0</v>
      </c>
      <c r="X309" s="21">
        <f>COUNTIF(Tabla1[[#This Row],[ENERO ]:[DICIEMBRE]],0)-(AQ309)-IF(Tabla1[[#This Row],[BAJAS]]="BAJA",IF(Tabla1[[#This Row],[ALTAS]]="ALTA",VLOOKUP(Tabla1[[#This Row],[MES DE ALTA ]],$AT$6:$AU$17,2,FALSE),12)-VLOOKUP(Tabla1[[#This Row],[MES DE BAJA ]],$AT$6:$AU$17,2,FALSE),0)</f>
        <v>4</v>
      </c>
      <c r="Y309" s="69">
        <f>SUM(Tabla1[[#This Row],[MES ADEUDO DE AÑOS PASADOS ]:[MESES DE ADEUDO DEL AÑO EN CURSO ]])</f>
        <v>4</v>
      </c>
      <c r="Z309" s="15">
        <f>IF(Tabla1[[#This Row],[TIPO DE CONSUMIDOR]]="COMPLETO",W309*$T$2,W309*($T$2/2))</f>
        <v>0</v>
      </c>
      <c r="AA309" s="15">
        <f>IF(Tabla1[[#This Row],[TIPO DE CONSUMIDOR]]="COMPLETO",Tabla1[[#This Row],[MESES DE ADEUDO DEL AÑO EN CURSO ]]*$T$2,Tabla1[[#This Row],[MESES DE ADEUDO DEL AÑO EN CURSO ]]*($T$2/2))</f>
        <v>180</v>
      </c>
      <c r="AB309" s="70">
        <f>SUM(Tabla1[[#This Row],[DEUDA DE LOS MESES PASADOS EN $$]:[DEUDA DEL AÑO 2013 $$ ]])</f>
        <v>180</v>
      </c>
      <c r="AE309" s="103">
        <f>IF(Tabla1[[#This Row],[TIPO DE CONSUMIDOR]]="MEDIO",IF(Tabla1[[#This Row],[ENERO ]]&gt;22.5,Tabla1[[#This Row],[ENERO ]]/22.5-1,0),IF(Tabla1[[#This Row],[ENERO ]]&gt;45,Tabla1[[#This Row],[ENERO ]]/45-1,0))</f>
        <v>0</v>
      </c>
      <c r="AF30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09" s="103">
        <f>IF(Tabla1[[#This Row],[TIPO DE CONSUMIDOR]]="MEDIO",IF(Tabla1[[#This Row],[MARZO]]&gt;22.5,Tabla1[[#This Row],[MARZO]]/22.5-1,0),IF(Tabla1[[#This Row],[MARZO]]&gt;45,Tabla1[[#This Row],[MARZO]]/45-1,0))</f>
        <v>0</v>
      </c>
      <c r="AH309" s="103">
        <f>IF(Tabla1[[#This Row],[TIPO DE CONSUMIDOR]]="MEDIO",IF(Tabla1[[#This Row],[ABRIL]]&gt;22.5,Tabla1[[#This Row],[ABRIL]]/22.5-1,0),IF(Tabla1[[#This Row],[ABRIL]]&gt;45,Tabla1[[#This Row],[ABRIL]]/45-1,0))</f>
        <v>0</v>
      </c>
      <c r="AI309" s="103">
        <f>IF(Tabla1[[#This Row],[TIPO DE CONSUMIDOR]]="MEDIO",IF(Tabla1[[#This Row],[MAYO ]]&gt;22.5,Tabla1[[#This Row],[MAYO ]]/22.5-1,0),IF(Tabla1[[#This Row],[MAYO ]]&gt;45,Tabla1[[#This Row],[MAYO ]]/45-1,0))</f>
        <v>0</v>
      </c>
      <c r="AJ309" s="103">
        <f>IF(Tabla1[[#This Row],[TIPO DE CONSUMIDOR]]="MEDIO",IF(Tabla1[[#This Row],[JUNIO ]]&gt;22.5,Tabla1[[#This Row],[JUNIO ]]/22.5-1,0),IF(Tabla1[[#This Row],[JUNIO ]]&gt;45,Tabla1[[#This Row],[JUNIO ]]/45-1,0))</f>
        <v>0</v>
      </c>
      <c r="AK309" s="103">
        <f>IF(Tabla1[[#This Row],[TIPO DE CONSUMIDOR]]="MEDIO",IF(Tabla1[[#This Row],[JULIO ]]&gt;22.5,Tabla1[[#This Row],[JULIO ]]/22.5-1,0),IF(Tabla1[[#This Row],[JULIO ]]&gt;45,Tabla1[[#This Row],[JULIO ]]/45-1,0))</f>
        <v>0</v>
      </c>
      <c r="AL309" s="103">
        <f>IF(Tabla1[[#This Row],[TIPO DE CONSUMIDOR]]="MEDIO",IF(Tabla1[[#This Row],[AGOSTO]]&gt;22.5,Tabla1[[#This Row],[AGOSTO]]/22.5-1,0),IF(Tabla1[[#This Row],[AGOSTO]]&gt;45,Tabla1[[#This Row],[AGOSTO]]/45-1,0))</f>
        <v>0</v>
      </c>
      <c r="AM30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0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0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0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09" s="104">
        <f t="shared" si="10"/>
        <v>0</v>
      </c>
      <c r="AR309" s="9">
        <f t="shared" si="9"/>
        <v>1</v>
      </c>
      <c r="AS309" s="60">
        <f>IF(Tabla1[[#This Row],[MESES DE ADEUDO DEL AÑO EN CURSO ]]&gt;0,1,0)</f>
        <v>1</v>
      </c>
      <c r="AT309" s="42"/>
      <c r="AU309" s="42"/>
      <c r="AV309" s="42"/>
      <c r="AW309" s="43"/>
    </row>
    <row r="310" spans="1:49" ht="21.75" thickBot="1" x14ac:dyDescent="0.35">
      <c r="A310" s="109">
        <v>304</v>
      </c>
      <c r="B310" s="5" t="s">
        <v>50</v>
      </c>
      <c r="C310" s="2" t="s">
        <v>530</v>
      </c>
      <c r="D310" s="32"/>
      <c r="E310" s="35" t="s">
        <v>455</v>
      </c>
      <c r="F310" s="34">
        <v>0</v>
      </c>
      <c r="G310" s="34">
        <v>0</v>
      </c>
      <c r="H310" s="34">
        <v>0</v>
      </c>
      <c r="I310" s="34">
        <v>0</v>
      </c>
      <c r="J310" s="34">
        <v>0</v>
      </c>
      <c r="K310" s="34">
        <v>0</v>
      </c>
      <c r="L310" s="34">
        <v>0</v>
      </c>
      <c r="M310" s="34">
        <v>0</v>
      </c>
      <c r="N310" s="34">
        <v>0</v>
      </c>
      <c r="O310" s="34">
        <v>0</v>
      </c>
      <c r="P310" s="34">
        <v>0</v>
      </c>
      <c r="Q310" s="34">
        <v>0</v>
      </c>
      <c r="R310" s="24">
        <f>SUM(Tabla1[[#This Row],[ENERO ]:[DICIEMBRE]])</f>
        <v>0</v>
      </c>
      <c r="S310" t="s">
        <v>626</v>
      </c>
      <c r="T310" t="s">
        <v>434</v>
      </c>
      <c r="W310" s="65">
        <v>4</v>
      </c>
      <c r="X310" s="21">
        <f>COUNTIF(Tabla1[[#This Row],[ENERO ]:[DICIEMBRE]],0)-(AQ310)-IF(Tabla1[[#This Row],[BAJAS]]="BAJA",IF(Tabla1[[#This Row],[ALTAS]]="ALTA",VLOOKUP(Tabla1[[#This Row],[MES DE ALTA ]],$AT$6:$AU$17,2,FALSE),12)-VLOOKUP(Tabla1[[#This Row],[MES DE BAJA ]],$AT$6:$AU$17,2,FALSE),0)</f>
        <v>0</v>
      </c>
      <c r="Y310" s="69">
        <f>SUM(Tabla1[[#This Row],[MES ADEUDO DE AÑOS PASADOS ]:[MESES DE ADEUDO DEL AÑO EN CURSO ]])</f>
        <v>4</v>
      </c>
      <c r="Z310" s="15">
        <f>IF(Tabla1[[#This Row],[TIPO DE CONSUMIDOR]]="COMPLETO",W310*$T$2,W310*($T$2/2))</f>
        <v>180</v>
      </c>
      <c r="AA310" s="15">
        <f>IF(Tabla1[[#This Row],[TIPO DE CONSUMIDOR]]="COMPLETO",Tabla1[[#This Row],[MESES DE ADEUDO DEL AÑO EN CURSO ]]*$T$2,Tabla1[[#This Row],[MESES DE ADEUDO DEL AÑO EN CURSO ]]*($T$2/2))</f>
        <v>0</v>
      </c>
      <c r="AB310" s="70">
        <f>SUM(Tabla1[[#This Row],[DEUDA DE LOS MESES PASADOS EN $$]:[DEUDA DEL AÑO 2013 $$ ]])</f>
        <v>180</v>
      </c>
      <c r="AE310" s="103">
        <f>IF(Tabla1[[#This Row],[TIPO DE CONSUMIDOR]]="MEDIO",IF(Tabla1[[#This Row],[ENERO ]]&gt;22.5,Tabla1[[#This Row],[ENERO ]]/22.5-1,0),IF(Tabla1[[#This Row],[ENERO ]]&gt;45,Tabla1[[#This Row],[ENERO ]]/45-1,0))</f>
        <v>0</v>
      </c>
      <c r="AF31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0" s="103">
        <f>IF(Tabla1[[#This Row],[TIPO DE CONSUMIDOR]]="MEDIO",IF(Tabla1[[#This Row],[MARZO]]&gt;22.5,Tabla1[[#This Row],[MARZO]]/22.5-1,0),IF(Tabla1[[#This Row],[MARZO]]&gt;45,Tabla1[[#This Row],[MARZO]]/45-1,0))</f>
        <v>0</v>
      </c>
      <c r="AH310" s="103">
        <f>IF(Tabla1[[#This Row],[TIPO DE CONSUMIDOR]]="MEDIO",IF(Tabla1[[#This Row],[ABRIL]]&gt;22.5,Tabla1[[#This Row],[ABRIL]]/22.5-1,0),IF(Tabla1[[#This Row],[ABRIL]]&gt;45,Tabla1[[#This Row],[ABRIL]]/45-1,0))</f>
        <v>0</v>
      </c>
      <c r="AI310" s="103">
        <f>IF(Tabla1[[#This Row],[TIPO DE CONSUMIDOR]]="MEDIO",IF(Tabla1[[#This Row],[MAYO ]]&gt;22.5,Tabla1[[#This Row],[MAYO ]]/22.5-1,0),IF(Tabla1[[#This Row],[MAYO ]]&gt;45,Tabla1[[#This Row],[MAYO ]]/45-1,0))</f>
        <v>0</v>
      </c>
      <c r="AJ310" s="103">
        <f>IF(Tabla1[[#This Row],[TIPO DE CONSUMIDOR]]="MEDIO",IF(Tabla1[[#This Row],[JUNIO ]]&gt;22.5,Tabla1[[#This Row],[JUNIO ]]/22.5-1,0),IF(Tabla1[[#This Row],[JUNIO ]]&gt;45,Tabla1[[#This Row],[JUNIO ]]/45-1,0))</f>
        <v>0</v>
      </c>
      <c r="AK310" s="103">
        <f>IF(Tabla1[[#This Row],[TIPO DE CONSUMIDOR]]="MEDIO",IF(Tabla1[[#This Row],[JULIO ]]&gt;22.5,Tabla1[[#This Row],[JULIO ]]/22.5-1,0),IF(Tabla1[[#This Row],[JULIO ]]&gt;45,Tabla1[[#This Row],[JULIO ]]/45-1,0))</f>
        <v>0</v>
      </c>
      <c r="AL310" s="103">
        <f>IF(Tabla1[[#This Row],[TIPO DE CONSUMIDOR]]="MEDIO",IF(Tabla1[[#This Row],[AGOSTO]]&gt;22.5,Tabla1[[#This Row],[AGOSTO]]/22.5-1,0),IF(Tabla1[[#This Row],[AGOSTO]]&gt;45,Tabla1[[#This Row],[AGOSTO]]/45-1,0))</f>
        <v>0</v>
      </c>
      <c r="AM31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0" s="104">
        <f t="shared" si="10"/>
        <v>0</v>
      </c>
      <c r="AR310" s="9">
        <f t="shared" si="9"/>
        <v>1</v>
      </c>
      <c r="AS310" s="60">
        <f>IF(Tabla1[[#This Row],[MESES DE ADEUDO DEL AÑO EN CURSO ]]&gt;0,1,0)</f>
        <v>0</v>
      </c>
      <c r="AT310" s="42"/>
      <c r="AU310" s="42"/>
      <c r="AV310" s="42"/>
      <c r="AW310" s="43"/>
    </row>
    <row r="311" spans="1:49" ht="21.75" thickBot="1" x14ac:dyDescent="0.35">
      <c r="A311" s="109">
        <v>305</v>
      </c>
      <c r="B311" s="5" t="s">
        <v>532</v>
      </c>
      <c r="C311" s="2" t="s">
        <v>530</v>
      </c>
      <c r="D311" s="32"/>
      <c r="E311" s="35" t="s">
        <v>455</v>
      </c>
      <c r="F311" s="34">
        <v>45</v>
      </c>
      <c r="G311" s="34">
        <v>45</v>
      </c>
      <c r="H311" s="34">
        <v>45</v>
      </c>
      <c r="I311" s="34">
        <v>45</v>
      </c>
      <c r="J311" s="34">
        <v>45</v>
      </c>
      <c r="K311" s="34">
        <v>45</v>
      </c>
      <c r="L311" s="34">
        <v>45</v>
      </c>
      <c r="M311" s="34">
        <v>45</v>
      </c>
      <c r="N311" s="34">
        <v>0</v>
      </c>
      <c r="O311" s="34">
        <v>0</v>
      </c>
      <c r="P311" s="34">
        <v>0</v>
      </c>
      <c r="Q311" s="34">
        <v>0</v>
      </c>
      <c r="R311" s="24">
        <f>SUM(Tabla1[[#This Row],[ENERO ]:[DICIEMBRE]])</f>
        <v>360</v>
      </c>
      <c r="W311" s="65">
        <v>0</v>
      </c>
      <c r="X311" s="21">
        <f>COUNTIF(Tabla1[[#This Row],[ENERO ]:[DICIEMBRE]],0)-(AQ311)-IF(Tabla1[[#This Row],[BAJAS]]="BAJA",IF(Tabla1[[#This Row],[ALTAS]]="ALTA",VLOOKUP(Tabla1[[#This Row],[MES DE ALTA ]],$AT$6:$AU$17,2,FALSE),12)-VLOOKUP(Tabla1[[#This Row],[MES DE BAJA ]],$AT$6:$AU$17,2,FALSE),0)</f>
        <v>4</v>
      </c>
      <c r="Y311" s="69">
        <f>SUM(Tabla1[[#This Row],[MES ADEUDO DE AÑOS PASADOS ]:[MESES DE ADEUDO DEL AÑO EN CURSO ]])</f>
        <v>4</v>
      </c>
      <c r="Z311" s="15">
        <f>IF(Tabla1[[#This Row],[TIPO DE CONSUMIDOR]]="COMPLETO",W311*$T$2,W311*($T$2/2))</f>
        <v>0</v>
      </c>
      <c r="AA311" s="15">
        <f>IF(Tabla1[[#This Row],[TIPO DE CONSUMIDOR]]="COMPLETO",Tabla1[[#This Row],[MESES DE ADEUDO DEL AÑO EN CURSO ]]*$T$2,Tabla1[[#This Row],[MESES DE ADEUDO DEL AÑO EN CURSO ]]*($T$2/2))</f>
        <v>180</v>
      </c>
      <c r="AB311" s="70">
        <f>SUM(Tabla1[[#This Row],[DEUDA DE LOS MESES PASADOS EN $$]:[DEUDA DEL AÑO 2013 $$ ]])</f>
        <v>180</v>
      </c>
      <c r="AE311" s="103">
        <f>IF(Tabla1[[#This Row],[TIPO DE CONSUMIDOR]]="MEDIO",IF(Tabla1[[#This Row],[ENERO ]]&gt;22.5,Tabla1[[#This Row],[ENERO ]]/22.5-1,0),IF(Tabla1[[#This Row],[ENERO ]]&gt;45,Tabla1[[#This Row],[ENERO ]]/45-1,0))</f>
        <v>0</v>
      </c>
      <c r="AF31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1" s="103">
        <f>IF(Tabla1[[#This Row],[TIPO DE CONSUMIDOR]]="MEDIO",IF(Tabla1[[#This Row],[MARZO]]&gt;22.5,Tabla1[[#This Row],[MARZO]]/22.5-1,0),IF(Tabla1[[#This Row],[MARZO]]&gt;45,Tabla1[[#This Row],[MARZO]]/45-1,0))</f>
        <v>0</v>
      </c>
      <c r="AH311" s="103">
        <f>IF(Tabla1[[#This Row],[TIPO DE CONSUMIDOR]]="MEDIO",IF(Tabla1[[#This Row],[ABRIL]]&gt;22.5,Tabla1[[#This Row],[ABRIL]]/22.5-1,0),IF(Tabla1[[#This Row],[ABRIL]]&gt;45,Tabla1[[#This Row],[ABRIL]]/45-1,0))</f>
        <v>0</v>
      </c>
      <c r="AI311" s="103">
        <f>IF(Tabla1[[#This Row],[TIPO DE CONSUMIDOR]]="MEDIO",IF(Tabla1[[#This Row],[MAYO ]]&gt;22.5,Tabla1[[#This Row],[MAYO ]]/22.5-1,0),IF(Tabla1[[#This Row],[MAYO ]]&gt;45,Tabla1[[#This Row],[MAYO ]]/45-1,0))</f>
        <v>0</v>
      </c>
      <c r="AJ311" s="103">
        <f>IF(Tabla1[[#This Row],[TIPO DE CONSUMIDOR]]="MEDIO",IF(Tabla1[[#This Row],[JUNIO ]]&gt;22.5,Tabla1[[#This Row],[JUNIO ]]/22.5-1,0),IF(Tabla1[[#This Row],[JUNIO ]]&gt;45,Tabla1[[#This Row],[JUNIO ]]/45-1,0))</f>
        <v>0</v>
      </c>
      <c r="AK311" s="103">
        <f>IF(Tabla1[[#This Row],[TIPO DE CONSUMIDOR]]="MEDIO",IF(Tabla1[[#This Row],[JULIO ]]&gt;22.5,Tabla1[[#This Row],[JULIO ]]/22.5-1,0),IF(Tabla1[[#This Row],[JULIO ]]&gt;45,Tabla1[[#This Row],[JULIO ]]/45-1,0))</f>
        <v>0</v>
      </c>
      <c r="AL311" s="103">
        <f>IF(Tabla1[[#This Row],[TIPO DE CONSUMIDOR]]="MEDIO",IF(Tabla1[[#This Row],[AGOSTO]]&gt;22.5,Tabla1[[#This Row],[AGOSTO]]/22.5-1,0),IF(Tabla1[[#This Row],[AGOSTO]]&gt;45,Tabla1[[#This Row],[AGOSTO]]/45-1,0))</f>
        <v>0</v>
      </c>
      <c r="AM31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1" s="104">
        <f t="shared" si="10"/>
        <v>0</v>
      </c>
      <c r="AR311" s="9">
        <f t="shared" si="9"/>
        <v>1</v>
      </c>
      <c r="AS311" s="60">
        <f>IF(Tabla1[[#This Row],[MESES DE ADEUDO DEL AÑO EN CURSO ]]&gt;0,1,0)</f>
        <v>1</v>
      </c>
      <c r="AT311" s="42"/>
      <c r="AU311" s="42"/>
      <c r="AV311" s="42"/>
      <c r="AW311" s="43"/>
    </row>
    <row r="312" spans="1:49" ht="21.75" thickBot="1" x14ac:dyDescent="0.35">
      <c r="A312" s="109">
        <v>306</v>
      </c>
      <c r="B312" s="5" t="s">
        <v>36</v>
      </c>
      <c r="C312" s="2" t="s">
        <v>530</v>
      </c>
      <c r="D312" s="32"/>
      <c r="E312" s="35" t="s">
        <v>455</v>
      </c>
      <c r="F312" s="34">
        <v>45</v>
      </c>
      <c r="G312" s="34">
        <v>45</v>
      </c>
      <c r="H312" s="34">
        <v>45</v>
      </c>
      <c r="I312" s="34">
        <v>45</v>
      </c>
      <c r="J312" s="34">
        <v>45</v>
      </c>
      <c r="K312" s="34">
        <v>45</v>
      </c>
      <c r="L312" s="34">
        <v>45</v>
      </c>
      <c r="M312" s="34">
        <v>45</v>
      </c>
      <c r="N312" s="34">
        <v>0</v>
      </c>
      <c r="O312" s="34">
        <v>0</v>
      </c>
      <c r="P312" s="34">
        <v>0</v>
      </c>
      <c r="Q312" s="34">
        <v>0</v>
      </c>
      <c r="R312" s="24">
        <f>SUM(Tabla1[[#This Row],[ENERO ]:[DICIEMBRE]])</f>
        <v>360</v>
      </c>
      <c r="W312" s="65">
        <v>0</v>
      </c>
      <c r="X312" s="21">
        <f>COUNTIF(Tabla1[[#This Row],[ENERO ]:[DICIEMBRE]],0)-(AQ312)-IF(Tabla1[[#This Row],[BAJAS]]="BAJA",IF(Tabla1[[#This Row],[ALTAS]]="ALTA",VLOOKUP(Tabla1[[#This Row],[MES DE ALTA ]],$AT$6:$AU$17,2,FALSE),12)-VLOOKUP(Tabla1[[#This Row],[MES DE BAJA ]],$AT$6:$AU$17,2,FALSE),0)</f>
        <v>4</v>
      </c>
      <c r="Y312" s="69">
        <f>SUM(Tabla1[[#This Row],[MES ADEUDO DE AÑOS PASADOS ]:[MESES DE ADEUDO DEL AÑO EN CURSO ]])</f>
        <v>4</v>
      </c>
      <c r="Z312" s="15">
        <f>IF(Tabla1[[#This Row],[TIPO DE CONSUMIDOR]]="COMPLETO",W312*$T$2,W312*($T$2/2))</f>
        <v>0</v>
      </c>
      <c r="AA312" s="15">
        <f>IF(Tabla1[[#This Row],[TIPO DE CONSUMIDOR]]="COMPLETO",Tabla1[[#This Row],[MESES DE ADEUDO DEL AÑO EN CURSO ]]*$T$2,Tabla1[[#This Row],[MESES DE ADEUDO DEL AÑO EN CURSO ]]*($T$2/2))</f>
        <v>180</v>
      </c>
      <c r="AB312" s="70">
        <f>SUM(Tabla1[[#This Row],[DEUDA DE LOS MESES PASADOS EN $$]:[DEUDA DEL AÑO 2013 $$ ]])</f>
        <v>180</v>
      </c>
      <c r="AE312" s="103">
        <f>IF(Tabla1[[#This Row],[TIPO DE CONSUMIDOR]]="MEDIO",IF(Tabla1[[#This Row],[ENERO ]]&gt;22.5,Tabla1[[#This Row],[ENERO ]]/22.5-1,0),IF(Tabla1[[#This Row],[ENERO ]]&gt;45,Tabla1[[#This Row],[ENERO ]]/45-1,0))</f>
        <v>0</v>
      </c>
      <c r="AF31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2" s="103">
        <f>IF(Tabla1[[#This Row],[TIPO DE CONSUMIDOR]]="MEDIO",IF(Tabla1[[#This Row],[MARZO]]&gt;22.5,Tabla1[[#This Row],[MARZO]]/22.5-1,0),IF(Tabla1[[#This Row],[MARZO]]&gt;45,Tabla1[[#This Row],[MARZO]]/45-1,0))</f>
        <v>0</v>
      </c>
      <c r="AH312" s="103">
        <f>IF(Tabla1[[#This Row],[TIPO DE CONSUMIDOR]]="MEDIO",IF(Tabla1[[#This Row],[ABRIL]]&gt;22.5,Tabla1[[#This Row],[ABRIL]]/22.5-1,0),IF(Tabla1[[#This Row],[ABRIL]]&gt;45,Tabla1[[#This Row],[ABRIL]]/45-1,0))</f>
        <v>0</v>
      </c>
      <c r="AI312" s="103">
        <f>IF(Tabla1[[#This Row],[TIPO DE CONSUMIDOR]]="MEDIO",IF(Tabla1[[#This Row],[MAYO ]]&gt;22.5,Tabla1[[#This Row],[MAYO ]]/22.5-1,0),IF(Tabla1[[#This Row],[MAYO ]]&gt;45,Tabla1[[#This Row],[MAYO ]]/45-1,0))</f>
        <v>0</v>
      </c>
      <c r="AJ312" s="103">
        <f>IF(Tabla1[[#This Row],[TIPO DE CONSUMIDOR]]="MEDIO",IF(Tabla1[[#This Row],[JUNIO ]]&gt;22.5,Tabla1[[#This Row],[JUNIO ]]/22.5-1,0),IF(Tabla1[[#This Row],[JUNIO ]]&gt;45,Tabla1[[#This Row],[JUNIO ]]/45-1,0))</f>
        <v>0</v>
      </c>
      <c r="AK312" s="103">
        <f>IF(Tabla1[[#This Row],[TIPO DE CONSUMIDOR]]="MEDIO",IF(Tabla1[[#This Row],[JULIO ]]&gt;22.5,Tabla1[[#This Row],[JULIO ]]/22.5-1,0),IF(Tabla1[[#This Row],[JULIO ]]&gt;45,Tabla1[[#This Row],[JULIO ]]/45-1,0))</f>
        <v>0</v>
      </c>
      <c r="AL312" s="103">
        <f>IF(Tabla1[[#This Row],[TIPO DE CONSUMIDOR]]="MEDIO",IF(Tabla1[[#This Row],[AGOSTO]]&gt;22.5,Tabla1[[#This Row],[AGOSTO]]/22.5-1,0),IF(Tabla1[[#This Row],[AGOSTO]]&gt;45,Tabla1[[#This Row],[AGOSTO]]/45-1,0))</f>
        <v>0</v>
      </c>
      <c r="AM31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2" s="104">
        <f t="shared" si="10"/>
        <v>0</v>
      </c>
      <c r="AR312" s="9">
        <f t="shared" si="9"/>
        <v>1</v>
      </c>
      <c r="AS312" s="60">
        <f>IF(Tabla1[[#This Row],[MESES DE ADEUDO DEL AÑO EN CURSO ]]&gt;0,1,0)</f>
        <v>1</v>
      </c>
      <c r="AT312" s="42"/>
      <c r="AU312" s="42"/>
      <c r="AV312" s="42"/>
      <c r="AW312" s="43"/>
    </row>
    <row r="313" spans="1:49" ht="21.75" thickBot="1" x14ac:dyDescent="0.35">
      <c r="A313" s="109">
        <v>307</v>
      </c>
      <c r="B313" s="5" t="s">
        <v>85</v>
      </c>
      <c r="C313" s="2" t="s">
        <v>530</v>
      </c>
      <c r="D313" s="32"/>
      <c r="E313" s="35" t="s">
        <v>455</v>
      </c>
      <c r="F313" s="34">
        <v>45</v>
      </c>
      <c r="G313" s="34">
        <v>45</v>
      </c>
      <c r="H313" s="34">
        <v>45</v>
      </c>
      <c r="I313" s="34">
        <v>45</v>
      </c>
      <c r="J313" s="34">
        <v>45</v>
      </c>
      <c r="K313" s="34">
        <v>45</v>
      </c>
      <c r="L313" s="34">
        <v>45</v>
      </c>
      <c r="M313" s="34">
        <v>45</v>
      </c>
      <c r="N313" s="34">
        <v>0</v>
      </c>
      <c r="O313" s="34">
        <v>0</v>
      </c>
      <c r="P313" s="34">
        <v>0</v>
      </c>
      <c r="Q313" s="34">
        <v>0</v>
      </c>
      <c r="R313" s="24">
        <f>SUM(Tabla1[[#This Row],[ENERO ]:[DICIEMBRE]])</f>
        <v>360</v>
      </c>
      <c r="W313" s="65">
        <v>0</v>
      </c>
      <c r="X313" s="21">
        <f>COUNTIF(Tabla1[[#This Row],[ENERO ]:[DICIEMBRE]],0)-(AQ313)-IF(Tabla1[[#This Row],[BAJAS]]="BAJA",IF(Tabla1[[#This Row],[ALTAS]]="ALTA",VLOOKUP(Tabla1[[#This Row],[MES DE ALTA ]],$AT$6:$AU$17,2,FALSE),12)-VLOOKUP(Tabla1[[#This Row],[MES DE BAJA ]],$AT$6:$AU$17,2,FALSE),0)</f>
        <v>4</v>
      </c>
      <c r="Y313" s="69">
        <f>SUM(Tabla1[[#This Row],[MES ADEUDO DE AÑOS PASADOS ]:[MESES DE ADEUDO DEL AÑO EN CURSO ]])</f>
        <v>4</v>
      </c>
      <c r="Z313" s="15">
        <f>IF(Tabla1[[#This Row],[TIPO DE CONSUMIDOR]]="COMPLETO",W313*$T$2,W313*($T$2/2))</f>
        <v>0</v>
      </c>
      <c r="AA313" s="15">
        <f>IF(Tabla1[[#This Row],[TIPO DE CONSUMIDOR]]="COMPLETO",Tabla1[[#This Row],[MESES DE ADEUDO DEL AÑO EN CURSO ]]*$T$2,Tabla1[[#This Row],[MESES DE ADEUDO DEL AÑO EN CURSO ]]*($T$2/2))</f>
        <v>180</v>
      </c>
      <c r="AB313" s="70">
        <f>SUM(Tabla1[[#This Row],[DEUDA DE LOS MESES PASADOS EN $$]:[DEUDA DEL AÑO 2013 $$ ]])</f>
        <v>180</v>
      </c>
      <c r="AE313" s="103">
        <f>IF(Tabla1[[#This Row],[TIPO DE CONSUMIDOR]]="MEDIO",IF(Tabla1[[#This Row],[ENERO ]]&gt;22.5,Tabla1[[#This Row],[ENERO ]]/22.5-1,0),IF(Tabla1[[#This Row],[ENERO ]]&gt;45,Tabla1[[#This Row],[ENERO ]]/45-1,0))</f>
        <v>0</v>
      </c>
      <c r="AF31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3" s="103">
        <f>IF(Tabla1[[#This Row],[TIPO DE CONSUMIDOR]]="MEDIO",IF(Tabla1[[#This Row],[MARZO]]&gt;22.5,Tabla1[[#This Row],[MARZO]]/22.5-1,0),IF(Tabla1[[#This Row],[MARZO]]&gt;45,Tabla1[[#This Row],[MARZO]]/45-1,0))</f>
        <v>0</v>
      </c>
      <c r="AH313" s="103">
        <f>IF(Tabla1[[#This Row],[TIPO DE CONSUMIDOR]]="MEDIO",IF(Tabla1[[#This Row],[ABRIL]]&gt;22.5,Tabla1[[#This Row],[ABRIL]]/22.5-1,0),IF(Tabla1[[#This Row],[ABRIL]]&gt;45,Tabla1[[#This Row],[ABRIL]]/45-1,0))</f>
        <v>0</v>
      </c>
      <c r="AI313" s="103">
        <f>IF(Tabla1[[#This Row],[TIPO DE CONSUMIDOR]]="MEDIO",IF(Tabla1[[#This Row],[MAYO ]]&gt;22.5,Tabla1[[#This Row],[MAYO ]]/22.5-1,0),IF(Tabla1[[#This Row],[MAYO ]]&gt;45,Tabla1[[#This Row],[MAYO ]]/45-1,0))</f>
        <v>0</v>
      </c>
      <c r="AJ313" s="103">
        <f>IF(Tabla1[[#This Row],[TIPO DE CONSUMIDOR]]="MEDIO",IF(Tabla1[[#This Row],[JUNIO ]]&gt;22.5,Tabla1[[#This Row],[JUNIO ]]/22.5-1,0),IF(Tabla1[[#This Row],[JUNIO ]]&gt;45,Tabla1[[#This Row],[JUNIO ]]/45-1,0))</f>
        <v>0</v>
      </c>
      <c r="AK313" s="103">
        <f>IF(Tabla1[[#This Row],[TIPO DE CONSUMIDOR]]="MEDIO",IF(Tabla1[[#This Row],[JULIO ]]&gt;22.5,Tabla1[[#This Row],[JULIO ]]/22.5-1,0),IF(Tabla1[[#This Row],[JULIO ]]&gt;45,Tabla1[[#This Row],[JULIO ]]/45-1,0))</f>
        <v>0</v>
      </c>
      <c r="AL313" s="103">
        <f>IF(Tabla1[[#This Row],[TIPO DE CONSUMIDOR]]="MEDIO",IF(Tabla1[[#This Row],[AGOSTO]]&gt;22.5,Tabla1[[#This Row],[AGOSTO]]/22.5-1,0),IF(Tabla1[[#This Row],[AGOSTO]]&gt;45,Tabla1[[#This Row],[AGOSTO]]/45-1,0))</f>
        <v>0</v>
      </c>
      <c r="AM31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3" s="104">
        <f t="shared" si="10"/>
        <v>0</v>
      </c>
      <c r="AR313" s="9">
        <f t="shared" si="9"/>
        <v>1</v>
      </c>
      <c r="AS313" s="60">
        <f>IF(Tabla1[[#This Row],[MESES DE ADEUDO DEL AÑO EN CURSO ]]&gt;0,1,0)</f>
        <v>1</v>
      </c>
      <c r="AT313" s="42"/>
      <c r="AU313" s="42"/>
      <c r="AV313" s="42"/>
      <c r="AW313" s="43"/>
    </row>
    <row r="314" spans="1:49" ht="21.75" thickBot="1" x14ac:dyDescent="0.35">
      <c r="A314" s="109">
        <v>308</v>
      </c>
      <c r="B314" s="5" t="s">
        <v>126</v>
      </c>
      <c r="C314" s="2" t="s">
        <v>530</v>
      </c>
      <c r="D314" s="32"/>
      <c r="E314" s="35" t="s">
        <v>455</v>
      </c>
      <c r="F314" s="34">
        <v>45</v>
      </c>
      <c r="G314" s="34">
        <v>45</v>
      </c>
      <c r="H314" s="34">
        <v>45</v>
      </c>
      <c r="I314" s="34">
        <v>45</v>
      </c>
      <c r="J314" s="34">
        <v>45</v>
      </c>
      <c r="K314" s="34">
        <v>45</v>
      </c>
      <c r="L314" s="34">
        <v>45</v>
      </c>
      <c r="M314" s="34">
        <v>45</v>
      </c>
      <c r="N314" s="34">
        <v>0</v>
      </c>
      <c r="O314" s="34">
        <v>0</v>
      </c>
      <c r="P314" s="34">
        <v>0</v>
      </c>
      <c r="Q314" s="34">
        <v>0</v>
      </c>
      <c r="R314" s="24">
        <f>SUM(Tabla1[[#This Row],[ENERO ]:[DICIEMBRE]])</f>
        <v>360</v>
      </c>
      <c r="W314" s="65">
        <v>0</v>
      </c>
      <c r="X314" s="21">
        <f>COUNTIF(Tabla1[[#This Row],[ENERO ]:[DICIEMBRE]],0)-(AQ314)-IF(Tabla1[[#This Row],[BAJAS]]="BAJA",IF(Tabla1[[#This Row],[ALTAS]]="ALTA",VLOOKUP(Tabla1[[#This Row],[MES DE ALTA ]],$AT$6:$AU$17,2,FALSE),12)-VLOOKUP(Tabla1[[#This Row],[MES DE BAJA ]],$AT$6:$AU$17,2,FALSE),0)</f>
        <v>4</v>
      </c>
      <c r="Y314" s="69">
        <f>SUM(Tabla1[[#This Row],[MES ADEUDO DE AÑOS PASADOS ]:[MESES DE ADEUDO DEL AÑO EN CURSO ]])</f>
        <v>4</v>
      </c>
      <c r="Z314" s="15">
        <f>IF(Tabla1[[#This Row],[TIPO DE CONSUMIDOR]]="COMPLETO",W314*$T$2,W314*($T$2/2))</f>
        <v>0</v>
      </c>
      <c r="AA314" s="15">
        <f>IF(Tabla1[[#This Row],[TIPO DE CONSUMIDOR]]="COMPLETO",Tabla1[[#This Row],[MESES DE ADEUDO DEL AÑO EN CURSO ]]*$T$2,Tabla1[[#This Row],[MESES DE ADEUDO DEL AÑO EN CURSO ]]*($T$2/2))</f>
        <v>180</v>
      </c>
      <c r="AB314" s="70">
        <f>SUM(Tabla1[[#This Row],[DEUDA DE LOS MESES PASADOS EN $$]:[DEUDA DEL AÑO 2013 $$ ]])</f>
        <v>180</v>
      </c>
      <c r="AE314" s="103">
        <f>IF(Tabla1[[#This Row],[TIPO DE CONSUMIDOR]]="MEDIO",IF(Tabla1[[#This Row],[ENERO ]]&gt;22.5,Tabla1[[#This Row],[ENERO ]]/22.5-1,0),IF(Tabla1[[#This Row],[ENERO ]]&gt;45,Tabla1[[#This Row],[ENERO ]]/45-1,0))</f>
        <v>0</v>
      </c>
      <c r="AF31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4" s="103">
        <f>IF(Tabla1[[#This Row],[TIPO DE CONSUMIDOR]]="MEDIO",IF(Tabla1[[#This Row],[MARZO]]&gt;22.5,Tabla1[[#This Row],[MARZO]]/22.5-1,0),IF(Tabla1[[#This Row],[MARZO]]&gt;45,Tabla1[[#This Row],[MARZO]]/45-1,0))</f>
        <v>0</v>
      </c>
      <c r="AH314" s="103">
        <f>IF(Tabla1[[#This Row],[TIPO DE CONSUMIDOR]]="MEDIO",IF(Tabla1[[#This Row],[ABRIL]]&gt;22.5,Tabla1[[#This Row],[ABRIL]]/22.5-1,0),IF(Tabla1[[#This Row],[ABRIL]]&gt;45,Tabla1[[#This Row],[ABRIL]]/45-1,0))</f>
        <v>0</v>
      </c>
      <c r="AI314" s="103">
        <f>IF(Tabla1[[#This Row],[TIPO DE CONSUMIDOR]]="MEDIO",IF(Tabla1[[#This Row],[MAYO ]]&gt;22.5,Tabla1[[#This Row],[MAYO ]]/22.5-1,0),IF(Tabla1[[#This Row],[MAYO ]]&gt;45,Tabla1[[#This Row],[MAYO ]]/45-1,0))</f>
        <v>0</v>
      </c>
      <c r="AJ314" s="103">
        <f>IF(Tabla1[[#This Row],[TIPO DE CONSUMIDOR]]="MEDIO",IF(Tabla1[[#This Row],[JUNIO ]]&gt;22.5,Tabla1[[#This Row],[JUNIO ]]/22.5-1,0),IF(Tabla1[[#This Row],[JUNIO ]]&gt;45,Tabla1[[#This Row],[JUNIO ]]/45-1,0))</f>
        <v>0</v>
      </c>
      <c r="AK314" s="103">
        <f>IF(Tabla1[[#This Row],[TIPO DE CONSUMIDOR]]="MEDIO",IF(Tabla1[[#This Row],[JULIO ]]&gt;22.5,Tabla1[[#This Row],[JULIO ]]/22.5-1,0),IF(Tabla1[[#This Row],[JULIO ]]&gt;45,Tabla1[[#This Row],[JULIO ]]/45-1,0))</f>
        <v>0</v>
      </c>
      <c r="AL314" s="103">
        <f>IF(Tabla1[[#This Row],[TIPO DE CONSUMIDOR]]="MEDIO",IF(Tabla1[[#This Row],[AGOSTO]]&gt;22.5,Tabla1[[#This Row],[AGOSTO]]/22.5-1,0),IF(Tabla1[[#This Row],[AGOSTO]]&gt;45,Tabla1[[#This Row],[AGOSTO]]/45-1,0))</f>
        <v>0</v>
      </c>
      <c r="AM31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4" s="104">
        <f t="shared" si="10"/>
        <v>0</v>
      </c>
      <c r="AR314" s="9">
        <f t="shared" si="9"/>
        <v>1</v>
      </c>
      <c r="AS314" s="60">
        <f>IF(Tabla1[[#This Row],[MESES DE ADEUDO DEL AÑO EN CURSO ]]&gt;0,1,0)</f>
        <v>1</v>
      </c>
      <c r="AT314" s="42"/>
      <c r="AU314" s="42"/>
      <c r="AV314" s="42"/>
      <c r="AW314" s="43"/>
    </row>
    <row r="315" spans="1:49" ht="21.75" thickBot="1" x14ac:dyDescent="0.35">
      <c r="A315" s="109">
        <v>309</v>
      </c>
      <c r="B315" s="5" t="s">
        <v>166</v>
      </c>
      <c r="C315" s="2" t="s">
        <v>530</v>
      </c>
      <c r="D315" s="32"/>
      <c r="E315" s="35" t="s">
        <v>455</v>
      </c>
      <c r="F315" s="34">
        <v>45</v>
      </c>
      <c r="G315" s="34">
        <v>45</v>
      </c>
      <c r="H315" s="34">
        <v>45</v>
      </c>
      <c r="I315" s="34">
        <v>45</v>
      </c>
      <c r="J315" s="34">
        <v>45</v>
      </c>
      <c r="K315" s="34">
        <v>45</v>
      </c>
      <c r="L315" s="34">
        <v>45</v>
      </c>
      <c r="M315" s="34">
        <v>45</v>
      </c>
      <c r="N315" s="34">
        <v>0</v>
      </c>
      <c r="O315" s="34">
        <v>0</v>
      </c>
      <c r="P315" s="34">
        <v>0</v>
      </c>
      <c r="Q315" s="34">
        <v>0</v>
      </c>
      <c r="R315" s="24">
        <f>SUM(Tabla1[[#This Row],[ENERO ]:[DICIEMBRE]])</f>
        <v>360</v>
      </c>
      <c r="W315" s="65">
        <v>0</v>
      </c>
      <c r="X315" s="21">
        <f>COUNTIF(Tabla1[[#This Row],[ENERO ]:[DICIEMBRE]],0)-(AQ315)-IF(Tabla1[[#This Row],[BAJAS]]="BAJA",IF(Tabla1[[#This Row],[ALTAS]]="ALTA",VLOOKUP(Tabla1[[#This Row],[MES DE ALTA ]],$AT$6:$AU$17,2,FALSE),12)-VLOOKUP(Tabla1[[#This Row],[MES DE BAJA ]],$AT$6:$AU$17,2,FALSE),0)</f>
        <v>4</v>
      </c>
      <c r="Y315" s="69">
        <f>SUM(Tabla1[[#This Row],[MES ADEUDO DE AÑOS PASADOS ]:[MESES DE ADEUDO DEL AÑO EN CURSO ]])</f>
        <v>4</v>
      </c>
      <c r="Z315" s="15">
        <f>IF(Tabla1[[#This Row],[TIPO DE CONSUMIDOR]]="COMPLETO",W315*$T$2,W315*($T$2/2))</f>
        <v>0</v>
      </c>
      <c r="AA315" s="15">
        <f>IF(Tabla1[[#This Row],[TIPO DE CONSUMIDOR]]="COMPLETO",Tabla1[[#This Row],[MESES DE ADEUDO DEL AÑO EN CURSO ]]*$T$2,Tabla1[[#This Row],[MESES DE ADEUDO DEL AÑO EN CURSO ]]*($T$2/2))</f>
        <v>180</v>
      </c>
      <c r="AB315" s="70">
        <f>SUM(Tabla1[[#This Row],[DEUDA DE LOS MESES PASADOS EN $$]:[DEUDA DEL AÑO 2013 $$ ]])</f>
        <v>180</v>
      </c>
      <c r="AE315" s="103">
        <f>IF(Tabla1[[#This Row],[TIPO DE CONSUMIDOR]]="MEDIO",IF(Tabla1[[#This Row],[ENERO ]]&gt;22.5,Tabla1[[#This Row],[ENERO ]]/22.5-1,0),IF(Tabla1[[#This Row],[ENERO ]]&gt;45,Tabla1[[#This Row],[ENERO ]]/45-1,0))</f>
        <v>0</v>
      </c>
      <c r="AF31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5" s="103">
        <f>IF(Tabla1[[#This Row],[TIPO DE CONSUMIDOR]]="MEDIO",IF(Tabla1[[#This Row],[MARZO]]&gt;22.5,Tabla1[[#This Row],[MARZO]]/22.5-1,0),IF(Tabla1[[#This Row],[MARZO]]&gt;45,Tabla1[[#This Row],[MARZO]]/45-1,0))</f>
        <v>0</v>
      </c>
      <c r="AH315" s="103">
        <f>IF(Tabla1[[#This Row],[TIPO DE CONSUMIDOR]]="MEDIO",IF(Tabla1[[#This Row],[ABRIL]]&gt;22.5,Tabla1[[#This Row],[ABRIL]]/22.5-1,0),IF(Tabla1[[#This Row],[ABRIL]]&gt;45,Tabla1[[#This Row],[ABRIL]]/45-1,0))</f>
        <v>0</v>
      </c>
      <c r="AI315" s="103">
        <f>IF(Tabla1[[#This Row],[TIPO DE CONSUMIDOR]]="MEDIO",IF(Tabla1[[#This Row],[MAYO ]]&gt;22.5,Tabla1[[#This Row],[MAYO ]]/22.5-1,0),IF(Tabla1[[#This Row],[MAYO ]]&gt;45,Tabla1[[#This Row],[MAYO ]]/45-1,0))</f>
        <v>0</v>
      </c>
      <c r="AJ315" s="103">
        <f>IF(Tabla1[[#This Row],[TIPO DE CONSUMIDOR]]="MEDIO",IF(Tabla1[[#This Row],[JUNIO ]]&gt;22.5,Tabla1[[#This Row],[JUNIO ]]/22.5-1,0),IF(Tabla1[[#This Row],[JUNIO ]]&gt;45,Tabla1[[#This Row],[JUNIO ]]/45-1,0))</f>
        <v>0</v>
      </c>
      <c r="AK315" s="103">
        <f>IF(Tabla1[[#This Row],[TIPO DE CONSUMIDOR]]="MEDIO",IF(Tabla1[[#This Row],[JULIO ]]&gt;22.5,Tabla1[[#This Row],[JULIO ]]/22.5-1,0),IF(Tabla1[[#This Row],[JULIO ]]&gt;45,Tabla1[[#This Row],[JULIO ]]/45-1,0))</f>
        <v>0</v>
      </c>
      <c r="AL315" s="103">
        <f>IF(Tabla1[[#This Row],[TIPO DE CONSUMIDOR]]="MEDIO",IF(Tabla1[[#This Row],[AGOSTO]]&gt;22.5,Tabla1[[#This Row],[AGOSTO]]/22.5-1,0),IF(Tabla1[[#This Row],[AGOSTO]]&gt;45,Tabla1[[#This Row],[AGOSTO]]/45-1,0))</f>
        <v>0</v>
      </c>
      <c r="AM31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5" s="104">
        <f t="shared" si="10"/>
        <v>0</v>
      </c>
      <c r="AR315" s="9">
        <f t="shared" si="9"/>
        <v>1</v>
      </c>
      <c r="AS315" s="60">
        <f>IF(Tabla1[[#This Row],[MESES DE ADEUDO DEL AÑO EN CURSO ]]&gt;0,1,0)</f>
        <v>1</v>
      </c>
      <c r="AT315" s="42"/>
      <c r="AU315" s="42"/>
      <c r="AV315" s="42"/>
      <c r="AW315" s="43"/>
    </row>
    <row r="316" spans="1:49" ht="21.75" thickBot="1" x14ac:dyDescent="0.35">
      <c r="A316" s="109">
        <v>310</v>
      </c>
      <c r="B316" s="5" t="s">
        <v>199</v>
      </c>
      <c r="C316" s="2" t="s">
        <v>530</v>
      </c>
      <c r="D316" s="32"/>
      <c r="E316" s="35" t="s">
        <v>455</v>
      </c>
      <c r="F316" s="34">
        <v>45</v>
      </c>
      <c r="G316" s="34">
        <v>45</v>
      </c>
      <c r="H316" s="34">
        <v>45</v>
      </c>
      <c r="I316" s="34">
        <v>45</v>
      </c>
      <c r="J316" s="34">
        <v>45</v>
      </c>
      <c r="K316" s="34">
        <v>45</v>
      </c>
      <c r="L316" s="34">
        <v>45</v>
      </c>
      <c r="M316" s="34">
        <v>45</v>
      </c>
      <c r="N316" s="34">
        <v>0</v>
      </c>
      <c r="O316" s="34">
        <v>0</v>
      </c>
      <c r="P316" s="34">
        <v>0</v>
      </c>
      <c r="Q316" s="34">
        <v>0</v>
      </c>
      <c r="R316" s="24">
        <f>SUM(Tabla1[[#This Row],[ENERO ]:[DICIEMBRE]])</f>
        <v>360</v>
      </c>
      <c r="W316" s="65">
        <v>0</v>
      </c>
      <c r="X316" s="21">
        <f>COUNTIF(Tabla1[[#This Row],[ENERO ]:[DICIEMBRE]],0)-(AQ316)-IF(Tabla1[[#This Row],[BAJAS]]="BAJA",IF(Tabla1[[#This Row],[ALTAS]]="ALTA",VLOOKUP(Tabla1[[#This Row],[MES DE ALTA ]],$AT$6:$AU$17,2,FALSE),12)-VLOOKUP(Tabla1[[#This Row],[MES DE BAJA ]],$AT$6:$AU$17,2,FALSE),0)</f>
        <v>4</v>
      </c>
      <c r="Y316" s="69">
        <f>SUM(Tabla1[[#This Row],[MES ADEUDO DE AÑOS PASADOS ]:[MESES DE ADEUDO DEL AÑO EN CURSO ]])</f>
        <v>4</v>
      </c>
      <c r="Z316" s="15">
        <f>IF(Tabla1[[#This Row],[TIPO DE CONSUMIDOR]]="COMPLETO",W316*$T$2,W316*($T$2/2))</f>
        <v>0</v>
      </c>
      <c r="AA316" s="15">
        <f>IF(Tabla1[[#This Row],[TIPO DE CONSUMIDOR]]="COMPLETO",Tabla1[[#This Row],[MESES DE ADEUDO DEL AÑO EN CURSO ]]*$T$2,Tabla1[[#This Row],[MESES DE ADEUDO DEL AÑO EN CURSO ]]*($T$2/2))</f>
        <v>180</v>
      </c>
      <c r="AB316" s="70">
        <f>SUM(Tabla1[[#This Row],[DEUDA DE LOS MESES PASADOS EN $$]:[DEUDA DEL AÑO 2013 $$ ]])</f>
        <v>180</v>
      </c>
      <c r="AE316" s="103">
        <f>IF(Tabla1[[#This Row],[TIPO DE CONSUMIDOR]]="MEDIO",IF(Tabla1[[#This Row],[ENERO ]]&gt;22.5,Tabla1[[#This Row],[ENERO ]]/22.5-1,0),IF(Tabla1[[#This Row],[ENERO ]]&gt;45,Tabla1[[#This Row],[ENERO ]]/45-1,0))</f>
        <v>0</v>
      </c>
      <c r="AF31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6" s="103">
        <f>IF(Tabla1[[#This Row],[TIPO DE CONSUMIDOR]]="MEDIO",IF(Tabla1[[#This Row],[MARZO]]&gt;22.5,Tabla1[[#This Row],[MARZO]]/22.5-1,0),IF(Tabla1[[#This Row],[MARZO]]&gt;45,Tabla1[[#This Row],[MARZO]]/45-1,0))</f>
        <v>0</v>
      </c>
      <c r="AH316" s="103">
        <f>IF(Tabla1[[#This Row],[TIPO DE CONSUMIDOR]]="MEDIO",IF(Tabla1[[#This Row],[ABRIL]]&gt;22.5,Tabla1[[#This Row],[ABRIL]]/22.5-1,0),IF(Tabla1[[#This Row],[ABRIL]]&gt;45,Tabla1[[#This Row],[ABRIL]]/45-1,0))</f>
        <v>0</v>
      </c>
      <c r="AI316" s="103">
        <f>IF(Tabla1[[#This Row],[TIPO DE CONSUMIDOR]]="MEDIO",IF(Tabla1[[#This Row],[MAYO ]]&gt;22.5,Tabla1[[#This Row],[MAYO ]]/22.5-1,0),IF(Tabla1[[#This Row],[MAYO ]]&gt;45,Tabla1[[#This Row],[MAYO ]]/45-1,0))</f>
        <v>0</v>
      </c>
      <c r="AJ316" s="103">
        <f>IF(Tabla1[[#This Row],[TIPO DE CONSUMIDOR]]="MEDIO",IF(Tabla1[[#This Row],[JUNIO ]]&gt;22.5,Tabla1[[#This Row],[JUNIO ]]/22.5-1,0),IF(Tabla1[[#This Row],[JUNIO ]]&gt;45,Tabla1[[#This Row],[JUNIO ]]/45-1,0))</f>
        <v>0</v>
      </c>
      <c r="AK316" s="103">
        <f>IF(Tabla1[[#This Row],[TIPO DE CONSUMIDOR]]="MEDIO",IF(Tabla1[[#This Row],[JULIO ]]&gt;22.5,Tabla1[[#This Row],[JULIO ]]/22.5-1,0),IF(Tabla1[[#This Row],[JULIO ]]&gt;45,Tabla1[[#This Row],[JULIO ]]/45-1,0))</f>
        <v>0</v>
      </c>
      <c r="AL316" s="103">
        <f>IF(Tabla1[[#This Row],[TIPO DE CONSUMIDOR]]="MEDIO",IF(Tabla1[[#This Row],[AGOSTO]]&gt;22.5,Tabla1[[#This Row],[AGOSTO]]/22.5-1,0),IF(Tabla1[[#This Row],[AGOSTO]]&gt;45,Tabla1[[#This Row],[AGOSTO]]/45-1,0))</f>
        <v>0</v>
      </c>
      <c r="AM31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6" s="104">
        <f t="shared" si="10"/>
        <v>0</v>
      </c>
      <c r="AR316" s="9">
        <f t="shared" si="9"/>
        <v>1</v>
      </c>
      <c r="AS316" s="60">
        <f>IF(Tabla1[[#This Row],[MESES DE ADEUDO DEL AÑO EN CURSO ]]&gt;0,1,0)</f>
        <v>1</v>
      </c>
      <c r="AT316" s="42"/>
      <c r="AU316" s="42"/>
      <c r="AV316" s="42"/>
      <c r="AW316" s="43"/>
    </row>
    <row r="317" spans="1:49" ht="21.75" thickBot="1" x14ac:dyDescent="0.35">
      <c r="A317" s="109">
        <v>311</v>
      </c>
      <c r="B317" s="5" t="s">
        <v>272</v>
      </c>
      <c r="C317" s="2" t="s">
        <v>530</v>
      </c>
      <c r="D317" s="32"/>
      <c r="E317" s="35" t="s">
        <v>455</v>
      </c>
      <c r="F317" s="34">
        <v>45</v>
      </c>
      <c r="G317" s="34">
        <v>45</v>
      </c>
      <c r="H317" s="34">
        <v>45</v>
      </c>
      <c r="I317" s="34">
        <v>45</v>
      </c>
      <c r="J317" s="34">
        <v>45</v>
      </c>
      <c r="K317" s="34">
        <v>45</v>
      </c>
      <c r="L317" s="34">
        <v>45</v>
      </c>
      <c r="M317" s="34">
        <v>45</v>
      </c>
      <c r="N317" s="34">
        <v>0</v>
      </c>
      <c r="O317" s="34">
        <v>0</v>
      </c>
      <c r="P317" s="34">
        <v>0</v>
      </c>
      <c r="Q317" s="34">
        <v>0</v>
      </c>
      <c r="R317" s="24">
        <f>SUM(Tabla1[[#This Row],[ENERO ]:[DICIEMBRE]])</f>
        <v>360</v>
      </c>
      <c r="W317" s="65">
        <v>0</v>
      </c>
      <c r="X317" s="21">
        <f>COUNTIF(Tabla1[[#This Row],[ENERO ]:[DICIEMBRE]],0)-(AQ317)-IF(Tabla1[[#This Row],[BAJAS]]="BAJA",IF(Tabla1[[#This Row],[ALTAS]]="ALTA",VLOOKUP(Tabla1[[#This Row],[MES DE ALTA ]],$AT$6:$AU$17,2,FALSE),12)-VLOOKUP(Tabla1[[#This Row],[MES DE BAJA ]],$AT$6:$AU$17,2,FALSE),0)</f>
        <v>4</v>
      </c>
      <c r="Y317" s="69">
        <f>SUM(Tabla1[[#This Row],[MES ADEUDO DE AÑOS PASADOS ]:[MESES DE ADEUDO DEL AÑO EN CURSO ]])</f>
        <v>4</v>
      </c>
      <c r="Z317" s="15">
        <f>IF(Tabla1[[#This Row],[TIPO DE CONSUMIDOR]]="COMPLETO",W317*$T$2,W317*($T$2/2))</f>
        <v>0</v>
      </c>
      <c r="AA317" s="15">
        <f>IF(Tabla1[[#This Row],[TIPO DE CONSUMIDOR]]="COMPLETO",Tabla1[[#This Row],[MESES DE ADEUDO DEL AÑO EN CURSO ]]*$T$2,Tabla1[[#This Row],[MESES DE ADEUDO DEL AÑO EN CURSO ]]*($T$2/2))</f>
        <v>180</v>
      </c>
      <c r="AB317" s="70">
        <f>SUM(Tabla1[[#This Row],[DEUDA DE LOS MESES PASADOS EN $$]:[DEUDA DEL AÑO 2013 $$ ]])</f>
        <v>180</v>
      </c>
      <c r="AE317" s="103">
        <f>IF(Tabla1[[#This Row],[TIPO DE CONSUMIDOR]]="MEDIO",IF(Tabla1[[#This Row],[ENERO ]]&gt;22.5,Tabla1[[#This Row],[ENERO ]]/22.5-1,0),IF(Tabla1[[#This Row],[ENERO ]]&gt;45,Tabla1[[#This Row],[ENERO ]]/45-1,0))</f>
        <v>0</v>
      </c>
      <c r="AF31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7" s="103">
        <f>IF(Tabla1[[#This Row],[TIPO DE CONSUMIDOR]]="MEDIO",IF(Tabla1[[#This Row],[MARZO]]&gt;22.5,Tabla1[[#This Row],[MARZO]]/22.5-1,0),IF(Tabla1[[#This Row],[MARZO]]&gt;45,Tabla1[[#This Row],[MARZO]]/45-1,0))</f>
        <v>0</v>
      </c>
      <c r="AH317" s="103">
        <f>IF(Tabla1[[#This Row],[TIPO DE CONSUMIDOR]]="MEDIO",IF(Tabla1[[#This Row],[ABRIL]]&gt;22.5,Tabla1[[#This Row],[ABRIL]]/22.5-1,0),IF(Tabla1[[#This Row],[ABRIL]]&gt;45,Tabla1[[#This Row],[ABRIL]]/45-1,0))</f>
        <v>0</v>
      </c>
      <c r="AI317" s="103">
        <f>IF(Tabla1[[#This Row],[TIPO DE CONSUMIDOR]]="MEDIO",IF(Tabla1[[#This Row],[MAYO ]]&gt;22.5,Tabla1[[#This Row],[MAYO ]]/22.5-1,0),IF(Tabla1[[#This Row],[MAYO ]]&gt;45,Tabla1[[#This Row],[MAYO ]]/45-1,0))</f>
        <v>0</v>
      </c>
      <c r="AJ317" s="103">
        <f>IF(Tabla1[[#This Row],[TIPO DE CONSUMIDOR]]="MEDIO",IF(Tabla1[[#This Row],[JUNIO ]]&gt;22.5,Tabla1[[#This Row],[JUNIO ]]/22.5-1,0),IF(Tabla1[[#This Row],[JUNIO ]]&gt;45,Tabla1[[#This Row],[JUNIO ]]/45-1,0))</f>
        <v>0</v>
      </c>
      <c r="AK317" s="103">
        <f>IF(Tabla1[[#This Row],[TIPO DE CONSUMIDOR]]="MEDIO",IF(Tabla1[[#This Row],[JULIO ]]&gt;22.5,Tabla1[[#This Row],[JULIO ]]/22.5-1,0),IF(Tabla1[[#This Row],[JULIO ]]&gt;45,Tabla1[[#This Row],[JULIO ]]/45-1,0))</f>
        <v>0</v>
      </c>
      <c r="AL317" s="103">
        <f>IF(Tabla1[[#This Row],[TIPO DE CONSUMIDOR]]="MEDIO",IF(Tabla1[[#This Row],[AGOSTO]]&gt;22.5,Tabla1[[#This Row],[AGOSTO]]/22.5-1,0),IF(Tabla1[[#This Row],[AGOSTO]]&gt;45,Tabla1[[#This Row],[AGOSTO]]/45-1,0))</f>
        <v>0</v>
      </c>
      <c r="AM31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7" s="104">
        <f t="shared" si="10"/>
        <v>0</v>
      </c>
      <c r="AR317" s="9">
        <f t="shared" si="9"/>
        <v>1</v>
      </c>
      <c r="AS317" s="60">
        <f>IF(Tabla1[[#This Row],[MESES DE ADEUDO DEL AÑO EN CURSO ]]&gt;0,1,0)</f>
        <v>1</v>
      </c>
      <c r="AT317" s="42"/>
      <c r="AU317" s="42"/>
      <c r="AV317" s="42"/>
      <c r="AW317" s="43"/>
    </row>
    <row r="318" spans="1:49" ht="21.75" thickBot="1" x14ac:dyDescent="0.35">
      <c r="A318" s="109">
        <v>312</v>
      </c>
      <c r="B318" s="5" t="s">
        <v>555</v>
      </c>
      <c r="C318" s="2" t="s">
        <v>549</v>
      </c>
      <c r="D318" s="32"/>
      <c r="E318" s="35" t="s">
        <v>455</v>
      </c>
      <c r="F318" s="34">
        <v>45</v>
      </c>
      <c r="G318" s="34">
        <v>45</v>
      </c>
      <c r="H318" s="34">
        <v>45</v>
      </c>
      <c r="I318" s="34">
        <v>45</v>
      </c>
      <c r="J318" s="34">
        <v>45</v>
      </c>
      <c r="K318" s="34">
        <v>45</v>
      </c>
      <c r="L318" s="34">
        <v>45</v>
      </c>
      <c r="M318" s="34">
        <v>45</v>
      </c>
      <c r="N318" s="34">
        <v>0</v>
      </c>
      <c r="O318" s="34">
        <v>0</v>
      </c>
      <c r="P318" s="34">
        <v>0</v>
      </c>
      <c r="Q318" s="34">
        <v>0</v>
      </c>
      <c r="R318" s="24">
        <f>SUM(Tabla1[[#This Row],[ENERO ]:[DICIEMBRE]])</f>
        <v>360</v>
      </c>
      <c r="W318" s="65">
        <v>0</v>
      </c>
      <c r="X318" s="21">
        <f>COUNTIF(Tabla1[[#This Row],[ENERO ]:[DICIEMBRE]],0)-(AQ318)-IF(Tabla1[[#This Row],[BAJAS]]="BAJA",IF(Tabla1[[#This Row],[ALTAS]]="ALTA",VLOOKUP(Tabla1[[#This Row],[MES DE ALTA ]],$AT$6:$AU$17,2,FALSE),12)-VLOOKUP(Tabla1[[#This Row],[MES DE BAJA ]],$AT$6:$AU$17,2,FALSE),0)</f>
        <v>4</v>
      </c>
      <c r="Y318" s="69">
        <f>SUM(Tabla1[[#This Row],[MES ADEUDO DE AÑOS PASADOS ]:[MESES DE ADEUDO DEL AÑO EN CURSO ]])</f>
        <v>4</v>
      </c>
      <c r="Z318" s="15">
        <f>IF(Tabla1[[#This Row],[TIPO DE CONSUMIDOR]]="COMPLETO",W318*$T$2,W318*($T$2/2))</f>
        <v>0</v>
      </c>
      <c r="AA318" s="15">
        <f>IF(Tabla1[[#This Row],[TIPO DE CONSUMIDOR]]="COMPLETO",Tabla1[[#This Row],[MESES DE ADEUDO DEL AÑO EN CURSO ]]*$T$2,Tabla1[[#This Row],[MESES DE ADEUDO DEL AÑO EN CURSO ]]*($T$2/2))</f>
        <v>180</v>
      </c>
      <c r="AB318" s="70">
        <f>SUM(Tabla1[[#This Row],[DEUDA DE LOS MESES PASADOS EN $$]:[DEUDA DEL AÑO 2013 $$ ]])</f>
        <v>180</v>
      </c>
      <c r="AE318" s="103">
        <f>IF(Tabla1[[#This Row],[TIPO DE CONSUMIDOR]]="MEDIO",IF(Tabla1[[#This Row],[ENERO ]]&gt;22.5,Tabla1[[#This Row],[ENERO ]]/22.5-1,0),IF(Tabla1[[#This Row],[ENERO ]]&gt;45,Tabla1[[#This Row],[ENERO ]]/45-1,0))</f>
        <v>0</v>
      </c>
      <c r="AF31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8" s="103">
        <f>IF(Tabla1[[#This Row],[TIPO DE CONSUMIDOR]]="MEDIO",IF(Tabla1[[#This Row],[MARZO]]&gt;22.5,Tabla1[[#This Row],[MARZO]]/22.5-1,0),IF(Tabla1[[#This Row],[MARZO]]&gt;45,Tabla1[[#This Row],[MARZO]]/45-1,0))</f>
        <v>0</v>
      </c>
      <c r="AH318" s="103">
        <f>IF(Tabla1[[#This Row],[TIPO DE CONSUMIDOR]]="MEDIO",IF(Tabla1[[#This Row],[ABRIL]]&gt;22.5,Tabla1[[#This Row],[ABRIL]]/22.5-1,0),IF(Tabla1[[#This Row],[ABRIL]]&gt;45,Tabla1[[#This Row],[ABRIL]]/45-1,0))</f>
        <v>0</v>
      </c>
      <c r="AI318" s="103">
        <f>IF(Tabla1[[#This Row],[TIPO DE CONSUMIDOR]]="MEDIO",IF(Tabla1[[#This Row],[MAYO ]]&gt;22.5,Tabla1[[#This Row],[MAYO ]]/22.5-1,0),IF(Tabla1[[#This Row],[MAYO ]]&gt;45,Tabla1[[#This Row],[MAYO ]]/45-1,0))</f>
        <v>0</v>
      </c>
      <c r="AJ318" s="103">
        <f>IF(Tabla1[[#This Row],[TIPO DE CONSUMIDOR]]="MEDIO",IF(Tabla1[[#This Row],[JUNIO ]]&gt;22.5,Tabla1[[#This Row],[JUNIO ]]/22.5-1,0),IF(Tabla1[[#This Row],[JUNIO ]]&gt;45,Tabla1[[#This Row],[JUNIO ]]/45-1,0))</f>
        <v>0</v>
      </c>
      <c r="AK318" s="103">
        <f>IF(Tabla1[[#This Row],[TIPO DE CONSUMIDOR]]="MEDIO",IF(Tabla1[[#This Row],[JULIO ]]&gt;22.5,Tabla1[[#This Row],[JULIO ]]/22.5-1,0),IF(Tabla1[[#This Row],[JULIO ]]&gt;45,Tabla1[[#This Row],[JULIO ]]/45-1,0))</f>
        <v>0</v>
      </c>
      <c r="AL318" s="103">
        <f>IF(Tabla1[[#This Row],[TIPO DE CONSUMIDOR]]="MEDIO",IF(Tabla1[[#This Row],[AGOSTO]]&gt;22.5,Tabla1[[#This Row],[AGOSTO]]/22.5-1,0),IF(Tabla1[[#This Row],[AGOSTO]]&gt;45,Tabla1[[#This Row],[AGOSTO]]/45-1,0))</f>
        <v>0</v>
      </c>
      <c r="AM31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8" s="104">
        <f t="shared" si="10"/>
        <v>0</v>
      </c>
      <c r="AR318" s="9">
        <f t="shared" si="9"/>
        <v>1</v>
      </c>
      <c r="AS318" s="60">
        <f>IF(Tabla1[[#This Row],[MESES DE ADEUDO DEL AÑO EN CURSO ]]&gt;0,1,0)</f>
        <v>1</v>
      </c>
      <c r="AT318" s="42"/>
      <c r="AU318" s="42"/>
      <c r="AV318" s="42"/>
      <c r="AW318" s="43"/>
    </row>
    <row r="319" spans="1:49" ht="21.75" thickBot="1" x14ac:dyDescent="0.35">
      <c r="A319" s="109">
        <v>313</v>
      </c>
      <c r="B319" s="5" t="s">
        <v>174</v>
      </c>
      <c r="C319" s="2" t="s">
        <v>562</v>
      </c>
      <c r="D319" s="32"/>
      <c r="E319" s="35" t="s">
        <v>455</v>
      </c>
      <c r="F319" s="34">
        <v>45</v>
      </c>
      <c r="G319" s="34">
        <v>45</v>
      </c>
      <c r="H319" s="34">
        <v>45</v>
      </c>
      <c r="I319" s="34">
        <v>45</v>
      </c>
      <c r="J319" s="34">
        <v>45</v>
      </c>
      <c r="K319" s="34">
        <v>45</v>
      </c>
      <c r="L319" s="34">
        <v>45</v>
      </c>
      <c r="M319" s="34">
        <v>45</v>
      </c>
      <c r="N319" s="34">
        <v>0</v>
      </c>
      <c r="O319" s="34">
        <v>0</v>
      </c>
      <c r="P319" s="34">
        <v>0</v>
      </c>
      <c r="Q319" s="34">
        <v>0</v>
      </c>
      <c r="R319" s="24">
        <f>SUM(Tabla1[[#This Row],[ENERO ]:[DICIEMBRE]])</f>
        <v>360</v>
      </c>
      <c r="W319" s="65">
        <v>0</v>
      </c>
      <c r="X319" s="21">
        <f>COUNTIF(Tabla1[[#This Row],[ENERO ]:[DICIEMBRE]],0)-(AQ319)-IF(Tabla1[[#This Row],[BAJAS]]="BAJA",IF(Tabla1[[#This Row],[ALTAS]]="ALTA",VLOOKUP(Tabla1[[#This Row],[MES DE ALTA ]],$AT$6:$AU$17,2,FALSE),12)-VLOOKUP(Tabla1[[#This Row],[MES DE BAJA ]],$AT$6:$AU$17,2,FALSE),0)</f>
        <v>4</v>
      </c>
      <c r="Y319" s="69">
        <f>SUM(Tabla1[[#This Row],[MES ADEUDO DE AÑOS PASADOS ]:[MESES DE ADEUDO DEL AÑO EN CURSO ]])</f>
        <v>4</v>
      </c>
      <c r="Z319" s="15">
        <f>IF(Tabla1[[#This Row],[TIPO DE CONSUMIDOR]]="COMPLETO",W319*$T$2,W319*($T$2/2))</f>
        <v>0</v>
      </c>
      <c r="AA319" s="15">
        <f>IF(Tabla1[[#This Row],[TIPO DE CONSUMIDOR]]="COMPLETO",Tabla1[[#This Row],[MESES DE ADEUDO DEL AÑO EN CURSO ]]*$T$2,Tabla1[[#This Row],[MESES DE ADEUDO DEL AÑO EN CURSO ]]*($T$2/2))</f>
        <v>180</v>
      </c>
      <c r="AB319" s="70">
        <f>SUM(Tabla1[[#This Row],[DEUDA DE LOS MESES PASADOS EN $$]:[DEUDA DEL AÑO 2013 $$ ]])</f>
        <v>180</v>
      </c>
      <c r="AE319" s="103">
        <f>IF(Tabla1[[#This Row],[TIPO DE CONSUMIDOR]]="MEDIO",IF(Tabla1[[#This Row],[ENERO ]]&gt;22.5,Tabla1[[#This Row],[ENERO ]]/22.5-1,0),IF(Tabla1[[#This Row],[ENERO ]]&gt;45,Tabla1[[#This Row],[ENERO ]]/45-1,0))</f>
        <v>0</v>
      </c>
      <c r="AF31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19" s="103">
        <f>IF(Tabla1[[#This Row],[TIPO DE CONSUMIDOR]]="MEDIO",IF(Tabla1[[#This Row],[MARZO]]&gt;22.5,Tabla1[[#This Row],[MARZO]]/22.5-1,0),IF(Tabla1[[#This Row],[MARZO]]&gt;45,Tabla1[[#This Row],[MARZO]]/45-1,0))</f>
        <v>0</v>
      </c>
      <c r="AH319" s="103">
        <f>IF(Tabla1[[#This Row],[TIPO DE CONSUMIDOR]]="MEDIO",IF(Tabla1[[#This Row],[ABRIL]]&gt;22.5,Tabla1[[#This Row],[ABRIL]]/22.5-1,0),IF(Tabla1[[#This Row],[ABRIL]]&gt;45,Tabla1[[#This Row],[ABRIL]]/45-1,0))</f>
        <v>0</v>
      </c>
      <c r="AI319" s="103">
        <f>IF(Tabla1[[#This Row],[TIPO DE CONSUMIDOR]]="MEDIO",IF(Tabla1[[#This Row],[MAYO ]]&gt;22.5,Tabla1[[#This Row],[MAYO ]]/22.5-1,0),IF(Tabla1[[#This Row],[MAYO ]]&gt;45,Tabla1[[#This Row],[MAYO ]]/45-1,0))</f>
        <v>0</v>
      </c>
      <c r="AJ319" s="103">
        <f>IF(Tabla1[[#This Row],[TIPO DE CONSUMIDOR]]="MEDIO",IF(Tabla1[[#This Row],[JUNIO ]]&gt;22.5,Tabla1[[#This Row],[JUNIO ]]/22.5-1,0),IF(Tabla1[[#This Row],[JUNIO ]]&gt;45,Tabla1[[#This Row],[JUNIO ]]/45-1,0))</f>
        <v>0</v>
      </c>
      <c r="AK319" s="103">
        <f>IF(Tabla1[[#This Row],[TIPO DE CONSUMIDOR]]="MEDIO",IF(Tabla1[[#This Row],[JULIO ]]&gt;22.5,Tabla1[[#This Row],[JULIO ]]/22.5-1,0),IF(Tabla1[[#This Row],[JULIO ]]&gt;45,Tabla1[[#This Row],[JULIO ]]/45-1,0))</f>
        <v>0</v>
      </c>
      <c r="AL319" s="103">
        <f>IF(Tabla1[[#This Row],[TIPO DE CONSUMIDOR]]="MEDIO",IF(Tabla1[[#This Row],[AGOSTO]]&gt;22.5,Tabla1[[#This Row],[AGOSTO]]/22.5-1,0),IF(Tabla1[[#This Row],[AGOSTO]]&gt;45,Tabla1[[#This Row],[AGOSTO]]/45-1,0))</f>
        <v>0</v>
      </c>
      <c r="AM31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1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1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1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19" s="104">
        <f t="shared" si="10"/>
        <v>0</v>
      </c>
      <c r="AR319" s="9">
        <f t="shared" si="9"/>
        <v>1</v>
      </c>
      <c r="AS319" s="60">
        <f>IF(Tabla1[[#This Row],[MESES DE ADEUDO DEL AÑO EN CURSO ]]&gt;0,1,0)</f>
        <v>1</v>
      </c>
      <c r="AT319" s="42"/>
      <c r="AU319" s="42"/>
      <c r="AV319" s="42"/>
      <c r="AW319" s="43"/>
    </row>
    <row r="320" spans="1:49" ht="21.75" thickBot="1" x14ac:dyDescent="0.35">
      <c r="A320" s="109">
        <v>314</v>
      </c>
      <c r="B320" s="5" t="s">
        <v>309</v>
      </c>
      <c r="C320" s="2" t="s">
        <v>562</v>
      </c>
      <c r="D320" s="32"/>
      <c r="E320" s="35" t="s">
        <v>455</v>
      </c>
      <c r="F320" s="34">
        <v>45</v>
      </c>
      <c r="G320" s="34">
        <v>45</v>
      </c>
      <c r="H320" s="34">
        <v>45</v>
      </c>
      <c r="I320" s="34">
        <v>45</v>
      </c>
      <c r="J320" s="34">
        <v>45</v>
      </c>
      <c r="K320" s="34">
        <v>45</v>
      </c>
      <c r="L320" s="34">
        <v>45</v>
      </c>
      <c r="M320" s="34">
        <v>45</v>
      </c>
      <c r="N320" s="34">
        <v>0</v>
      </c>
      <c r="O320" s="34">
        <v>0</v>
      </c>
      <c r="P320" s="34">
        <v>0</v>
      </c>
      <c r="Q320" s="34">
        <v>0</v>
      </c>
      <c r="R320" s="24">
        <f>SUM(Tabla1[[#This Row],[ENERO ]:[DICIEMBRE]])</f>
        <v>360</v>
      </c>
      <c r="W320" s="65">
        <v>0</v>
      </c>
      <c r="X320" s="21">
        <f>COUNTIF(Tabla1[[#This Row],[ENERO ]:[DICIEMBRE]],0)-(AQ320)-IF(Tabla1[[#This Row],[BAJAS]]="BAJA",IF(Tabla1[[#This Row],[ALTAS]]="ALTA",VLOOKUP(Tabla1[[#This Row],[MES DE ALTA ]],$AT$6:$AU$17,2,FALSE),12)-VLOOKUP(Tabla1[[#This Row],[MES DE BAJA ]],$AT$6:$AU$17,2,FALSE),0)</f>
        <v>4</v>
      </c>
      <c r="Y320" s="69">
        <f>SUM(Tabla1[[#This Row],[MES ADEUDO DE AÑOS PASADOS ]:[MESES DE ADEUDO DEL AÑO EN CURSO ]])</f>
        <v>4</v>
      </c>
      <c r="Z320" s="15">
        <f>IF(Tabla1[[#This Row],[TIPO DE CONSUMIDOR]]="COMPLETO",W320*$T$2,W320*($T$2/2))</f>
        <v>0</v>
      </c>
      <c r="AA320" s="15">
        <f>IF(Tabla1[[#This Row],[TIPO DE CONSUMIDOR]]="COMPLETO",Tabla1[[#This Row],[MESES DE ADEUDO DEL AÑO EN CURSO ]]*$T$2,Tabla1[[#This Row],[MESES DE ADEUDO DEL AÑO EN CURSO ]]*($T$2/2))</f>
        <v>180</v>
      </c>
      <c r="AB320" s="70">
        <f>SUM(Tabla1[[#This Row],[DEUDA DE LOS MESES PASADOS EN $$]:[DEUDA DEL AÑO 2013 $$ ]])</f>
        <v>180</v>
      </c>
      <c r="AE320" s="103">
        <f>IF(Tabla1[[#This Row],[TIPO DE CONSUMIDOR]]="MEDIO",IF(Tabla1[[#This Row],[ENERO ]]&gt;22.5,Tabla1[[#This Row],[ENERO ]]/22.5-1,0),IF(Tabla1[[#This Row],[ENERO ]]&gt;45,Tabla1[[#This Row],[ENERO ]]/45-1,0))</f>
        <v>0</v>
      </c>
      <c r="AF32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0" s="103">
        <f>IF(Tabla1[[#This Row],[TIPO DE CONSUMIDOR]]="MEDIO",IF(Tabla1[[#This Row],[MARZO]]&gt;22.5,Tabla1[[#This Row],[MARZO]]/22.5-1,0),IF(Tabla1[[#This Row],[MARZO]]&gt;45,Tabla1[[#This Row],[MARZO]]/45-1,0))</f>
        <v>0</v>
      </c>
      <c r="AH320" s="103">
        <f>IF(Tabla1[[#This Row],[TIPO DE CONSUMIDOR]]="MEDIO",IF(Tabla1[[#This Row],[ABRIL]]&gt;22.5,Tabla1[[#This Row],[ABRIL]]/22.5-1,0),IF(Tabla1[[#This Row],[ABRIL]]&gt;45,Tabla1[[#This Row],[ABRIL]]/45-1,0))</f>
        <v>0</v>
      </c>
      <c r="AI320" s="103">
        <f>IF(Tabla1[[#This Row],[TIPO DE CONSUMIDOR]]="MEDIO",IF(Tabla1[[#This Row],[MAYO ]]&gt;22.5,Tabla1[[#This Row],[MAYO ]]/22.5-1,0),IF(Tabla1[[#This Row],[MAYO ]]&gt;45,Tabla1[[#This Row],[MAYO ]]/45-1,0))</f>
        <v>0</v>
      </c>
      <c r="AJ320" s="103">
        <f>IF(Tabla1[[#This Row],[TIPO DE CONSUMIDOR]]="MEDIO",IF(Tabla1[[#This Row],[JUNIO ]]&gt;22.5,Tabla1[[#This Row],[JUNIO ]]/22.5-1,0),IF(Tabla1[[#This Row],[JUNIO ]]&gt;45,Tabla1[[#This Row],[JUNIO ]]/45-1,0))</f>
        <v>0</v>
      </c>
      <c r="AK320" s="103">
        <f>IF(Tabla1[[#This Row],[TIPO DE CONSUMIDOR]]="MEDIO",IF(Tabla1[[#This Row],[JULIO ]]&gt;22.5,Tabla1[[#This Row],[JULIO ]]/22.5-1,0),IF(Tabla1[[#This Row],[JULIO ]]&gt;45,Tabla1[[#This Row],[JULIO ]]/45-1,0))</f>
        <v>0</v>
      </c>
      <c r="AL320" s="103">
        <f>IF(Tabla1[[#This Row],[TIPO DE CONSUMIDOR]]="MEDIO",IF(Tabla1[[#This Row],[AGOSTO]]&gt;22.5,Tabla1[[#This Row],[AGOSTO]]/22.5-1,0),IF(Tabla1[[#This Row],[AGOSTO]]&gt;45,Tabla1[[#This Row],[AGOSTO]]/45-1,0))</f>
        <v>0</v>
      </c>
      <c r="AM32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0" s="104">
        <f t="shared" si="10"/>
        <v>0</v>
      </c>
      <c r="AR320" s="9">
        <f t="shared" si="9"/>
        <v>1</v>
      </c>
      <c r="AS320" s="60">
        <f>IF(Tabla1[[#This Row],[MESES DE ADEUDO DEL AÑO EN CURSO ]]&gt;0,1,0)</f>
        <v>1</v>
      </c>
      <c r="AT320" s="42"/>
      <c r="AU320" s="42"/>
      <c r="AV320" s="42"/>
      <c r="AW320" s="43"/>
    </row>
    <row r="321" spans="1:49" ht="21.75" thickBot="1" x14ac:dyDescent="0.35">
      <c r="A321" s="109">
        <v>315</v>
      </c>
      <c r="B321" s="5" t="s">
        <v>354</v>
      </c>
      <c r="C321" s="2" t="s">
        <v>569</v>
      </c>
      <c r="D321" s="32"/>
      <c r="E321" s="35" t="s">
        <v>455</v>
      </c>
      <c r="F321" s="34">
        <v>45</v>
      </c>
      <c r="G321" s="34">
        <v>45</v>
      </c>
      <c r="H321" s="34">
        <v>45</v>
      </c>
      <c r="I321" s="34">
        <v>45</v>
      </c>
      <c r="J321" s="34">
        <v>45</v>
      </c>
      <c r="K321" s="34">
        <v>45</v>
      </c>
      <c r="L321" s="34">
        <v>45</v>
      </c>
      <c r="M321" s="34">
        <v>45</v>
      </c>
      <c r="N321" s="34">
        <v>0</v>
      </c>
      <c r="O321" s="34">
        <v>0</v>
      </c>
      <c r="P321" s="34">
        <v>0</v>
      </c>
      <c r="Q321" s="34">
        <v>0</v>
      </c>
      <c r="R321" s="58">
        <f>SUM(Tabla1[[#This Row],[ENERO ]:[DICIEMBRE]])</f>
        <v>360</v>
      </c>
      <c r="W321" s="65">
        <v>0</v>
      </c>
      <c r="X321" s="21">
        <f>COUNTIF(Tabla1[[#This Row],[ENERO ]:[DICIEMBRE]],0)-(AQ321)-IF(Tabla1[[#This Row],[BAJAS]]="BAJA",IF(Tabla1[[#This Row],[ALTAS]]="ALTA",VLOOKUP(Tabla1[[#This Row],[MES DE ALTA ]],$AT$6:$AU$17,2,FALSE),12)-VLOOKUP(Tabla1[[#This Row],[MES DE BAJA ]],$AT$6:$AU$17,2,FALSE),0)</f>
        <v>4</v>
      </c>
      <c r="Y321" s="69">
        <f>SUM(Tabla1[[#This Row],[MES ADEUDO DE AÑOS PASADOS ]:[MESES DE ADEUDO DEL AÑO EN CURSO ]])</f>
        <v>4</v>
      </c>
      <c r="Z321" s="15">
        <f>IF(Tabla1[[#This Row],[TIPO DE CONSUMIDOR]]="COMPLETO",W321*$T$2,W321*($T$2/2))</f>
        <v>0</v>
      </c>
      <c r="AA321" s="15">
        <f>IF(Tabla1[[#This Row],[TIPO DE CONSUMIDOR]]="COMPLETO",Tabla1[[#This Row],[MESES DE ADEUDO DEL AÑO EN CURSO ]]*$T$2,Tabla1[[#This Row],[MESES DE ADEUDO DEL AÑO EN CURSO ]]*($T$2/2))</f>
        <v>180</v>
      </c>
      <c r="AB321" s="70">
        <f>SUM(Tabla1[[#This Row],[DEUDA DE LOS MESES PASADOS EN $$]:[DEUDA DEL AÑO 2013 $$ ]])</f>
        <v>180</v>
      </c>
      <c r="AE321" s="103">
        <f>IF(Tabla1[[#This Row],[TIPO DE CONSUMIDOR]]="MEDIO",IF(Tabla1[[#This Row],[ENERO ]]&gt;22.5,Tabla1[[#This Row],[ENERO ]]/22.5-1,0),IF(Tabla1[[#This Row],[ENERO ]]&gt;45,Tabla1[[#This Row],[ENERO ]]/45-1,0))</f>
        <v>0</v>
      </c>
      <c r="AF32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1" s="103">
        <f>IF(Tabla1[[#This Row],[TIPO DE CONSUMIDOR]]="MEDIO",IF(Tabla1[[#This Row],[MARZO]]&gt;22.5,Tabla1[[#This Row],[MARZO]]/22.5-1,0),IF(Tabla1[[#This Row],[MARZO]]&gt;45,Tabla1[[#This Row],[MARZO]]/45-1,0))</f>
        <v>0</v>
      </c>
      <c r="AH321" s="103">
        <f>IF(Tabla1[[#This Row],[TIPO DE CONSUMIDOR]]="MEDIO",IF(Tabla1[[#This Row],[ABRIL]]&gt;22.5,Tabla1[[#This Row],[ABRIL]]/22.5-1,0),IF(Tabla1[[#This Row],[ABRIL]]&gt;45,Tabla1[[#This Row],[ABRIL]]/45-1,0))</f>
        <v>0</v>
      </c>
      <c r="AI321" s="103">
        <f>IF(Tabla1[[#This Row],[TIPO DE CONSUMIDOR]]="MEDIO",IF(Tabla1[[#This Row],[MAYO ]]&gt;22.5,Tabla1[[#This Row],[MAYO ]]/22.5-1,0),IF(Tabla1[[#This Row],[MAYO ]]&gt;45,Tabla1[[#This Row],[MAYO ]]/45-1,0))</f>
        <v>0</v>
      </c>
      <c r="AJ321" s="103">
        <f>IF(Tabla1[[#This Row],[TIPO DE CONSUMIDOR]]="MEDIO",IF(Tabla1[[#This Row],[JUNIO ]]&gt;22.5,Tabla1[[#This Row],[JUNIO ]]/22.5-1,0),IF(Tabla1[[#This Row],[JUNIO ]]&gt;45,Tabla1[[#This Row],[JUNIO ]]/45-1,0))</f>
        <v>0</v>
      </c>
      <c r="AK321" s="103">
        <f>IF(Tabla1[[#This Row],[TIPO DE CONSUMIDOR]]="MEDIO",IF(Tabla1[[#This Row],[JULIO ]]&gt;22.5,Tabla1[[#This Row],[JULIO ]]/22.5-1,0),IF(Tabla1[[#This Row],[JULIO ]]&gt;45,Tabla1[[#This Row],[JULIO ]]/45-1,0))</f>
        <v>0</v>
      </c>
      <c r="AL321" s="103">
        <f>IF(Tabla1[[#This Row],[TIPO DE CONSUMIDOR]]="MEDIO",IF(Tabla1[[#This Row],[AGOSTO]]&gt;22.5,Tabla1[[#This Row],[AGOSTO]]/22.5-1,0),IF(Tabla1[[#This Row],[AGOSTO]]&gt;45,Tabla1[[#This Row],[AGOSTO]]/45-1,0))</f>
        <v>0</v>
      </c>
      <c r="AM32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1" s="104">
        <f t="shared" si="10"/>
        <v>0</v>
      </c>
      <c r="AR321" s="9">
        <f t="shared" si="9"/>
        <v>1</v>
      </c>
      <c r="AS321" s="60">
        <f>IF(Tabla1[[#This Row],[MESES DE ADEUDO DEL AÑO EN CURSO ]]&gt;0,1,0)</f>
        <v>1</v>
      </c>
      <c r="AT321" s="42"/>
      <c r="AU321" s="42"/>
      <c r="AV321" s="42"/>
      <c r="AW321" s="43"/>
    </row>
    <row r="322" spans="1:49" ht="21.75" thickBot="1" x14ac:dyDescent="0.35">
      <c r="A322" s="109">
        <v>316</v>
      </c>
      <c r="B322" s="5" t="s">
        <v>413</v>
      </c>
      <c r="C322" s="2" t="s">
        <v>575</v>
      </c>
      <c r="D322" s="32"/>
      <c r="E322" s="35" t="s">
        <v>455</v>
      </c>
      <c r="F322" s="34">
        <v>45</v>
      </c>
      <c r="G322" s="34">
        <v>45</v>
      </c>
      <c r="H322" s="34">
        <v>45</v>
      </c>
      <c r="I322" s="34">
        <v>45</v>
      </c>
      <c r="J322" s="34">
        <v>45</v>
      </c>
      <c r="K322" s="34">
        <v>45</v>
      </c>
      <c r="L322" s="34">
        <v>45</v>
      </c>
      <c r="M322" s="34">
        <v>45</v>
      </c>
      <c r="N322" s="34">
        <v>0</v>
      </c>
      <c r="O322" s="34">
        <v>0</v>
      </c>
      <c r="P322" s="34">
        <v>0</v>
      </c>
      <c r="Q322" s="34">
        <v>0</v>
      </c>
      <c r="R322" s="24">
        <f>SUM(Tabla1[[#This Row],[ENERO ]:[DICIEMBRE]])</f>
        <v>360</v>
      </c>
      <c r="W322" s="65">
        <v>0</v>
      </c>
      <c r="X322" s="21">
        <f>COUNTIF(Tabla1[[#This Row],[ENERO ]:[DICIEMBRE]],0)-(AQ322)-IF(Tabla1[[#This Row],[BAJAS]]="BAJA",IF(Tabla1[[#This Row],[ALTAS]]="ALTA",VLOOKUP(Tabla1[[#This Row],[MES DE ALTA ]],$AT$6:$AU$17,2,FALSE),12)-VLOOKUP(Tabla1[[#This Row],[MES DE BAJA ]],$AT$6:$AU$17,2,FALSE),0)</f>
        <v>4</v>
      </c>
      <c r="Y322" s="69">
        <f>SUM(Tabla1[[#This Row],[MES ADEUDO DE AÑOS PASADOS ]:[MESES DE ADEUDO DEL AÑO EN CURSO ]])</f>
        <v>4</v>
      </c>
      <c r="Z322" s="15">
        <f>IF(Tabla1[[#This Row],[TIPO DE CONSUMIDOR]]="COMPLETO",W322*$T$2,W322*($T$2/2))</f>
        <v>0</v>
      </c>
      <c r="AA322" s="15">
        <f>IF(Tabla1[[#This Row],[TIPO DE CONSUMIDOR]]="COMPLETO",Tabla1[[#This Row],[MESES DE ADEUDO DEL AÑO EN CURSO ]]*$T$2,Tabla1[[#This Row],[MESES DE ADEUDO DEL AÑO EN CURSO ]]*($T$2/2))</f>
        <v>180</v>
      </c>
      <c r="AB322" s="70">
        <f>SUM(Tabla1[[#This Row],[DEUDA DE LOS MESES PASADOS EN $$]:[DEUDA DEL AÑO 2013 $$ ]])</f>
        <v>180</v>
      </c>
      <c r="AE322" s="103">
        <f>IF(Tabla1[[#This Row],[TIPO DE CONSUMIDOR]]="MEDIO",IF(Tabla1[[#This Row],[ENERO ]]&gt;22.5,Tabla1[[#This Row],[ENERO ]]/22.5-1,0),IF(Tabla1[[#This Row],[ENERO ]]&gt;45,Tabla1[[#This Row],[ENERO ]]/45-1,0))</f>
        <v>0</v>
      </c>
      <c r="AF32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2" s="103">
        <f>IF(Tabla1[[#This Row],[TIPO DE CONSUMIDOR]]="MEDIO",IF(Tabla1[[#This Row],[MARZO]]&gt;22.5,Tabla1[[#This Row],[MARZO]]/22.5-1,0),IF(Tabla1[[#This Row],[MARZO]]&gt;45,Tabla1[[#This Row],[MARZO]]/45-1,0))</f>
        <v>0</v>
      </c>
      <c r="AH322" s="103">
        <f>IF(Tabla1[[#This Row],[TIPO DE CONSUMIDOR]]="MEDIO",IF(Tabla1[[#This Row],[ABRIL]]&gt;22.5,Tabla1[[#This Row],[ABRIL]]/22.5-1,0),IF(Tabla1[[#This Row],[ABRIL]]&gt;45,Tabla1[[#This Row],[ABRIL]]/45-1,0))</f>
        <v>0</v>
      </c>
      <c r="AI322" s="103">
        <f>IF(Tabla1[[#This Row],[TIPO DE CONSUMIDOR]]="MEDIO",IF(Tabla1[[#This Row],[MAYO ]]&gt;22.5,Tabla1[[#This Row],[MAYO ]]/22.5-1,0),IF(Tabla1[[#This Row],[MAYO ]]&gt;45,Tabla1[[#This Row],[MAYO ]]/45-1,0))</f>
        <v>0</v>
      </c>
      <c r="AJ322" s="103">
        <f>IF(Tabla1[[#This Row],[TIPO DE CONSUMIDOR]]="MEDIO",IF(Tabla1[[#This Row],[JUNIO ]]&gt;22.5,Tabla1[[#This Row],[JUNIO ]]/22.5-1,0),IF(Tabla1[[#This Row],[JUNIO ]]&gt;45,Tabla1[[#This Row],[JUNIO ]]/45-1,0))</f>
        <v>0</v>
      </c>
      <c r="AK322" s="103">
        <f>IF(Tabla1[[#This Row],[TIPO DE CONSUMIDOR]]="MEDIO",IF(Tabla1[[#This Row],[JULIO ]]&gt;22.5,Tabla1[[#This Row],[JULIO ]]/22.5-1,0),IF(Tabla1[[#This Row],[JULIO ]]&gt;45,Tabla1[[#This Row],[JULIO ]]/45-1,0))</f>
        <v>0</v>
      </c>
      <c r="AL322" s="103">
        <f>IF(Tabla1[[#This Row],[TIPO DE CONSUMIDOR]]="MEDIO",IF(Tabla1[[#This Row],[AGOSTO]]&gt;22.5,Tabla1[[#This Row],[AGOSTO]]/22.5-1,0),IF(Tabla1[[#This Row],[AGOSTO]]&gt;45,Tabla1[[#This Row],[AGOSTO]]/45-1,0))</f>
        <v>0</v>
      </c>
      <c r="AM32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2" s="104">
        <f t="shared" si="10"/>
        <v>0</v>
      </c>
      <c r="AR322" s="9">
        <f t="shared" si="9"/>
        <v>1</v>
      </c>
      <c r="AS322" s="60">
        <f>IF(Tabla1[[#This Row],[MESES DE ADEUDO DEL AÑO EN CURSO ]]&gt;0,1,0)</f>
        <v>1</v>
      </c>
      <c r="AT322" s="42"/>
      <c r="AU322" s="42"/>
      <c r="AV322" s="42"/>
      <c r="AW322" s="43"/>
    </row>
    <row r="323" spans="1:49" ht="21.75" thickBot="1" x14ac:dyDescent="0.35">
      <c r="A323" s="109">
        <v>317</v>
      </c>
      <c r="B323" s="5" t="s">
        <v>466</v>
      </c>
      <c r="C323" s="2" t="s">
        <v>461</v>
      </c>
      <c r="D323" s="32"/>
      <c r="E323" s="35" t="s">
        <v>455</v>
      </c>
      <c r="F323" s="34">
        <v>0</v>
      </c>
      <c r="G323" s="34">
        <v>0</v>
      </c>
      <c r="H323" s="34">
        <v>0</v>
      </c>
      <c r="I323" s="34">
        <v>0</v>
      </c>
      <c r="J323" s="34">
        <v>45</v>
      </c>
      <c r="K323" s="34">
        <v>45</v>
      </c>
      <c r="L323" s="34">
        <v>45</v>
      </c>
      <c r="M323" s="34">
        <v>0</v>
      </c>
      <c r="N323" s="34">
        <v>0</v>
      </c>
      <c r="O323" s="34">
        <v>0</v>
      </c>
      <c r="P323" s="34">
        <v>0</v>
      </c>
      <c r="Q323" s="34">
        <v>0</v>
      </c>
      <c r="R323" s="24">
        <f>SUM(Tabla1[[#This Row],[ENERO ]:[DICIEMBRE]])</f>
        <v>135</v>
      </c>
      <c r="S323" t="s">
        <v>626</v>
      </c>
      <c r="T323" t="s">
        <v>434</v>
      </c>
      <c r="U323" t="s">
        <v>625</v>
      </c>
      <c r="V323" t="s">
        <v>437</v>
      </c>
      <c r="W323" s="65">
        <v>0</v>
      </c>
      <c r="X323" s="21">
        <f>COUNTIF(Tabla1[[#This Row],[ENERO ]:[DICIEMBRE]],0)-(AQ323)-IF(Tabla1[[#This Row],[BAJAS]]="BAJA",IF(Tabla1[[#This Row],[ALTAS]]="ALTA",VLOOKUP(Tabla1[[#This Row],[MES DE ALTA ]],$AT$6:$AU$17,2,FALSE),12)-VLOOKUP(Tabla1[[#This Row],[MES DE BAJA ]],$AT$6:$AU$17,2,FALSE),0)</f>
        <v>5</v>
      </c>
      <c r="Y323" s="69">
        <f>SUM(Tabla1[[#This Row],[MES ADEUDO DE AÑOS PASADOS ]:[MESES DE ADEUDO DEL AÑO EN CURSO ]])</f>
        <v>5</v>
      </c>
      <c r="Z323" s="15">
        <f>IF(Tabla1[[#This Row],[TIPO DE CONSUMIDOR]]="COMPLETO",W323*$T$2,W323*($T$2/2))</f>
        <v>0</v>
      </c>
      <c r="AA323" s="15">
        <f>IF(Tabla1[[#This Row],[TIPO DE CONSUMIDOR]]="COMPLETO",Tabla1[[#This Row],[MESES DE ADEUDO DEL AÑO EN CURSO ]]*$T$2,Tabla1[[#This Row],[MESES DE ADEUDO DEL AÑO EN CURSO ]]*($T$2/2))</f>
        <v>225</v>
      </c>
      <c r="AB323" s="70">
        <f>SUM(Tabla1[[#This Row],[DEUDA DE LOS MESES PASADOS EN $$]:[DEUDA DEL AÑO 2013 $$ ]])</f>
        <v>225</v>
      </c>
      <c r="AE323" s="103">
        <f>IF(Tabla1[[#This Row],[TIPO DE CONSUMIDOR]]="MEDIO",IF(Tabla1[[#This Row],[ENERO ]]&gt;22.5,Tabla1[[#This Row],[ENERO ]]/22.5-1,0),IF(Tabla1[[#This Row],[ENERO ]]&gt;45,Tabla1[[#This Row],[ENERO ]]/45-1,0))</f>
        <v>0</v>
      </c>
      <c r="AF32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3" s="103">
        <f>IF(Tabla1[[#This Row],[TIPO DE CONSUMIDOR]]="MEDIO",IF(Tabla1[[#This Row],[MARZO]]&gt;22.5,Tabla1[[#This Row],[MARZO]]/22.5-1,0),IF(Tabla1[[#This Row],[MARZO]]&gt;45,Tabla1[[#This Row],[MARZO]]/45-1,0))</f>
        <v>0</v>
      </c>
      <c r="AH323" s="103">
        <f>IF(Tabla1[[#This Row],[TIPO DE CONSUMIDOR]]="MEDIO",IF(Tabla1[[#This Row],[ABRIL]]&gt;22.5,Tabla1[[#This Row],[ABRIL]]/22.5-1,0),IF(Tabla1[[#This Row],[ABRIL]]&gt;45,Tabla1[[#This Row],[ABRIL]]/45-1,0))</f>
        <v>0</v>
      </c>
      <c r="AI323" s="103">
        <f>IF(Tabla1[[#This Row],[TIPO DE CONSUMIDOR]]="MEDIO",IF(Tabla1[[#This Row],[MAYO ]]&gt;22.5,Tabla1[[#This Row],[MAYO ]]/22.5-1,0),IF(Tabla1[[#This Row],[MAYO ]]&gt;45,Tabla1[[#This Row],[MAYO ]]/45-1,0))</f>
        <v>0</v>
      </c>
      <c r="AJ323" s="103">
        <f>IF(Tabla1[[#This Row],[TIPO DE CONSUMIDOR]]="MEDIO",IF(Tabla1[[#This Row],[JUNIO ]]&gt;22.5,Tabla1[[#This Row],[JUNIO ]]/22.5-1,0),IF(Tabla1[[#This Row],[JUNIO ]]&gt;45,Tabla1[[#This Row],[JUNIO ]]/45-1,0))</f>
        <v>0</v>
      </c>
      <c r="AK323" s="103">
        <f>IF(Tabla1[[#This Row],[TIPO DE CONSUMIDOR]]="MEDIO",IF(Tabla1[[#This Row],[JULIO ]]&gt;22.5,Tabla1[[#This Row],[JULIO ]]/22.5-1,0),IF(Tabla1[[#This Row],[JULIO ]]&gt;45,Tabla1[[#This Row],[JULIO ]]/45-1,0))</f>
        <v>0</v>
      </c>
      <c r="AL323" s="103">
        <f>IF(Tabla1[[#This Row],[TIPO DE CONSUMIDOR]]="MEDIO",IF(Tabla1[[#This Row],[AGOSTO]]&gt;22.5,Tabla1[[#This Row],[AGOSTO]]/22.5-1,0),IF(Tabla1[[#This Row],[AGOSTO]]&gt;45,Tabla1[[#This Row],[AGOSTO]]/45-1,0))</f>
        <v>0</v>
      </c>
      <c r="AM32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3" s="104">
        <f t="shared" si="10"/>
        <v>0</v>
      </c>
      <c r="AR323" s="9">
        <f t="shared" si="9"/>
        <v>1</v>
      </c>
      <c r="AS323" s="60">
        <f>IF(Tabla1[[#This Row],[MESES DE ADEUDO DEL AÑO EN CURSO ]]&gt;0,1,0)</f>
        <v>1</v>
      </c>
      <c r="AT323" s="42"/>
      <c r="AU323" s="42"/>
      <c r="AV323" s="42"/>
      <c r="AW323" s="43"/>
    </row>
    <row r="324" spans="1:49" ht="21.75" thickBot="1" x14ac:dyDescent="0.35">
      <c r="A324" s="109">
        <v>318</v>
      </c>
      <c r="B324" s="5" t="s">
        <v>143</v>
      </c>
      <c r="C324" s="2" t="s">
        <v>461</v>
      </c>
      <c r="D324" s="32"/>
      <c r="E324" s="35" t="s">
        <v>455</v>
      </c>
      <c r="F324" s="34">
        <v>45</v>
      </c>
      <c r="G324" s="34">
        <v>45</v>
      </c>
      <c r="H324" s="34">
        <v>45</v>
      </c>
      <c r="I324" s="34">
        <v>45</v>
      </c>
      <c r="J324" s="34">
        <v>45</v>
      </c>
      <c r="K324" s="34">
        <v>45</v>
      </c>
      <c r="L324" s="34">
        <v>45</v>
      </c>
      <c r="M324" s="34">
        <v>0</v>
      </c>
      <c r="N324" s="34">
        <v>0</v>
      </c>
      <c r="O324" s="34">
        <v>0</v>
      </c>
      <c r="P324" s="34">
        <v>0</v>
      </c>
      <c r="Q324" s="34">
        <v>0</v>
      </c>
      <c r="R324" s="24">
        <f>SUM(Tabla1[[#This Row],[ENERO ]:[DICIEMBRE]])</f>
        <v>315</v>
      </c>
      <c r="W324" s="65">
        <v>0</v>
      </c>
      <c r="X324" s="21">
        <f>COUNTIF(Tabla1[[#This Row],[ENERO ]:[DICIEMBRE]],0)-(AQ324)-IF(Tabla1[[#This Row],[BAJAS]]="BAJA",IF(Tabla1[[#This Row],[ALTAS]]="ALTA",VLOOKUP(Tabla1[[#This Row],[MES DE ALTA ]],$AT$6:$AU$17,2,FALSE),12)-VLOOKUP(Tabla1[[#This Row],[MES DE BAJA ]],$AT$6:$AU$17,2,FALSE),0)</f>
        <v>5</v>
      </c>
      <c r="Y324" s="69">
        <f>SUM(Tabla1[[#This Row],[MES ADEUDO DE AÑOS PASADOS ]:[MESES DE ADEUDO DEL AÑO EN CURSO ]])</f>
        <v>5</v>
      </c>
      <c r="Z324" s="15">
        <f>IF(Tabla1[[#This Row],[TIPO DE CONSUMIDOR]]="COMPLETO",W324*$T$2,W324*($T$2/2))</f>
        <v>0</v>
      </c>
      <c r="AA324" s="15">
        <f>IF(Tabla1[[#This Row],[TIPO DE CONSUMIDOR]]="COMPLETO",Tabla1[[#This Row],[MESES DE ADEUDO DEL AÑO EN CURSO ]]*$T$2,Tabla1[[#This Row],[MESES DE ADEUDO DEL AÑO EN CURSO ]]*($T$2/2))</f>
        <v>225</v>
      </c>
      <c r="AB324" s="70">
        <f>SUM(Tabla1[[#This Row],[DEUDA DE LOS MESES PASADOS EN $$]:[DEUDA DEL AÑO 2013 $$ ]])</f>
        <v>225</v>
      </c>
      <c r="AE324" s="103">
        <f>IF(Tabla1[[#This Row],[TIPO DE CONSUMIDOR]]="MEDIO",IF(Tabla1[[#This Row],[ENERO ]]&gt;22.5,Tabla1[[#This Row],[ENERO ]]/22.5-1,0),IF(Tabla1[[#This Row],[ENERO ]]&gt;45,Tabla1[[#This Row],[ENERO ]]/45-1,0))</f>
        <v>0</v>
      </c>
      <c r="AF32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4" s="103">
        <f>IF(Tabla1[[#This Row],[TIPO DE CONSUMIDOR]]="MEDIO",IF(Tabla1[[#This Row],[MARZO]]&gt;22.5,Tabla1[[#This Row],[MARZO]]/22.5-1,0),IF(Tabla1[[#This Row],[MARZO]]&gt;45,Tabla1[[#This Row],[MARZO]]/45-1,0))</f>
        <v>0</v>
      </c>
      <c r="AH324" s="103">
        <f>IF(Tabla1[[#This Row],[TIPO DE CONSUMIDOR]]="MEDIO",IF(Tabla1[[#This Row],[ABRIL]]&gt;22.5,Tabla1[[#This Row],[ABRIL]]/22.5-1,0),IF(Tabla1[[#This Row],[ABRIL]]&gt;45,Tabla1[[#This Row],[ABRIL]]/45-1,0))</f>
        <v>0</v>
      </c>
      <c r="AI324" s="103">
        <f>IF(Tabla1[[#This Row],[TIPO DE CONSUMIDOR]]="MEDIO",IF(Tabla1[[#This Row],[MAYO ]]&gt;22.5,Tabla1[[#This Row],[MAYO ]]/22.5-1,0),IF(Tabla1[[#This Row],[MAYO ]]&gt;45,Tabla1[[#This Row],[MAYO ]]/45-1,0))</f>
        <v>0</v>
      </c>
      <c r="AJ324" s="103">
        <f>IF(Tabla1[[#This Row],[TIPO DE CONSUMIDOR]]="MEDIO",IF(Tabla1[[#This Row],[JUNIO ]]&gt;22.5,Tabla1[[#This Row],[JUNIO ]]/22.5-1,0),IF(Tabla1[[#This Row],[JUNIO ]]&gt;45,Tabla1[[#This Row],[JUNIO ]]/45-1,0))</f>
        <v>0</v>
      </c>
      <c r="AK324" s="103">
        <f>IF(Tabla1[[#This Row],[TIPO DE CONSUMIDOR]]="MEDIO",IF(Tabla1[[#This Row],[JULIO ]]&gt;22.5,Tabla1[[#This Row],[JULIO ]]/22.5-1,0),IF(Tabla1[[#This Row],[JULIO ]]&gt;45,Tabla1[[#This Row],[JULIO ]]/45-1,0))</f>
        <v>0</v>
      </c>
      <c r="AL324" s="103">
        <f>IF(Tabla1[[#This Row],[TIPO DE CONSUMIDOR]]="MEDIO",IF(Tabla1[[#This Row],[AGOSTO]]&gt;22.5,Tabla1[[#This Row],[AGOSTO]]/22.5-1,0),IF(Tabla1[[#This Row],[AGOSTO]]&gt;45,Tabla1[[#This Row],[AGOSTO]]/45-1,0))</f>
        <v>0</v>
      </c>
      <c r="AM32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4" s="104">
        <f t="shared" si="10"/>
        <v>0</v>
      </c>
      <c r="AR324" s="9">
        <f t="shared" si="9"/>
        <v>1</v>
      </c>
      <c r="AS324" s="60">
        <f>IF(Tabla1[[#This Row],[MESES DE ADEUDO DEL AÑO EN CURSO ]]&gt;0,1,0)</f>
        <v>1</v>
      </c>
      <c r="AT324" s="42"/>
      <c r="AU324" s="42"/>
      <c r="AV324" s="42"/>
      <c r="AW324" s="43"/>
    </row>
    <row r="325" spans="1:49" ht="21.75" thickBot="1" x14ac:dyDescent="0.35">
      <c r="A325" s="109">
        <v>319</v>
      </c>
      <c r="B325" s="5" t="s">
        <v>188</v>
      </c>
      <c r="C325" s="2" t="s">
        <v>461</v>
      </c>
      <c r="D325" s="32"/>
      <c r="E325" s="35" t="s">
        <v>455</v>
      </c>
      <c r="F325" s="34">
        <v>0</v>
      </c>
      <c r="G325" s="34">
        <v>0</v>
      </c>
      <c r="H325" s="34">
        <v>0</v>
      </c>
      <c r="I325" s="34">
        <v>0</v>
      </c>
      <c r="J325" s="34">
        <v>0</v>
      </c>
      <c r="K325" s="34">
        <v>0</v>
      </c>
      <c r="L325" s="34">
        <v>0</v>
      </c>
      <c r="M325" s="34">
        <v>0</v>
      </c>
      <c r="N325" s="34">
        <v>0</v>
      </c>
      <c r="O325" s="34">
        <v>0</v>
      </c>
      <c r="P325" s="34">
        <v>0</v>
      </c>
      <c r="Q325" s="34">
        <v>0</v>
      </c>
      <c r="R325" s="24">
        <f>SUM(Tabla1[[#This Row],[ENERO ]:[DICIEMBRE]])</f>
        <v>0</v>
      </c>
      <c r="S325" t="s">
        <v>626</v>
      </c>
      <c r="T325" t="s">
        <v>434</v>
      </c>
      <c r="W325" s="65">
        <v>5</v>
      </c>
      <c r="X325" s="21">
        <f>COUNTIF(Tabla1[[#This Row],[ENERO ]:[DICIEMBRE]],0)-(AQ325)-IF(Tabla1[[#This Row],[BAJAS]]="BAJA",IF(Tabla1[[#This Row],[ALTAS]]="ALTA",VLOOKUP(Tabla1[[#This Row],[MES DE ALTA ]],$AT$6:$AU$17,2,FALSE),12)-VLOOKUP(Tabla1[[#This Row],[MES DE BAJA ]],$AT$6:$AU$17,2,FALSE),0)</f>
        <v>0</v>
      </c>
      <c r="Y325" s="69">
        <f>SUM(Tabla1[[#This Row],[MES ADEUDO DE AÑOS PASADOS ]:[MESES DE ADEUDO DEL AÑO EN CURSO ]])</f>
        <v>5</v>
      </c>
      <c r="Z325" s="15">
        <f>IF(Tabla1[[#This Row],[TIPO DE CONSUMIDOR]]="COMPLETO",W325*$T$2,W325*($T$2/2))</f>
        <v>225</v>
      </c>
      <c r="AA325" s="15">
        <f>IF(Tabla1[[#This Row],[TIPO DE CONSUMIDOR]]="COMPLETO",Tabla1[[#This Row],[MESES DE ADEUDO DEL AÑO EN CURSO ]]*$T$2,Tabla1[[#This Row],[MESES DE ADEUDO DEL AÑO EN CURSO ]]*($T$2/2))</f>
        <v>0</v>
      </c>
      <c r="AB325" s="70">
        <f>SUM(Tabla1[[#This Row],[DEUDA DE LOS MESES PASADOS EN $$]:[DEUDA DEL AÑO 2013 $$ ]])</f>
        <v>225</v>
      </c>
      <c r="AE325" s="103">
        <f>IF(Tabla1[[#This Row],[TIPO DE CONSUMIDOR]]="MEDIO",IF(Tabla1[[#This Row],[ENERO ]]&gt;22.5,Tabla1[[#This Row],[ENERO ]]/22.5-1,0),IF(Tabla1[[#This Row],[ENERO ]]&gt;45,Tabla1[[#This Row],[ENERO ]]/45-1,0))</f>
        <v>0</v>
      </c>
      <c r="AF32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5" s="103">
        <f>IF(Tabla1[[#This Row],[TIPO DE CONSUMIDOR]]="MEDIO",IF(Tabla1[[#This Row],[MARZO]]&gt;22.5,Tabla1[[#This Row],[MARZO]]/22.5-1,0),IF(Tabla1[[#This Row],[MARZO]]&gt;45,Tabla1[[#This Row],[MARZO]]/45-1,0))</f>
        <v>0</v>
      </c>
      <c r="AH325" s="103">
        <f>IF(Tabla1[[#This Row],[TIPO DE CONSUMIDOR]]="MEDIO",IF(Tabla1[[#This Row],[ABRIL]]&gt;22.5,Tabla1[[#This Row],[ABRIL]]/22.5-1,0),IF(Tabla1[[#This Row],[ABRIL]]&gt;45,Tabla1[[#This Row],[ABRIL]]/45-1,0))</f>
        <v>0</v>
      </c>
      <c r="AI325" s="103">
        <f>IF(Tabla1[[#This Row],[TIPO DE CONSUMIDOR]]="MEDIO",IF(Tabla1[[#This Row],[MAYO ]]&gt;22.5,Tabla1[[#This Row],[MAYO ]]/22.5-1,0),IF(Tabla1[[#This Row],[MAYO ]]&gt;45,Tabla1[[#This Row],[MAYO ]]/45-1,0))</f>
        <v>0</v>
      </c>
      <c r="AJ325" s="103">
        <f>IF(Tabla1[[#This Row],[TIPO DE CONSUMIDOR]]="MEDIO",IF(Tabla1[[#This Row],[JUNIO ]]&gt;22.5,Tabla1[[#This Row],[JUNIO ]]/22.5-1,0),IF(Tabla1[[#This Row],[JUNIO ]]&gt;45,Tabla1[[#This Row],[JUNIO ]]/45-1,0))</f>
        <v>0</v>
      </c>
      <c r="AK325" s="103">
        <f>IF(Tabla1[[#This Row],[TIPO DE CONSUMIDOR]]="MEDIO",IF(Tabla1[[#This Row],[JULIO ]]&gt;22.5,Tabla1[[#This Row],[JULIO ]]/22.5-1,0),IF(Tabla1[[#This Row],[JULIO ]]&gt;45,Tabla1[[#This Row],[JULIO ]]/45-1,0))</f>
        <v>0</v>
      </c>
      <c r="AL325" s="103">
        <f>IF(Tabla1[[#This Row],[TIPO DE CONSUMIDOR]]="MEDIO",IF(Tabla1[[#This Row],[AGOSTO]]&gt;22.5,Tabla1[[#This Row],[AGOSTO]]/22.5-1,0),IF(Tabla1[[#This Row],[AGOSTO]]&gt;45,Tabla1[[#This Row],[AGOSTO]]/45-1,0))</f>
        <v>0</v>
      </c>
      <c r="AM32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5" s="104">
        <f t="shared" si="10"/>
        <v>0</v>
      </c>
      <c r="AR325" s="9">
        <f t="shared" si="9"/>
        <v>1</v>
      </c>
      <c r="AS325" s="60">
        <f>IF(Tabla1[[#This Row],[MESES DE ADEUDO DEL AÑO EN CURSO ]]&gt;0,1,0)</f>
        <v>0</v>
      </c>
      <c r="AT325" s="42"/>
      <c r="AU325" s="42"/>
      <c r="AV325" s="42"/>
      <c r="AW325" s="43"/>
    </row>
    <row r="326" spans="1:49" ht="21.75" thickBot="1" x14ac:dyDescent="0.35">
      <c r="A326" s="109">
        <v>320</v>
      </c>
      <c r="B326" s="5" t="s">
        <v>57</v>
      </c>
      <c r="C326" s="2" t="s">
        <v>478</v>
      </c>
      <c r="D326" s="32"/>
      <c r="E326" s="35" t="s">
        <v>455</v>
      </c>
      <c r="F326" s="34">
        <v>45</v>
      </c>
      <c r="G326" s="34">
        <v>45</v>
      </c>
      <c r="H326" s="34">
        <v>45</v>
      </c>
      <c r="I326" s="34">
        <v>45</v>
      </c>
      <c r="J326" s="34">
        <v>45</v>
      </c>
      <c r="K326" s="34">
        <v>45</v>
      </c>
      <c r="L326" s="34">
        <v>45</v>
      </c>
      <c r="M326" s="34">
        <v>0</v>
      </c>
      <c r="N326" s="34">
        <v>0</v>
      </c>
      <c r="O326" s="34">
        <v>0</v>
      </c>
      <c r="P326" s="34">
        <v>0</v>
      </c>
      <c r="Q326" s="34">
        <v>0</v>
      </c>
      <c r="R326" s="24">
        <f>SUM(Tabla1[[#This Row],[ENERO ]:[DICIEMBRE]])</f>
        <v>315</v>
      </c>
      <c r="W326" s="65">
        <v>0</v>
      </c>
      <c r="X326" s="21">
        <f>COUNTIF(Tabla1[[#This Row],[ENERO ]:[DICIEMBRE]],0)-(AQ326)-IF(Tabla1[[#This Row],[BAJAS]]="BAJA",IF(Tabla1[[#This Row],[ALTAS]]="ALTA",VLOOKUP(Tabla1[[#This Row],[MES DE ALTA ]],$AT$6:$AU$17,2,FALSE),12)-VLOOKUP(Tabla1[[#This Row],[MES DE BAJA ]],$AT$6:$AU$17,2,FALSE),0)</f>
        <v>5</v>
      </c>
      <c r="Y326" s="69">
        <f>SUM(Tabla1[[#This Row],[MES ADEUDO DE AÑOS PASADOS ]:[MESES DE ADEUDO DEL AÑO EN CURSO ]])</f>
        <v>5</v>
      </c>
      <c r="Z326" s="15">
        <f>IF(Tabla1[[#This Row],[TIPO DE CONSUMIDOR]]="COMPLETO",W326*$T$2,W326*($T$2/2))</f>
        <v>0</v>
      </c>
      <c r="AA326" s="15">
        <f>IF(Tabla1[[#This Row],[TIPO DE CONSUMIDOR]]="COMPLETO",Tabla1[[#This Row],[MESES DE ADEUDO DEL AÑO EN CURSO ]]*$T$2,Tabla1[[#This Row],[MESES DE ADEUDO DEL AÑO EN CURSO ]]*($T$2/2))</f>
        <v>225</v>
      </c>
      <c r="AB326" s="70">
        <f>SUM(Tabla1[[#This Row],[DEUDA DE LOS MESES PASADOS EN $$]:[DEUDA DEL AÑO 2013 $$ ]])</f>
        <v>225</v>
      </c>
      <c r="AE326" s="103">
        <f>IF(Tabla1[[#This Row],[TIPO DE CONSUMIDOR]]="MEDIO",IF(Tabla1[[#This Row],[ENERO ]]&gt;22.5,Tabla1[[#This Row],[ENERO ]]/22.5-1,0),IF(Tabla1[[#This Row],[ENERO ]]&gt;45,Tabla1[[#This Row],[ENERO ]]/45-1,0))</f>
        <v>0</v>
      </c>
      <c r="AF32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6" s="103">
        <f>IF(Tabla1[[#This Row],[TIPO DE CONSUMIDOR]]="MEDIO",IF(Tabla1[[#This Row],[MARZO]]&gt;22.5,Tabla1[[#This Row],[MARZO]]/22.5-1,0),IF(Tabla1[[#This Row],[MARZO]]&gt;45,Tabla1[[#This Row],[MARZO]]/45-1,0))</f>
        <v>0</v>
      </c>
      <c r="AH326" s="103">
        <f>IF(Tabla1[[#This Row],[TIPO DE CONSUMIDOR]]="MEDIO",IF(Tabla1[[#This Row],[ABRIL]]&gt;22.5,Tabla1[[#This Row],[ABRIL]]/22.5-1,0),IF(Tabla1[[#This Row],[ABRIL]]&gt;45,Tabla1[[#This Row],[ABRIL]]/45-1,0))</f>
        <v>0</v>
      </c>
      <c r="AI326" s="103">
        <f>IF(Tabla1[[#This Row],[TIPO DE CONSUMIDOR]]="MEDIO",IF(Tabla1[[#This Row],[MAYO ]]&gt;22.5,Tabla1[[#This Row],[MAYO ]]/22.5-1,0),IF(Tabla1[[#This Row],[MAYO ]]&gt;45,Tabla1[[#This Row],[MAYO ]]/45-1,0))</f>
        <v>0</v>
      </c>
      <c r="AJ326" s="103">
        <f>IF(Tabla1[[#This Row],[TIPO DE CONSUMIDOR]]="MEDIO",IF(Tabla1[[#This Row],[JUNIO ]]&gt;22.5,Tabla1[[#This Row],[JUNIO ]]/22.5-1,0),IF(Tabla1[[#This Row],[JUNIO ]]&gt;45,Tabla1[[#This Row],[JUNIO ]]/45-1,0))</f>
        <v>0</v>
      </c>
      <c r="AK326" s="103">
        <f>IF(Tabla1[[#This Row],[TIPO DE CONSUMIDOR]]="MEDIO",IF(Tabla1[[#This Row],[JULIO ]]&gt;22.5,Tabla1[[#This Row],[JULIO ]]/22.5-1,0),IF(Tabla1[[#This Row],[JULIO ]]&gt;45,Tabla1[[#This Row],[JULIO ]]/45-1,0))</f>
        <v>0</v>
      </c>
      <c r="AL326" s="103">
        <f>IF(Tabla1[[#This Row],[TIPO DE CONSUMIDOR]]="MEDIO",IF(Tabla1[[#This Row],[AGOSTO]]&gt;22.5,Tabla1[[#This Row],[AGOSTO]]/22.5-1,0),IF(Tabla1[[#This Row],[AGOSTO]]&gt;45,Tabla1[[#This Row],[AGOSTO]]/45-1,0))</f>
        <v>0</v>
      </c>
      <c r="AM32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6" s="104">
        <f t="shared" si="10"/>
        <v>0</v>
      </c>
      <c r="AR326" s="9">
        <f t="shared" si="9"/>
        <v>1</v>
      </c>
      <c r="AS326" s="60">
        <f>IF(Tabla1[[#This Row],[MESES DE ADEUDO DEL AÑO EN CURSO ]]&gt;0,1,0)</f>
        <v>1</v>
      </c>
      <c r="AT326" s="42"/>
      <c r="AU326" s="42"/>
      <c r="AV326" s="42"/>
      <c r="AW326" s="43"/>
    </row>
    <row r="327" spans="1:49" ht="21.75" thickBot="1" x14ac:dyDescent="0.35">
      <c r="A327" s="109">
        <v>321</v>
      </c>
      <c r="B327" s="5" t="s">
        <v>150</v>
      </c>
      <c r="C327" s="2" t="s">
        <v>480</v>
      </c>
      <c r="D327" s="32"/>
      <c r="E327" s="35" t="s">
        <v>455</v>
      </c>
      <c r="F327" s="34">
        <v>45</v>
      </c>
      <c r="G327" s="34">
        <v>45</v>
      </c>
      <c r="H327" s="34">
        <v>45</v>
      </c>
      <c r="I327" s="34">
        <v>45</v>
      </c>
      <c r="J327" s="34">
        <v>45</v>
      </c>
      <c r="K327" s="34">
        <v>45</v>
      </c>
      <c r="L327" s="34">
        <v>45</v>
      </c>
      <c r="M327" s="34">
        <v>0</v>
      </c>
      <c r="N327" s="34">
        <v>0</v>
      </c>
      <c r="O327" s="34">
        <v>0</v>
      </c>
      <c r="P327" s="34">
        <v>0</v>
      </c>
      <c r="Q327" s="34">
        <v>0</v>
      </c>
      <c r="R327" s="24">
        <f>SUM(Tabla1[[#This Row],[ENERO ]:[DICIEMBRE]])</f>
        <v>315</v>
      </c>
      <c r="W327" s="65">
        <v>0</v>
      </c>
      <c r="X327" s="21">
        <f>COUNTIF(Tabla1[[#This Row],[ENERO ]:[DICIEMBRE]],0)-(AQ327)-IF(Tabla1[[#This Row],[BAJAS]]="BAJA",IF(Tabla1[[#This Row],[ALTAS]]="ALTA",VLOOKUP(Tabla1[[#This Row],[MES DE ALTA ]],$AT$6:$AU$17,2,FALSE),12)-VLOOKUP(Tabla1[[#This Row],[MES DE BAJA ]],$AT$6:$AU$17,2,FALSE),0)</f>
        <v>5</v>
      </c>
      <c r="Y327" s="69">
        <f>SUM(Tabla1[[#This Row],[MES ADEUDO DE AÑOS PASADOS ]:[MESES DE ADEUDO DEL AÑO EN CURSO ]])</f>
        <v>5</v>
      </c>
      <c r="Z327" s="15">
        <f>IF(Tabla1[[#This Row],[TIPO DE CONSUMIDOR]]="COMPLETO",W327*$T$2,W327*($T$2/2))</f>
        <v>0</v>
      </c>
      <c r="AA327" s="15">
        <f>IF(Tabla1[[#This Row],[TIPO DE CONSUMIDOR]]="COMPLETO",Tabla1[[#This Row],[MESES DE ADEUDO DEL AÑO EN CURSO ]]*$T$2,Tabla1[[#This Row],[MESES DE ADEUDO DEL AÑO EN CURSO ]]*($T$2/2))</f>
        <v>225</v>
      </c>
      <c r="AB327" s="70">
        <f>SUM(Tabla1[[#This Row],[DEUDA DE LOS MESES PASADOS EN $$]:[DEUDA DEL AÑO 2013 $$ ]])</f>
        <v>225</v>
      </c>
      <c r="AE327" s="103">
        <f>IF(Tabla1[[#This Row],[TIPO DE CONSUMIDOR]]="MEDIO",IF(Tabla1[[#This Row],[ENERO ]]&gt;22.5,Tabla1[[#This Row],[ENERO ]]/22.5-1,0),IF(Tabla1[[#This Row],[ENERO ]]&gt;45,Tabla1[[#This Row],[ENERO ]]/45-1,0))</f>
        <v>0</v>
      </c>
      <c r="AF32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7" s="103">
        <f>IF(Tabla1[[#This Row],[TIPO DE CONSUMIDOR]]="MEDIO",IF(Tabla1[[#This Row],[MARZO]]&gt;22.5,Tabla1[[#This Row],[MARZO]]/22.5-1,0),IF(Tabla1[[#This Row],[MARZO]]&gt;45,Tabla1[[#This Row],[MARZO]]/45-1,0))</f>
        <v>0</v>
      </c>
      <c r="AH327" s="103">
        <f>IF(Tabla1[[#This Row],[TIPO DE CONSUMIDOR]]="MEDIO",IF(Tabla1[[#This Row],[ABRIL]]&gt;22.5,Tabla1[[#This Row],[ABRIL]]/22.5-1,0),IF(Tabla1[[#This Row],[ABRIL]]&gt;45,Tabla1[[#This Row],[ABRIL]]/45-1,0))</f>
        <v>0</v>
      </c>
      <c r="AI327" s="103">
        <f>IF(Tabla1[[#This Row],[TIPO DE CONSUMIDOR]]="MEDIO",IF(Tabla1[[#This Row],[MAYO ]]&gt;22.5,Tabla1[[#This Row],[MAYO ]]/22.5-1,0),IF(Tabla1[[#This Row],[MAYO ]]&gt;45,Tabla1[[#This Row],[MAYO ]]/45-1,0))</f>
        <v>0</v>
      </c>
      <c r="AJ327" s="103">
        <f>IF(Tabla1[[#This Row],[TIPO DE CONSUMIDOR]]="MEDIO",IF(Tabla1[[#This Row],[JUNIO ]]&gt;22.5,Tabla1[[#This Row],[JUNIO ]]/22.5-1,0),IF(Tabla1[[#This Row],[JUNIO ]]&gt;45,Tabla1[[#This Row],[JUNIO ]]/45-1,0))</f>
        <v>0</v>
      </c>
      <c r="AK327" s="103">
        <f>IF(Tabla1[[#This Row],[TIPO DE CONSUMIDOR]]="MEDIO",IF(Tabla1[[#This Row],[JULIO ]]&gt;22.5,Tabla1[[#This Row],[JULIO ]]/22.5-1,0),IF(Tabla1[[#This Row],[JULIO ]]&gt;45,Tabla1[[#This Row],[JULIO ]]/45-1,0))</f>
        <v>0</v>
      </c>
      <c r="AL327" s="103">
        <f>IF(Tabla1[[#This Row],[TIPO DE CONSUMIDOR]]="MEDIO",IF(Tabla1[[#This Row],[AGOSTO]]&gt;22.5,Tabla1[[#This Row],[AGOSTO]]/22.5-1,0),IF(Tabla1[[#This Row],[AGOSTO]]&gt;45,Tabla1[[#This Row],[AGOSTO]]/45-1,0))</f>
        <v>0</v>
      </c>
      <c r="AM32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7" s="104">
        <f t="shared" si="10"/>
        <v>0</v>
      </c>
      <c r="AR327" s="9">
        <f t="shared" ref="AR327:AR390" si="11">IF(Y327&gt;0,1,0)</f>
        <v>1</v>
      </c>
      <c r="AS327" s="60">
        <f>IF(Tabla1[[#This Row],[MESES DE ADEUDO DEL AÑO EN CURSO ]]&gt;0,1,0)</f>
        <v>1</v>
      </c>
      <c r="AT327" s="42"/>
      <c r="AU327" s="42"/>
      <c r="AV327" s="42"/>
      <c r="AW327" s="43"/>
    </row>
    <row r="328" spans="1:49" ht="21.75" thickBot="1" x14ac:dyDescent="0.35">
      <c r="A328" s="109">
        <v>322</v>
      </c>
      <c r="B328" s="5" t="s">
        <v>252</v>
      </c>
      <c r="C328" s="2" t="s">
        <v>480</v>
      </c>
      <c r="D328" s="32"/>
      <c r="E328" s="35" t="s">
        <v>455</v>
      </c>
      <c r="F328" s="34">
        <v>45</v>
      </c>
      <c r="G328" s="34">
        <v>45</v>
      </c>
      <c r="H328" s="34">
        <v>45</v>
      </c>
      <c r="I328" s="34">
        <v>45</v>
      </c>
      <c r="J328" s="34">
        <v>45</v>
      </c>
      <c r="K328" s="34">
        <v>45</v>
      </c>
      <c r="L328" s="34">
        <v>45</v>
      </c>
      <c r="M328" s="34">
        <v>0</v>
      </c>
      <c r="N328" s="34">
        <v>0</v>
      </c>
      <c r="O328" s="34">
        <v>0</v>
      </c>
      <c r="P328" s="34">
        <v>0</v>
      </c>
      <c r="Q328" s="34">
        <v>0</v>
      </c>
      <c r="R328" s="24">
        <f>SUM(Tabla1[[#This Row],[ENERO ]:[DICIEMBRE]])</f>
        <v>315</v>
      </c>
      <c r="W328" s="65">
        <v>0</v>
      </c>
      <c r="X328" s="21">
        <f>COUNTIF(Tabla1[[#This Row],[ENERO ]:[DICIEMBRE]],0)-(AQ328)-IF(Tabla1[[#This Row],[BAJAS]]="BAJA",IF(Tabla1[[#This Row],[ALTAS]]="ALTA",VLOOKUP(Tabla1[[#This Row],[MES DE ALTA ]],$AT$6:$AU$17,2,FALSE),12)-VLOOKUP(Tabla1[[#This Row],[MES DE BAJA ]],$AT$6:$AU$17,2,FALSE),0)</f>
        <v>5</v>
      </c>
      <c r="Y328" s="69">
        <f>SUM(Tabla1[[#This Row],[MES ADEUDO DE AÑOS PASADOS ]:[MESES DE ADEUDO DEL AÑO EN CURSO ]])</f>
        <v>5</v>
      </c>
      <c r="Z328" s="15">
        <f>IF(Tabla1[[#This Row],[TIPO DE CONSUMIDOR]]="COMPLETO",W328*$T$2,W328*($T$2/2))</f>
        <v>0</v>
      </c>
      <c r="AA328" s="15">
        <f>IF(Tabla1[[#This Row],[TIPO DE CONSUMIDOR]]="COMPLETO",Tabla1[[#This Row],[MESES DE ADEUDO DEL AÑO EN CURSO ]]*$T$2,Tabla1[[#This Row],[MESES DE ADEUDO DEL AÑO EN CURSO ]]*($T$2/2))</f>
        <v>225</v>
      </c>
      <c r="AB328" s="70">
        <f>SUM(Tabla1[[#This Row],[DEUDA DE LOS MESES PASADOS EN $$]:[DEUDA DEL AÑO 2013 $$ ]])</f>
        <v>225</v>
      </c>
      <c r="AE328" s="103">
        <f>IF(Tabla1[[#This Row],[TIPO DE CONSUMIDOR]]="MEDIO",IF(Tabla1[[#This Row],[ENERO ]]&gt;22.5,Tabla1[[#This Row],[ENERO ]]/22.5-1,0),IF(Tabla1[[#This Row],[ENERO ]]&gt;45,Tabla1[[#This Row],[ENERO ]]/45-1,0))</f>
        <v>0</v>
      </c>
      <c r="AF32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8" s="103">
        <f>IF(Tabla1[[#This Row],[TIPO DE CONSUMIDOR]]="MEDIO",IF(Tabla1[[#This Row],[MARZO]]&gt;22.5,Tabla1[[#This Row],[MARZO]]/22.5-1,0),IF(Tabla1[[#This Row],[MARZO]]&gt;45,Tabla1[[#This Row],[MARZO]]/45-1,0))</f>
        <v>0</v>
      </c>
      <c r="AH328" s="103">
        <f>IF(Tabla1[[#This Row],[TIPO DE CONSUMIDOR]]="MEDIO",IF(Tabla1[[#This Row],[ABRIL]]&gt;22.5,Tabla1[[#This Row],[ABRIL]]/22.5-1,0),IF(Tabla1[[#This Row],[ABRIL]]&gt;45,Tabla1[[#This Row],[ABRIL]]/45-1,0))</f>
        <v>0</v>
      </c>
      <c r="AI328" s="103">
        <f>IF(Tabla1[[#This Row],[TIPO DE CONSUMIDOR]]="MEDIO",IF(Tabla1[[#This Row],[MAYO ]]&gt;22.5,Tabla1[[#This Row],[MAYO ]]/22.5-1,0),IF(Tabla1[[#This Row],[MAYO ]]&gt;45,Tabla1[[#This Row],[MAYO ]]/45-1,0))</f>
        <v>0</v>
      </c>
      <c r="AJ328" s="103">
        <f>IF(Tabla1[[#This Row],[TIPO DE CONSUMIDOR]]="MEDIO",IF(Tabla1[[#This Row],[JUNIO ]]&gt;22.5,Tabla1[[#This Row],[JUNIO ]]/22.5-1,0),IF(Tabla1[[#This Row],[JUNIO ]]&gt;45,Tabla1[[#This Row],[JUNIO ]]/45-1,0))</f>
        <v>0</v>
      </c>
      <c r="AK328" s="103">
        <f>IF(Tabla1[[#This Row],[TIPO DE CONSUMIDOR]]="MEDIO",IF(Tabla1[[#This Row],[JULIO ]]&gt;22.5,Tabla1[[#This Row],[JULIO ]]/22.5-1,0),IF(Tabla1[[#This Row],[JULIO ]]&gt;45,Tabla1[[#This Row],[JULIO ]]/45-1,0))</f>
        <v>0</v>
      </c>
      <c r="AL328" s="103">
        <f>IF(Tabla1[[#This Row],[TIPO DE CONSUMIDOR]]="MEDIO",IF(Tabla1[[#This Row],[AGOSTO]]&gt;22.5,Tabla1[[#This Row],[AGOSTO]]/22.5-1,0),IF(Tabla1[[#This Row],[AGOSTO]]&gt;45,Tabla1[[#This Row],[AGOSTO]]/45-1,0))</f>
        <v>0</v>
      </c>
      <c r="AM32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8" s="104">
        <f t="shared" ref="AQ328:AQ391" si="12">SUM(AE328:AP328)</f>
        <v>0</v>
      </c>
      <c r="AR328" s="9">
        <f t="shared" si="11"/>
        <v>1</v>
      </c>
      <c r="AS328" s="60">
        <f>IF(Tabla1[[#This Row],[MESES DE ADEUDO DEL AÑO EN CURSO ]]&gt;0,1,0)</f>
        <v>1</v>
      </c>
      <c r="AT328" s="42"/>
      <c r="AU328" s="42"/>
      <c r="AV328" s="42"/>
      <c r="AW328" s="43"/>
    </row>
    <row r="329" spans="1:49" ht="21.75" thickBot="1" x14ac:dyDescent="0.35">
      <c r="A329" s="109">
        <v>323</v>
      </c>
      <c r="B329" s="5" t="s">
        <v>333</v>
      </c>
      <c r="C329" s="2" t="s">
        <v>511</v>
      </c>
      <c r="D329" s="32"/>
      <c r="E329" s="35" t="s">
        <v>455</v>
      </c>
      <c r="F329" s="34">
        <v>45</v>
      </c>
      <c r="G329" s="34">
        <v>45</v>
      </c>
      <c r="H329" s="34">
        <v>45</v>
      </c>
      <c r="I329" s="34">
        <v>45</v>
      </c>
      <c r="J329" s="34">
        <v>45</v>
      </c>
      <c r="K329" s="34">
        <v>45</v>
      </c>
      <c r="L329" s="34">
        <v>45</v>
      </c>
      <c r="M329" s="34">
        <v>0</v>
      </c>
      <c r="N329" s="34">
        <v>0</v>
      </c>
      <c r="O329" s="34">
        <v>0</v>
      </c>
      <c r="P329" s="34">
        <v>0</v>
      </c>
      <c r="Q329" s="34">
        <v>0</v>
      </c>
      <c r="R329" s="24">
        <f>SUM(Tabla1[[#This Row],[ENERO ]:[DICIEMBRE]])</f>
        <v>315</v>
      </c>
      <c r="W329" s="65">
        <v>0</v>
      </c>
      <c r="X329" s="21">
        <f>COUNTIF(Tabla1[[#This Row],[ENERO ]:[DICIEMBRE]],0)-(AQ329)-IF(Tabla1[[#This Row],[BAJAS]]="BAJA",IF(Tabla1[[#This Row],[ALTAS]]="ALTA",VLOOKUP(Tabla1[[#This Row],[MES DE ALTA ]],$AT$6:$AU$17,2,FALSE),12)-VLOOKUP(Tabla1[[#This Row],[MES DE BAJA ]],$AT$6:$AU$17,2,FALSE),0)</f>
        <v>5</v>
      </c>
      <c r="Y329" s="69">
        <f>SUM(Tabla1[[#This Row],[MES ADEUDO DE AÑOS PASADOS ]:[MESES DE ADEUDO DEL AÑO EN CURSO ]])</f>
        <v>5</v>
      </c>
      <c r="Z329" s="15">
        <f>IF(Tabla1[[#This Row],[TIPO DE CONSUMIDOR]]="COMPLETO",W329*$T$2,W329*($T$2/2))</f>
        <v>0</v>
      </c>
      <c r="AA329" s="15">
        <f>IF(Tabla1[[#This Row],[TIPO DE CONSUMIDOR]]="COMPLETO",Tabla1[[#This Row],[MESES DE ADEUDO DEL AÑO EN CURSO ]]*$T$2,Tabla1[[#This Row],[MESES DE ADEUDO DEL AÑO EN CURSO ]]*($T$2/2))</f>
        <v>225</v>
      </c>
      <c r="AB329" s="70">
        <f>SUM(Tabla1[[#This Row],[DEUDA DE LOS MESES PASADOS EN $$]:[DEUDA DEL AÑO 2013 $$ ]])</f>
        <v>225</v>
      </c>
      <c r="AE329" s="103">
        <f>IF(Tabla1[[#This Row],[TIPO DE CONSUMIDOR]]="MEDIO",IF(Tabla1[[#This Row],[ENERO ]]&gt;22.5,Tabla1[[#This Row],[ENERO ]]/22.5-1,0),IF(Tabla1[[#This Row],[ENERO ]]&gt;45,Tabla1[[#This Row],[ENERO ]]/45-1,0))</f>
        <v>0</v>
      </c>
      <c r="AF32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29" s="103">
        <f>IF(Tabla1[[#This Row],[TIPO DE CONSUMIDOR]]="MEDIO",IF(Tabla1[[#This Row],[MARZO]]&gt;22.5,Tabla1[[#This Row],[MARZO]]/22.5-1,0),IF(Tabla1[[#This Row],[MARZO]]&gt;45,Tabla1[[#This Row],[MARZO]]/45-1,0))</f>
        <v>0</v>
      </c>
      <c r="AH329" s="103">
        <f>IF(Tabla1[[#This Row],[TIPO DE CONSUMIDOR]]="MEDIO",IF(Tabla1[[#This Row],[ABRIL]]&gt;22.5,Tabla1[[#This Row],[ABRIL]]/22.5-1,0),IF(Tabla1[[#This Row],[ABRIL]]&gt;45,Tabla1[[#This Row],[ABRIL]]/45-1,0))</f>
        <v>0</v>
      </c>
      <c r="AI329" s="103">
        <f>IF(Tabla1[[#This Row],[TIPO DE CONSUMIDOR]]="MEDIO",IF(Tabla1[[#This Row],[MAYO ]]&gt;22.5,Tabla1[[#This Row],[MAYO ]]/22.5-1,0),IF(Tabla1[[#This Row],[MAYO ]]&gt;45,Tabla1[[#This Row],[MAYO ]]/45-1,0))</f>
        <v>0</v>
      </c>
      <c r="AJ329" s="103">
        <f>IF(Tabla1[[#This Row],[TIPO DE CONSUMIDOR]]="MEDIO",IF(Tabla1[[#This Row],[JUNIO ]]&gt;22.5,Tabla1[[#This Row],[JUNIO ]]/22.5-1,0),IF(Tabla1[[#This Row],[JUNIO ]]&gt;45,Tabla1[[#This Row],[JUNIO ]]/45-1,0))</f>
        <v>0</v>
      </c>
      <c r="AK329" s="103">
        <f>IF(Tabla1[[#This Row],[TIPO DE CONSUMIDOR]]="MEDIO",IF(Tabla1[[#This Row],[JULIO ]]&gt;22.5,Tabla1[[#This Row],[JULIO ]]/22.5-1,0),IF(Tabla1[[#This Row],[JULIO ]]&gt;45,Tabla1[[#This Row],[JULIO ]]/45-1,0))</f>
        <v>0</v>
      </c>
      <c r="AL329" s="103">
        <f>IF(Tabla1[[#This Row],[TIPO DE CONSUMIDOR]]="MEDIO",IF(Tabla1[[#This Row],[AGOSTO]]&gt;22.5,Tabla1[[#This Row],[AGOSTO]]/22.5-1,0),IF(Tabla1[[#This Row],[AGOSTO]]&gt;45,Tabla1[[#This Row],[AGOSTO]]/45-1,0))</f>
        <v>0</v>
      </c>
      <c r="AM32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2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2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2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29" s="104">
        <f t="shared" si="12"/>
        <v>0</v>
      </c>
      <c r="AR329" s="9">
        <f t="shared" si="11"/>
        <v>1</v>
      </c>
      <c r="AS329" s="60">
        <f>IF(Tabla1[[#This Row],[MESES DE ADEUDO DEL AÑO EN CURSO ]]&gt;0,1,0)</f>
        <v>1</v>
      </c>
      <c r="AT329" s="42"/>
      <c r="AU329" s="42"/>
      <c r="AV329" s="42"/>
      <c r="AW329" s="43"/>
    </row>
    <row r="330" spans="1:49" ht="21.75" thickBot="1" x14ac:dyDescent="0.35">
      <c r="A330" s="109">
        <v>324</v>
      </c>
      <c r="B330" s="5" t="s">
        <v>604</v>
      </c>
      <c r="C330" s="2" t="s">
        <v>511</v>
      </c>
      <c r="D330" s="32"/>
      <c r="E330" s="35" t="s">
        <v>455</v>
      </c>
      <c r="F330" s="34">
        <v>45</v>
      </c>
      <c r="G330" s="34">
        <v>45</v>
      </c>
      <c r="H330" s="34">
        <v>45</v>
      </c>
      <c r="I330" s="34">
        <v>45</v>
      </c>
      <c r="J330" s="34">
        <v>45</v>
      </c>
      <c r="K330" s="34">
        <v>45</v>
      </c>
      <c r="L330" s="34">
        <v>45</v>
      </c>
      <c r="M330" s="34">
        <v>0</v>
      </c>
      <c r="N330" s="34">
        <v>0</v>
      </c>
      <c r="O330" s="34">
        <v>0</v>
      </c>
      <c r="P330" s="34">
        <v>0</v>
      </c>
      <c r="Q330" s="34">
        <v>0</v>
      </c>
      <c r="R330" s="24">
        <f>SUM(Tabla1[[#This Row],[ENERO ]:[DICIEMBRE]])</f>
        <v>315</v>
      </c>
      <c r="W330" s="65">
        <v>0</v>
      </c>
      <c r="X330" s="21">
        <f>COUNTIF(Tabla1[[#This Row],[ENERO ]:[DICIEMBRE]],0)-(AQ330)-IF(Tabla1[[#This Row],[BAJAS]]="BAJA",IF(Tabla1[[#This Row],[ALTAS]]="ALTA",VLOOKUP(Tabla1[[#This Row],[MES DE ALTA ]],$AT$6:$AU$17,2,FALSE),12)-VLOOKUP(Tabla1[[#This Row],[MES DE BAJA ]],$AT$6:$AU$17,2,FALSE),0)</f>
        <v>5</v>
      </c>
      <c r="Y330" s="69">
        <f>SUM(Tabla1[[#This Row],[MES ADEUDO DE AÑOS PASADOS ]:[MESES DE ADEUDO DEL AÑO EN CURSO ]])</f>
        <v>5</v>
      </c>
      <c r="Z330" s="15">
        <f>IF(Tabla1[[#This Row],[TIPO DE CONSUMIDOR]]="COMPLETO",W330*$T$2,W330*($T$2/2))</f>
        <v>0</v>
      </c>
      <c r="AA330" s="15">
        <f>IF(Tabla1[[#This Row],[TIPO DE CONSUMIDOR]]="COMPLETO",Tabla1[[#This Row],[MESES DE ADEUDO DEL AÑO EN CURSO ]]*$T$2,Tabla1[[#This Row],[MESES DE ADEUDO DEL AÑO EN CURSO ]]*($T$2/2))</f>
        <v>225</v>
      </c>
      <c r="AB330" s="70">
        <f>SUM(Tabla1[[#This Row],[DEUDA DE LOS MESES PASADOS EN $$]:[DEUDA DEL AÑO 2013 $$ ]])</f>
        <v>225</v>
      </c>
      <c r="AE330" s="103">
        <f>IF(Tabla1[[#This Row],[TIPO DE CONSUMIDOR]]="MEDIO",IF(Tabla1[[#This Row],[ENERO ]]&gt;22.5,Tabla1[[#This Row],[ENERO ]]/22.5-1,0),IF(Tabla1[[#This Row],[ENERO ]]&gt;45,Tabla1[[#This Row],[ENERO ]]/45-1,0))</f>
        <v>0</v>
      </c>
      <c r="AF33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0" s="103">
        <f>IF(Tabla1[[#This Row],[TIPO DE CONSUMIDOR]]="MEDIO",IF(Tabla1[[#This Row],[MARZO]]&gt;22.5,Tabla1[[#This Row],[MARZO]]/22.5-1,0),IF(Tabla1[[#This Row],[MARZO]]&gt;45,Tabla1[[#This Row],[MARZO]]/45-1,0))</f>
        <v>0</v>
      </c>
      <c r="AH330" s="103">
        <f>IF(Tabla1[[#This Row],[TIPO DE CONSUMIDOR]]="MEDIO",IF(Tabla1[[#This Row],[ABRIL]]&gt;22.5,Tabla1[[#This Row],[ABRIL]]/22.5-1,0),IF(Tabla1[[#This Row],[ABRIL]]&gt;45,Tabla1[[#This Row],[ABRIL]]/45-1,0))</f>
        <v>0</v>
      </c>
      <c r="AI330" s="103">
        <f>IF(Tabla1[[#This Row],[TIPO DE CONSUMIDOR]]="MEDIO",IF(Tabla1[[#This Row],[MAYO ]]&gt;22.5,Tabla1[[#This Row],[MAYO ]]/22.5-1,0),IF(Tabla1[[#This Row],[MAYO ]]&gt;45,Tabla1[[#This Row],[MAYO ]]/45-1,0))</f>
        <v>0</v>
      </c>
      <c r="AJ330" s="103">
        <f>IF(Tabla1[[#This Row],[TIPO DE CONSUMIDOR]]="MEDIO",IF(Tabla1[[#This Row],[JUNIO ]]&gt;22.5,Tabla1[[#This Row],[JUNIO ]]/22.5-1,0),IF(Tabla1[[#This Row],[JUNIO ]]&gt;45,Tabla1[[#This Row],[JUNIO ]]/45-1,0))</f>
        <v>0</v>
      </c>
      <c r="AK330" s="103">
        <f>IF(Tabla1[[#This Row],[TIPO DE CONSUMIDOR]]="MEDIO",IF(Tabla1[[#This Row],[JULIO ]]&gt;22.5,Tabla1[[#This Row],[JULIO ]]/22.5-1,0),IF(Tabla1[[#This Row],[JULIO ]]&gt;45,Tabla1[[#This Row],[JULIO ]]/45-1,0))</f>
        <v>0</v>
      </c>
      <c r="AL330" s="103">
        <f>IF(Tabla1[[#This Row],[TIPO DE CONSUMIDOR]]="MEDIO",IF(Tabla1[[#This Row],[AGOSTO]]&gt;22.5,Tabla1[[#This Row],[AGOSTO]]/22.5-1,0),IF(Tabla1[[#This Row],[AGOSTO]]&gt;45,Tabla1[[#This Row],[AGOSTO]]/45-1,0))</f>
        <v>0</v>
      </c>
      <c r="AM33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0" s="104">
        <f t="shared" si="12"/>
        <v>0</v>
      </c>
      <c r="AR330" s="9">
        <f t="shared" si="11"/>
        <v>1</v>
      </c>
      <c r="AS330" s="60">
        <f>IF(Tabla1[[#This Row],[MESES DE ADEUDO DEL AÑO EN CURSO ]]&gt;0,1,0)</f>
        <v>1</v>
      </c>
      <c r="AT330" s="42"/>
      <c r="AU330" s="42"/>
      <c r="AV330" s="42"/>
      <c r="AW330" s="43"/>
    </row>
    <row r="331" spans="1:49" ht="21.75" thickBot="1" x14ac:dyDescent="0.35">
      <c r="A331" s="109">
        <v>325</v>
      </c>
      <c r="B331" s="5" t="s">
        <v>186</v>
      </c>
      <c r="C331" s="2" t="s">
        <v>524</v>
      </c>
      <c r="D331" s="32"/>
      <c r="E331" s="35" t="s">
        <v>455</v>
      </c>
      <c r="F331" s="34">
        <v>45</v>
      </c>
      <c r="G331" s="34">
        <v>45</v>
      </c>
      <c r="H331" s="34">
        <v>45</v>
      </c>
      <c r="I331" s="34">
        <v>45</v>
      </c>
      <c r="J331" s="34">
        <v>45</v>
      </c>
      <c r="K331" s="34">
        <v>45</v>
      </c>
      <c r="L331" s="34">
        <v>45</v>
      </c>
      <c r="M331" s="34">
        <v>0</v>
      </c>
      <c r="N331" s="34">
        <v>0</v>
      </c>
      <c r="O331" s="34">
        <v>0</v>
      </c>
      <c r="P331" s="34">
        <v>0</v>
      </c>
      <c r="Q331" s="34">
        <v>0</v>
      </c>
      <c r="R331" s="24">
        <f>SUM(Tabla1[[#This Row],[ENERO ]:[DICIEMBRE]])</f>
        <v>315</v>
      </c>
      <c r="W331" s="65">
        <v>0</v>
      </c>
      <c r="X331" s="21">
        <f>COUNTIF(Tabla1[[#This Row],[ENERO ]:[DICIEMBRE]],0)-(AQ331)-IF(Tabla1[[#This Row],[BAJAS]]="BAJA",IF(Tabla1[[#This Row],[ALTAS]]="ALTA",VLOOKUP(Tabla1[[#This Row],[MES DE ALTA ]],$AT$6:$AU$17,2,FALSE),12)-VLOOKUP(Tabla1[[#This Row],[MES DE BAJA ]],$AT$6:$AU$17,2,FALSE),0)</f>
        <v>5</v>
      </c>
      <c r="Y331" s="69">
        <f>SUM(Tabla1[[#This Row],[MES ADEUDO DE AÑOS PASADOS ]:[MESES DE ADEUDO DEL AÑO EN CURSO ]])</f>
        <v>5</v>
      </c>
      <c r="Z331" s="15">
        <f>IF(Tabla1[[#This Row],[TIPO DE CONSUMIDOR]]="COMPLETO",W331*$T$2,W331*($T$2/2))</f>
        <v>0</v>
      </c>
      <c r="AA331" s="15">
        <f>IF(Tabla1[[#This Row],[TIPO DE CONSUMIDOR]]="COMPLETO",Tabla1[[#This Row],[MESES DE ADEUDO DEL AÑO EN CURSO ]]*$T$2,Tabla1[[#This Row],[MESES DE ADEUDO DEL AÑO EN CURSO ]]*($T$2/2))</f>
        <v>225</v>
      </c>
      <c r="AB331" s="70">
        <f>SUM(Tabla1[[#This Row],[DEUDA DE LOS MESES PASADOS EN $$]:[DEUDA DEL AÑO 2013 $$ ]])</f>
        <v>225</v>
      </c>
      <c r="AE331" s="103">
        <f>IF(Tabla1[[#This Row],[TIPO DE CONSUMIDOR]]="MEDIO",IF(Tabla1[[#This Row],[ENERO ]]&gt;22.5,Tabla1[[#This Row],[ENERO ]]/22.5-1,0),IF(Tabla1[[#This Row],[ENERO ]]&gt;45,Tabla1[[#This Row],[ENERO ]]/45-1,0))</f>
        <v>0</v>
      </c>
      <c r="AF33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1" s="103">
        <f>IF(Tabla1[[#This Row],[TIPO DE CONSUMIDOR]]="MEDIO",IF(Tabla1[[#This Row],[MARZO]]&gt;22.5,Tabla1[[#This Row],[MARZO]]/22.5-1,0),IF(Tabla1[[#This Row],[MARZO]]&gt;45,Tabla1[[#This Row],[MARZO]]/45-1,0))</f>
        <v>0</v>
      </c>
      <c r="AH331" s="103">
        <f>IF(Tabla1[[#This Row],[TIPO DE CONSUMIDOR]]="MEDIO",IF(Tabla1[[#This Row],[ABRIL]]&gt;22.5,Tabla1[[#This Row],[ABRIL]]/22.5-1,0),IF(Tabla1[[#This Row],[ABRIL]]&gt;45,Tabla1[[#This Row],[ABRIL]]/45-1,0))</f>
        <v>0</v>
      </c>
      <c r="AI331" s="103">
        <f>IF(Tabla1[[#This Row],[TIPO DE CONSUMIDOR]]="MEDIO",IF(Tabla1[[#This Row],[MAYO ]]&gt;22.5,Tabla1[[#This Row],[MAYO ]]/22.5-1,0),IF(Tabla1[[#This Row],[MAYO ]]&gt;45,Tabla1[[#This Row],[MAYO ]]/45-1,0))</f>
        <v>0</v>
      </c>
      <c r="AJ331" s="103">
        <f>IF(Tabla1[[#This Row],[TIPO DE CONSUMIDOR]]="MEDIO",IF(Tabla1[[#This Row],[JUNIO ]]&gt;22.5,Tabla1[[#This Row],[JUNIO ]]/22.5-1,0),IF(Tabla1[[#This Row],[JUNIO ]]&gt;45,Tabla1[[#This Row],[JUNIO ]]/45-1,0))</f>
        <v>0</v>
      </c>
      <c r="AK331" s="103">
        <f>IF(Tabla1[[#This Row],[TIPO DE CONSUMIDOR]]="MEDIO",IF(Tabla1[[#This Row],[JULIO ]]&gt;22.5,Tabla1[[#This Row],[JULIO ]]/22.5-1,0),IF(Tabla1[[#This Row],[JULIO ]]&gt;45,Tabla1[[#This Row],[JULIO ]]/45-1,0))</f>
        <v>0</v>
      </c>
      <c r="AL331" s="103">
        <f>IF(Tabla1[[#This Row],[TIPO DE CONSUMIDOR]]="MEDIO",IF(Tabla1[[#This Row],[AGOSTO]]&gt;22.5,Tabla1[[#This Row],[AGOSTO]]/22.5-1,0),IF(Tabla1[[#This Row],[AGOSTO]]&gt;45,Tabla1[[#This Row],[AGOSTO]]/45-1,0))</f>
        <v>0</v>
      </c>
      <c r="AM33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1" s="104">
        <f t="shared" si="12"/>
        <v>0</v>
      </c>
      <c r="AR331" s="9">
        <f t="shared" si="11"/>
        <v>1</v>
      </c>
      <c r="AS331" s="60">
        <f>IF(Tabla1[[#This Row],[MESES DE ADEUDO DEL AÑO EN CURSO ]]&gt;0,1,0)</f>
        <v>1</v>
      </c>
      <c r="AT331" s="42"/>
      <c r="AU331" s="42"/>
      <c r="AV331" s="42"/>
      <c r="AW331" s="43"/>
    </row>
    <row r="332" spans="1:49" ht="21.75" thickBot="1" x14ac:dyDescent="0.35">
      <c r="A332" s="109">
        <v>326</v>
      </c>
      <c r="B332" s="5" t="s">
        <v>179</v>
      </c>
      <c r="C332" s="2" t="s">
        <v>530</v>
      </c>
      <c r="D332" s="32"/>
      <c r="E332" s="35" t="s">
        <v>455</v>
      </c>
      <c r="F332" s="34">
        <v>45</v>
      </c>
      <c r="G332" s="34">
        <v>45</v>
      </c>
      <c r="H332" s="34">
        <v>45</v>
      </c>
      <c r="I332" s="34">
        <v>45</v>
      </c>
      <c r="J332" s="34">
        <v>45</v>
      </c>
      <c r="K332" s="34">
        <v>45</v>
      </c>
      <c r="L332" s="34">
        <v>45</v>
      </c>
      <c r="M332" s="34">
        <v>0</v>
      </c>
      <c r="N332" s="34">
        <v>0</v>
      </c>
      <c r="O332" s="34">
        <v>0</v>
      </c>
      <c r="P332" s="34">
        <v>0</v>
      </c>
      <c r="Q332" s="34">
        <v>0</v>
      </c>
      <c r="R332" s="24">
        <f>SUM(Tabla1[[#This Row],[ENERO ]:[DICIEMBRE]])</f>
        <v>315</v>
      </c>
      <c r="W332" s="65">
        <v>0</v>
      </c>
      <c r="X332" s="21">
        <f>COUNTIF(Tabla1[[#This Row],[ENERO ]:[DICIEMBRE]],0)-(AQ332)-IF(Tabla1[[#This Row],[BAJAS]]="BAJA",IF(Tabla1[[#This Row],[ALTAS]]="ALTA",VLOOKUP(Tabla1[[#This Row],[MES DE ALTA ]],$AT$6:$AU$17,2,FALSE),12)-VLOOKUP(Tabla1[[#This Row],[MES DE BAJA ]],$AT$6:$AU$17,2,FALSE),0)</f>
        <v>5</v>
      </c>
      <c r="Y332" s="69">
        <f>SUM(Tabla1[[#This Row],[MES ADEUDO DE AÑOS PASADOS ]:[MESES DE ADEUDO DEL AÑO EN CURSO ]])</f>
        <v>5</v>
      </c>
      <c r="Z332" s="15">
        <f>IF(Tabla1[[#This Row],[TIPO DE CONSUMIDOR]]="COMPLETO",W332*$T$2,W332*($T$2/2))</f>
        <v>0</v>
      </c>
      <c r="AA332" s="15">
        <f>IF(Tabla1[[#This Row],[TIPO DE CONSUMIDOR]]="COMPLETO",Tabla1[[#This Row],[MESES DE ADEUDO DEL AÑO EN CURSO ]]*$T$2,Tabla1[[#This Row],[MESES DE ADEUDO DEL AÑO EN CURSO ]]*($T$2/2))</f>
        <v>225</v>
      </c>
      <c r="AB332" s="70">
        <f>SUM(Tabla1[[#This Row],[DEUDA DE LOS MESES PASADOS EN $$]:[DEUDA DEL AÑO 2013 $$ ]])</f>
        <v>225</v>
      </c>
      <c r="AE332" s="103">
        <f>IF(Tabla1[[#This Row],[TIPO DE CONSUMIDOR]]="MEDIO",IF(Tabla1[[#This Row],[ENERO ]]&gt;22.5,Tabla1[[#This Row],[ENERO ]]/22.5-1,0),IF(Tabla1[[#This Row],[ENERO ]]&gt;45,Tabla1[[#This Row],[ENERO ]]/45-1,0))</f>
        <v>0</v>
      </c>
      <c r="AF33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2" s="103">
        <f>IF(Tabla1[[#This Row],[TIPO DE CONSUMIDOR]]="MEDIO",IF(Tabla1[[#This Row],[MARZO]]&gt;22.5,Tabla1[[#This Row],[MARZO]]/22.5-1,0),IF(Tabla1[[#This Row],[MARZO]]&gt;45,Tabla1[[#This Row],[MARZO]]/45-1,0))</f>
        <v>0</v>
      </c>
      <c r="AH332" s="103">
        <f>IF(Tabla1[[#This Row],[TIPO DE CONSUMIDOR]]="MEDIO",IF(Tabla1[[#This Row],[ABRIL]]&gt;22.5,Tabla1[[#This Row],[ABRIL]]/22.5-1,0),IF(Tabla1[[#This Row],[ABRIL]]&gt;45,Tabla1[[#This Row],[ABRIL]]/45-1,0))</f>
        <v>0</v>
      </c>
      <c r="AI332" s="103">
        <f>IF(Tabla1[[#This Row],[TIPO DE CONSUMIDOR]]="MEDIO",IF(Tabla1[[#This Row],[MAYO ]]&gt;22.5,Tabla1[[#This Row],[MAYO ]]/22.5-1,0),IF(Tabla1[[#This Row],[MAYO ]]&gt;45,Tabla1[[#This Row],[MAYO ]]/45-1,0))</f>
        <v>0</v>
      </c>
      <c r="AJ332" s="103">
        <f>IF(Tabla1[[#This Row],[TIPO DE CONSUMIDOR]]="MEDIO",IF(Tabla1[[#This Row],[JUNIO ]]&gt;22.5,Tabla1[[#This Row],[JUNIO ]]/22.5-1,0),IF(Tabla1[[#This Row],[JUNIO ]]&gt;45,Tabla1[[#This Row],[JUNIO ]]/45-1,0))</f>
        <v>0</v>
      </c>
      <c r="AK332" s="103">
        <f>IF(Tabla1[[#This Row],[TIPO DE CONSUMIDOR]]="MEDIO",IF(Tabla1[[#This Row],[JULIO ]]&gt;22.5,Tabla1[[#This Row],[JULIO ]]/22.5-1,0),IF(Tabla1[[#This Row],[JULIO ]]&gt;45,Tabla1[[#This Row],[JULIO ]]/45-1,0))</f>
        <v>0</v>
      </c>
      <c r="AL332" s="103">
        <f>IF(Tabla1[[#This Row],[TIPO DE CONSUMIDOR]]="MEDIO",IF(Tabla1[[#This Row],[AGOSTO]]&gt;22.5,Tabla1[[#This Row],[AGOSTO]]/22.5-1,0),IF(Tabla1[[#This Row],[AGOSTO]]&gt;45,Tabla1[[#This Row],[AGOSTO]]/45-1,0))</f>
        <v>0</v>
      </c>
      <c r="AM33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2" s="104">
        <f t="shared" si="12"/>
        <v>0</v>
      </c>
      <c r="AR332" s="9">
        <f t="shared" si="11"/>
        <v>1</v>
      </c>
      <c r="AS332" s="60">
        <f>IF(Tabla1[[#This Row],[MESES DE ADEUDO DEL AÑO EN CURSO ]]&gt;0,1,0)</f>
        <v>1</v>
      </c>
      <c r="AT332" s="42"/>
      <c r="AU332" s="42"/>
      <c r="AV332" s="42"/>
      <c r="AW332" s="43"/>
    </row>
    <row r="333" spans="1:49" ht="21.75" thickBot="1" x14ac:dyDescent="0.35">
      <c r="A333" s="109">
        <v>327</v>
      </c>
      <c r="B333" s="5" t="s">
        <v>613</v>
      </c>
      <c r="C333" s="2" t="s">
        <v>530</v>
      </c>
      <c r="D333" s="32"/>
      <c r="E333" s="35" t="s">
        <v>455</v>
      </c>
      <c r="F333" s="34">
        <v>45</v>
      </c>
      <c r="G333" s="34">
        <v>45</v>
      </c>
      <c r="H333" s="34">
        <v>45</v>
      </c>
      <c r="I333" s="34">
        <v>45</v>
      </c>
      <c r="J333" s="34">
        <v>45</v>
      </c>
      <c r="K333" s="34">
        <v>45</v>
      </c>
      <c r="L333" s="34">
        <v>45</v>
      </c>
      <c r="M333" s="34">
        <v>0</v>
      </c>
      <c r="N333" s="34">
        <v>0</v>
      </c>
      <c r="O333" s="34">
        <v>0</v>
      </c>
      <c r="P333" s="34">
        <v>0</v>
      </c>
      <c r="Q333" s="34">
        <v>0</v>
      </c>
      <c r="R333" s="58">
        <f>SUM(Tabla1[[#This Row],[ENERO ]:[DICIEMBRE]])</f>
        <v>315</v>
      </c>
      <c r="W333" s="65">
        <v>0</v>
      </c>
      <c r="X333" s="21">
        <f>COUNTIF(Tabla1[[#This Row],[ENERO ]:[DICIEMBRE]],0)-(AQ333)-IF(Tabla1[[#This Row],[BAJAS]]="BAJA",IF(Tabla1[[#This Row],[ALTAS]]="ALTA",VLOOKUP(Tabla1[[#This Row],[MES DE ALTA ]],$AT$6:$AU$17,2,FALSE),12)-VLOOKUP(Tabla1[[#This Row],[MES DE BAJA ]],$AT$6:$AU$17,2,FALSE),0)</f>
        <v>5</v>
      </c>
      <c r="Y333" s="69">
        <f>SUM(Tabla1[[#This Row],[MES ADEUDO DE AÑOS PASADOS ]:[MESES DE ADEUDO DEL AÑO EN CURSO ]])</f>
        <v>5</v>
      </c>
      <c r="Z333" s="15">
        <f>IF(Tabla1[[#This Row],[TIPO DE CONSUMIDOR]]="COMPLETO",W333*$T$2,W333*($T$2/2))</f>
        <v>0</v>
      </c>
      <c r="AA333" s="15">
        <f>IF(Tabla1[[#This Row],[TIPO DE CONSUMIDOR]]="COMPLETO",Tabla1[[#This Row],[MESES DE ADEUDO DEL AÑO EN CURSO ]]*$T$2,Tabla1[[#This Row],[MESES DE ADEUDO DEL AÑO EN CURSO ]]*($T$2/2))</f>
        <v>225</v>
      </c>
      <c r="AB333" s="70">
        <f>SUM(Tabla1[[#This Row],[DEUDA DE LOS MESES PASADOS EN $$]:[DEUDA DEL AÑO 2013 $$ ]])</f>
        <v>225</v>
      </c>
      <c r="AE333" s="103">
        <f>IF(Tabla1[[#This Row],[TIPO DE CONSUMIDOR]]="MEDIO",IF(Tabla1[[#This Row],[ENERO ]]&gt;22.5,Tabla1[[#This Row],[ENERO ]]/22.5-1,0),IF(Tabla1[[#This Row],[ENERO ]]&gt;45,Tabla1[[#This Row],[ENERO ]]/45-1,0))</f>
        <v>0</v>
      </c>
      <c r="AF33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3" s="103">
        <f>IF(Tabla1[[#This Row],[TIPO DE CONSUMIDOR]]="MEDIO",IF(Tabla1[[#This Row],[MARZO]]&gt;22.5,Tabla1[[#This Row],[MARZO]]/22.5-1,0),IF(Tabla1[[#This Row],[MARZO]]&gt;45,Tabla1[[#This Row],[MARZO]]/45-1,0))</f>
        <v>0</v>
      </c>
      <c r="AH333" s="103">
        <f>IF(Tabla1[[#This Row],[TIPO DE CONSUMIDOR]]="MEDIO",IF(Tabla1[[#This Row],[ABRIL]]&gt;22.5,Tabla1[[#This Row],[ABRIL]]/22.5-1,0),IF(Tabla1[[#This Row],[ABRIL]]&gt;45,Tabla1[[#This Row],[ABRIL]]/45-1,0))</f>
        <v>0</v>
      </c>
      <c r="AI333" s="103">
        <f>IF(Tabla1[[#This Row],[TIPO DE CONSUMIDOR]]="MEDIO",IF(Tabla1[[#This Row],[MAYO ]]&gt;22.5,Tabla1[[#This Row],[MAYO ]]/22.5-1,0),IF(Tabla1[[#This Row],[MAYO ]]&gt;45,Tabla1[[#This Row],[MAYO ]]/45-1,0))</f>
        <v>0</v>
      </c>
      <c r="AJ333" s="103">
        <f>IF(Tabla1[[#This Row],[TIPO DE CONSUMIDOR]]="MEDIO",IF(Tabla1[[#This Row],[JUNIO ]]&gt;22.5,Tabla1[[#This Row],[JUNIO ]]/22.5-1,0),IF(Tabla1[[#This Row],[JUNIO ]]&gt;45,Tabla1[[#This Row],[JUNIO ]]/45-1,0))</f>
        <v>0</v>
      </c>
      <c r="AK333" s="103">
        <f>IF(Tabla1[[#This Row],[TIPO DE CONSUMIDOR]]="MEDIO",IF(Tabla1[[#This Row],[JULIO ]]&gt;22.5,Tabla1[[#This Row],[JULIO ]]/22.5-1,0),IF(Tabla1[[#This Row],[JULIO ]]&gt;45,Tabla1[[#This Row],[JULIO ]]/45-1,0))</f>
        <v>0</v>
      </c>
      <c r="AL333" s="103">
        <f>IF(Tabla1[[#This Row],[TIPO DE CONSUMIDOR]]="MEDIO",IF(Tabla1[[#This Row],[AGOSTO]]&gt;22.5,Tabla1[[#This Row],[AGOSTO]]/22.5-1,0),IF(Tabla1[[#This Row],[AGOSTO]]&gt;45,Tabla1[[#This Row],[AGOSTO]]/45-1,0))</f>
        <v>0</v>
      </c>
      <c r="AM33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3" s="104">
        <f t="shared" si="12"/>
        <v>0</v>
      </c>
      <c r="AR333" s="9">
        <f t="shared" si="11"/>
        <v>1</v>
      </c>
      <c r="AS333" s="60">
        <f>IF(Tabla1[[#This Row],[MESES DE ADEUDO DEL AÑO EN CURSO ]]&gt;0,1,0)</f>
        <v>1</v>
      </c>
      <c r="AT333" s="42"/>
      <c r="AU333" s="42"/>
      <c r="AV333" s="42"/>
      <c r="AW333" s="43"/>
    </row>
    <row r="334" spans="1:49" ht="21.75" thickBot="1" x14ac:dyDescent="0.35">
      <c r="A334" s="109">
        <v>328</v>
      </c>
      <c r="B334" s="5" t="s">
        <v>241</v>
      </c>
      <c r="C334" s="2" t="s">
        <v>556</v>
      </c>
      <c r="D334" s="32"/>
      <c r="E334" s="35" t="s">
        <v>455</v>
      </c>
      <c r="F334" s="34">
        <v>45</v>
      </c>
      <c r="G334" s="34">
        <v>45</v>
      </c>
      <c r="H334" s="34">
        <v>45</v>
      </c>
      <c r="I334" s="34">
        <v>45</v>
      </c>
      <c r="J334" s="34">
        <v>45</v>
      </c>
      <c r="K334" s="34">
        <v>45</v>
      </c>
      <c r="L334" s="34">
        <v>45</v>
      </c>
      <c r="M334" s="34">
        <v>0</v>
      </c>
      <c r="N334" s="34">
        <v>0</v>
      </c>
      <c r="O334" s="34">
        <v>0</v>
      </c>
      <c r="P334" s="34">
        <v>0</v>
      </c>
      <c r="Q334" s="34">
        <v>0</v>
      </c>
      <c r="R334" s="58">
        <f>SUM(Tabla1[[#This Row],[ENERO ]:[DICIEMBRE]])</f>
        <v>315</v>
      </c>
      <c r="W334" s="65">
        <v>0</v>
      </c>
      <c r="X334" s="21">
        <f>COUNTIF(Tabla1[[#This Row],[ENERO ]:[DICIEMBRE]],0)-(AQ334)-IF(Tabla1[[#This Row],[BAJAS]]="BAJA",IF(Tabla1[[#This Row],[ALTAS]]="ALTA",VLOOKUP(Tabla1[[#This Row],[MES DE ALTA ]],$AT$6:$AU$17,2,FALSE),12)-VLOOKUP(Tabla1[[#This Row],[MES DE BAJA ]],$AT$6:$AU$17,2,FALSE),0)</f>
        <v>5</v>
      </c>
      <c r="Y334" s="69">
        <f>SUM(Tabla1[[#This Row],[MES ADEUDO DE AÑOS PASADOS ]:[MESES DE ADEUDO DEL AÑO EN CURSO ]])</f>
        <v>5</v>
      </c>
      <c r="Z334" s="15">
        <f>IF(Tabla1[[#This Row],[TIPO DE CONSUMIDOR]]="COMPLETO",W334*$T$2,W334*($T$2/2))</f>
        <v>0</v>
      </c>
      <c r="AA334" s="15">
        <f>IF(Tabla1[[#This Row],[TIPO DE CONSUMIDOR]]="COMPLETO",Tabla1[[#This Row],[MESES DE ADEUDO DEL AÑO EN CURSO ]]*$T$2,Tabla1[[#This Row],[MESES DE ADEUDO DEL AÑO EN CURSO ]]*($T$2/2))</f>
        <v>225</v>
      </c>
      <c r="AB334" s="70">
        <f>SUM(Tabla1[[#This Row],[DEUDA DE LOS MESES PASADOS EN $$]:[DEUDA DEL AÑO 2013 $$ ]])</f>
        <v>225</v>
      </c>
      <c r="AE334" s="103">
        <f>IF(Tabla1[[#This Row],[TIPO DE CONSUMIDOR]]="MEDIO",IF(Tabla1[[#This Row],[ENERO ]]&gt;22.5,Tabla1[[#This Row],[ENERO ]]/22.5-1,0),IF(Tabla1[[#This Row],[ENERO ]]&gt;45,Tabla1[[#This Row],[ENERO ]]/45-1,0))</f>
        <v>0</v>
      </c>
      <c r="AF33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4" s="103">
        <f>IF(Tabla1[[#This Row],[TIPO DE CONSUMIDOR]]="MEDIO",IF(Tabla1[[#This Row],[MARZO]]&gt;22.5,Tabla1[[#This Row],[MARZO]]/22.5-1,0),IF(Tabla1[[#This Row],[MARZO]]&gt;45,Tabla1[[#This Row],[MARZO]]/45-1,0))</f>
        <v>0</v>
      </c>
      <c r="AH334" s="103">
        <f>IF(Tabla1[[#This Row],[TIPO DE CONSUMIDOR]]="MEDIO",IF(Tabla1[[#This Row],[ABRIL]]&gt;22.5,Tabla1[[#This Row],[ABRIL]]/22.5-1,0),IF(Tabla1[[#This Row],[ABRIL]]&gt;45,Tabla1[[#This Row],[ABRIL]]/45-1,0))</f>
        <v>0</v>
      </c>
      <c r="AI334" s="103">
        <f>IF(Tabla1[[#This Row],[TIPO DE CONSUMIDOR]]="MEDIO",IF(Tabla1[[#This Row],[MAYO ]]&gt;22.5,Tabla1[[#This Row],[MAYO ]]/22.5-1,0),IF(Tabla1[[#This Row],[MAYO ]]&gt;45,Tabla1[[#This Row],[MAYO ]]/45-1,0))</f>
        <v>0</v>
      </c>
      <c r="AJ334" s="103">
        <f>IF(Tabla1[[#This Row],[TIPO DE CONSUMIDOR]]="MEDIO",IF(Tabla1[[#This Row],[JUNIO ]]&gt;22.5,Tabla1[[#This Row],[JUNIO ]]/22.5-1,0),IF(Tabla1[[#This Row],[JUNIO ]]&gt;45,Tabla1[[#This Row],[JUNIO ]]/45-1,0))</f>
        <v>0</v>
      </c>
      <c r="AK334" s="103">
        <f>IF(Tabla1[[#This Row],[TIPO DE CONSUMIDOR]]="MEDIO",IF(Tabla1[[#This Row],[JULIO ]]&gt;22.5,Tabla1[[#This Row],[JULIO ]]/22.5-1,0),IF(Tabla1[[#This Row],[JULIO ]]&gt;45,Tabla1[[#This Row],[JULIO ]]/45-1,0))</f>
        <v>0</v>
      </c>
      <c r="AL334" s="103">
        <f>IF(Tabla1[[#This Row],[TIPO DE CONSUMIDOR]]="MEDIO",IF(Tabla1[[#This Row],[AGOSTO]]&gt;22.5,Tabla1[[#This Row],[AGOSTO]]/22.5-1,0),IF(Tabla1[[#This Row],[AGOSTO]]&gt;45,Tabla1[[#This Row],[AGOSTO]]/45-1,0))</f>
        <v>0</v>
      </c>
      <c r="AM33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4" s="104">
        <f t="shared" si="12"/>
        <v>0</v>
      </c>
      <c r="AR334" s="9">
        <f t="shared" si="11"/>
        <v>1</v>
      </c>
      <c r="AS334" s="60">
        <f>IF(Tabla1[[#This Row],[MESES DE ADEUDO DEL AÑO EN CURSO ]]&gt;0,1,0)</f>
        <v>1</v>
      </c>
      <c r="AT334" s="42"/>
      <c r="AU334" s="42"/>
      <c r="AV334" s="42"/>
      <c r="AW334" s="43"/>
    </row>
    <row r="335" spans="1:49" ht="21.75" thickBot="1" x14ac:dyDescent="0.35">
      <c r="A335" s="109">
        <v>329</v>
      </c>
      <c r="B335" s="5" t="s">
        <v>24</v>
      </c>
      <c r="C335" s="2" t="s">
        <v>562</v>
      </c>
      <c r="D335" s="32"/>
      <c r="E335" s="35" t="s">
        <v>455</v>
      </c>
      <c r="F335" s="34">
        <v>45</v>
      </c>
      <c r="G335" s="34">
        <v>45</v>
      </c>
      <c r="H335" s="34">
        <v>45</v>
      </c>
      <c r="I335" s="34">
        <v>45</v>
      </c>
      <c r="J335" s="34">
        <v>45</v>
      </c>
      <c r="K335" s="34">
        <v>45</v>
      </c>
      <c r="L335" s="34">
        <v>45</v>
      </c>
      <c r="M335" s="34">
        <v>0</v>
      </c>
      <c r="N335" s="34">
        <v>0</v>
      </c>
      <c r="O335" s="34">
        <v>0</v>
      </c>
      <c r="P335" s="34">
        <v>0</v>
      </c>
      <c r="Q335" s="34">
        <v>0</v>
      </c>
      <c r="R335" s="24">
        <f>SUM(Tabla1[[#This Row],[ENERO ]:[DICIEMBRE]])</f>
        <v>315</v>
      </c>
      <c r="W335" s="65">
        <v>0</v>
      </c>
      <c r="X335" s="21">
        <f>COUNTIF(Tabla1[[#This Row],[ENERO ]:[DICIEMBRE]],0)-(AQ335)-IF(Tabla1[[#This Row],[BAJAS]]="BAJA",IF(Tabla1[[#This Row],[ALTAS]]="ALTA",VLOOKUP(Tabla1[[#This Row],[MES DE ALTA ]],$AT$6:$AU$17,2,FALSE),12)-VLOOKUP(Tabla1[[#This Row],[MES DE BAJA ]],$AT$6:$AU$17,2,FALSE),0)</f>
        <v>5</v>
      </c>
      <c r="Y335" s="69">
        <f>SUM(Tabla1[[#This Row],[MES ADEUDO DE AÑOS PASADOS ]:[MESES DE ADEUDO DEL AÑO EN CURSO ]])</f>
        <v>5</v>
      </c>
      <c r="Z335" s="15">
        <f>IF(Tabla1[[#This Row],[TIPO DE CONSUMIDOR]]="COMPLETO",W335*$T$2,W335*($T$2/2))</f>
        <v>0</v>
      </c>
      <c r="AA335" s="15">
        <f>IF(Tabla1[[#This Row],[TIPO DE CONSUMIDOR]]="COMPLETO",Tabla1[[#This Row],[MESES DE ADEUDO DEL AÑO EN CURSO ]]*$T$2,Tabla1[[#This Row],[MESES DE ADEUDO DEL AÑO EN CURSO ]]*($T$2/2))</f>
        <v>225</v>
      </c>
      <c r="AB335" s="70">
        <f>SUM(Tabla1[[#This Row],[DEUDA DE LOS MESES PASADOS EN $$]:[DEUDA DEL AÑO 2013 $$ ]])</f>
        <v>225</v>
      </c>
      <c r="AE335" s="103">
        <f>IF(Tabla1[[#This Row],[TIPO DE CONSUMIDOR]]="MEDIO",IF(Tabla1[[#This Row],[ENERO ]]&gt;22.5,Tabla1[[#This Row],[ENERO ]]/22.5-1,0),IF(Tabla1[[#This Row],[ENERO ]]&gt;45,Tabla1[[#This Row],[ENERO ]]/45-1,0))</f>
        <v>0</v>
      </c>
      <c r="AF33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5" s="103">
        <f>IF(Tabla1[[#This Row],[TIPO DE CONSUMIDOR]]="MEDIO",IF(Tabla1[[#This Row],[MARZO]]&gt;22.5,Tabla1[[#This Row],[MARZO]]/22.5-1,0),IF(Tabla1[[#This Row],[MARZO]]&gt;45,Tabla1[[#This Row],[MARZO]]/45-1,0))</f>
        <v>0</v>
      </c>
      <c r="AH335" s="103">
        <f>IF(Tabla1[[#This Row],[TIPO DE CONSUMIDOR]]="MEDIO",IF(Tabla1[[#This Row],[ABRIL]]&gt;22.5,Tabla1[[#This Row],[ABRIL]]/22.5-1,0),IF(Tabla1[[#This Row],[ABRIL]]&gt;45,Tabla1[[#This Row],[ABRIL]]/45-1,0))</f>
        <v>0</v>
      </c>
      <c r="AI335" s="103">
        <f>IF(Tabla1[[#This Row],[TIPO DE CONSUMIDOR]]="MEDIO",IF(Tabla1[[#This Row],[MAYO ]]&gt;22.5,Tabla1[[#This Row],[MAYO ]]/22.5-1,0),IF(Tabla1[[#This Row],[MAYO ]]&gt;45,Tabla1[[#This Row],[MAYO ]]/45-1,0))</f>
        <v>0</v>
      </c>
      <c r="AJ335" s="103">
        <f>IF(Tabla1[[#This Row],[TIPO DE CONSUMIDOR]]="MEDIO",IF(Tabla1[[#This Row],[JUNIO ]]&gt;22.5,Tabla1[[#This Row],[JUNIO ]]/22.5-1,0),IF(Tabla1[[#This Row],[JUNIO ]]&gt;45,Tabla1[[#This Row],[JUNIO ]]/45-1,0))</f>
        <v>0</v>
      </c>
      <c r="AK335" s="103">
        <f>IF(Tabla1[[#This Row],[TIPO DE CONSUMIDOR]]="MEDIO",IF(Tabla1[[#This Row],[JULIO ]]&gt;22.5,Tabla1[[#This Row],[JULIO ]]/22.5-1,0),IF(Tabla1[[#This Row],[JULIO ]]&gt;45,Tabla1[[#This Row],[JULIO ]]/45-1,0))</f>
        <v>0</v>
      </c>
      <c r="AL335" s="103">
        <f>IF(Tabla1[[#This Row],[TIPO DE CONSUMIDOR]]="MEDIO",IF(Tabla1[[#This Row],[AGOSTO]]&gt;22.5,Tabla1[[#This Row],[AGOSTO]]/22.5-1,0),IF(Tabla1[[#This Row],[AGOSTO]]&gt;45,Tabla1[[#This Row],[AGOSTO]]/45-1,0))</f>
        <v>0</v>
      </c>
      <c r="AM33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5" s="104">
        <f t="shared" si="12"/>
        <v>0</v>
      </c>
      <c r="AR335" s="9">
        <f t="shared" si="11"/>
        <v>1</v>
      </c>
      <c r="AS335" s="60">
        <f>IF(Tabla1[[#This Row],[MESES DE ADEUDO DEL AÑO EN CURSO ]]&gt;0,1,0)</f>
        <v>1</v>
      </c>
      <c r="AT335" s="42"/>
      <c r="AU335" s="42"/>
      <c r="AV335" s="42"/>
      <c r="AW335" s="43"/>
    </row>
    <row r="336" spans="1:49" ht="21.75" thickBot="1" x14ac:dyDescent="0.35">
      <c r="A336" s="109">
        <v>330</v>
      </c>
      <c r="B336" s="5" t="s">
        <v>225</v>
      </c>
      <c r="C336" s="2" t="s">
        <v>562</v>
      </c>
      <c r="D336" s="32"/>
      <c r="E336" s="35" t="s">
        <v>455</v>
      </c>
      <c r="F336" s="34">
        <v>45</v>
      </c>
      <c r="G336" s="34">
        <v>45</v>
      </c>
      <c r="H336" s="34">
        <v>45</v>
      </c>
      <c r="I336" s="34">
        <v>45</v>
      </c>
      <c r="J336" s="34">
        <v>45</v>
      </c>
      <c r="K336" s="34">
        <v>45</v>
      </c>
      <c r="L336" s="34">
        <v>45</v>
      </c>
      <c r="M336" s="34">
        <v>0</v>
      </c>
      <c r="N336" s="34">
        <v>0</v>
      </c>
      <c r="O336" s="34">
        <v>0</v>
      </c>
      <c r="P336" s="34">
        <v>0</v>
      </c>
      <c r="Q336" s="34">
        <v>0</v>
      </c>
      <c r="R336" s="24">
        <f>SUM(Tabla1[[#This Row],[ENERO ]:[DICIEMBRE]])</f>
        <v>315</v>
      </c>
      <c r="W336" s="65">
        <v>0</v>
      </c>
      <c r="X336" s="21">
        <f>COUNTIF(Tabla1[[#This Row],[ENERO ]:[DICIEMBRE]],0)-(AQ336)-IF(Tabla1[[#This Row],[BAJAS]]="BAJA",IF(Tabla1[[#This Row],[ALTAS]]="ALTA",VLOOKUP(Tabla1[[#This Row],[MES DE ALTA ]],$AT$6:$AU$17,2,FALSE),12)-VLOOKUP(Tabla1[[#This Row],[MES DE BAJA ]],$AT$6:$AU$17,2,FALSE),0)</f>
        <v>5</v>
      </c>
      <c r="Y336" s="69">
        <f>SUM(Tabla1[[#This Row],[MES ADEUDO DE AÑOS PASADOS ]:[MESES DE ADEUDO DEL AÑO EN CURSO ]])</f>
        <v>5</v>
      </c>
      <c r="Z336" s="15">
        <f>IF(Tabla1[[#This Row],[TIPO DE CONSUMIDOR]]="COMPLETO",W336*$T$2,W336*($T$2/2))</f>
        <v>0</v>
      </c>
      <c r="AA336" s="15">
        <f>IF(Tabla1[[#This Row],[TIPO DE CONSUMIDOR]]="COMPLETO",Tabla1[[#This Row],[MESES DE ADEUDO DEL AÑO EN CURSO ]]*$T$2,Tabla1[[#This Row],[MESES DE ADEUDO DEL AÑO EN CURSO ]]*($T$2/2))</f>
        <v>225</v>
      </c>
      <c r="AB336" s="70">
        <f>SUM(Tabla1[[#This Row],[DEUDA DE LOS MESES PASADOS EN $$]:[DEUDA DEL AÑO 2013 $$ ]])</f>
        <v>225</v>
      </c>
      <c r="AE336" s="103">
        <f>IF(Tabla1[[#This Row],[TIPO DE CONSUMIDOR]]="MEDIO",IF(Tabla1[[#This Row],[ENERO ]]&gt;22.5,Tabla1[[#This Row],[ENERO ]]/22.5-1,0),IF(Tabla1[[#This Row],[ENERO ]]&gt;45,Tabla1[[#This Row],[ENERO ]]/45-1,0))</f>
        <v>0</v>
      </c>
      <c r="AF33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6" s="103">
        <f>IF(Tabla1[[#This Row],[TIPO DE CONSUMIDOR]]="MEDIO",IF(Tabla1[[#This Row],[MARZO]]&gt;22.5,Tabla1[[#This Row],[MARZO]]/22.5-1,0),IF(Tabla1[[#This Row],[MARZO]]&gt;45,Tabla1[[#This Row],[MARZO]]/45-1,0))</f>
        <v>0</v>
      </c>
      <c r="AH336" s="103">
        <f>IF(Tabla1[[#This Row],[TIPO DE CONSUMIDOR]]="MEDIO",IF(Tabla1[[#This Row],[ABRIL]]&gt;22.5,Tabla1[[#This Row],[ABRIL]]/22.5-1,0),IF(Tabla1[[#This Row],[ABRIL]]&gt;45,Tabla1[[#This Row],[ABRIL]]/45-1,0))</f>
        <v>0</v>
      </c>
      <c r="AI336" s="103">
        <f>IF(Tabla1[[#This Row],[TIPO DE CONSUMIDOR]]="MEDIO",IF(Tabla1[[#This Row],[MAYO ]]&gt;22.5,Tabla1[[#This Row],[MAYO ]]/22.5-1,0),IF(Tabla1[[#This Row],[MAYO ]]&gt;45,Tabla1[[#This Row],[MAYO ]]/45-1,0))</f>
        <v>0</v>
      </c>
      <c r="AJ336" s="103">
        <f>IF(Tabla1[[#This Row],[TIPO DE CONSUMIDOR]]="MEDIO",IF(Tabla1[[#This Row],[JUNIO ]]&gt;22.5,Tabla1[[#This Row],[JUNIO ]]/22.5-1,0),IF(Tabla1[[#This Row],[JUNIO ]]&gt;45,Tabla1[[#This Row],[JUNIO ]]/45-1,0))</f>
        <v>0</v>
      </c>
      <c r="AK336" s="103">
        <f>IF(Tabla1[[#This Row],[TIPO DE CONSUMIDOR]]="MEDIO",IF(Tabla1[[#This Row],[JULIO ]]&gt;22.5,Tabla1[[#This Row],[JULIO ]]/22.5-1,0),IF(Tabla1[[#This Row],[JULIO ]]&gt;45,Tabla1[[#This Row],[JULIO ]]/45-1,0))</f>
        <v>0</v>
      </c>
      <c r="AL336" s="103">
        <f>IF(Tabla1[[#This Row],[TIPO DE CONSUMIDOR]]="MEDIO",IF(Tabla1[[#This Row],[AGOSTO]]&gt;22.5,Tabla1[[#This Row],[AGOSTO]]/22.5-1,0),IF(Tabla1[[#This Row],[AGOSTO]]&gt;45,Tabla1[[#This Row],[AGOSTO]]/45-1,0))</f>
        <v>0</v>
      </c>
      <c r="AM33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6" s="104">
        <f t="shared" si="12"/>
        <v>0</v>
      </c>
      <c r="AR336" s="9">
        <f t="shared" si="11"/>
        <v>1</v>
      </c>
      <c r="AS336" s="60">
        <f>IF(Tabla1[[#This Row],[MESES DE ADEUDO DEL AÑO EN CURSO ]]&gt;0,1,0)</f>
        <v>1</v>
      </c>
      <c r="AT336" s="42"/>
      <c r="AU336" s="42"/>
      <c r="AV336" s="42"/>
      <c r="AW336" s="43"/>
    </row>
    <row r="337" spans="1:49" ht="21.75" thickBot="1" x14ac:dyDescent="0.35">
      <c r="A337" s="109">
        <v>331</v>
      </c>
      <c r="B337" s="5" t="s">
        <v>404</v>
      </c>
      <c r="C337" s="2" t="s">
        <v>573</v>
      </c>
      <c r="D337" s="32"/>
      <c r="E337" s="35" t="s">
        <v>455</v>
      </c>
      <c r="F337" s="34">
        <v>45</v>
      </c>
      <c r="G337" s="34">
        <v>45</v>
      </c>
      <c r="H337" s="34">
        <v>45</v>
      </c>
      <c r="I337" s="34">
        <v>45</v>
      </c>
      <c r="J337" s="34">
        <v>45</v>
      </c>
      <c r="K337" s="34">
        <v>45</v>
      </c>
      <c r="L337" s="34">
        <v>45</v>
      </c>
      <c r="M337" s="34">
        <v>0</v>
      </c>
      <c r="N337" s="34">
        <v>0</v>
      </c>
      <c r="O337" s="34">
        <v>0</v>
      </c>
      <c r="P337" s="34">
        <v>0</v>
      </c>
      <c r="Q337" s="34">
        <v>0</v>
      </c>
      <c r="R337" s="24">
        <f>SUM(Tabla1[[#This Row],[ENERO ]:[DICIEMBRE]])</f>
        <v>315</v>
      </c>
      <c r="W337" s="65">
        <v>0</v>
      </c>
      <c r="X337" s="21">
        <f>COUNTIF(Tabla1[[#This Row],[ENERO ]:[DICIEMBRE]],0)-(AQ337)-IF(Tabla1[[#This Row],[BAJAS]]="BAJA",IF(Tabla1[[#This Row],[ALTAS]]="ALTA",VLOOKUP(Tabla1[[#This Row],[MES DE ALTA ]],$AT$6:$AU$17,2,FALSE),12)-VLOOKUP(Tabla1[[#This Row],[MES DE BAJA ]],$AT$6:$AU$17,2,FALSE),0)</f>
        <v>5</v>
      </c>
      <c r="Y337" s="69">
        <f>SUM(Tabla1[[#This Row],[MES ADEUDO DE AÑOS PASADOS ]:[MESES DE ADEUDO DEL AÑO EN CURSO ]])</f>
        <v>5</v>
      </c>
      <c r="Z337" s="15">
        <f>IF(Tabla1[[#This Row],[TIPO DE CONSUMIDOR]]="COMPLETO",W337*$T$2,W337*($T$2/2))</f>
        <v>0</v>
      </c>
      <c r="AA337" s="15">
        <f>IF(Tabla1[[#This Row],[TIPO DE CONSUMIDOR]]="COMPLETO",Tabla1[[#This Row],[MESES DE ADEUDO DEL AÑO EN CURSO ]]*$T$2,Tabla1[[#This Row],[MESES DE ADEUDO DEL AÑO EN CURSO ]]*($T$2/2))</f>
        <v>225</v>
      </c>
      <c r="AB337" s="70">
        <f>SUM(Tabla1[[#This Row],[DEUDA DE LOS MESES PASADOS EN $$]:[DEUDA DEL AÑO 2013 $$ ]])</f>
        <v>225</v>
      </c>
      <c r="AE337" s="103">
        <f>IF(Tabla1[[#This Row],[TIPO DE CONSUMIDOR]]="MEDIO",IF(Tabla1[[#This Row],[ENERO ]]&gt;22.5,Tabla1[[#This Row],[ENERO ]]/22.5-1,0),IF(Tabla1[[#This Row],[ENERO ]]&gt;45,Tabla1[[#This Row],[ENERO ]]/45-1,0))</f>
        <v>0</v>
      </c>
      <c r="AF33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7" s="103">
        <f>IF(Tabla1[[#This Row],[TIPO DE CONSUMIDOR]]="MEDIO",IF(Tabla1[[#This Row],[MARZO]]&gt;22.5,Tabla1[[#This Row],[MARZO]]/22.5-1,0),IF(Tabla1[[#This Row],[MARZO]]&gt;45,Tabla1[[#This Row],[MARZO]]/45-1,0))</f>
        <v>0</v>
      </c>
      <c r="AH337" s="103">
        <f>IF(Tabla1[[#This Row],[TIPO DE CONSUMIDOR]]="MEDIO",IF(Tabla1[[#This Row],[ABRIL]]&gt;22.5,Tabla1[[#This Row],[ABRIL]]/22.5-1,0),IF(Tabla1[[#This Row],[ABRIL]]&gt;45,Tabla1[[#This Row],[ABRIL]]/45-1,0))</f>
        <v>0</v>
      </c>
      <c r="AI337" s="103">
        <f>IF(Tabla1[[#This Row],[TIPO DE CONSUMIDOR]]="MEDIO",IF(Tabla1[[#This Row],[MAYO ]]&gt;22.5,Tabla1[[#This Row],[MAYO ]]/22.5-1,0),IF(Tabla1[[#This Row],[MAYO ]]&gt;45,Tabla1[[#This Row],[MAYO ]]/45-1,0))</f>
        <v>0</v>
      </c>
      <c r="AJ337" s="103">
        <f>IF(Tabla1[[#This Row],[TIPO DE CONSUMIDOR]]="MEDIO",IF(Tabla1[[#This Row],[JUNIO ]]&gt;22.5,Tabla1[[#This Row],[JUNIO ]]/22.5-1,0),IF(Tabla1[[#This Row],[JUNIO ]]&gt;45,Tabla1[[#This Row],[JUNIO ]]/45-1,0))</f>
        <v>0</v>
      </c>
      <c r="AK337" s="103">
        <f>IF(Tabla1[[#This Row],[TIPO DE CONSUMIDOR]]="MEDIO",IF(Tabla1[[#This Row],[JULIO ]]&gt;22.5,Tabla1[[#This Row],[JULIO ]]/22.5-1,0),IF(Tabla1[[#This Row],[JULIO ]]&gt;45,Tabla1[[#This Row],[JULIO ]]/45-1,0))</f>
        <v>0</v>
      </c>
      <c r="AL337" s="103">
        <f>IF(Tabla1[[#This Row],[TIPO DE CONSUMIDOR]]="MEDIO",IF(Tabla1[[#This Row],[AGOSTO]]&gt;22.5,Tabla1[[#This Row],[AGOSTO]]/22.5-1,0),IF(Tabla1[[#This Row],[AGOSTO]]&gt;45,Tabla1[[#This Row],[AGOSTO]]/45-1,0))</f>
        <v>0</v>
      </c>
      <c r="AM33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7" s="104">
        <f t="shared" si="12"/>
        <v>0</v>
      </c>
      <c r="AR337" s="9">
        <f t="shared" si="11"/>
        <v>1</v>
      </c>
      <c r="AS337" s="60">
        <f>IF(Tabla1[[#This Row],[MESES DE ADEUDO DEL AÑO EN CURSO ]]&gt;0,1,0)</f>
        <v>1</v>
      </c>
      <c r="AT337" s="42"/>
      <c r="AU337" s="42"/>
      <c r="AV337" s="42"/>
      <c r="AW337" s="43"/>
    </row>
    <row r="338" spans="1:49" ht="21.75" thickBot="1" x14ac:dyDescent="0.35">
      <c r="A338" s="109">
        <v>332</v>
      </c>
      <c r="B338" s="5" t="s">
        <v>619</v>
      </c>
      <c r="C338" s="2" t="s">
        <v>575</v>
      </c>
      <c r="D338" s="46"/>
      <c r="E338" s="36" t="s">
        <v>455</v>
      </c>
      <c r="F338" s="34">
        <v>45</v>
      </c>
      <c r="G338" s="34">
        <v>45</v>
      </c>
      <c r="H338" s="34">
        <v>45</v>
      </c>
      <c r="I338" s="34">
        <v>45</v>
      </c>
      <c r="J338" s="34">
        <v>45</v>
      </c>
      <c r="K338" s="34">
        <v>45</v>
      </c>
      <c r="L338" s="34">
        <v>45</v>
      </c>
      <c r="M338" s="34">
        <v>0</v>
      </c>
      <c r="N338" s="34">
        <v>0</v>
      </c>
      <c r="O338" s="34">
        <v>0</v>
      </c>
      <c r="P338" s="34">
        <v>0</v>
      </c>
      <c r="Q338" s="34">
        <v>0</v>
      </c>
      <c r="R338" s="24">
        <f>SUM(Tabla1[[#This Row],[ENERO ]:[DICIEMBRE]])</f>
        <v>315</v>
      </c>
      <c r="W338" s="65">
        <v>0</v>
      </c>
      <c r="X338" s="21">
        <f>COUNTIF(Tabla1[[#This Row],[ENERO ]:[DICIEMBRE]],0)-(AQ338)-IF(Tabla1[[#This Row],[BAJAS]]="BAJA",IF(Tabla1[[#This Row],[ALTAS]]="ALTA",VLOOKUP(Tabla1[[#This Row],[MES DE ALTA ]],$AT$6:$AU$17,2,FALSE),12)-VLOOKUP(Tabla1[[#This Row],[MES DE BAJA ]],$AT$6:$AU$17,2,FALSE),0)</f>
        <v>5</v>
      </c>
      <c r="Y338" s="69">
        <f>SUM(Tabla1[[#This Row],[MES ADEUDO DE AÑOS PASADOS ]:[MESES DE ADEUDO DEL AÑO EN CURSO ]])</f>
        <v>5</v>
      </c>
      <c r="Z338" s="15">
        <f>IF(Tabla1[[#This Row],[TIPO DE CONSUMIDOR]]="COMPLETO",W338*$T$2,W338*($T$2/2))</f>
        <v>0</v>
      </c>
      <c r="AA338" s="15">
        <f>IF(Tabla1[[#This Row],[TIPO DE CONSUMIDOR]]="COMPLETO",Tabla1[[#This Row],[MESES DE ADEUDO DEL AÑO EN CURSO ]]*$T$2,Tabla1[[#This Row],[MESES DE ADEUDO DEL AÑO EN CURSO ]]*($T$2/2))</f>
        <v>225</v>
      </c>
      <c r="AB338" s="70">
        <f>SUM(Tabla1[[#This Row],[DEUDA DE LOS MESES PASADOS EN $$]:[DEUDA DEL AÑO 2013 $$ ]])</f>
        <v>225</v>
      </c>
      <c r="AE338" s="103">
        <f>IF(Tabla1[[#This Row],[TIPO DE CONSUMIDOR]]="MEDIO",IF(Tabla1[[#This Row],[ENERO ]]&gt;22.5,Tabla1[[#This Row],[ENERO ]]/22.5-1,0),IF(Tabla1[[#This Row],[ENERO ]]&gt;45,Tabla1[[#This Row],[ENERO ]]/45-1,0))</f>
        <v>0</v>
      </c>
      <c r="AF33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8" s="103">
        <f>IF(Tabla1[[#This Row],[TIPO DE CONSUMIDOR]]="MEDIO",IF(Tabla1[[#This Row],[MARZO]]&gt;22.5,Tabla1[[#This Row],[MARZO]]/22.5-1,0),IF(Tabla1[[#This Row],[MARZO]]&gt;45,Tabla1[[#This Row],[MARZO]]/45-1,0))</f>
        <v>0</v>
      </c>
      <c r="AH338" s="103">
        <f>IF(Tabla1[[#This Row],[TIPO DE CONSUMIDOR]]="MEDIO",IF(Tabla1[[#This Row],[ABRIL]]&gt;22.5,Tabla1[[#This Row],[ABRIL]]/22.5-1,0),IF(Tabla1[[#This Row],[ABRIL]]&gt;45,Tabla1[[#This Row],[ABRIL]]/45-1,0))</f>
        <v>0</v>
      </c>
      <c r="AI338" s="103">
        <f>IF(Tabla1[[#This Row],[TIPO DE CONSUMIDOR]]="MEDIO",IF(Tabla1[[#This Row],[MAYO ]]&gt;22.5,Tabla1[[#This Row],[MAYO ]]/22.5-1,0),IF(Tabla1[[#This Row],[MAYO ]]&gt;45,Tabla1[[#This Row],[MAYO ]]/45-1,0))</f>
        <v>0</v>
      </c>
      <c r="AJ338" s="103">
        <f>IF(Tabla1[[#This Row],[TIPO DE CONSUMIDOR]]="MEDIO",IF(Tabla1[[#This Row],[JUNIO ]]&gt;22.5,Tabla1[[#This Row],[JUNIO ]]/22.5-1,0),IF(Tabla1[[#This Row],[JUNIO ]]&gt;45,Tabla1[[#This Row],[JUNIO ]]/45-1,0))</f>
        <v>0</v>
      </c>
      <c r="AK338" s="103">
        <f>IF(Tabla1[[#This Row],[TIPO DE CONSUMIDOR]]="MEDIO",IF(Tabla1[[#This Row],[JULIO ]]&gt;22.5,Tabla1[[#This Row],[JULIO ]]/22.5-1,0),IF(Tabla1[[#This Row],[JULIO ]]&gt;45,Tabla1[[#This Row],[JULIO ]]/45-1,0))</f>
        <v>0</v>
      </c>
      <c r="AL338" s="103">
        <f>IF(Tabla1[[#This Row],[TIPO DE CONSUMIDOR]]="MEDIO",IF(Tabla1[[#This Row],[AGOSTO]]&gt;22.5,Tabla1[[#This Row],[AGOSTO]]/22.5-1,0),IF(Tabla1[[#This Row],[AGOSTO]]&gt;45,Tabla1[[#This Row],[AGOSTO]]/45-1,0))</f>
        <v>0</v>
      </c>
      <c r="AM33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8" s="104">
        <f t="shared" si="12"/>
        <v>0</v>
      </c>
      <c r="AR338" s="9">
        <f t="shared" si="11"/>
        <v>1</v>
      </c>
      <c r="AS338" s="60">
        <f>IF(Tabla1[[#This Row],[MESES DE ADEUDO DEL AÑO EN CURSO ]]&gt;0,1,0)</f>
        <v>1</v>
      </c>
      <c r="AT338" s="42"/>
      <c r="AU338" s="42"/>
      <c r="AV338" s="42"/>
      <c r="AW338" s="43"/>
    </row>
    <row r="339" spans="1:49" ht="21.75" thickBot="1" x14ac:dyDescent="0.35">
      <c r="A339" s="109">
        <v>333</v>
      </c>
      <c r="B339" s="5" t="s">
        <v>279</v>
      </c>
      <c r="C339" s="2"/>
      <c r="D339" s="32"/>
      <c r="E339" s="35" t="s">
        <v>455</v>
      </c>
      <c r="F339" s="34">
        <v>45</v>
      </c>
      <c r="G339" s="34">
        <v>45</v>
      </c>
      <c r="H339" s="34">
        <v>45</v>
      </c>
      <c r="I339" s="34">
        <v>45</v>
      </c>
      <c r="J339" s="34">
        <v>45</v>
      </c>
      <c r="K339" s="34">
        <v>45</v>
      </c>
      <c r="L339" s="34">
        <v>45</v>
      </c>
      <c r="M339" s="34">
        <v>0</v>
      </c>
      <c r="N339" s="34">
        <v>0</v>
      </c>
      <c r="O339" s="34">
        <v>0</v>
      </c>
      <c r="P339" s="34">
        <v>0</v>
      </c>
      <c r="Q339" s="34">
        <v>0</v>
      </c>
      <c r="R339" s="58">
        <f>SUM(Tabla1[[#This Row],[ENERO ]:[DICIEMBRE]])</f>
        <v>315</v>
      </c>
      <c r="W339" s="65">
        <v>0</v>
      </c>
      <c r="X339" s="21">
        <f>COUNTIF(Tabla1[[#This Row],[ENERO ]:[DICIEMBRE]],0)-(AQ339)-IF(Tabla1[[#This Row],[BAJAS]]="BAJA",IF(Tabla1[[#This Row],[ALTAS]]="ALTA",VLOOKUP(Tabla1[[#This Row],[MES DE ALTA ]],$AT$6:$AU$17,2,FALSE),12)-VLOOKUP(Tabla1[[#This Row],[MES DE BAJA ]],$AT$6:$AU$17,2,FALSE),0)</f>
        <v>5</v>
      </c>
      <c r="Y339" s="69">
        <f>SUM(Tabla1[[#This Row],[MES ADEUDO DE AÑOS PASADOS ]:[MESES DE ADEUDO DEL AÑO EN CURSO ]])</f>
        <v>5</v>
      </c>
      <c r="Z339" s="15">
        <f>IF(Tabla1[[#This Row],[TIPO DE CONSUMIDOR]]="COMPLETO",W339*$T$2,W339*($T$2/2))</f>
        <v>0</v>
      </c>
      <c r="AA339" s="15">
        <f>IF(Tabla1[[#This Row],[TIPO DE CONSUMIDOR]]="COMPLETO",Tabla1[[#This Row],[MESES DE ADEUDO DEL AÑO EN CURSO ]]*$T$2,Tabla1[[#This Row],[MESES DE ADEUDO DEL AÑO EN CURSO ]]*($T$2/2))</f>
        <v>225</v>
      </c>
      <c r="AB339" s="70">
        <f>SUM(Tabla1[[#This Row],[DEUDA DE LOS MESES PASADOS EN $$]:[DEUDA DEL AÑO 2013 $$ ]])</f>
        <v>225</v>
      </c>
      <c r="AE339" s="103">
        <f>IF(Tabla1[[#This Row],[TIPO DE CONSUMIDOR]]="MEDIO",IF(Tabla1[[#This Row],[ENERO ]]&gt;22.5,Tabla1[[#This Row],[ENERO ]]/22.5-1,0),IF(Tabla1[[#This Row],[ENERO ]]&gt;45,Tabla1[[#This Row],[ENERO ]]/45-1,0))</f>
        <v>0</v>
      </c>
      <c r="AF33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39" s="103">
        <f>IF(Tabla1[[#This Row],[TIPO DE CONSUMIDOR]]="MEDIO",IF(Tabla1[[#This Row],[MARZO]]&gt;22.5,Tabla1[[#This Row],[MARZO]]/22.5-1,0),IF(Tabla1[[#This Row],[MARZO]]&gt;45,Tabla1[[#This Row],[MARZO]]/45-1,0))</f>
        <v>0</v>
      </c>
      <c r="AH339" s="103">
        <f>IF(Tabla1[[#This Row],[TIPO DE CONSUMIDOR]]="MEDIO",IF(Tabla1[[#This Row],[ABRIL]]&gt;22.5,Tabla1[[#This Row],[ABRIL]]/22.5-1,0),IF(Tabla1[[#This Row],[ABRIL]]&gt;45,Tabla1[[#This Row],[ABRIL]]/45-1,0))</f>
        <v>0</v>
      </c>
      <c r="AI339" s="103">
        <f>IF(Tabla1[[#This Row],[TIPO DE CONSUMIDOR]]="MEDIO",IF(Tabla1[[#This Row],[MAYO ]]&gt;22.5,Tabla1[[#This Row],[MAYO ]]/22.5-1,0),IF(Tabla1[[#This Row],[MAYO ]]&gt;45,Tabla1[[#This Row],[MAYO ]]/45-1,0))</f>
        <v>0</v>
      </c>
      <c r="AJ339" s="103">
        <f>IF(Tabla1[[#This Row],[TIPO DE CONSUMIDOR]]="MEDIO",IF(Tabla1[[#This Row],[JUNIO ]]&gt;22.5,Tabla1[[#This Row],[JUNIO ]]/22.5-1,0),IF(Tabla1[[#This Row],[JUNIO ]]&gt;45,Tabla1[[#This Row],[JUNIO ]]/45-1,0))</f>
        <v>0</v>
      </c>
      <c r="AK339" s="103">
        <f>IF(Tabla1[[#This Row],[TIPO DE CONSUMIDOR]]="MEDIO",IF(Tabla1[[#This Row],[JULIO ]]&gt;22.5,Tabla1[[#This Row],[JULIO ]]/22.5-1,0),IF(Tabla1[[#This Row],[JULIO ]]&gt;45,Tabla1[[#This Row],[JULIO ]]/45-1,0))</f>
        <v>0</v>
      </c>
      <c r="AL339" s="103">
        <f>IF(Tabla1[[#This Row],[TIPO DE CONSUMIDOR]]="MEDIO",IF(Tabla1[[#This Row],[AGOSTO]]&gt;22.5,Tabla1[[#This Row],[AGOSTO]]/22.5-1,0),IF(Tabla1[[#This Row],[AGOSTO]]&gt;45,Tabla1[[#This Row],[AGOSTO]]/45-1,0))</f>
        <v>0</v>
      </c>
      <c r="AM33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3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3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3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39" s="104">
        <f t="shared" si="12"/>
        <v>0</v>
      </c>
      <c r="AR339" s="9">
        <f t="shared" si="11"/>
        <v>1</v>
      </c>
      <c r="AS339" s="60">
        <f>IF(Tabla1[[#This Row],[MESES DE ADEUDO DEL AÑO EN CURSO ]]&gt;0,1,0)</f>
        <v>1</v>
      </c>
      <c r="AT339" s="42"/>
      <c r="AU339" s="42"/>
      <c r="AV339" s="42"/>
      <c r="AW339" s="43"/>
    </row>
    <row r="340" spans="1:49" ht="21.75" thickBot="1" x14ac:dyDescent="0.35">
      <c r="A340" s="109">
        <v>334</v>
      </c>
      <c r="B340" s="5" t="s">
        <v>589</v>
      </c>
      <c r="C340" s="2"/>
      <c r="D340" s="32"/>
      <c r="E340" s="35" t="s">
        <v>455</v>
      </c>
      <c r="F340" s="34">
        <v>0</v>
      </c>
      <c r="G340" s="34">
        <v>0</v>
      </c>
      <c r="H340" s="34">
        <v>0</v>
      </c>
      <c r="I340" s="34">
        <v>0</v>
      </c>
      <c r="J340" s="34">
        <v>0</v>
      </c>
      <c r="K340" s="34">
        <v>0</v>
      </c>
      <c r="L340" s="34">
        <v>0</v>
      </c>
      <c r="M340" s="34">
        <v>0</v>
      </c>
      <c r="N340" s="34">
        <v>0</v>
      </c>
      <c r="O340" s="34">
        <v>0</v>
      </c>
      <c r="P340" s="34">
        <v>0</v>
      </c>
      <c r="Q340" s="34">
        <v>0</v>
      </c>
      <c r="R340" s="24">
        <f>SUM(Tabla1[[#This Row],[ENERO ]:[DICIEMBRE]])</f>
        <v>0</v>
      </c>
      <c r="S340" t="s">
        <v>626</v>
      </c>
      <c r="T340" t="s">
        <v>434</v>
      </c>
      <c r="U340" t="s">
        <v>625</v>
      </c>
      <c r="V340" t="s">
        <v>7</v>
      </c>
      <c r="W340" s="65">
        <v>0</v>
      </c>
      <c r="X340" s="21">
        <f>COUNTIF(Tabla1[[#This Row],[ENERO ]:[DICIEMBRE]],0)-(AQ340)-IF(Tabla1[[#This Row],[BAJAS]]="BAJA",IF(Tabla1[[#This Row],[ALTAS]]="ALTA",VLOOKUP(Tabla1[[#This Row],[MES DE ALTA ]],$AT$6:$AU$17,2,FALSE),12)-VLOOKUP(Tabla1[[#This Row],[MES DE BAJA ]],$AT$6:$AU$17,2,FALSE),0)</f>
        <v>5</v>
      </c>
      <c r="Y340" s="69">
        <f>SUM(Tabla1[[#This Row],[MES ADEUDO DE AÑOS PASADOS ]:[MESES DE ADEUDO DEL AÑO EN CURSO ]])</f>
        <v>5</v>
      </c>
      <c r="Z340" s="15">
        <f>IF(Tabla1[[#This Row],[TIPO DE CONSUMIDOR]]="COMPLETO",W340*$T$2,W340*($T$2/2))</f>
        <v>0</v>
      </c>
      <c r="AA340" s="15">
        <f>IF(Tabla1[[#This Row],[TIPO DE CONSUMIDOR]]="COMPLETO",Tabla1[[#This Row],[MESES DE ADEUDO DEL AÑO EN CURSO ]]*$T$2,Tabla1[[#This Row],[MESES DE ADEUDO DEL AÑO EN CURSO ]]*($T$2/2))</f>
        <v>225</v>
      </c>
      <c r="AB340" s="70">
        <f>SUM(Tabla1[[#This Row],[DEUDA DE LOS MESES PASADOS EN $$]:[DEUDA DEL AÑO 2013 $$ ]])</f>
        <v>225</v>
      </c>
      <c r="AE340" s="103">
        <f>IF(Tabla1[[#This Row],[TIPO DE CONSUMIDOR]]="MEDIO",IF(Tabla1[[#This Row],[ENERO ]]&gt;22.5,Tabla1[[#This Row],[ENERO ]]/22.5-1,0),IF(Tabla1[[#This Row],[ENERO ]]&gt;45,Tabla1[[#This Row],[ENERO ]]/45-1,0))</f>
        <v>0</v>
      </c>
      <c r="AF34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0" s="103">
        <f>IF(Tabla1[[#This Row],[TIPO DE CONSUMIDOR]]="MEDIO",IF(Tabla1[[#This Row],[MARZO]]&gt;22.5,Tabla1[[#This Row],[MARZO]]/22.5-1,0),IF(Tabla1[[#This Row],[MARZO]]&gt;45,Tabla1[[#This Row],[MARZO]]/45-1,0))</f>
        <v>0</v>
      </c>
      <c r="AH340" s="103">
        <f>IF(Tabla1[[#This Row],[TIPO DE CONSUMIDOR]]="MEDIO",IF(Tabla1[[#This Row],[ABRIL]]&gt;22.5,Tabla1[[#This Row],[ABRIL]]/22.5-1,0),IF(Tabla1[[#This Row],[ABRIL]]&gt;45,Tabla1[[#This Row],[ABRIL]]/45-1,0))</f>
        <v>0</v>
      </c>
      <c r="AI340" s="103">
        <f>IF(Tabla1[[#This Row],[TIPO DE CONSUMIDOR]]="MEDIO",IF(Tabla1[[#This Row],[MAYO ]]&gt;22.5,Tabla1[[#This Row],[MAYO ]]/22.5-1,0),IF(Tabla1[[#This Row],[MAYO ]]&gt;45,Tabla1[[#This Row],[MAYO ]]/45-1,0))</f>
        <v>0</v>
      </c>
      <c r="AJ340" s="103">
        <f>IF(Tabla1[[#This Row],[TIPO DE CONSUMIDOR]]="MEDIO",IF(Tabla1[[#This Row],[JUNIO ]]&gt;22.5,Tabla1[[#This Row],[JUNIO ]]/22.5-1,0),IF(Tabla1[[#This Row],[JUNIO ]]&gt;45,Tabla1[[#This Row],[JUNIO ]]/45-1,0))</f>
        <v>0</v>
      </c>
      <c r="AK340" s="103">
        <f>IF(Tabla1[[#This Row],[TIPO DE CONSUMIDOR]]="MEDIO",IF(Tabla1[[#This Row],[JULIO ]]&gt;22.5,Tabla1[[#This Row],[JULIO ]]/22.5-1,0),IF(Tabla1[[#This Row],[JULIO ]]&gt;45,Tabla1[[#This Row],[JULIO ]]/45-1,0))</f>
        <v>0</v>
      </c>
      <c r="AL340" s="103">
        <f>IF(Tabla1[[#This Row],[TIPO DE CONSUMIDOR]]="MEDIO",IF(Tabla1[[#This Row],[AGOSTO]]&gt;22.5,Tabla1[[#This Row],[AGOSTO]]/22.5-1,0),IF(Tabla1[[#This Row],[AGOSTO]]&gt;45,Tabla1[[#This Row],[AGOSTO]]/45-1,0))</f>
        <v>0</v>
      </c>
      <c r="AM34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0" s="104">
        <f t="shared" si="12"/>
        <v>0</v>
      </c>
      <c r="AR340" s="9">
        <f t="shared" si="11"/>
        <v>1</v>
      </c>
      <c r="AS340" s="60">
        <f>IF(Tabla1[[#This Row],[MESES DE ADEUDO DEL AÑO EN CURSO ]]&gt;0,1,0)</f>
        <v>1</v>
      </c>
      <c r="AT340" s="42"/>
      <c r="AU340" s="42"/>
      <c r="AV340" s="42"/>
      <c r="AW340" s="43"/>
    </row>
    <row r="341" spans="1:49" ht="21.75" thickBot="1" x14ac:dyDescent="0.35">
      <c r="A341" s="109">
        <v>335</v>
      </c>
      <c r="B341" s="5" t="s">
        <v>416</v>
      </c>
      <c r="C341" s="2" t="s">
        <v>461</v>
      </c>
      <c r="D341" s="32"/>
      <c r="E341" s="35" t="s">
        <v>455</v>
      </c>
      <c r="F341" s="34">
        <v>45</v>
      </c>
      <c r="G341" s="34">
        <v>45</v>
      </c>
      <c r="H341" s="34">
        <v>45</v>
      </c>
      <c r="I341" s="34">
        <v>45</v>
      </c>
      <c r="J341" s="34">
        <v>45</v>
      </c>
      <c r="K341" s="34">
        <v>45</v>
      </c>
      <c r="L341" s="34">
        <v>0</v>
      </c>
      <c r="M341" s="34">
        <v>0</v>
      </c>
      <c r="N341" s="34">
        <v>0</v>
      </c>
      <c r="O341" s="34">
        <v>0</v>
      </c>
      <c r="P341" s="34">
        <v>0</v>
      </c>
      <c r="Q341" s="34">
        <v>0</v>
      </c>
      <c r="R341" s="24">
        <f>SUM(Tabla1[[#This Row],[ENERO ]:[DICIEMBRE]])</f>
        <v>270</v>
      </c>
      <c r="W341" s="65">
        <v>0</v>
      </c>
      <c r="X341" s="21">
        <f>COUNTIF(Tabla1[[#This Row],[ENERO ]:[DICIEMBRE]],0)-(AQ341)-IF(Tabla1[[#This Row],[BAJAS]]="BAJA",IF(Tabla1[[#This Row],[ALTAS]]="ALTA",VLOOKUP(Tabla1[[#This Row],[MES DE ALTA ]],$AT$6:$AU$17,2,FALSE),12)-VLOOKUP(Tabla1[[#This Row],[MES DE BAJA ]],$AT$6:$AU$17,2,FALSE),0)</f>
        <v>6</v>
      </c>
      <c r="Y341" s="69">
        <f>SUM(Tabla1[[#This Row],[MES ADEUDO DE AÑOS PASADOS ]:[MESES DE ADEUDO DEL AÑO EN CURSO ]])</f>
        <v>6</v>
      </c>
      <c r="Z341" s="15">
        <f>IF(Tabla1[[#This Row],[TIPO DE CONSUMIDOR]]="COMPLETO",W341*$T$2,W341*($T$2/2))</f>
        <v>0</v>
      </c>
      <c r="AA341" s="15">
        <f>IF(Tabla1[[#This Row],[TIPO DE CONSUMIDOR]]="COMPLETO",Tabla1[[#This Row],[MESES DE ADEUDO DEL AÑO EN CURSO ]]*$T$2,Tabla1[[#This Row],[MESES DE ADEUDO DEL AÑO EN CURSO ]]*($T$2/2))</f>
        <v>270</v>
      </c>
      <c r="AB341" s="70">
        <f>SUM(Tabla1[[#This Row],[DEUDA DE LOS MESES PASADOS EN $$]:[DEUDA DEL AÑO 2013 $$ ]])</f>
        <v>270</v>
      </c>
      <c r="AE341" s="103">
        <f>IF(Tabla1[[#This Row],[TIPO DE CONSUMIDOR]]="MEDIO",IF(Tabla1[[#This Row],[ENERO ]]&gt;22.5,Tabla1[[#This Row],[ENERO ]]/22.5-1,0),IF(Tabla1[[#This Row],[ENERO ]]&gt;45,Tabla1[[#This Row],[ENERO ]]/45-1,0))</f>
        <v>0</v>
      </c>
      <c r="AF34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1" s="103">
        <f>IF(Tabla1[[#This Row],[TIPO DE CONSUMIDOR]]="MEDIO",IF(Tabla1[[#This Row],[MARZO]]&gt;22.5,Tabla1[[#This Row],[MARZO]]/22.5-1,0),IF(Tabla1[[#This Row],[MARZO]]&gt;45,Tabla1[[#This Row],[MARZO]]/45-1,0))</f>
        <v>0</v>
      </c>
      <c r="AH341" s="103">
        <f>IF(Tabla1[[#This Row],[TIPO DE CONSUMIDOR]]="MEDIO",IF(Tabla1[[#This Row],[ABRIL]]&gt;22.5,Tabla1[[#This Row],[ABRIL]]/22.5-1,0),IF(Tabla1[[#This Row],[ABRIL]]&gt;45,Tabla1[[#This Row],[ABRIL]]/45-1,0))</f>
        <v>0</v>
      </c>
      <c r="AI341" s="103">
        <f>IF(Tabla1[[#This Row],[TIPO DE CONSUMIDOR]]="MEDIO",IF(Tabla1[[#This Row],[MAYO ]]&gt;22.5,Tabla1[[#This Row],[MAYO ]]/22.5-1,0),IF(Tabla1[[#This Row],[MAYO ]]&gt;45,Tabla1[[#This Row],[MAYO ]]/45-1,0))</f>
        <v>0</v>
      </c>
      <c r="AJ341" s="103">
        <f>IF(Tabla1[[#This Row],[TIPO DE CONSUMIDOR]]="MEDIO",IF(Tabla1[[#This Row],[JUNIO ]]&gt;22.5,Tabla1[[#This Row],[JUNIO ]]/22.5-1,0),IF(Tabla1[[#This Row],[JUNIO ]]&gt;45,Tabla1[[#This Row],[JUNIO ]]/45-1,0))</f>
        <v>0</v>
      </c>
      <c r="AK341" s="103">
        <f>IF(Tabla1[[#This Row],[TIPO DE CONSUMIDOR]]="MEDIO",IF(Tabla1[[#This Row],[JULIO ]]&gt;22.5,Tabla1[[#This Row],[JULIO ]]/22.5-1,0),IF(Tabla1[[#This Row],[JULIO ]]&gt;45,Tabla1[[#This Row],[JULIO ]]/45-1,0))</f>
        <v>0</v>
      </c>
      <c r="AL341" s="103">
        <f>IF(Tabla1[[#This Row],[TIPO DE CONSUMIDOR]]="MEDIO",IF(Tabla1[[#This Row],[AGOSTO]]&gt;22.5,Tabla1[[#This Row],[AGOSTO]]/22.5-1,0),IF(Tabla1[[#This Row],[AGOSTO]]&gt;45,Tabla1[[#This Row],[AGOSTO]]/45-1,0))</f>
        <v>0</v>
      </c>
      <c r="AM34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1" s="104">
        <f t="shared" si="12"/>
        <v>0</v>
      </c>
      <c r="AR341" s="9">
        <f t="shared" si="11"/>
        <v>1</v>
      </c>
      <c r="AS341" s="60">
        <f>IF(Tabla1[[#This Row],[MESES DE ADEUDO DEL AÑO EN CURSO ]]&gt;0,1,0)</f>
        <v>1</v>
      </c>
      <c r="AT341" s="42"/>
      <c r="AU341" s="42"/>
      <c r="AV341" s="42"/>
      <c r="AW341" s="43"/>
    </row>
    <row r="342" spans="1:49" ht="21.75" thickBot="1" x14ac:dyDescent="0.35">
      <c r="A342" s="109">
        <v>336</v>
      </c>
      <c r="B342" s="5" t="s">
        <v>476</v>
      </c>
      <c r="C342" s="2" t="s">
        <v>488</v>
      </c>
      <c r="D342" s="32"/>
      <c r="E342" s="35" t="s">
        <v>455</v>
      </c>
      <c r="F342" s="34">
        <v>0</v>
      </c>
      <c r="G342" s="34">
        <v>45</v>
      </c>
      <c r="H342" s="34">
        <v>45</v>
      </c>
      <c r="I342" s="34">
        <v>45</v>
      </c>
      <c r="J342" s="34">
        <v>45</v>
      </c>
      <c r="K342" s="34">
        <v>45</v>
      </c>
      <c r="L342" s="34">
        <v>0</v>
      </c>
      <c r="M342" s="34">
        <v>0</v>
      </c>
      <c r="N342" s="34">
        <v>0</v>
      </c>
      <c r="O342" s="34">
        <v>0</v>
      </c>
      <c r="P342" s="34">
        <v>0</v>
      </c>
      <c r="Q342" s="34">
        <v>0</v>
      </c>
      <c r="R342" s="24">
        <f>SUM(Tabla1[[#This Row],[ENERO ]:[DICIEMBRE]])</f>
        <v>225</v>
      </c>
      <c r="S342" t="s">
        <v>626</v>
      </c>
      <c r="T342" t="s">
        <v>434</v>
      </c>
      <c r="U342" t="s">
        <v>625</v>
      </c>
      <c r="V342" t="s">
        <v>1</v>
      </c>
      <c r="W342" s="65">
        <v>0</v>
      </c>
      <c r="X342" s="21">
        <f>COUNTIF(Tabla1[[#This Row],[ENERO ]:[DICIEMBRE]],0)-(AQ342)-IF(Tabla1[[#This Row],[BAJAS]]="BAJA",IF(Tabla1[[#This Row],[ALTAS]]="ALTA",VLOOKUP(Tabla1[[#This Row],[MES DE ALTA ]],$AT$6:$AU$17,2,FALSE),12)-VLOOKUP(Tabla1[[#This Row],[MES DE BAJA ]],$AT$6:$AU$17,2,FALSE),0)</f>
        <v>6</v>
      </c>
      <c r="Y342" s="69">
        <f>SUM(Tabla1[[#This Row],[MES ADEUDO DE AÑOS PASADOS ]:[MESES DE ADEUDO DEL AÑO EN CURSO ]])</f>
        <v>6</v>
      </c>
      <c r="Z342" s="15">
        <f>IF(Tabla1[[#This Row],[TIPO DE CONSUMIDOR]]="COMPLETO",W342*$T$2,W342*($T$2/2))</f>
        <v>0</v>
      </c>
      <c r="AA342" s="15">
        <f>IF(Tabla1[[#This Row],[TIPO DE CONSUMIDOR]]="COMPLETO",Tabla1[[#This Row],[MESES DE ADEUDO DEL AÑO EN CURSO ]]*$T$2,Tabla1[[#This Row],[MESES DE ADEUDO DEL AÑO EN CURSO ]]*($T$2/2))</f>
        <v>270</v>
      </c>
      <c r="AB342" s="70">
        <f>SUM(Tabla1[[#This Row],[DEUDA DE LOS MESES PASADOS EN $$]:[DEUDA DEL AÑO 2013 $$ ]])</f>
        <v>270</v>
      </c>
      <c r="AE342" s="103">
        <f>IF(Tabla1[[#This Row],[TIPO DE CONSUMIDOR]]="MEDIO",IF(Tabla1[[#This Row],[ENERO ]]&gt;22.5,Tabla1[[#This Row],[ENERO ]]/22.5-1,0),IF(Tabla1[[#This Row],[ENERO ]]&gt;45,Tabla1[[#This Row],[ENERO ]]/45-1,0))</f>
        <v>0</v>
      </c>
      <c r="AF34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2" s="103">
        <f>IF(Tabla1[[#This Row],[TIPO DE CONSUMIDOR]]="MEDIO",IF(Tabla1[[#This Row],[MARZO]]&gt;22.5,Tabla1[[#This Row],[MARZO]]/22.5-1,0),IF(Tabla1[[#This Row],[MARZO]]&gt;45,Tabla1[[#This Row],[MARZO]]/45-1,0))</f>
        <v>0</v>
      </c>
      <c r="AH342" s="103">
        <f>IF(Tabla1[[#This Row],[TIPO DE CONSUMIDOR]]="MEDIO",IF(Tabla1[[#This Row],[ABRIL]]&gt;22.5,Tabla1[[#This Row],[ABRIL]]/22.5-1,0),IF(Tabla1[[#This Row],[ABRIL]]&gt;45,Tabla1[[#This Row],[ABRIL]]/45-1,0))</f>
        <v>0</v>
      </c>
      <c r="AI342" s="103">
        <f>IF(Tabla1[[#This Row],[TIPO DE CONSUMIDOR]]="MEDIO",IF(Tabla1[[#This Row],[MAYO ]]&gt;22.5,Tabla1[[#This Row],[MAYO ]]/22.5-1,0),IF(Tabla1[[#This Row],[MAYO ]]&gt;45,Tabla1[[#This Row],[MAYO ]]/45-1,0))</f>
        <v>0</v>
      </c>
      <c r="AJ342" s="103">
        <f>IF(Tabla1[[#This Row],[TIPO DE CONSUMIDOR]]="MEDIO",IF(Tabla1[[#This Row],[JUNIO ]]&gt;22.5,Tabla1[[#This Row],[JUNIO ]]/22.5-1,0),IF(Tabla1[[#This Row],[JUNIO ]]&gt;45,Tabla1[[#This Row],[JUNIO ]]/45-1,0))</f>
        <v>0</v>
      </c>
      <c r="AK342" s="103">
        <f>IF(Tabla1[[#This Row],[TIPO DE CONSUMIDOR]]="MEDIO",IF(Tabla1[[#This Row],[JULIO ]]&gt;22.5,Tabla1[[#This Row],[JULIO ]]/22.5-1,0),IF(Tabla1[[#This Row],[JULIO ]]&gt;45,Tabla1[[#This Row],[JULIO ]]/45-1,0))</f>
        <v>0</v>
      </c>
      <c r="AL342" s="103">
        <f>IF(Tabla1[[#This Row],[TIPO DE CONSUMIDOR]]="MEDIO",IF(Tabla1[[#This Row],[AGOSTO]]&gt;22.5,Tabla1[[#This Row],[AGOSTO]]/22.5-1,0),IF(Tabla1[[#This Row],[AGOSTO]]&gt;45,Tabla1[[#This Row],[AGOSTO]]/45-1,0))</f>
        <v>0</v>
      </c>
      <c r="AM34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2" s="104">
        <f t="shared" si="12"/>
        <v>0</v>
      </c>
      <c r="AR342" s="9">
        <f t="shared" si="11"/>
        <v>1</v>
      </c>
      <c r="AS342" s="60">
        <f>IF(Tabla1[[#This Row],[MESES DE ADEUDO DEL AÑO EN CURSO ]]&gt;0,1,0)</f>
        <v>1</v>
      </c>
      <c r="AT342" s="42"/>
      <c r="AU342" s="42"/>
      <c r="AV342" s="42"/>
      <c r="AW342" s="43"/>
    </row>
    <row r="343" spans="1:49" ht="21.75" thickBot="1" x14ac:dyDescent="0.35">
      <c r="A343" s="109">
        <v>337</v>
      </c>
      <c r="B343" s="5" t="s">
        <v>116</v>
      </c>
      <c r="C343" s="2" t="s">
        <v>488</v>
      </c>
      <c r="D343" s="32"/>
      <c r="E343" s="35" t="s">
        <v>455</v>
      </c>
      <c r="F343" s="34">
        <v>45</v>
      </c>
      <c r="G343" s="34">
        <v>45</v>
      </c>
      <c r="H343" s="34">
        <v>45</v>
      </c>
      <c r="I343" s="34">
        <v>45</v>
      </c>
      <c r="J343" s="34">
        <v>45</v>
      </c>
      <c r="K343" s="34">
        <v>45</v>
      </c>
      <c r="L343" s="34">
        <v>0</v>
      </c>
      <c r="M343" s="34">
        <v>0</v>
      </c>
      <c r="N343" s="34">
        <v>0</v>
      </c>
      <c r="O343" s="34">
        <v>0</v>
      </c>
      <c r="P343" s="34">
        <v>0</v>
      </c>
      <c r="Q343" s="34">
        <v>0</v>
      </c>
      <c r="R343" s="24">
        <f>SUM(Tabla1[[#This Row],[ENERO ]:[DICIEMBRE]])</f>
        <v>270</v>
      </c>
      <c r="W343" s="65">
        <v>0</v>
      </c>
      <c r="X343" s="21">
        <f>COUNTIF(Tabla1[[#This Row],[ENERO ]:[DICIEMBRE]],0)-(AQ343)-IF(Tabla1[[#This Row],[BAJAS]]="BAJA",IF(Tabla1[[#This Row],[ALTAS]]="ALTA",VLOOKUP(Tabla1[[#This Row],[MES DE ALTA ]],$AT$6:$AU$17,2,FALSE),12)-VLOOKUP(Tabla1[[#This Row],[MES DE BAJA ]],$AT$6:$AU$17,2,FALSE),0)</f>
        <v>6</v>
      </c>
      <c r="Y343" s="69">
        <f>SUM(Tabla1[[#This Row],[MES ADEUDO DE AÑOS PASADOS ]:[MESES DE ADEUDO DEL AÑO EN CURSO ]])</f>
        <v>6</v>
      </c>
      <c r="Z343" s="15">
        <f>IF(Tabla1[[#This Row],[TIPO DE CONSUMIDOR]]="COMPLETO",W343*$T$2,W343*($T$2/2))</f>
        <v>0</v>
      </c>
      <c r="AA343" s="15">
        <f>IF(Tabla1[[#This Row],[TIPO DE CONSUMIDOR]]="COMPLETO",Tabla1[[#This Row],[MESES DE ADEUDO DEL AÑO EN CURSO ]]*$T$2,Tabla1[[#This Row],[MESES DE ADEUDO DEL AÑO EN CURSO ]]*($T$2/2))</f>
        <v>270</v>
      </c>
      <c r="AB343" s="70">
        <f>SUM(Tabla1[[#This Row],[DEUDA DE LOS MESES PASADOS EN $$]:[DEUDA DEL AÑO 2013 $$ ]])</f>
        <v>270</v>
      </c>
      <c r="AE343" s="103">
        <f>IF(Tabla1[[#This Row],[TIPO DE CONSUMIDOR]]="MEDIO",IF(Tabla1[[#This Row],[ENERO ]]&gt;22.5,Tabla1[[#This Row],[ENERO ]]/22.5-1,0),IF(Tabla1[[#This Row],[ENERO ]]&gt;45,Tabla1[[#This Row],[ENERO ]]/45-1,0))</f>
        <v>0</v>
      </c>
      <c r="AF34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3" s="103">
        <f>IF(Tabla1[[#This Row],[TIPO DE CONSUMIDOR]]="MEDIO",IF(Tabla1[[#This Row],[MARZO]]&gt;22.5,Tabla1[[#This Row],[MARZO]]/22.5-1,0),IF(Tabla1[[#This Row],[MARZO]]&gt;45,Tabla1[[#This Row],[MARZO]]/45-1,0))</f>
        <v>0</v>
      </c>
      <c r="AH343" s="103">
        <f>IF(Tabla1[[#This Row],[TIPO DE CONSUMIDOR]]="MEDIO",IF(Tabla1[[#This Row],[ABRIL]]&gt;22.5,Tabla1[[#This Row],[ABRIL]]/22.5-1,0),IF(Tabla1[[#This Row],[ABRIL]]&gt;45,Tabla1[[#This Row],[ABRIL]]/45-1,0))</f>
        <v>0</v>
      </c>
      <c r="AI343" s="103">
        <f>IF(Tabla1[[#This Row],[TIPO DE CONSUMIDOR]]="MEDIO",IF(Tabla1[[#This Row],[MAYO ]]&gt;22.5,Tabla1[[#This Row],[MAYO ]]/22.5-1,0),IF(Tabla1[[#This Row],[MAYO ]]&gt;45,Tabla1[[#This Row],[MAYO ]]/45-1,0))</f>
        <v>0</v>
      </c>
      <c r="AJ343" s="103">
        <f>IF(Tabla1[[#This Row],[TIPO DE CONSUMIDOR]]="MEDIO",IF(Tabla1[[#This Row],[JUNIO ]]&gt;22.5,Tabla1[[#This Row],[JUNIO ]]/22.5-1,0),IF(Tabla1[[#This Row],[JUNIO ]]&gt;45,Tabla1[[#This Row],[JUNIO ]]/45-1,0))</f>
        <v>0</v>
      </c>
      <c r="AK343" s="103">
        <f>IF(Tabla1[[#This Row],[TIPO DE CONSUMIDOR]]="MEDIO",IF(Tabla1[[#This Row],[JULIO ]]&gt;22.5,Tabla1[[#This Row],[JULIO ]]/22.5-1,0),IF(Tabla1[[#This Row],[JULIO ]]&gt;45,Tabla1[[#This Row],[JULIO ]]/45-1,0))</f>
        <v>0</v>
      </c>
      <c r="AL343" s="103">
        <f>IF(Tabla1[[#This Row],[TIPO DE CONSUMIDOR]]="MEDIO",IF(Tabla1[[#This Row],[AGOSTO]]&gt;22.5,Tabla1[[#This Row],[AGOSTO]]/22.5-1,0),IF(Tabla1[[#This Row],[AGOSTO]]&gt;45,Tabla1[[#This Row],[AGOSTO]]/45-1,0))</f>
        <v>0</v>
      </c>
      <c r="AM34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3" s="104">
        <f t="shared" si="12"/>
        <v>0</v>
      </c>
      <c r="AR343" s="9">
        <f t="shared" si="11"/>
        <v>1</v>
      </c>
      <c r="AS343" s="60">
        <f>IF(Tabla1[[#This Row],[MESES DE ADEUDO DEL AÑO EN CURSO ]]&gt;0,1,0)</f>
        <v>1</v>
      </c>
      <c r="AT343" s="42"/>
      <c r="AU343" s="42"/>
      <c r="AV343" s="42"/>
      <c r="AW343" s="43"/>
    </row>
    <row r="344" spans="1:49" ht="21.75" customHeight="1" thickBot="1" x14ac:dyDescent="0.35">
      <c r="A344" s="109">
        <v>338</v>
      </c>
      <c r="B344" s="5" t="s">
        <v>350</v>
      </c>
      <c r="C344" s="2" t="s">
        <v>488</v>
      </c>
      <c r="D344" s="32"/>
      <c r="E344" s="35" t="s">
        <v>455</v>
      </c>
      <c r="F344" s="34">
        <v>45</v>
      </c>
      <c r="G344" s="34">
        <v>45</v>
      </c>
      <c r="H344" s="34">
        <v>45</v>
      </c>
      <c r="I344" s="34">
        <v>45</v>
      </c>
      <c r="J344" s="34">
        <v>45</v>
      </c>
      <c r="K344" s="34">
        <v>45</v>
      </c>
      <c r="L344" s="34">
        <v>0</v>
      </c>
      <c r="M344" s="34">
        <v>0</v>
      </c>
      <c r="N344" s="34">
        <v>0</v>
      </c>
      <c r="O344" s="34">
        <v>0</v>
      </c>
      <c r="P344" s="34">
        <v>0</v>
      </c>
      <c r="Q344" s="34">
        <v>0</v>
      </c>
      <c r="R344" s="24">
        <f>SUM(Tabla1[[#This Row],[ENERO ]:[DICIEMBRE]])</f>
        <v>270</v>
      </c>
      <c r="W344" s="65">
        <v>0</v>
      </c>
      <c r="X344" s="21">
        <f>COUNTIF(Tabla1[[#This Row],[ENERO ]:[DICIEMBRE]],0)-(AQ344)-IF(Tabla1[[#This Row],[BAJAS]]="BAJA",IF(Tabla1[[#This Row],[ALTAS]]="ALTA",VLOOKUP(Tabla1[[#This Row],[MES DE ALTA ]],$AT$6:$AU$17,2,FALSE),12)-VLOOKUP(Tabla1[[#This Row],[MES DE BAJA ]],$AT$6:$AU$17,2,FALSE),0)</f>
        <v>6</v>
      </c>
      <c r="Y344" s="69">
        <f>SUM(Tabla1[[#This Row],[MES ADEUDO DE AÑOS PASADOS ]:[MESES DE ADEUDO DEL AÑO EN CURSO ]])</f>
        <v>6</v>
      </c>
      <c r="Z344" s="15">
        <f>IF(Tabla1[[#This Row],[TIPO DE CONSUMIDOR]]="COMPLETO",W344*$T$2,W344*($T$2/2))</f>
        <v>0</v>
      </c>
      <c r="AA344" s="15">
        <f>IF(Tabla1[[#This Row],[TIPO DE CONSUMIDOR]]="COMPLETO",Tabla1[[#This Row],[MESES DE ADEUDO DEL AÑO EN CURSO ]]*$T$2,Tabla1[[#This Row],[MESES DE ADEUDO DEL AÑO EN CURSO ]]*($T$2/2))</f>
        <v>270</v>
      </c>
      <c r="AB344" s="70">
        <f>SUM(Tabla1[[#This Row],[DEUDA DE LOS MESES PASADOS EN $$]:[DEUDA DEL AÑO 2013 $$ ]])</f>
        <v>270</v>
      </c>
      <c r="AE344" s="103">
        <f>IF(Tabla1[[#This Row],[TIPO DE CONSUMIDOR]]="MEDIO",IF(Tabla1[[#This Row],[ENERO ]]&gt;22.5,Tabla1[[#This Row],[ENERO ]]/22.5-1,0),IF(Tabla1[[#This Row],[ENERO ]]&gt;45,Tabla1[[#This Row],[ENERO ]]/45-1,0))</f>
        <v>0</v>
      </c>
      <c r="AF34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4" s="103">
        <f>IF(Tabla1[[#This Row],[TIPO DE CONSUMIDOR]]="MEDIO",IF(Tabla1[[#This Row],[MARZO]]&gt;22.5,Tabla1[[#This Row],[MARZO]]/22.5-1,0),IF(Tabla1[[#This Row],[MARZO]]&gt;45,Tabla1[[#This Row],[MARZO]]/45-1,0))</f>
        <v>0</v>
      </c>
      <c r="AH344" s="103">
        <f>IF(Tabla1[[#This Row],[TIPO DE CONSUMIDOR]]="MEDIO",IF(Tabla1[[#This Row],[ABRIL]]&gt;22.5,Tabla1[[#This Row],[ABRIL]]/22.5-1,0),IF(Tabla1[[#This Row],[ABRIL]]&gt;45,Tabla1[[#This Row],[ABRIL]]/45-1,0))</f>
        <v>0</v>
      </c>
      <c r="AI344" s="103">
        <f>IF(Tabla1[[#This Row],[TIPO DE CONSUMIDOR]]="MEDIO",IF(Tabla1[[#This Row],[MAYO ]]&gt;22.5,Tabla1[[#This Row],[MAYO ]]/22.5-1,0),IF(Tabla1[[#This Row],[MAYO ]]&gt;45,Tabla1[[#This Row],[MAYO ]]/45-1,0))</f>
        <v>0</v>
      </c>
      <c r="AJ344" s="103">
        <f>IF(Tabla1[[#This Row],[TIPO DE CONSUMIDOR]]="MEDIO",IF(Tabla1[[#This Row],[JUNIO ]]&gt;22.5,Tabla1[[#This Row],[JUNIO ]]/22.5-1,0),IF(Tabla1[[#This Row],[JUNIO ]]&gt;45,Tabla1[[#This Row],[JUNIO ]]/45-1,0))</f>
        <v>0</v>
      </c>
      <c r="AK344" s="103">
        <f>IF(Tabla1[[#This Row],[TIPO DE CONSUMIDOR]]="MEDIO",IF(Tabla1[[#This Row],[JULIO ]]&gt;22.5,Tabla1[[#This Row],[JULIO ]]/22.5-1,0),IF(Tabla1[[#This Row],[JULIO ]]&gt;45,Tabla1[[#This Row],[JULIO ]]/45-1,0))</f>
        <v>0</v>
      </c>
      <c r="AL344" s="103">
        <f>IF(Tabla1[[#This Row],[TIPO DE CONSUMIDOR]]="MEDIO",IF(Tabla1[[#This Row],[AGOSTO]]&gt;22.5,Tabla1[[#This Row],[AGOSTO]]/22.5-1,0),IF(Tabla1[[#This Row],[AGOSTO]]&gt;45,Tabla1[[#This Row],[AGOSTO]]/45-1,0))</f>
        <v>0</v>
      </c>
      <c r="AM34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4" s="104">
        <f t="shared" si="12"/>
        <v>0</v>
      </c>
      <c r="AR344" s="9">
        <f t="shared" si="11"/>
        <v>1</v>
      </c>
      <c r="AS344" s="60">
        <f>IF(Tabla1[[#This Row],[MESES DE ADEUDO DEL AÑO EN CURSO ]]&gt;0,1,0)</f>
        <v>1</v>
      </c>
      <c r="AT344" s="42"/>
      <c r="AU344" s="42"/>
      <c r="AV344" s="42"/>
      <c r="AW344" s="43"/>
    </row>
    <row r="345" spans="1:49" ht="21.75" thickBot="1" x14ac:dyDescent="0.35">
      <c r="A345" s="109">
        <v>339</v>
      </c>
      <c r="B345" s="5" t="s">
        <v>169</v>
      </c>
      <c r="C345" s="2" t="s">
        <v>501</v>
      </c>
      <c r="D345" s="32"/>
      <c r="E345" s="35" t="s">
        <v>455</v>
      </c>
      <c r="F345" s="34">
        <v>45</v>
      </c>
      <c r="G345" s="34">
        <v>45</v>
      </c>
      <c r="H345" s="34">
        <v>45</v>
      </c>
      <c r="I345" s="34">
        <v>45</v>
      </c>
      <c r="J345" s="34">
        <v>45</v>
      </c>
      <c r="K345" s="34">
        <v>45</v>
      </c>
      <c r="L345" s="34">
        <v>0</v>
      </c>
      <c r="M345" s="34">
        <v>0</v>
      </c>
      <c r="N345" s="34">
        <v>0</v>
      </c>
      <c r="O345" s="34">
        <v>0</v>
      </c>
      <c r="P345" s="34">
        <v>0</v>
      </c>
      <c r="Q345" s="34">
        <v>0</v>
      </c>
      <c r="R345" s="24">
        <f>SUM(Tabla1[[#This Row],[ENERO ]:[DICIEMBRE]])</f>
        <v>270</v>
      </c>
      <c r="W345" s="65">
        <v>0</v>
      </c>
      <c r="X345" s="21">
        <f>COUNTIF(Tabla1[[#This Row],[ENERO ]:[DICIEMBRE]],0)-(AQ345)-IF(Tabla1[[#This Row],[BAJAS]]="BAJA",IF(Tabla1[[#This Row],[ALTAS]]="ALTA",VLOOKUP(Tabla1[[#This Row],[MES DE ALTA ]],$AT$6:$AU$17,2,FALSE),12)-VLOOKUP(Tabla1[[#This Row],[MES DE BAJA ]],$AT$6:$AU$17,2,FALSE),0)</f>
        <v>6</v>
      </c>
      <c r="Y345" s="69">
        <f>SUM(Tabla1[[#This Row],[MES ADEUDO DE AÑOS PASADOS ]:[MESES DE ADEUDO DEL AÑO EN CURSO ]])</f>
        <v>6</v>
      </c>
      <c r="Z345" s="15">
        <f>IF(Tabla1[[#This Row],[TIPO DE CONSUMIDOR]]="COMPLETO",W345*$T$2,W345*($T$2/2))</f>
        <v>0</v>
      </c>
      <c r="AA345" s="15">
        <f>IF(Tabla1[[#This Row],[TIPO DE CONSUMIDOR]]="COMPLETO",Tabla1[[#This Row],[MESES DE ADEUDO DEL AÑO EN CURSO ]]*$T$2,Tabla1[[#This Row],[MESES DE ADEUDO DEL AÑO EN CURSO ]]*($T$2/2))</f>
        <v>270</v>
      </c>
      <c r="AB345" s="70">
        <f>SUM(Tabla1[[#This Row],[DEUDA DE LOS MESES PASADOS EN $$]:[DEUDA DEL AÑO 2013 $$ ]])</f>
        <v>270</v>
      </c>
      <c r="AE345" s="103">
        <f>IF(Tabla1[[#This Row],[TIPO DE CONSUMIDOR]]="MEDIO",IF(Tabla1[[#This Row],[ENERO ]]&gt;22.5,Tabla1[[#This Row],[ENERO ]]/22.5-1,0),IF(Tabla1[[#This Row],[ENERO ]]&gt;45,Tabla1[[#This Row],[ENERO ]]/45-1,0))</f>
        <v>0</v>
      </c>
      <c r="AF34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5" s="103">
        <f>IF(Tabla1[[#This Row],[TIPO DE CONSUMIDOR]]="MEDIO",IF(Tabla1[[#This Row],[MARZO]]&gt;22.5,Tabla1[[#This Row],[MARZO]]/22.5-1,0),IF(Tabla1[[#This Row],[MARZO]]&gt;45,Tabla1[[#This Row],[MARZO]]/45-1,0))</f>
        <v>0</v>
      </c>
      <c r="AH345" s="103">
        <f>IF(Tabla1[[#This Row],[TIPO DE CONSUMIDOR]]="MEDIO",IF(Tabla1[[#This Row],[ABRIL]]&gt;22.5,Tabla1[[#This Row],[ABRIL]]/22.5-1,0),IF(Tabla1[[#This Row],[ABRIL]]&gt;45,Tabla1[[#This Row],[ABRIL]]/45-1,0))</f>
        <v>0</v>
      </c>
      <c r="AI345" s="103">
        <f>IF(Tabla1[[#This Row],[TIPO DE CONSUMIDOR]]="MEDIO",IF(Tabla1[[#This Row],[MAYO ]]&gt;22.5,Tabla1[[#This Row],[MAYO ]]/22.5-1,0),IF(Tabla1[[#This Row],[MAYO ]]&gt;45,Tabla1[[#This Row],[MAYO ]]/45-1,0))</f>
        <v>0</v>
      </c>
      <c r="AJ345" s="103">
        <f>IF(Tabla1[[#This Row],[TIPO DE CONSUMIDOR]]="MEDIO",IF(Tabla1[[#This Row],[JUNIO ]]&gt;22.5,Tabla1[[#This Row],[JUNIO ]]/22.5-1,0),IF(Tabla1[[#This Row],[JUNIO ]]&gt;45,Tabla1[[#This Row],[JUNIO ]]/45-1,0))</f>
        <v>0</v>
      </c>
      <c r="AK345" s="103">
        <f>IF(Tabla1[[#This Row],[TIPO DE CONSUMIDOR]]="MEDIO",IF(Tabla1[[#This Row],[JULIO ]]&gt;22.5,Tabla1[[#This Row],[JULIO ]]/22.5-1,0),IF(Tabla1[[#This Row],[JULIO ]]&gt;45,Tabla1[[#This Row],[JULIO ]]/45-1,0))</f>
        <v>0</v>
      </c>
      <c r="AL345" s="103">
        <f>IF(Tabla1[[#This Row],[TIPO DE CONSUMIDOR]]="MEDIO",IF(Tabla1[[#This Row],[AGOSTO]]&gt;22.5,Tabla1[[#This Row],[AGOSTO]]/22.5-1,0),IF(Tabla1[[#This Row],[AGOSTO]]&gt;45,Tabla1[[#This Row],[AGOSTO]]/45-1,0))</f>
        <v>0</v>
      </c>
      <c r="AM34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5" s="104">
        <f t="shared" si="12"/>
        <v>0</v>
      </c>
      <c r="AR345" s="9">
        <f t="shared" si="11"/>
        <v>1</v>
      </c>
      <c r="AS345" s="60">
        <f>IF(Tabla1[[#This Row],[MESES DE ADEUDO DEL AÑO EN CURSO ]]&gt;0,1,0)</f>
        <v>1</v>
      </c>
      <c r="AT345" s="42"/>
      <c r="AU345" s="42"/>
      <c r="AV345" s="42"/>
      <c r="AW345" s="43"/>
    </row>
    <row r="346" spans="1:49" ht="21.75" thickBot="1" x14ac:dyDescent="0.35">
      <c r="A346" s="109">
        <v>340</v>
      </c>
      <c r="B346" s="5" t="s">
        <v>525</v>
      </c>
      <c r="C346" s="2" t="s">
        <v>524</v>
      </c>
      <c r="D346" s="32"/>
      <c r="E346" s="35" t="s">
        <v>455</v>
      </c>
      <c r="F346" s="34">
        <v>45</v>
      </c>
      <c r="G346" s="34">
        <v>45</v>
      </c>
      <c r="H346" s="34">
        <v>45</v>
      </c>
      <c r="I346" s="34">
        <v>45</v>
      </c>
      <c r="J346" s="34">
        <v>45</v>
      </c>
      <c r="K346" s="34">
        <v>45</v>
      </c>
      <c r="L346" s="34">
        <v>0</v>
      </c>
      <c r="M346" s="34">
        <v>0</v>
      </c>
      <c r="N346" s="34">
        <v>0</v>
      </c>
      <c r="O346" s="34">
        <v>0</v>
      </c>
      <c r="P346" s="34">
        <v>0</v>
      </c>
      <c r="Q346" s="34">
        <v>0</v>
      </c>
      <c r="R346" s="24">
        <f>SUM(Tabla1[[#This Row],[ENERO ]:[DICIEMBRE]])</f>
        <v>270</v>
      </c>
      <c r="W346" s="65">
        <v>0</v>
      </c>
      <c r="X346" s="21">
        <f>COUNTIF(Tabla1[[#This Row],[ENERO ]:[DICIEMBRE]],0)-(AQ346)-IF(Tabla1[[#This Row],[BAJAS]]="BAJA",IF(Tabla1[[#This Row],[ALTAS]]="ALTA",VLOOKUP(Tabla1[[#This Row],[MES DE ALTA ]],$AT$6:$AU$17,2,FALSE),12)-VLOOKUP(Tabla1[[#This Row],[MES DE BAJA ]],$AT$6:$AU$17,2,FALSE),0)</f>
        <v>6</v>
      </c>
      <c r="Y346" s="69">
        <f>SUM(Tabla1[[#This Row],[MES ADEUDO DE AÑOS PASADOS ]:[MESES DE ADEUDO DEL AÑO EN CURSO ]])</f>
        <v>6</v>
      </c>
      <c r="Z346" s="15">
        <f>IF(Tabla1[[#This Row],[TIPO DE CONSUMIDOR]]="COMPLETO",W346*$T$2,W346*($T$2/2))</f>
        <v>0</v>
      </c>
      <c r="AA346" s="15">
        <f>IF(Tabla1[[#This Row],[TIPO DE CONSUMIDOR]]="COMPLETO",Tabla1[[#This Row],[MESES DE ADEUDO DEL AÑO EN CURSO ]]*$T$2,Tabla1[[#This Row],[MESES DE ADEUDO DEL AÑO EN CURSO ]]*($T$2/2))</f>
        <v>270</v>
      </c>
      <c r="AB346" s="70">
        <f>SUM(Tabla1[[#This Row],[DEUDA DE LOS MESES PASADOS EN $$]:[DEUDA DEL AÑO 2013 $$ ]])</f>
        <v>270</v>
      </c>
      <c r="AE346" s="103">
        <f>IF(Tabla1[[#This Row],[TIPO DE CONSUMIDOR]]="MEDIO",IF(Tabla1[[#This Row],[ENERO ]]&gt;22.5,Tabla1[[#This Row],[ENERO ]]/22.5-1,0),IF(Tabla1[[#This Row],[ENERO ]]&gt;45,Tabla1[[#This Row],[ENERO ]]/45-1,0))</f>
        <v>0</v>
      </c>
      <c r="AF34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6" s="103">
        <f>IF(Tabla1[[#This Row],[TIPO DE CONSUMIDOR]]="MEDIO",IF(Tabla1[[#This Row],[MARZO]]&gt;22.5,Tabla1[[#This Row],[MARZO]]/22.5-1,0),IF(Tabla1[[#This Row],[MARZO]]&gt;45,Tabla1[[#This Row],[MARZO]]/45-1,0))</f>
        <v>0</v>
      </c>
      <c r="AH346" s="103">
        <f>IF(Tabla1[[#This Row],[TIPO DE CONSUMIDOR]]="MEDIO",IF(Tabla1[[#This Row],[ABRIL]]&gt;22.5,Tabla1[[#This Row],[ABRIL]]/22.5-1,0),IF(Tabla1[[#This Row],[ABRIL]]&gt;45,Tabla1[[#This Row],[ABRIL]]/45-1,0))</f>
        <v>0</v>
      </c>
      <c r="AI346" s="103">
        <f>IF(Tabla1[[#This Row],[TIPO DE CONSUMIDOR]]="MEDIO",IF(Tabla1[[#This Row],[MAYO ]]&gt;22.5,Tabla1[[#This Row],[MAYO ]]/22.5-1,0),IF(Tabla1[[#This Row],[MAYO ]]&gt;45,Tabla1[[#This Row],[MAYO ]]/45-1,0))</f>
        <v>0</v>
      </c>
      <c r="AJ346" s="103">
        <f>IF(Tabla1[[#This Row],[TIPO DE CONSUMIDOR]]="MEDIO",IF(Tabla1[[#This Row],[JUNIO ]]&gt;22.5,Tabla1[[#This Row],[JUNIO ]]/22.5-1,0),IF(Tabla1[[#This Row],[JUNIO ]]&gt;45,Tabla1[[#This Row],[JUNIO ]]/45-1,0))</f>
        <v>0</v>
      </c>
      <c r="AK346" s="103">
        <f>IF(Tabla1[[#This Row],[TIPO DE CONSUMIDOR]]="MEDIO",IF(Tabla1[[#This Row],[JULIO ]]&gt;22.5,Tabla1[[#This Row],[JULIO ]]/22.5-1,0),IF(Tabla1[[#This Row],[JULIO ]]&gt;45,Tabla1[[#This Row],[JULIO ]]/45-1,0))</f>
        <v>0</v>
      </c>
      <c r="AL346" s="103">
        <f>IF(Tabla1[[#This Row],[TIPO DE CONSUMIDOR]]="MEDIO",IF(Tabla1[[#This Row],[AGOSTO]]&gt;22.5,Tabla1[[#This Row],[AGOSTO]]/22.5-1,0),IF(Tabla1[[#This Row],[AGOSTO]]&gt;45,Tabla1[[#This Row],[AGOSTO]]/45-1,0))</f>
        <v>0</v>
      </c>
      <c r="AM34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6" s="104">
        <f t="shared" si="12"/>
        <v>0</v>
      </c>
      <c r="AR346" s="9">
        <f t="shared" si="11"/>
        <v>1</v>
      </c>
      <c r="AS346" s="60">
        <f>IF(Tabla1[[#This Row],[MESES DE ADEUDO DEL AÑO EN CURSO ]]&gt;0,1,0)</f>
        <v>1</v>
      </c>
      <c r="AT346" s="42"/>
      <c r="AU346" s="42"/>
      <c r="AV346" s="42"/>
      <c r="AW346" s="43"/>
    </row>
    <row r="347" spans="1:49" ht="21.75" customHeight="1" thickBot="1" x14ac:dyDescent="0.35">
      <c r="A347" s="109">
        <v>341</v>
      </c>
      <c r="B347" s="5" t="s">
        <v>527</v>
      </c>
      <c r="C347" s="2" t="s">
        <v>524</v>
      </c>
      <c r="D347" s="32"/>
      <c r="E347" s="35" t="s">
        <v>455</v>
      </c>
      <c r="F347" s="34">
        <v>45</v>
      </c>
      <c r="G347" s="34">
        <v>45</v>
      </c>
      <c r="H347" s="34">
        <v>45</v>
      </c>
      <c r="I347" s="34">
        <v>45</v>
      </c>
      <c r="J347" s="34">
        <v>45</v>
      </c>
      <c r="K347" s="34">
        <v>45</v>
      </c>
      <c r="L347" s="34">
        <v>0</v>
      </c>
      <c r="M347" s="34">
        <v>0</v>
      </c>
      <c r="N347" s="34">
        <v>0</v>
      </c>
      <c r="O347" s="34">
        <v>0</v>
      </c>
      <c r="P347" s="34">
        <v>0</v>
      </c>
      <c r="Q347" s="34">
        <v>0</v>
      </c>
      <c r="R347" s="24">
        <f>SUM(Tabla1[[#This Row],[ENERO ]:[DICIEMBRE]])</f>
        <v>270</v>
      </c>
      <c r="W347" s="65">
        <v>0</v>
      </c>
      <c r="X347" s="21">
        <f>COUNTIF(Tabla1[[#This Row],[ENERO ]:[DICIEMBRE]],0)-(AQ347)-IF(Tabla1[[#This Row],[BAJAS]]="BAJA",IF(Tabla1[[#This Row],[ALTAS]]="ALTA",VLOOKUP(Tabla1[[#This Row],[MES DE ALTA ]],$AT$6:$AU$17,2,FALSE),12)-VLOOKUP(Tabla1[[#This Row],[MES DE BAJA ]],$AT$6:$AU$17,2,FALSE),0)</f>
        <v>6</v>
      </c>
      <c r="Y347" s="69">
        <f>SUM(Tabla1[[#This Row],[MES ADEUDO DE AÑOS PASADOS ]:[MESES DE ADEUDO DEL AÑO EN CURSO ]])</f>
        <v>6</v>
      </c>
      <c r="Z347" s="15">
        <f>IF(Tabla1[[#This Row],[TIPO DE CONSUMIDOR]]="COMPLETO",W347*$T$2,W347*($T$2/2))</f>
        <v>0</v>
      </c>
      <c r="AA347" s="15">
        <f>IF(Tabla1[[#This Row],[TIPO DE CONSUMIDOR]]="COMPLETO",Tabla1[[#This Row],[MESES DE ADEUDO DEL AÑO EN CURSO ]]*$T$2,Tabla1[[#This Row],[MESES DE ADEUDO DEL AÑO EN CURSO ]]*($T$2/2))</f>
        <v>270</v>
      </c>
      <c r="AB347" s="70">
        <f>SUM(Tabla1[[#This Row],[DEUDA DE LOS MESES PASADOS EN $$]:[DEUDA DEL AÑO 2013 $$ ]])</f>
        <v>270</v>
      </c>
      <c r="AE347" s="103">
        <f>IF(Tabla1[[#This Row],[TIPO DE CONSUMIDOR]]="MEDIO",IF(Tabla1[[#This Row],[ENERO ]]&gt;22.5,Tabla1[[#This Row],[ENERO ]]/22.5-1,0),IF(Tabla1[[#This Row],[ENERO ]]&gt;45,Tabla1[[#This Row],[ENERO ]]/45-1,0))</f>
        <v>0</v>
      </c>
      <c r="AF34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7" s="103">
        <f>IF(Tabla1[[#This Row],[TIPO DE CONSUMIDOR]]="MEDIO",IF(Tabla1[[#This Row],[MARZO]]&gt;22.5,Tabla1[[#This Row],[MARZO]]/22.5-1,0),IF(Tabla1[[#This Row],[MARZO]]&gt;45,Tabla1[[#This Row],[MARZO]]/45-1,0))</f>
        <v>0</v>
      </c>
      <c r="AH347" s="103">
        <f>IF(Tabla1[[#This Row],[TIPO DE CONSUMIDOR]]="MEDIO",IF(Tabla1[[#This Row],[ABRIL]]&gt;22.5,Tabla1[[#This Row],[ABRIL]]/22.5-1,0),IF(Tabla1[[#This Row],[ABRIL]]&gt;45,Tabla1[[#This Row],[ABRIL]]/45-1,0))</f>
        <v>0</v>
      </c>
      <c r="AI347" s="103">
        <f>IF(Tabla1[[#This Row],[TIPO DE CONSUMIDOR]]="MEDIO",IF(Tabla1[[#This Row],[MAYO ]]&gt;22.5,Tabla1[[#This Row],[MAYO ]]/22.5-1,0),IF(Tabla1[[#This Row],[MAYO ]]&gt;45,Tabla1[[#This Row],[MAYO ]]/45-1,0))</f>
        <v>0</v>
      </c>
      <c r="AJ347" s="103">
        <f>IF(Tabla1[[#This Row],[TIPO DE CONSUMIDOR]]="MEDIO",IF(Tabla1[[#This Row],[JUNIO ]]&gt;22.5,Tabla1[[#This Row],[JUNIO ]]/22.5-1,0),IF(Tabla1[[#This Row],[JUNIO ]]&gt;45,Tabla1[[#This Row],[JUNIO ]]/45-1,0))</f>
        <v>0</v>
      </c>
      <c r="AK347" s="103">
        <f>IF(Tabla1[[#This Row],[TIPO DE CONSUMIDOR]]="MEDIO",IF(Tabla1[[#This Row],[JULIO ]]&gt;22.5,Tabla1[[#This Row],[JULIO ]]/22.5-1,0),IF(Tabla1[[#This Row],[JULIO ]]&gt;45,Tabla1[[#This Row],[JULIO ]]/45-1,0))</f>
        <v>0</v>
      </c>
      <c r="AL347" s="103">
        <f>IF(Tabla1[[#This Row],[TIPO DE CONSUMIDOR]]="MEDIO",IF(Tabla1[[#This Row],[AGOSTO]]&gt;22.5,Tabla1[[#This Row],[AGOSTO]]/22.5-1,0),IF(Tabla1[[#This Row],[AGOSTO]]&gt;45,Tabla1[[#This Row],[AGOSTO]]/45-1,0))</f>
        <v>0</v>
      </c>
      <c r="AM34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7" s="104">
        <f t="shared" si="12"/>
        <v>0</v>
      </c>
      <c r="AR347" s="9">
        <f t="shared" si="11"/>
        <v>1</v>
      </c>
      <c r="AS347" s="60">
        <f>IF(Tabla1[[#This Row],[MESES DE ADEUDO DEL AÑO EN CURSO ]]&gt;0,1,0)</f>
        <v>1</v>
      </c>
      <c r="AT347" s="42"/>
      <c r="AU347" s="42"/>
      <c r="AV347" s="42"/>
      <c r="AW347" s="43"/>
    </row>
    <row r="348" spans="1:49" ht="21.75" thickBot="1" x14ac:dyDescent="0.35">
      <c r="A348" s="109">
        <v>342</v>
      </c>
      <c r="B348" s="5" t="s">
        <v>195</v>
      </c>
      <c r="C348" s="2" t="s">
        <v>530</v>
      </c>
      <c r="D348" s="32"/>
      <c r="E348" s="35" t="s">
        <v>455</v>
      </c>
      <c r="F348" s="34">
        <v>45</v>
      </c>
      <c r="G348" s="34">
        <v>45</v>
      </c>
      <c r="H348" s="34">
        <v>45</v>
      </c>
      <c r="I348" s="34">
        <v>45</v>
      </c>
      <c r="J348" s="34">
        <v>45</v>
      </c>
      <c r="K348" s="34">
        <v>45</v>
      </c>
      <c r="L348" s="34">
        <v>0</v>
      </c>
      <c r="M348" s="34">
        <v>0</v>
      </c>
      <c r="N348" s="34">
        <v>0</v>
      </c>
      <c r="O348" s="34">
        <v>0</v>
      </c>
      <c r="P348" s="34">
        <v>0</v>
      </c>
      <c r="Q348" s="34">
        <v>0</v>
      </c>
      <c r="R348" s="24">
        <f>SUM(Tabla1[[#This Row],[ENERO ]:[DICIEMBRE]])</f>
        <v>270</v>
      </c>
      <c r="W348" s="65">
        <v>0</v>
      </c>
      <c r="X348" s="21">
        <f>COUNTIF(Tabla1[[#This Row],[ENERO ]:[DICIEMBRE]],0)-(AQ348)-IF(Tabla1[[#This Row],[BAJAS]]="BAJA",IF(Tabla1[[#This Row],[ALTAS]]="ALTA",VLOOKUP(Tabla1[[#This Row],[MES DE ALTA ]],$AT$6:$AU$17,2,FALSE),12)-VLOOKUP(Tabla1[[#This Row],[MES DE BAJA ]],$AT$6:$AU$17,2,FALSE),0)</f>
        <v>6</v>
      </c>
      <c r="Y348" s="69">
        <f>SUM(Tabla1[[#This Row],[MES ADEUDO DE AÑOS PASADOS ]:[MESES DE ADEUDO DEL AÑO EN CURSO ]])</f>
        <v>6</v>
      </c>
      <c r="Z348" s="15">
        <f>IF(Tabla1[[#This Row],[TIPO DE CONSUMIDOR]]="COMPLETO",W348*$T$2,W348*($T$2/2))</f>
        <v>0</v>
      </c>
      <c r="AA348" s="15">
        <f>IF(Tabla1[[#This Row],[TIPO DE CONSUMIDOR]]="COMPLETO",Tabla1[[#This Row],[MESES DE ADEUDO DEL AÑO EN CURSO ]]*$T$2,Tabla1[[#This Row],[MESES DE ADEUDO DEL AÑO EN CURSO ]]*($T$2/2))</f>
        <v>270</v>
      </c>
      <c r="AB348" s="70">
        <f>SUM(Tabla1[[#This Row],[DEUDA DE LOS MESES PASADOS EN $$]:[DEUDA DEL AÑO 2013 $$ ]])</f>
        <v>270</v>
      </c>
      <c r="AE348" s="103">
        <f>IF(Tabla1[[#This Row],[TIPO DE CONSUMIDOR]]="MEDIO",IF(Tabla1[[#This Row],[ENERO ]]&gt;22.5,Tabla1[[#This Row],[ENERO ]]/22.5-1,0),IF(Tabla1[[#This Row],[ENERO ]]&gt;45,Tabla1[[#This Row],[ENERO ]]/45-1,0))</f>
        <v>0</v>
      </c>
      <c r="AF34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8" s="103">
        <f>IF(Tabla1[[#This Row],[TIPO DE CONSUMIDOR]]="MEDIO",IF(Tabla1[[#This Row],[MARZO]]&gt;22.5,Tabla1[[#This Row],[MARZO]]/22.5-1,0),IF(Tabla1[[#This Row],[MARZO]]&gt;45,Tabla1[[#This Row],[MARZO]]/45-1,0))</f>
        <v>0</v>
      </c>
      <c r="AH348" s="103">
        <f>IF(Tabla1[[#This Row],[TIPO DE CONSUMIDOR]]="MEDIO",IF(Tabla1[[#This Row],[ABRIL]]&gt;22.5,Tabla1[[#This Row],[ABRIL]]/22.5-1,0),IF(Tabla1[[#This Row],[ABRIL]]&gt;45,Tabla1[[#This Row],[ABRIL]]/45-1,0))</f>
        <v>0</v>
      </c>
      <c r="AI348" s="103">
        <f>IF(Tabla1[[#This Row],[TIPO DE CONSUMIDOR]]="MEDIO",IF(Tabla1[[#This Row],[MAYO ]]&gt;22.5,Tabla1[[#This Row],[MAYO ]]/22.5-1,0),IF(Tabla1[[#This Row],[MAYO ]]&gt;45,Tabla1[[#This Row],[MAYO ]]/45-1,0))</f>
        <v>0</v>
      </c>
      <c r="AJ348" s="103">
        <f>IF(Tabla1[[#This Row],[TIPO DE CONSUMIDOR]]="MEDIO",IF(Tabla1[[#This Row],[JUNIO ]]&gt;22.5,Tabla1[[#This Row],[JUNIO ]]/22.5-1,0),IF(Tabla1[[#This Row],[JUNIO ]]&gt;45,Tabla1[[#This Row],[JUNIO ]]/45-1,0))</f>
        <v>0</v>
      </c>
      <c r="AK348" s="103">
        <f>IF(Tabla1[[#This Row],[TIPO DE CONSUMIDOR]]="MEDIO",IF(Tabla1[[#This Row],[JULIO ]]&gt;22.5,Tabla1[[#This Row],[JULIO ]]/22.5-1,0),IF(Tabla1[[#This Row],[JULIO ]]&gt;45,Tabla1[[#This Row],[JULIO ]]/45-1,0))</f>
        <v>0</v>
      </c>
      <c r="AL348" s="103">
        <f>IF(Tabla1[[#This Row],[TIPO DE CONSUMIDOR]]="MEDIO",IF(Tabla1[[#This Row],[AGOSTO]]&gt;22.5,Tabla1[[#This Row],[AGOSTO]]/22.5-1,0),IF(Tabla1[[#This Row],[AGOSTO]]&gt;45,Tabla1[[#This Row],[AGOSTO]]/45-1,0))</f>
        <v>0</v>
      </c>
      <c r="AM34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8" s="104">
        <f t="shared" si="12"/>
        <v>0</v>
      </c>
      <c r="AR348" s="9">
        <f t="shared" si="11"/>
        <v>1</v>
      </c>
      <c r="AS348" s="60">
        <f>IF(Tabla1[[#This Row],[MESES DE ADEUDO DEL AÑO EN CURSO ]]&gt;0,1,0)</f>
        <v>1</v>
      </c>
      <c r="AT348" s="42"/>
      <c r="AU348" s="42"/>
      <c r="AV348" s="42"/>
      <c r="AW348" s="43"/>
    </row>
    <row r="349" spans="1:49" ht="21.75" thickBot="1" x14ac:dyDescent="0.35">
      <c r="A349" s="109">
        <v>343</v>
      </c>
      <c r="B349" s="5" t="s">
        <v>608</v>
      </c>
      <c r="C349" s="2" t="s">
        <v>530</v>
      </c>
      <c r="D349" s="32"/>
      <c r="E349" s="35" t="s">
        <v>455</v>
      </c>
      <c r="F349" s="34">
        <v>45</v>
      </c>
      <c r="G349" s="34">
        <v>45</v>
      </c>
      <c r="H349" s="34">
        <v>45</v>
      </c>
      <c r="I349" s="34">
        <v>45</v>
      </c>
      <c r="J349" s="34">
        <v>45</v>
      </c>
      <c r="K349" s="34">
        <v>45</v>
      </c>
      <c r="L349" s="34">
        <v>0</v>
      </c>
      <c r="M349" s="34">
        <v>0</v>
      </c>
      <c r="N349" s="34">
        <v>0</v>
      </c>
      <c r="O349" s="34">
        <v>0</v>
      </c>
      <c r="P349" s="34">
        <v>0</v>
      </c>
      <c r="Q349" s="34">
        <v>0</v>
      </c>
      <c r="R349" s="24">
        <f>SUM(Tabla1[[#This Row],[ENERO ]:[DICIEMBRE]])</f>
        <v>270</v>
      </c>
      <c r="W349" s="65">
        <v>0</v>
      </c>
      <c r="X349" s="21">
        <f>COUNTIF(Tabla1[[#This Row],[ENERO ]:[DICIEMBRE]],0)-(AQ349)-IF(Tabla1[[#This Row],[BAJAS]]="BAJA",IF(Tabla1[[#This Row],[ALTAS]]="ALTA",VLOOKUP(Tabla1[[#This Row],[MES DE ALTA ]],$AT$6:$AU$17,2,FALSE),12)-VLOOKUP(Tabla1[[#This Row],[MES DE BAJA ]],$AT$6:$AU$17,2,FALSE),0)</f>
        <v>6</v>
      </c>
      <c r="Y349" s="69">
        <f>SUM(Tabla1[[#This Row],[MES ADEUDO DE AÑOS PASADOS ]:[MESES DE ADEUDO DEL AÑO EN CURSO ]])</f>
        <v>6</v>
      </c>
      <c r="Z349" s="15">
        <f>IF(Tabla1[[#This Row],[TIPO DE CONSUMIDOR]]="COMPLETO",W349*$T$2,W349*($T$2/2))</f>
        <v>0</v>
      </c>
      <c r="AA349" s="15">
        <f>IF(Tabla1[[#This Row],[TIPO DE CONSUMIDOR]]="COMPLETO",Tabla1[[#This Row],[MESES DE ADEUDO DEL AÑO EN CURSO ]]*$T$2,Tabla1[[#This Row],[MESES DE ADEUDO DEL AÑO EN CURSO ]]*($T$2/2))</f>
        <v>270</v>
      </c>
      <c r="AB349" s="70">
        <f>SUM(Tabla1[[#This Row],[DEUDA DE LOS MESES PASADOS EN $$]:[DEUDA DEL AÑO 2013 $$ ]])</f>
        <v>270</v>
      </c>
      <c r="AE349" s="103">
        <f>IF(Tabla1[[#This Row],[TIPO DE CONSUMIDOR]]="MEDIO",IF(Tabla1[[#This Row],[ENERO ]]&gt;22.5,Tabla1[[#This Row],[ENERO ]]/22.5-1,0),IF(Tabla1[[#This Row],[ENERO ]]&gt;45,Tabla1[[#This Row],[ENERO ]]/45-1,0))</f>
        <v>0</v>
      </c>
      <c r="AF34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49" s="103">
        <f>IF(Tabla1[[#This Row],[TIPO DE CONSUMIDOR]]="MEDIO",IF(Tabla1[[#This Row],[MARZO]]&gt;22.5,Tabla1[[#This Row],[MARZO]]/22.5-1,0),IF(Tabla1[[#This Row],[MARZO]]&gt;45,Tabla1[[#This Row],[MARZO]]/45-1,0))</f>
        <v>0</v>
      </c>
      <c r="AH349" s="103">
        <f>IF(Tabla1[[#This Row],[TIPO DE CONSUMIDOR]]="MEDIO",IF(Tabla1[[#This Row],[ABRIL]]&gt;22.5,Tabla1[[#This Row],[ABRIL]]/22.5-1,0),IF(Tabla1[[#This Row],[ABRIL]]&gt;45,Tabla1[[#This Row],[ABRIL]]/45-1,0))</f>
        <v>0</v>
      </c>
      <c r="AI349" s="103">
        <f>IF(Tabla1[[#This Row],[TIPO DE CONSUMIDOR]]="MEDIO",IF(Tabla1[[#This Row],[MAYO ]]&gt;22.5,Tabla1[[#This Row],[MAYO ]]/22.5-1,0),IF(Tabla1[[#This Row],[MAYO ]]&gt;45,Tabla1[[#This Row],[MAYO ]]/45-1,0))</f>
        <v>0</v>
      </c>
      <c r="AJ349" s="103">
        <f>IF(Tabla1[[#This Row],[TIPO DE CONSUMIDOR]]="MEDIO",IF(Tabla1[[#This Row],[JUNIO ]]&gt;22.5,Tabla1[[#This Row],[JUNIO ]]/22.5-1,0),IF(Tabla1[[#This Row],[JUNIO ]]&gt;45,Tabla1[[#This Row],[JUNIO ]]/45-1,0))</f>
        <v>0</v>
      </c>
      <c r="AK349" s="103">
        <f>IF(Tabla1[[#This Row],[TIPO DE CONSUMIDOR]]="MEDIO",IF(Tabla1[[#This Row],[JULIO ]]&gt;22.5,Tabla1[[#This Row],[JULIO ]]/22.5-1,0),IF(Tabla1[[#This Row],[JULIO ]]&gt;45,Tabla1[[#This Row],[JULIO ]]/45-1,0))</f>
        <v>0</v>
      </c>
      <c r="AL349" s="103">
        <f>IF(Tabla1[[#This Row],[TIPO DE CONSUMIDOR]]="MEDIO",IF(Tabla1[[#This Row],[AGOSTO]]&gt;22.5,Tabla1[[#This Row],[AGOSTO]]/22.5-1,0),IF(Tabla1[[#This Row],[AGOSTO]]&gt;45,Tabla1[[#This Row],[AGOSTO]]/45-1,0))</f>
        <v>0</v>
      </c>
      <c r="AM34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4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4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4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49" s="104">
        <f t="shared" si="12"/>
        <v>0</v>
      </c>
      <c r="AR349" s="9">
        <f t="shared" si="11"/>
        <v>1</v>
      </c>
      <c r="AS349" s="60">
        <f>IF(Tabla1[[#This Row],[MESES DE ADEUDO DEL AÑO EN CURSO ]]&gt;0,1,0)</f>
        <v>1</v>
      </c>
      <c r="AT349" s="42"/>
      <c r="AU349" s="42"/>
      <c r="AV349" s="42"/>
      <c r="AW349" s="43"/>
    </row>
    <row r="350" spans="1:49" ht="21.75" thickBot="1" x14ac:dyDescent="0.35">
      <c r="A350" s="109">
        <v>344</v>
      </c>
      <c r="B350" s="5" t="s">
        <v>580</v>
      </c>
      <c r="C350" s="2" t="s">
        <v>530</v>
      </c>
      <c r="D350" s="32"/>
      <c r="E350" s="35" t="s">
        <v>489</v>
      </c>
      <c r="F350" s="34">
        <v>22.5</v>
      </c>
      <c r="G350" s="34">
        <v>22.5</v>
      </c>
      <c r="H350" s="34">
        <v>22.5</v>
      </c>
      <c r="I350" s="34">
        <v>22.5</v>
      </c>
      <c r="J350" s="34">
        <v>22.5</v>
      </c>
      <c r="K350" s="34">
        <v>22.5</v>
      </c>
      <c r="L350" s="34">
        <v>0</v>
      </c>
      <c r="M350" s="34">
        <v>0</v>
      </c>
      <c r="N350" s="34">
        <v>0</v>
      </c>
      <c r="O350" s="34">
        <v>0</v>
      </c>
      <c r="P350" s="34">
        <v>0</v>
      </c>
      <c r="Q350" s="34">
        <v>0</v>
      </c>
      <c r="R350" s="24">
        <f>SUM(Tabla1[[#This Row],[ENERO ]:[DICIEMBRE]])</f>
        <v>135</v>
      </c>
      <c r="W350" s="65">
        <v>0</v>
      </c>
      <c r="X350" s="21">
        <f>COUNTIF(Tabla1[[#This Row],[ENERO ]:[DICIEMBRE]],0)-(AQ350)-IF(Tabla1[[#This Row],[BAJAS]]="BAJA",IF(Tabla1[[#This Row],[ALTAS]]="ALTA",VLOOKUP(Tabla1[[#This Row],[MES DE ALTA ]],$AT$6:$AU$17,2,FALSE),12)-VLOOKUP(Tabla1[[#This Row],[MES DE BAJA ]],$AT$6:$AU$17,2,FALSE),0)</f>
        <v>6</v>
      </c>
      <c r="Y350" s="69">
        <f>SUM(Tabla1[[#This Row],[MES ADEUDO DE AÑOS PASADOS ]:[MESES DE ADEUDO DEL AÑO EN CURSO ]])</f>
        <v>6</v>
      </c>
      <c r="Z350" s="15">
        <f>IF(Tabla1[[#This Row],[TIPO DE CONSUMIDOR]]="COMPLETO",W350*$T$2,W350*($T$2/2))</f>
        <v>0</v>
      </c>
      <c r="AA350" s="15">
        <f>IF(Tabla1[[#This Row],[TIPO DE CONSUMIDOR]]="COMPLETO",Tabla1[[#This Row],[MESES DE ADEUDO DEL AÑO EN CURSO ]]*$T$2,Tabla1[[#This Row],[MESES DE ADEUDO DEL AÑO EN CURSO ]]*($T$2/2))</f>
        <v>135</v>
      </c>
      <c r="AB350" s="70">
        <f>SUM(Tabla1[[#This Row],[DEUDA DE LOS MESES PASADOS EN $$]:[DEUDA DEL AÑO 2013 $$ ]])</f>
        <v>135</v>
      </c>
      <c r="AE350" s="103">
        <f>IF(Tabla1[[#This Row],[TIPO DE CONSUMIDOR]]="MEDIO",IF(Tabla1[[#This Row],[ENERO ]]&gt;22.5,Tabla1[[#This Row],[ENERO ]]/22.5-1,0),IF(Tabla1[[#This Row],[ENERO ]]&gt;45,Tabla1[[#This Row],[ENERO ]]/45-1,0))</f>
        <v>0</v>
      </c>
      <c r="AF35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0" s="103">
        <f>IF(Tabla1[[#This Row],[TIPO DE CONSUMIDOR]]="MEDIO",IF(Tabla1[[#This Row],[MARZO]]&gt;22.5,Tabla1[[#This Row],[MARZO]]/22.5-1,0),IF(Tabla1[[#This Row],[MARZO]]&gt;45,Tabla1[[#This Row],[MARZO]]/45-1,0))</f>
        <v>0</v>
      </c>
      <c r="AH350" s="103">
        <f>IF(Tabla1[[#This Row],[TIPO DE CONSUMIDOR]]="MEDIO",IF(Tabla1[[#This Row],[ABRIL]]&gt;22.5,Tabla1[[#This Row],[ABRIL]]/22.5-1,0),IF(Tabla1[[#This Row],[ABRIL]]&gt;45,Tabla1[[#This Row],[ABRIL]]/45-1,0))</f>
        <v>0</v>
      </c>
      <c r="AI350" s="103">
        <f>IF(Tabla1[[#This Row],[TIPO DE CONSUMIDOR]]="MEDIO",IF(Tabla1[[#This Row],[MAYO ]]&gt;22.5,Tabla1[[#This Row],[MAYO ]]/22.5-1,0),IF(Tabla1[[#This Row],[MAYO ]]&gt;45,Tabla1[[#This Row],[MAYO ]]/45-1,0))</f>
        <v>0</v>
      </c>
      <c r="AJ350" s="103">
        <f>IF(Tabla1[[#This Row],[TIPO DE CONSUMIDOR]]="MEDIO",IF(Tabla1[[#This Row],[JUNIO ]]&gt;22.5,Tabla1[[#This Row],[JUNIO ]]/22.5-1,0),IF(Tabla1[[#This Row],[JUNIO ]]&gt;45,Tabla1[[#This Row],[JUNIO ]]/45-1,0))</f>
        <v>0</v>
      </c>
      <c r="AK350" s="103">
        <f>IF(Tabla1[[#This Row],[TIPO DE CONSUMIDOR]]="MEDIO",IF(Tabla1[[#This Row],[JULIO ]]&gt;22.5,Tabla1[[#This Row],[JULIO ]]/22.5-1,0),IF(Tabla1[[#This Row],[JULIO ]]&gt;45,Tabla1[[#This Row],[JULIO ]]/45-1,0))</f>
        <v>0</v>
      </c>
      <c r="AL350" s="103">
        <f>IF(Tabla1[[#This Row],[TIPO DE CONSUMIDOR]]="MEDIO",IF(Tabla1[[#This Row],[AGOSTO]]&gt;22.5,Tabla1[[#This Row],[AGOSTO]]/22.5-1,0),IF(Tabla1[[#This Row],[AGOSTO]]&gt;45,Tabla1[[#This Row],[AGOSTO]]/45-1,0))</f>
        <v>0</v>
      </c>
      <c r="AM35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0" s="104">
        <f t="shared" si="12"/>
        <v>0</v>
      </c>
      <c r="AR350" s="9">
        <f t="shared" si="11"/>
        <v>1</v>
      </c>
      <c r="AS350" s="60">
        <f>IF(Tabla1[[#This Row],[MESES DE ADEUDO DEL AÑO EN CURSO ]]&gt;0,1,0)</f>
        <v>1</v>
      </c>
      <c r="AT350" s="42"/>
      <c r="AU350" s="42"/>
      <c r="AV350" s="42"/>
      <c r="AW350" s="43"/>
    </row>
    <row r="351" spans="1:49" ht="21.75" thickBot="1" x14ac:dyDescent="0.35">
      <c r="A351" s="109">
        <v>345</v>
      </c>
      <c r="B351" s="5" t="s">
        <v>56</v>
      </c>
      <c r="C351" s="2" t="s">
        <v>556</v>
      </c>
      <c r="D351" s="32"/>
      <c r="E351" s="35" t="s">
        <v>455</v>
      </c>
      <c r="F351" s="34">
        <v>45</v>
      </c>
      <c r="G351" s="34">
        <v>45</v>
      </c>
      <c r="H351" s="34">
        <v>45</v>
      </c>
      <c r="I351" s="34">
        <v>45</v>
      </c>
      <c r="J351" s="34">
        <v>45</v>
      </c>
      <c r="K351" s="34">
        <v>45</v>
      </c>
      <c r="L351" s="34">
        <v>0</v>
      </c>
      <c r="M351" s="34">
        <v>0</v>
      </c>
      <c r="N351" s="34">
        <v>0</v>
      </c>
      <c r="O351" s="34">
        <v>0</v>
      </c>
      <c r="P351" s="34">
        <v>0</v>
      </c>
      <c r="Q351" s="34">
        <v>0</v>
      </c>
      <c r="R351" s="24">
        <f>SUM(Tabla1[[#This Row],[ENERO ]:[DICIEMBRE]])</f>
        <v>270</v>
      </c>
      <c r="W351" s="65">
        <v>0</v>
      </c>
      <c r="X351" s="21">
        <f>COUNTIF(Tabla1[[#This Row],[ENERO ]:[DICIEMBRE]],0)-(AQ351)-IF(Tabla1[[#This Row],[BAJAS]]="BAJA",IF(Tabla1[[#This Row],[ALTAS]]="ALTA",VLOOKUP(Tabla1[[#This Row],[MES DE ALTA ]],$AT$6:$AU$17,2,FALSE),12)-VLOOKUP(Tabla1[[#This Row],[MES DE BAJA ]],$AT$6:$AU$17,2,FALSE),0)</f>
        <v>6</v>
      </c>
      <c r="Y351" s="69">
        <f>SUM(Tabla1[[#This Row],[MES ADEUDO DE AÑOS PASADOS ]:[MESES DE ADEUDO DEL AÑO EN CURSO ]])</f>
        <v>6</v>
      </c>
      <c r="Z351" s="15">
        <f>IF(Tabla1[[#This Row],[TIPO DE CONSUMIDOR]]="COMPLETO",W351*$T$2,W351*($T$2/2))</f>
        <v>0</v>
      </c>
      <c r="AA351" s="15">
        <f>IF(Tabla1[[#This Row],[TIPO DE CONSUMIDOR]]="COMPLETO",Tabla1[[#This Row],[MESES DE ADEUDO DEL AÑO EN CURSO ]]*$T$2,Tabla1[[#This Row],[MESES DE ADEUDO DEL AÑO EN CURSO ]]*($T$2/2))</f>
        <v>270</v>
      </c>
      <c r="AB351" s="70">
        <f>SUM(Tabla1[[#This Row],[DEUDA DE LOS MESES PASADOS EN $$]:[DEUDA DEL AÑO 2013 $$ ]])</f>
        <v>270</v>
      </c>
      <c r="AE351" s="103">
        <f>IF(Tabla1[[#This Row],[TIPO DE CONSUMIDOR]]="MEDIO",IF(Tabla1[[#This Row],[ENERO ]]&gt;22.5,Tabla1[[#This Row],[ENERO ]]/22.5-1,0),IF(Tabla1[[#This Row],[ENERO ]]&gt;45,Tabla1[[#This Row],[ENERO ]]/45-1,0))</f>
        <v>0</v>
      </c>
      <c r="AF35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1" s="103">
        <f>IF(Tabla1[[#This Row],[TIPO DE CONSUMIDOR]]="MEDIO",IF(Tabla1[[#This Row],[MARZO]]&gt;22.5,Tabla1[[#This Row],[MARZO]]/22.5-1,0),IF(Tabla1[[#This Row],[MARZO]]&gt;45,Tabla1[[#This Row],[MARZO]]/45-1,0))</f>
        <v>0</v>
      </c>
      <c r="AH351" s="103">
        <f>IF(Tabla1[[#This Row],[TIPO DE CONSUMIDOR]]="MEDIO",IF(Tabla1[[#This Row],[ABRIL]]&gt;22.5,Tabla1[[#This Row],[ABRIL]]/22.5-1,0),IF(Tabla1[[#This Row],[ABRIL]]&gt;45,Tabla1[[#This Row],[ABRIL]]/45-1,0))</f>
        <v>0</v>
      </c>
      <c r="AI351" s="103">
        <f>IF(Tabla1[[#This Row],[TIPO DE CONSUMIDOR]]="MEDIO",IF(Tabla1[[#This Row],[MAYO ]]&gt;22.5,Tabla1[[#This Row],[MAYO ]]/22.5-1,0),IF(Tabla1[[#This Row],[MAYO ]]&gt;45,Tabla1[[#This Row],[MAYO ]]/45-1,0))</f>
        <v>0</v>
      </c>
      <c r="AJ351" s="103">
        <f>IF(Tabla1[[#This Row],[TIPO DE CONSUMIDOR]]="MEDIO",IF(Tabla1[[#This Row],[JUNIO ]]&gt;22.5,Tabla1[[#This Row],[JUNIO ]]/22.5-1,0),IF(Tabla1[[#This Row],[JUNIO ]]&gt;45,Tabla1[[#This Row],[JUNIO ]]/45-1,0))</f>
        <v>0</v>
      </c>
      <c r="AK351" s="103">
        <f>IF(Tabla1[[#This Row],[TIPO DE CONSUMIDOR]]="MEDIO",IF(Tabla1[[#This Row],[JULIO ]]&gt;22.5,Tabla1[[#This Row],[JULIO ]]/22.5-1,0),IF(Tabla1[[#This Row],[JULIO ]]&gt;45,Tabla1[[#This Row],[JULIO ]]/45-1,0))</f>
        <v>0</v>
      </c>
      <c r="AL351" s="103">
        <f>IF(Tabla1[[#This Row],[TIPO DE CONSUMIDOR]]="MEDIO",IF(Tabla1[[#This Row],[AGOSTO]]&gt;22.5,Tabla1[[#This Row],[AGOSTO]]/22.5-1,0),IF(Tabla1[[#This Row],[AGOSTO]]&gt;45,Tabla1[[#This Row],[AGOSTO]]/45-1,0))</f>
        <v>0</v>
      </c>
      <c r="AM35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1" s="104">
        <f t="shared" si="12"/>
        <v>0</v>
      </c>
      <c r="AR351" s="9">
        <f t="shared" si="11"/>
        <v>1</v>
      </c>
      <c r="AS351" s="60">
        <f>IF(Tabla1[[#This Row],[MESES DE ADEUDO DEL AÑO EN CURSO ]]&gt;0,1,0)</f>
        <v>1</v>
      </c>
      <c r="AT351" s="42"/>
      <c r="AU351" s="42"/>
      <c r="AV351" s="42"/>
      <c r="AW351" s="43"/>
    </row>
    <row r="352" spans="1:49" ht="21.75" thickBot="1" x14ac:dyDescent="0.35">
      <c r="A352" s="109">
        <v>346</v>
      </c>
      <c r="B352" s="5" t="s">
        <v>17</v>
      </c>
      <c r="C352" s="2" t="s">
        <v>562</v>
      </c>
      <c r="D352" s="32"/>
      <c r="E352" s="35" t="s">
        <v>455</v>
      </c>
      <c r="F352" s="34">
        <v>45</v>
      </c>
      <c r="G352" s="34">
        <v>45</v>
      </c>
      <c r="H352" s="34">
        <v>45</v>
      </c>
      <c r="I352" s="34">
        <v>45</v>
      </c>
      <c r="J352" s="34">
        <v>45</v>
      </c>
      <c r="K352" s="34">
        <v>45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24">
        <f>SUM(Tabla1[[#This Row],[ENERO ]:[DICIEMBRE]])</f>
        <v>270</v>
      </c>
      <c r="W352" s="65">
        <v>0</v>
      </c>
      <c r="X352" s="21">
        <f>COUNTIF(Tabla1[[#This Row],[ENERO ]:[DICIEMBRE]],0)-(AQ352)-IF(Tabla1[[#This Row],[BAJAS]]="BAJA",IF(Tabla1[[#This Row],[ALTAS]]="ALTA",VLOOKUP(Tabla1[[#This Row],[MES DE ALTA ]],$AT$6:$AU$17,2,FALSE),12)-VLOOKUP(Tabla1[[#This Row],[MES DE BAJA ]],$AT$6:$AU$17,2,FALSE),0)</f>
        <v>6</v>
      </c>
      <c r="Y352" s="69">
        <f>SUM(Tabla1[[#This Row],[MES ADEUDO DE AÑOS PASADOS ]:[MESES DE ADEUDO DEL AÑO EN CURSO ]])</f>
        <v>6</v>
      </c>
      <c r="Z352" s="15">
        <f>IF(Tabla1[[#This Row],[TIPO DE CONSUMIDOR]]="COMPLETO",W352*$T$2,W352*($T$2/2))</f>
        <v>0</v>
      </c>
      <c r="AA352" s="15">
        <f>IF(Tabla1[[#This Row],[TIPO DE CONSUMIDOR]]="COMPLETO",Tabla1[[#This Row],[MESES DE ADEUDO DEL AÑO EN CURSO ]]*$T$2,Tabla1[[#This Row],[MESES DE ADEUDO DEL AÑO EN CURSO ]]*($T$2/2))</f>
        <v>270</v>
      </c>
      <c r="AB352" s="70">
        <f>SUM(Tabla1[[#This Row],[DEUDA DE LOS MESES PASADOS EN $$]:[DEUDA DEL AÑO 2013 $$ ]])</f>
        <v>270</v>
      </c>
      <c r="AE352" s="103">
        <f>IF(Tabla1[[#This Row],[TIPO DE CONSUMIDOR]]="MEDIO",IF(Tabla1[[#This Row],[ENERO ]]&gt;22.5,Tabla1[[#This Row],[ENERO ]]/22.5-1,0),IF(Tabla1[[#This Row],[ENERO ]]&gt;45,Tabla1[[#This Row],[ENERO ]]/45-1,0))</f>
        <v>0</v>
      </c>
      <c r="AF35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2" s="103">
        <f>IF(Tabla1[[#This Row],[TIPO DE CONSUMIDOR]]="MEDIO",IF(Tabla1[[#This Row],[MARZO]]&gt;22.5,Tabla1[[#This Row],[MARZO]]/22.5-1,0),IF(Tabla1[[#This Row],[MARZO]]&gt;45,Tabla1[[#This Row],[MARZO]]/45-1,0))</f>
        <v>0</v>
      </c>
      <c r="AH352" s="103">
        <f>IF(Tabla1[[#This Row],[TIPO DE CONSUMIDOR]]="MEDIO",IF(Tabla1[[#This Row],[ABRIL]]&gt;22.5,Tabla1[[#This Row],[ABRIL]]/22.5-1,0),IF(Tabla1[[#This Row],[ABRIL]]&gt;45,Tabla1[[#This Row],[ABRIL]]/45-1,0))</f>
        <v>0</v>
      </c>
      <c r="AI352" s="103">
        <f>IF(Tabla1[[#This Row],[TIPO DE CONSUMIDOR]]="MEDIO",IF(Tabla1[[#This Row],[MAYO ]]&gt;22.5,Tabla1[[#This Row],[MAYO ]]/22.5-1,0),IF(Tabla1[[#This Row],[MAYO ]]&gt;45,Tabla1[[#This Row],[MAYO ]]/45-1,0))</f>
        <v>0</v>
      </c>
      <c r="AJ352" s="103">
        <f>IF(Tabla1[[#This Row],[TIPO DE CONSUMIDOR]]="MEDIO",IF(Tabla1[[#This Row],[JUNIO ]]&gt;22.5,Tabla1[[#This Row],[JUNIO ]]/22.5-1,0),IF(Tabla1[[#This Row],[JUNIO ]]&gt;45,Tabla1[[#This Row],[JUNIO ]]/45-1,0))</f>
        <v>0</v>
      </c>
      <c r="AK352" s="103">
        <f>IF(Tabla1[[#This Row],[TIPO DE CONSUMIDOR]]="MEDIO",IF(Tabla1[[#This Row],[JULIO ]]&gt;22.5,Tabla1[[#This Row],[JULIO ]]/22.5-1,0),IF(Tabla1[[#This Row],[JULIO ]]&gt;45,Tabla1[[#This Row],[JULIO ]]/45-1,0))</f>
        <v>0</v>
      </c>
      <c r="AL352" s="103">
        <f>IF(Tabla1[[#This Row],[TIPO DE CONSUMIDOR]]="MEDIO",IF(Tabla1[[#This Row],[AGOSTO]]&gt;22.5,Tabla1[[#This Row],[AGOSTO]]/22.5-1,0),IF(Tabla1[[#This Row],[AGOSTO]]&gt;45,Tabla1[[#This Row],[AGOSTO]]/45-1,0))</f>
        <v>0</v>
      </c>
      <c r="AM35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2" s="104">
        <f t="shared" si="12"/>
        <v>0</v>
      </c>
      <c r="AR352" s="9">
        <f t="shared" si="11"/>
        <v>1</v>
      </c>
      <c r="AS352" s="60">
        <f>IF(Tabla1[[#This Row],[MESES DE ADEUDO DEL AÑO EN CURSO ]]&gt;0,1,0)</f>
        <v>1</v>
      </c>
      <c r="AT352" s="42"/>
      <c r="AU352" s="42"/>
      <c r="AV352" s="42"/>
      <c r="AW352" s="43"/>
    </row>
    <row r="353" spans="1:49" ht="21.75" thickBot="1" x14ac:dyDescent="0.35">
      <c r="A353" s="109">
        <v>347</v>
      </c>
      <c r="B353" s="5" t="s">
        <v>42</v>
      </c>
      <c r="C353" s="2" t="s">
        <v>562</v>
      </c>
      <c r="D353" s="32"/>
      <c r="E353" s="35" t="s">
        <v>455</v>
      </c>
      <c r="F353" s="34">
        <v>45</v>
      </c>
      <c r="G353" s="34">
        <v>45</v>
      </c>
      <c r="H353" s="34">
        <v>45</v>
      </c>
      <c r="I353" s="34">
        <v>45</v>
      </c>
      <c r="J353" s="34">
        <v>45</v>
      </c>
      <c r="K353" s="34">
        <v>45</v>
      </c>
      <c r="L353" s="34">
        <v>0</v>
      </c>
      <c r="M353" s="34">
        <v>0</v>
      </c>
      <c r="N353" s="34">
        <v>0</v>
      </c>
      <c r="O353" s="34">
        <v>0</v>
      </c>
      <c r="P353" s="34">
        <v>0</v>
      </c>
      <c r="Q353" s="34">
        <v>0</v>
      </c>
      <c r="R353" s="58">
        <f>SUM(Tabla1[[#This Row],[ENERO ]:[DICIEMBRE]])</f>
        <v>270</v>
      </c>
      <c r="W353" s="65">
        <v>0</v>
      </c>
      <c r="X353" s="21">
        <f>COUNTIF(Tabla1[[#This Row],[ENERO ]:[DICIEMBRE]],0)-(AQ353)-IF(Tabla1[[#This Row],[BAJAS]]="BAJA",IF(Tabla1[[#This Row],[ALTAS]]="ALTA",VLOOKUP(Tabla1[[#This Row],[MES DE ALTA ]],$AT$6:$AU$17,2,FALSE),12)-VLOOKUP(Tabla1[[#This Row],[MES DE BAJA ]],$AT$6:$AU$17,2,FALSE),0)</f>
        <v>6</v>
      </c>
      <c r="Y353" s="69">
        <f>SUM(Tabla1[[#This Row],[MES ADEUDO DE AÑOS PASADOS ]:[MESES DE ADEUDO DEL AÑO EN CURSO ]])</f>
        <v>6</v>
      </c>
      <c r="Z353" s="15">
        <f>IF(Tabla1[[#This Row],[TIPO DE CONSUMIDOR]]="COMPLETO",W353*$T$2,W353*($T$2/2))</f>
        <v>0</v>
      </c>
      <c r="AA353" s="15">
        <f>IF(Tabla1[[#This Row],[TIPO DE CONSUMIDOR]]="COMPLETO",Tabla1[[#This Row],[MESES DE ADEUDO DEL AÑO EN CURSO ]]*$T$2,Tabla1[[#This Row],[MESES DE ADEUDO DEL AÑO EN CURSO ]]*($T$2/2))</f>
        <v>270</v>
      </c>
      <c r="AB353" s="70">
        <f>SUM(Tabla1[[#This Row],[DEUDA DE LOS MESES PASADOS EN $$]:[DEUDA DEL AÑO 2013 $$ ]])</f>
        <v>270</v>
      </c>
      <c r="AE353" s="103">
        <f>IF(Tabla1[[#This Row],[TIPO DE CONSUMIDOR]]="MEDIO",IF(Tabla1[[#This Row],[ENERO ]]&gt;22.5,Tabla1[[#This Row],[ENERO ]]/22.5-1,0),IF(Tabla1[[#This Row],[ENERO ]]&gt;45,Tabla1[[#This Row],[ENERO ]]/45-1,0))</f>
        <v>0</v>
      </c>
      <c r="AF35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3" s="103">
        <f>IF(Tabla1[[#This Row],[TIPO DE CONSUMIDOR]]="MEDIO",IF(Tabla1[[#This Row],[MARZO]]&gt;22.5,Tabla1[[#This Row],[MARZO]]/22.5-1,0),IF(Tabla1[[#This Row],[MARZO]]&gt;45,Tabla1[[#This Row],[MARZO]]/45-1,0))</f>
        <v>0</v>
      </c>
      <c r="AH353" s="103">
        <f>IF(Tabla1[[#This Row],[TIPO DE CONSUMIDOR]]="MEDIO",IF(Tabla1[[#This Row],[ABRIL]]&gt;22.5,Tabla1[[#This Row],[ABRIL]]/22.5-1,0),IF(Tabla1[[#This Row],[ABRIL]]&gt;45,Tabla1[[#This Row],[ABRIL]]/45-1,0))</f>
        <v>0</v>
      </c>
      <c r="AI353" s="103">
        <f>IF(Tabla1[[#This Row],[TIPO DE CONSUMIDOR]]="MEDIO",IF(Tabla1[[#This Row],[MAYO ]]&gt;22.5,Tabla1[[#This Row],[MAYO ]]/22.5-1,0),IF(Tabla1[[#This Row],[MAYO ]]&gt;45,Tabla1[[#This Row],[MAYO ]]/45-1,0))</f>
        <v>0</v>
      </c>
      <c r="AJ353" s="103">
        <f>IF(Tabla1[[#This Row],[TIPO DE CONSUMIDOR]]="MEDIO",IF(Tabla1[[#This Row],[JUNIO ]]&gt;22.5,Tabla1[[#This Row],[JUNIO ]]/22.5-1,0),IF(Tabla1[[#This Row],[JUNIO ]]&gt;45,Tabla1[[#This Row],[JUNIO ]]/45-1,0))</f>
        <v>0</v>
      </c>
      <c r="AK353" s="103">
        <f>IF(Tabla1[[#This Row],[TIPO DE CONSUMIDOR]]="MEDIO",IF(Tabla1[[#This Row],[JULIO ]]&gt;22.5,Tabla1[[#This Row],[JULIO ]]/22.5-1,0),IF(Tabla1[[#This Row],[JULIO ]]&gt;45,Tabla1[[#This Row],[JULIO ]]/45-1,0))</f>
        <v>0</v>
      </c>
      <c r="AL353" s="103">
        <f>IF(Tabla1[[#This Row],[TIPO DE CONSUMIDOR]]="MEDIO",IF(Tabla1[[#This Row],[AGOSTO]]&gt;22.5,Tabla1[[#This Row],[AGOSTO]]/22.5-1,0),IF(Tabla1[[#This Row],[AGOSTO]]&gt;45,Tabla1[[#This Row],[AGOSTO]]/45-1,0))</f>
        <v>0</v>
      </c>
      <c r="AM35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3" s="104">
        <f t="shared" si="12"/>
        <v>0</v>
      </c>
      <c r="AR353" s="9">
        <f t="shared" si="11"/>
        <v>1</v>
      </c>
      <c r="AS353" s="60">
        <f>IF(Tabla1[[#This Row],[MESES DE ADEUDO DEL AÑO EN CURSO ]]&gt;0,1,0)</f>
        <v>1</v>
      </c>
      <c r="AT353" s="42"/>
      <c r="AU353" s="42"/>
      <c r="AV353" s="42"/>
      <c r="AW353" s="43"/>
    </row>
    <row r="354" spans="1:49" ht="21.75" thickBot="1" x14ac:dyDescent="0.35">
      <c r="A354" s="109">
        <v>348</v>
      </c>
      <c r="B354" s="5" t="s">
        <v>362</v>
      </c>
      <c r="C354" s="2" t="s">
        <v>562</v>
      </c>
      <c r="D354" s="32"/>
      <c r="E354" s="35" t="s">
        <v>455</v>
      </c>
      <c r="F354" s="34">
        <v>45</v>
      </c>
      <c r="G354" s="34">
        <v>45</v>
      </c>
      <c r="H354" s="34">
        <v>45</v>
      </c>
      <c r="I354" s="34">
        <v>45</v>
      </c>
      <c r="J354" s="34">
        <v>45</v>
      </c>
      <c r="K354" s="34">
        <v>45</v>
      </c>
      <c r="L354" s="34">
        <v>0</v>
      </c>
      <c r="M354" s="34">
        <v>0</v>
      </c>
      <c r="N354" s="34">
        <v>0</v>
      </c>
      <c r="O354" s="34">
        <v>0</v>
      </c>
      <c r="P354" s="34">
        <v>0</v>
      </c>
      <c r="Q354" s="34">
        <v>0</v>
      </c>
      <c r="R354" s="24">
        <f>SUM(Tabla1[[#This Row],[ENERO ]:[DICIEMBRE]])</f>
        <v>270</v>
      </c>
      <c r="W354" s="65">
        <v>0</v>
      </c>
      <c r="X354" s="21">
        <f>COUNTIF(Tabla1[[#This Row],[ENERO ]:[DICIEMBRE]],0)-(AQ354)-IF(Tabla1[[#This Row],[BAJAS]]="BAJA",IF(Tabla1[[#This Row],[ALTAS]]="ALTA",VLOOKUP(Tabla1[[#This Row],[MES DE ALTA ]],$AT$6:$AU$17,2,FALSE),12)-VLOOKUP(Tabla1[[#This Row],[MES DE BAJA ]],$AT$6:$AU$17,2,FALSE),0)</f>
        <v>6</v>
      </c>
      <c r="Y354" s="69">
        <f>SUM(Tabla1[[#This Row],[MES ADEUDO DE AÑOS PASADOS ]:[MESES DE ADEUDO DEL AÑO EN CURSO ]])</f>
        <v>6</v>
      </c>
      <c r="Z354" s="15">
        <f>IF(Tabla1[[#This Row],[TIPO DE CONSUMIDOR]]="COMPLETO",W354*$T$2,W354*($T$2/2))</f>
        <v>0</v>
      </c>
      <c r="AA354" s="15">
        <f>IF(Tabla1[[#This Row],[TIPO DE CONSUMIDOR]]="COMPLETO",Tabla1[[#This Row],[MESES DE ADEUDO DEL AÑO EN CURSO ]]*$T$2,Tabla1[[#This Row],[MESES DE ADEUDO DEL AÑO EN CURSO ]]*($T$2/2))</f>
        <v>270</v>
      </c>
      <c r="AB354" s="70">
        <f>SUM(Tabla1[[#This Row],[DEUDA DE LOS MESES PASADOS EN $$]:[DEUDA DEL AÑO 2013 $$ ]])</f>
        <v>270</v>
      </c>
      <c r="AE354" s="103">
        <f>IF(Tabla1[[#This Row],[TIPO DE CONSUMIDOR]]="MEDIO",IF(Tabla1[[#This Row],[ENERO ]]&gt;22.5,Tabla1[[#This Row],[ENERO ]]/22.5-1,0),IF(Tabla1[[#This Row],[ENERO ]]&gt;45,Tabla1[[#This Row],[ENERO ]]/45-1,0))</f>
        <v>0</v>
      </c>
      <c r="AF35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4" s="103">
        <f>IF(Tabla1[[#This Row],[TIPO DE CONSUMIDOR]]="MEDIO",IF(Tabla1[[#This Row],[MARZO]]&gt;22.5,Tabla1[[#This Row],[MARZO]]/22.5-1,0),IF(Tabla1[[#This Row],[MARZO]]&gt;45,Tabla1[[#This Row],[MARZO]]/45-1,0))</f>
        <v>0</v>
      </c>
      <c r="AH354" s="103">
        <f>IF(Tabla1[[#This Row],[TIPO DE CONSUMIDOR]]="MEDIO",IF(Tabla1[[#This Row],[ABRIL]]&gt;22.5,Tabla1[[#This Row],[ABRIL]]/22.5-1,0),IF(Tabla1[[#This Row],[ABRIL]]&gt;45,Tabla1[[#This Row],[ABRIL]]/45-1,0))</f>
        <v>0</v>
      </c>
      <c r="AI354" s="103">
        <f>IF(Tabla1[[#This Row],[TIPO DE CONSUMIDOR]]="MEDIO",IF(Tabla1[[#This Row],[MAYO ]]&gt;22.5,Tabla1[[#This Row],[MAYO ]]/22.5-1,0),IF(Tabla1[[#This Row],[MAYO ]]&gt;45,Tabla1[[#This Row],[MAYO ]]/45-1,0))</f>
        <v>0</v>
      </c>
      <c r="AJ354" s="103">
        <f>IF(Tabla1[[#This Row],[TIPO DE CONSUMIDOR]]="MEDIO",IF(Tabla1[[#This Row],[JUNIO ]]&gt;22.5,Tabla1[[#This Row],[JUNIO ]]/22.5-1,0),IF(Tabla1[[#This Row],[JUNIO ]]&gt;45,Tabla1[[#This Row],[JUNIO ]]/45-1,0))</f>
        <v>0</v>
      </c>
      <c r="AK354" s="103">
        <f>IF(Tabla1[[#This Row],[TIPO DE CONSUMIDOR]]="MEDIO",IF(Tabla1[[#This Row],[JULIO ]]&gt;22.5,Tabla1[[#This Row],[JULIO ]]/22.5-1,0),IF(Tabla1[[#This Row],[JULIO ]]&gt;45,Tabla1[[#This Row],[JULIO ]]/45-1,0))</f>
        <v>0</v>
      </c>
      <c r="AL354" s="103">
        <f>IF(Tabla1[[#This Row],[TIPO DE CONSUMIDOR]]="MEDIO",IF(Tabla1[[#This Row],[AGOSTO]]&gt;22.5,Tabla1[[#This Row],[AGOSTO]]/22.5-1,0),IF(Tabla1[[#This Row],[AGOSTO]]&gt;45,Tabla1[[#This Row],[AGOSTO]]/45-1,0))</f>
        <v>0</v>
      </c>
      <c r="AM35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4" s="104">
        <f t="shared" si="12"/>
        <v>0</v>
      </c>
      <c r="AR354" s="9">
        <f t="shared" si="11"/>
        <v>1</v>
      </c>
      <c r="AS354" s="60">
        <f>IF(Tabla1[[#This Row],[MESES DE ADEUDO DEL AÑO EN CURSO ]]&gt;0,1,0)</f>
        <v>1</v>
      </c>
      <c r="AT354" s="42"/>
      <c r="AU354" s="42"/>
      <c r="AV354" s="42"/>
      <c r="AW354" s="43"/>
    </row>
    <row r="355" spans="1:49" ht="21.75" thickBot="1" x14ac:dyDescent="0.35">
      <c r="A355" s="109">
        <v>349</v>
      </c>
      <c r="B355" s="5" t="s">
        <v>349</v>
      </c>
      <c r="C355" s="2" t="s">
        <v>569</v>
      </c>
      <c r="D355" s="32"/>
      <c r="E355" s="35" t="s">
        <v>455</v>
      </c>
      <c r="F355" s="34">
        <v>45</v>
      </c>
      <c r="G355" s="34">
        <v>45</v>
      </c>
      <c r="H355" s="34">
        <v>45</v>
      </c>
      <c r="I355" s="34">
        <v>45</v>
      </c>
      <c r="J355" s="34">
        <v>45</v>
      </c>
      <c r="K355" s="34">
        <v>45</v>
      </c>
      <c r="L355" s="34">
        <v>0</v>
      </c>
      <c r="M355" s="34">
        <v>0</v>
      </c>
      <c r="N355" s="34">
        <v>0</v>
      </c>
      <c r="O355" s="34">
        <v>0</v>
      </c>
      <c r="P355" s="34">
        <v>0</v>
      </c>
      <c r="Q355" s="34">
        <v>0</v>
      </c>
      <c r="R355" s="58">
        <f>SUM(Tabla1[[#This Row],[ENERO ]:[DICIEMBRE]])</f>
        <v>270</v>
      </c>
      <c r="W355" s="65">
        <v>0</v>
      </c>
      <c r="X355" s="21">
        <f>COUNTIF(Tabla1[[#This Row],[ENERO ]:[DICIEMBRE]],0)-(AQ355)-IF(Tabla1[[#This Row],[BAJAS]]="BAJA",IF(Tabla1[[#This Row],[ALTAS]]="ALTA",VLOOKUP(Tabla1[[#This Row],[MES DE ALTA ]],$AT$6:$AU$17,2,FALSE),12)-VLOOKUP(Tabla1[[#This Row],[MES DE BAJA ]],$AT$6:$AU$17,2,FALSE),0)</f>
        <v>6</v>
      </c>
      <c r="Y355" s="69">
        <f>SUM(Tabla1[[#This Row],[MES ADEUDO DE AÑOS PASADOS ]:[MESES DE ADEUDO DEL AÑO EN CURSO ]])</f>
        <v>6</v>
      </c>
      <c r="Z355" s="15">
        <f>IF(Tabla1[[#This Row],[TIPO DE CONSUMIDOR]]="COMPLETO",W355*$T$2,W355*($T$2/2))</f>
        <v>0</v>
      </c>
      <c r="AA355" s="15">
        <f>IF(Tabla1[[#This Row],[TIPO DE CONSUMIDOR]]="COMPLETO",Tabla1[[#This Row],[MESES DE ADEUDO DEL AÑO EN CURSO ]]*$T$2,Tabla1[[#This Row],[MESES DE ADEUDO DEL AÑO EN CURSO ]]*($T$2/2))</f>
        <v>270</v>
      </c>
      <c r="AB355" s="70">
        <f>SUM(Tabla1[[#This Row],[DEUDA DE LOS MESES PASADOS EN $$]:[DEUDA DEL AÑO 2013 $$ ]])</f>
        <v>270</v>
      </c>
      <c r="AE355" s="103">
        <f>IF(Tabla1[[#This Row],[TIPO DE CONSUMIDOR]]="MEDIO",IF(Tabla1[[#This Row],[ENERO ]]&gt;22.5,Tabla1[[#This Row],[ENERO ]]/22.5-1,0),IF(Tabla1[[#This Row],[ENERO ]]&gt;45,Tabla1[[#This Row],[ENERO ]]/45-1,0))</f>
        <v>0</v>
      </c>
      <c r="AF35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5" s="103">
        <f>IF(Tabla1[[#This Row],[TIPO DE CONSUMIDOR]]="MEDIO",IF(Tabla1[[#This Row],[MARZO]]&gt;22.5,Tabla1[[#This Row],[MARZO]]/22.5-1,0),IF(Tabla1[[#This Row],[MARZO]]&gt;45,Tabla1[[#This Row],[MARZO]]/45-1,0))</f>
        <v>0</v>
      </c>
      <c r="AH355" s="103">
        <f>IF(Tabla1[[#This Row],[TIPO DE CONSUMIDOR]]="MEDIO",IF(Tabla1[[#This Row],[ABRIL]]&gt;22.5,Tabla1[[#This Row],[ABRIL]]/22.5-1,0),IF(Tabla1[[#This Row],[ABRIL]]&gt;45,Tabla1[[#This Row],[ABRIL]]/45-1,0))</f>
        <v>0</v>
      </c>
      <c r="AI355" s="103">
        <f>IF(Tabla1[[#This Row],[TIPO DE CONSUMIDOR]]="MEDIO",IF(Tabla1[[#This Row],[MAYO ]]&gt;22.5,Tabla1[[#This Row],[MAYO ]]/22.5-1,0),IF(Tabla1[[#This Row],[MAYO ]]&gt;45,Tabla1[[#This Row],[MAYO ]]/45-1,0))</f>
        <v>0</v>
      </c>
      <c r="AJ355" s="103">
        <f>IF(Tabla1[[#This Row],[TIPO DE CONSUMIDOR]]="MEDIO",IF(Tabla1[[#This Row],[JUNIO ]]&gt;22.5,Tabla1[[#This Row],[JUNIO ]]/22.5-1,0),IF(Tabla1[[#This Row],[JUNIO ]]&gt;45,Tabla1[[#This Row],[JUNIO ]]/45-1,0))</f>
        <v>0</v>
      </c>
      <c r="AK355" s="103">
        <f>IF(Tabla1[[#This Row],[TIPO DE CONSUMIDOR]]="MEDIO",IF(Tabla1[[#This Row],[JULIO ]]&gt;22.5,Tabla1[[#This Row],[JULIO ]]/22.5-1,0),IF(Tabla1[[#This Row],[JULIO ]]&gt;45,Tabla1[[#This Row],[JULIO ]]/45-1,0))</f>
        <v>0</v>
      </c>
      <c r="AL355" s="103">
        <f>IF(Tabla1[[#This Row],[TIPO DE CONSUMIDOR]]="MEDIO",IF(Tabla1[[#This Row],[AGOSTO]]&gt;22.5,Tabla1[[#This Row],[AGOSTO]]/22.5-1,0),IF(Tabla1[[#This Row],[AGOSTO]]&gt;45,Tabla1[[#This Row],[AGOSTO]]/45-1,0))</f>
        <v>0</v>
      </c>
      <c r="AM35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5" s="104">
        <f t="shared" si="12"/>
        <v>0</v>
      </c>
      <c r="AR355" s="9">
        <f t="shared" si="11"/>
        <v>1</v>
      </c>
      <c r="AS355" s="60">
        <f>IF(Tabla1[[#This Row],[MESES DE ADEUDO DEL AÑO EN CURSO ]]&gt;0,1,0)</f>
        <v>1</v>
      </c>
      <c r="AT355" s="42"/>
      <c r="AU355" s="42"/>
      <c r="AV355" s="42"/>
      <c r="AW355" s="43"/>
    </row>
    <row r="356" spans="1:49" ht="21.75" thickBot="1" x14ac:dyDescent="0.35">
      <c r="A356" s="109">
        <v>350</v>
      </c>
      <c r="B356" s="5" t="s">
        <v>574</v>
      </c>
      <c r="C356" s="2" t="s">
        <v>569</v>
      </c>
      <c r="D356" s="32"/>
      <c r="E356" s="35" t="s">
        <v>455</v>
      </c>
      <c r="F356" s="34">
        <v>0</v>
      </c>
      <c r="G356" s="34">
        <v>0</v>
      </c>
      <c r="H356" s="34">
        <v>0</v>
      </c>
      <c r="I356" s="34">
        <v>0</v>
      </c>
      <c r="J356" s="34">
        <v>0</v>
      </c>
      <c r="K356" s="34">
        <v>0</v>
      </c>
      <c r="L356" s="34">
        <v>0</v>
      </c>
      <c r="M356" s="34">
        <v>0</v>
      </c>
      <c r="N356" s="34">
        <v>0</v>
      </c>
      <c r="O356" s="34">
        <v>0</v>
      </c>
      <c r="P356" s="34">
        <v>0</v>
      </c>
      <c r="Q356" s="34">
        <v>0</v>
      </c>
      <c r="R356" s="24">
        <f>SUM(Tabla1[[#This Row],[ENERO ]:[DICIEMBRE]])</f>
        <v>0</v>
      </c>
      <c r="S356" t="s">
        <v>626</v>
      </c>
      <c r="T356" t="s">
        <v>434</v>
      </c>
      <c r="U356" t="s">
        <v>625</v>
      </c>
      <c r="V356" t="s">
        <v>438</v>
      </c>
      <c r="W356" s="65">
        <v>0</v>
      </c>
      <c r="X356" s="21">
        <f>COUNTIF(Tabla1[[#This Row],[ENERO ]:[DICIEMBRE]],0)-(AQ356)-IF(Tabla1[[#This Row],[BAJAS]]="BAJA",IF(Tabla1[[#This Row],[ALTAS]]="ALTA",VLOOKUP(Tabla1[[#This Row],[MES DE ALTA ]],$AT$6:$AU$17,2,FALSE),12)-VLOOKUP(Tabla1[[#This Row],[MES DE BAJA ]],$AT$6:$AU$17,2,FALSE),0)</f>
        <v>6</v>
      </c>
      <c r="Y356" s="69">
        <f>SUM(Tabla1[[#This Row],[MES ADEUDO DE AÑOS PASADOS ]:[MESES DE ADEUDO DEL AÑO EN CURSO ]])</f>
        <v>6</v>
      </c>
      <c r="Z356" s="15">
        <f>IF(Tabla1[[#This Row],[TIPO DE CONSUMIDOR]]="COMPLETO",W356*$T$2,W356*($T$2/2))</f>
        <v>0</v>
      </c>
      <c r="AA356" s="15">
        <f>IF(Tabla1[[#This Row],[TIPO DE CONSUMIDOR]]="COMPLETO",Tabla1[[#This Row],[MESES DE ADEUDO DEL AÑO EN CURSO ]]*$T$2,Tabla1[[#This Row],[MESES DE ADEUDO DEL AÑO EN CURSO ]]*($T$2/2))</f>
        <v>270</v>
      </c>
      <c r="AB356" s="70">
        <f>SUM(Tabla1[[#This Row],[DEUDA DE LOS MESES PASADOS EN $$]:[DEUDA DEL AÑO 2013 $$ ]])</f>
        <v>270</v>
      </c>
      <c r="AE356" s="103">
        <f>IF(Tabla1[[#This Row],[TIPO DE CONSUMIDOR]]="MEDIO",IF(Tabla1[[#This Row],[ENERO ]]&gt;22.5,Tabla1[[#This Row],[ENERO ]]/22.5-1,0),IF(Tabla1[[#This Row],[ENERO ]]&gt;45,Tabla1[[#This Row],[ENERO ]]/45-1,0))</f>
        <v>0</v>
      </c>
      <c r="AF35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6" s="103">
        <f>IF(Tabla1[[#This Row],[TIPO DE CONSUMIDOR]]="MEDIO",IF(Tabla1[[#This Row],[MARZO]]&gt;22.5,Tabla1[[#This Row],[MARZO]]/22.5-1,0),IF(Tabla1[[#This Row],[MARZO]]&gt;45,Tabla1[[#This Row],[MARZO]]/45-1,0))</f>
        <v>0</v>
      </c>
      <c r="AH356" s="103">
        <f>IF(Tabla1[[#This Row],[TIPO DE CONSUMIDOR]]="MEDIO",IF(Tabla1[[#This Row],[ABRIL]]&gt;22.5,Tabla1[[#This Row],[ABRIL]]/22.5-1,0),IF(Tabla1[[#This Row],[ABRIL]]&gt;45,Tabla1[[#This Row],[ABRIL]]/45-1,0))</f>
        <v>0</v>
      </c>
      <c r="AI356" s="103">
        <f>IF(Tabla1[[#This Row],[TIPO DE CONSUMIDOR]]="MEDIO",IF(Tabla1[[#This Row],[MAYO ]]&gt;22.5,Tabla1[[#This Row],[MAYO ]]/22.5-1,0),IF(Tabla1[[#This Row],[MAYO ]]&gt;45,Tabla1[[#This Row],[MAYO ]]/45-1,0))</f>
        <v>0</v>
      </c>
      <c r="AJ356" s="103">
        <f>IF(Tabla1[[#This Row],[TIPO DE CONSUMIDOR]]="MEDIO",IF(Tabla1[[#This Row],[JUNIO ]]&gt;22.5,Tabla1[[#This Row],[JUNIO ]]/22.5-1,0),IF(Tabla1[[#This Row],[JUNIO ]]&gt;45,Tabla1[[#This Row],[JUNIO ]]/45-1,0))</f>
        <v>0</v>
      </c>
      <c r="AK356" s="103">
        <f>IF(Tabla1[[#This Row],[TIPO DE CONSUMIDOR]]="MEDIO",IF(Tabla1[[#This Row],[JULIO ]]&gt;22.5,Tabla1[[#This Row],[JULIO ]]/22.5-1,0),IF(Tabla1[[#This Row],[JULIO ]]&gt;45,Tabla1[[#This Row],[JULIO ]]/45-1,0))</f>
        <v>0</v>
      </c>
      <c r="AL356" s="103">
        <f>IF(Tabla1[[#This Row],[TIPO DE CONSUMIDOR]]="MEDIO",IF(Tabla1[[#This Row],[AGOSTO]]&gt;22.5,Tabla1[[#This Row],[AGOSTO]]/22.5-1,0),IF(Tabla1[[#This Row],[AGOSTO]]&gt;45,Tabla1[[#This Row],[AGOSTO]]/45-1,0))</f>
        <v>0</v>
      </c>
      <c r="AM35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6" s="104">
        <f t="shared" si="12"/>
        <v>0</v>
      </c>
      <c r="AR356" s="9">
        <f t="shared" si="11"/>
        <v>1</v>
      </c>
      <c r="AS356" s="60">
        <f>IF(Tabla1[[#This Row],[MESES DE ADEUDO DEL AÑO EN CURSO ]]&gt;0,1,0)</f>
        <v>1</v>
      </c>
      <c r="AT356" s="42"/>
      <c r="AU356" s="42"/>
      <c r="AV356" s="42"/>
      <c r="AW356" s="43"/>
    </row>
    <row r="357" spans="1:49" ht="21.75" thickBot="1" x14ac:dyDescent="0.35">
      <c r="A357" s="109">
        <v>351</v>
      </c>
      <c r="B357" s="5" t="s">
        <v>285</v>
      </c>
      <c r="C357" s="2"/>
      <c r="D357" s="32"/>
      <c r="E357" s="35" t="s">
        <v>455</v>
      </c>
      <c r="F357" s="34">
        <v>45</v>
      </c>
      <c r="G357" s="34">
        <v>45</v>
      </c>
      <c r="H357" s="34">
        <v>45</v>
      </c>
      <c r="I357" s="34">
        <v>45</v>
      </c>
      <c r="J357" s="34">
        <v>45</v>
      </c>
      <c r="K357" s="34">
        <v>45</v>
      </c>
      <c r="L357" s="34">
        <v>0</v>
      </c>
      <c r="M357" s="34">
        <v>0</v>
      </c>
      <c r="N357" s="34">
        <v>0</v>
      </c>
      <c r="O357" s="34">
        <v>0</v>
      </c>
      <c r="P357" s="34">
        <v>0</v>
      </c>
      <c r="Q357" s="34">
        <v>0</v>
      </c>
      <c r="R357" s="24">
        <f>SUM(Tabla1[[#This Row],[ENERO ]:[DICIEMBRE]])</f>
        <v>270</v>
      </c>
      <c r="W357" s="65">
        <v>0</v>
      </c>
      <c r="X357" s="21">
        <f>COUNTIF(Tabla1[[#This Row],[ENERO ]:[DICIEMBRE]],0)-(AQ357)-IF(Tabla1[[#This Row],[BAJAS]]="BAJA",IF(Tabla1[[#This Row],[ALTAS]]="ALTA",VLOOKUP(Tabla1[[#This Row],[MES DE ALTA ]],$AT$6:$AU$17,2,FALSE),12)-VLOOKUP(Tabla1[[#This Row],[MES DE BAJA ]],$AT$6:$AU$17,2,FALSE),0)</f>
        <v>6</v>
      </c>
      <c r="Y357" s="69">
        <f>SUM(Tabla1[[#This Row],[MES ADEUDO DE AÑOS PASADOS ]:[MESES DE ADEUDO DEL AÑO EN CURSO ]])</f>
        <v>6</v>
      </c>
      <c r="Z357" s="15">
        <f>IF(Tabla1[[#This Row],[TIPO DE CONSUMIDOR]]="COMPLETO",W357*$T$2,W357*($T$2/2))</f>
        <v>0</v>
      </c>
      <c r="AA357" s="15">
        <f>IF(Tabla1[[#This Row],[TIPO DE CONSUMIDOR]]="COMPLETO",Tabla1[[#This Row],[MESES DE ADEUDO DEL AÑO EN CURSO ]]*$T$2,Tabla1[[#This Row],[MESES DE ADEUDO DEL AÑO EN CURSO ]]*($T$2/2))</f>
        <v>270</v>
      </c>
      <c r="AB357" s="70">
        <f>SUM(Tabla1[[#This Row],[DEUDA DE LOS MESES PASADOS EN $$]:[DEUDA DEL AÑO 2013 $$ ]])</f>
        <v>270</v>
      </c>
      <c r="AE357" s="103">
        <f>IF(Tabla1[[#This Row],[TIPO DE CONSUMIDOR]]="MEDIO",IF(Tabla1[[#This Row],[ENERO ]]&gt;22.5,Tabla1[[#This Row],[ENERO ]]/22.5-1,0),IF(Tabla1[[#This Row],[ENERO ]]&gt;45,Tabla1[[#This Row],[ENERO ]]/45-1,0))</f>
        <v>0</v>
      </c>
      <c r="AF35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7" s="103">
        <f>IF(Tabla1[[#This Row],[TIPO DE CONSUMIDOR]]="MEDIO",IF(Tabla1[[#This Row],[MARZO]]&gt;22.5,Tabla1[[#This Row],[MARZO]]/22.5-1,0),IF(Tabla1[[#This Row],[MARZO]]&gt;45,Tabla1[[#This Row],[MARZO]]/45-1,0))</f>
        <v>0</v>
      </c>
      <c r="AH357" s="103">
        <f>IF(Tabla1[[#This Row],[TIPO DE CONSUMIDOR]]="MEDIO",IF(Tabla1[[#This Row],[ABRIL]]&gt;22.5,Tabla1[[#This Row],[ABRIL]]/22.5-1,0),IF(Tabla1[[#This Row],[ABRIL]]&gt;45,Tabla1[[#This Row],[ABRIL]]/45-1,0))</f>
        <v>0</v>
      </c>
      <c r="AI357" s="103">
        <f>IF(Tabla1[[#This Row],[TIPO DE CONSUMIDOR]]="MEDIO",IF(Tabla1[[#This Row],[MAYO ]]&gt;22.5,Tabla1[[#This Row],[MAYO ]]/22.5-1,0),IF(Tabla1[[#This Row],[MAYO ]]&gt;45,Tabla1[[#This Row],[MAYO ]]/45-1,0))</f>
        <v>0</v>
      </c>
      <c r="AJ357" s="103">
        <f>IF(Tabla1[[#This Row],[TIPO DE CONSUMIDOR]]="MEDIO",IF(Tabla1[[#This Row],[JUNIO ]]&gt;22.5,Tabla1[[#This Row],[JUNIO ]]/22.5-1,0),IF(Tabla1[[#This Row],[JUNIO ]]&gt;45,Tabla1[[#This Row],[JUNIO ]]/45-1,0))</f>
        <v>0</v>
      </c>
      <c r="AK357" s="103">
        <f>IF(Tabla1[[#This Row],[TIPO DE CONSUMIDOR]]="MEDIO",IF(Tabla1[[#This Row],[JULIO ]]&gt;22.5,Tabla1[[#This Row],[JULIO ]]/22.5-1,0),IF(Tabla1[[#This Row],[JULIO ]]&gt;45,Tabla1[[#This Row],[JULIO ]]/45-1,0))</f>
        <v>0</v>
      </c>
      <c r="AL357" s="103">
        <f>IF(Tabla1[[#This Row],[TIPO DE CONSUMIDOR]]="MEDIO",IF(Tabla1[[#This Row],[AGOSTO]]&gt;22.5,Tabla1[[#This Row],[AGOSTO]]/22.5-1,0),IF(Tabla1[[#This Row],[AGOSTO]]&gt;45,Tabla1[[#This Row],[AGOSTO]]/45-1,0))</f>
        <v>0</v>
      </c>
      <c r="AM35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7" s="104">
        <f t="shared" si="12"/>
        <v>0</v>
      </c>
      <c r="AR357" s="9">
        <f t="shared" si="11"/>
        <v>1</v>
      </c>
      <c r="AS357" s="60">
        <f>IF(Tabla1[[#This Row],[MESES DE ADEUDO DEL AÑO EN CURSO ]]&gt;0,1,0)</f>
        <v>1</v>
      </c>
      <c r="AT357" s="42"/>
      <c r="AU357" s="42"/>
      <c r="AV357" s="42"/>
      <c r="AW357" s="43"/>
    </row>
    <row r="358" spans="1:49" ht="21.75" thickBot="1" x14ac:dyDescent="0.35">
      <c r="A358" s="109">
        <v>352</v>
      </c>
      <c r="B358" s="5" t="s">
        <v>594</v>
      </c>
      <c r="C358" s="2" t="s">
        <v>461</v>
      </c>
      <c r="D358" s="32"/>
      <c r="E358" s="35" t="s">
        <v>455</v>
      </c>
      <c r="F358" s="34">
        <v>45</v>
      </c>
      <c r="G358" s="34">
        <v>45</v>
      </c>
      <c r="H358" s="34">
        <v>45</v>
      </c>
      <c r="I358" s="34">
        <v>45</v>
      </c>
      <c r="J358" s="34">
        <v>45</v>
      </c>
      <c r="K358" s="34">
        <v>0</v>
      </c>
      <c r="L358" s="34">
        <v>0</v>
      </c>
      <c r="M358" s="34">
        <v>0</v>
      </c>
      <c r="N358" s="34">
        <v>0</v>
      </c>
      <c r="O358" s="34">
        <v>0</v>
      </c>
      <c r="P358" s="34">
        <v>0</v>
      </c>
      <c r="Q358" s="34">
        <v>0</v>
      </c>
      <c r="R358" s="24">
        <f>SUM(Tabla1[[#This Row],[ENERO ]:[DICIEMBRE]])</f>
        <v>225</v>
      </c>
      <c r="W358" s="65">
        <v>0</v>
      </c>
      <c r="X358" s="21">
        <f>COUNTIF(Tabla1[[#This Row],[ENERO ]:[DICIEMBRE]],0)-(AQ358)-IF(Tabla1[[#This Row],[BAJAS]]="BAJA",IF(Tabla1[[#This Row],[ALTAS]]="ALTA",VLOOKUP(Tabla1[[#This Row],[MES DE ALTA ]],$AT$6:$AU$17,2,FALSE),12)-VLOOKUP(Tabla1[[#This Row],[MES DE BAJA ]],$AT$6:$AU$17,2,FALSE),0)</f>
        <v>7</v>
      </c>
      <c r="Y358" s="69">
        <f>SUM(Tabla1[[#This Row],[MES ADEUDO DE AÑOS PASADOS ]:[MESES DE ADEUDO DEL AÑO EN CURSO ]])</f>
        <v>7</v>
      </c>
      <c r="Z358" s="15">
        <f>IF(Tabla1[[#This Row],[TIPO DE CONSUMIDOR]]="COMPLETO",W358*$T$2,W358*($T$2/2))</f>
        <v>0</v>
      </c>
      <c r="AA358" s="15">
        <f>IF(Tabla1[[#This Row],[TIPO DE CONSUMIDOR]]="COMPLETO",Tabla1[[#This Row],[MESES DE ADEUDO DEL AÑO EN CURSO ]]*$T$2,Tabla1[[#This Row],[MESES DE ADEUDO DEL AÑO EN CURSO ]]*($T$2/2))</f>
        <v>315</v>
      </c>
      <c r="AB358" s="70">
        <f>SUM(Tabla1[[#This Row],[DEUDA DE LOS MESES PASADOS EN $$]:[DEUDA DEL AÑO 2013 $$ ]])</f>
        <v>315</v>
      </c>
      <c r="AE358" s="103">
        <f>IF(Tabla1[[#This Row],[TIPO DE CONSUMIDOR]]="MEDIO",IF(Tabla1[[#This Row],[ENERO ]]&gt;22.5,Tabla1[[#This Row],[ENERO ]]/22.5-1,0),IF(Tabla1[[#This Row],[ENERO ]]&gt;45,Tabla1[[#This Row],[ENERO ]]/45-1,0))</f>
        <v>0</v>
      </c>
      <c r="AF35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8" s="103">
        <f>IF(Tabla1[[#This Row],[TIPO DE CONSUMIDOR]]="MEDIO",IF(Tabla1[[#This Row],[MARZO]]&gt;22.5,Tabla1[[#This Row],[MARZO]]/22.5-1,0),IF(Tabla1[[#This Row],[MARZO]]&gt;45,Tabla1[[#This Row],[MARZO]]/45-1,0))</f>
        <v>0</v>
      </c>
      <c r="AH358" s="103">
        <f>IF(Tabla1[[#This Row],[TIPO DE CONSUMIDOR]]="MEDIO",IF(Tabla1[[#This Row],[ABRIL]]&gt;22.5,Tabla1[[#This Row],[ABRIL]]/22.5-1,0),IF(Tabla1[[#This Row],[ABRIL]]&gt;45,Tabla1[[#This Row],[ABRIL]]/45-1,0))</f>
        <v>0</v>
      </c>
      <c r="AI358" s="103">
        <f>IF(Tabla1[[#This Row],[TIPO DE CONSUMIDOR]]="MEDIO",IF(Tabla1[[#This Row],[MAYO ]]&gt;22.5,Tabla1[[#This Row],[MAYO ]]/22.5-1,0),IF(Tabla1[[#This Row],[MAYO ]]&gt;45,Tabla1[[#This Row],[MAYO ]]/45-1,0))</f>
        <v>0</v>
      </c>
      <c r="AJ358" s="103">
        <f>IF(Tabla1[[#This Row],[TIPO DE CONSUMIDOR]]="MEDIO",IF(Tabla1[[#This Row],[JUNIO ]]&gt;22.5,Tabla1[[#This Row],[JUNIO ]]/22.5-1,0),IF(Tabla1[[#This Row],[JUNIO ]]&gt;45,Tabla1[[#This Row],[JUNIO ]]/45-1,0))</f>
        <v>0</v>
      </c>
      <c r="AK358" s="103">
        <f>IF(Tabla1[[#This Row],[TIPO DE CONSUMIDOR]]="MEDIO",IF(Tabla1[[#This Row],[JULIO ]]&gt;22.5,Tabla1[[#This Row],[JULIO ]]/22.5-1,0),IF(Tabla1[[#This Row],[JULIO ]]&gt;45,Tabla1[[#This Row],[JULIO ]]/45-1,0))</f>
        <v>0</v>
      </c>
      <c r="AL358" s="103">
        <f>IF(Tabla1[[#This Row],[TIPO DE CONSUMIDOR]]="MEDIO",IF(Tabla1[[#This Row],[AGOSTO]]&gt;22.5,Tabla1[[#This Row],[AGOSTO]]/22.5-1,0),IF(Tabla1[[#This Row],[AGOSTO]]&gt;45,Tabla1[[#This Row],[AGOSTO]]/45-1,0))</f>
        <v>0</v>
      </c>
      <c r="AM35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8" s="104">
        <f t="shared" si="12"/>
        <v>0</v>
      </c>
      <c r="AR358" s="9">
        <f t="shared" si="11"/>
        <v>1</v>
      </c>
      <c r="AS358" s="60">
        <f>IF(Tabla1[[#This Row],[MESES DE ADEUDO DEL AÑO EN CURSO ]]&gt;0,1,0)</f>
        <v>1</v>
      </c>
      <c r="AT358" s="42"/>
      <c r="AU358" s="42"/>
      <c r="AV358" s="42"/>
      <c r="AW358" s="43"/>
    </row>
    <row r="359" spans="1:49" ht="21.75" thickBot="1" x14ac:dyDescent="0.35">
      <c r="A359" s="109">
        <v>353</v>
      </c>
      <c r="B359" s="47" t="s">
        <v>474</v>
      </c>
      <c r="C359" s="2" t="s">
        <v>488</v>
      </c>
      <c r="D359" s="32"/>
      <c r="E359" s="35" t="s">
        <v>455</v>
      </c>
      <c r="F359" s="34">
        <v>45</v>
      </c>
      <c r="G359" s="34">
        <v>45</v>
      </c>
      <c r="H359" s="34">
        <v>45</v>
      </c>
      <c r="I359" s="34">
        <v>45</v>
      </c>
      <c r="J359" s="34">
        <v>45</v>
      </c>
      <c r="K359" s="34">
        <v>0</v>
      </c>
      <c r="L359" s="34">
        <v>0</v>
      </c>
      <c r="M359" s="34">
        <v>0</v>
      </c>
      <c r="N359" s="34">
        <v>0</v>
      </c>
      <c r="O359" s="34">
        <v>0</v>
      </c>
      <c r="P359" s="34">
        <v>0</v>
      </c>
      <c r="Q359" s="34">
        <v>0</v>
      </c>
      <c r="R359" s="24">
        <f>SUM(Tabla1[[#This Row],[ENERO ]:[DICIEMBRE]])</f>
        <v>225</v>
      </c>
      <c r="W359" s="65">
        <v>0</v>
      </c>
      <c r="X359" s="21">
        <f>COUNTIF(Tabla1[[#This Row],[ENERO ]:[DICIEMBRE]],0)-(AQ359)-IF(Tabla1[[#This Row],[BAJAS]]="BAJA",IF(Tabla1[[#This Row],[ALTAS]]="ALTA",VLOOKUP(Tabla1[[#This Row],[MES DE ALTA ]],$AT$6:$AU$17,2,FALSE),12)-VLOOKUP(Tabla1[[#This Row],[MES DE BAJA ]],$AT$6:$AU$17,2,FALSE),0)</f>
        <v>7</v>
      </c>
      <c r="Y359" s="69">
        <f>SUM(Tabla1[[#This Row],[MES ADEUDO DE AÑOS PASADOS ]:[MESES DE ADEUDO DEL AÑO EN CURSO ]])</f>
        <v>7</v>
      </c>
      <c r="Z359" s="15">
        <f>IF(Tabla1[[#This Row],[TIPO DE CONSUMIDOR]]="COMPLETO",W359*$T$2,W359*($T$2/2))</f>
        <v>0</v>
      </c>
      <c r="AA359" s="15">
        <f>IF(Tabla1[[#This Row],[TIPO DE CONSUMIDOR]]="COMPLETO",Tabla1[[#This Row],[MESES DE ADEUDO DEL AÑO EN CURSO ]]*$T$2,Tabla1[[#This Row],[MESES DE ADEUDO DEL AÑO EN CURSO ]]*($T$2/2))</f>
        <v>315</v>
      </c>
      <c r="AB359" s="70">
        <f>SUM(Tabla1[[#This Row],[DEUDA DE LOS MESES PASADOS EN $$]:[DEUDA DEL AÑO 2013 $$ ]])</f>
        <v>315</v>
      </c>
      <c r="AE359" s="103">
        <f>IF(Tabla1[[#This Row],[TIPO DE CONSUMIDOR]]="MEDIO",IF(Tabla1[[#This Row],[ENERO ]]&gt;22.5,Tabla1[[#This Row],[ENERO ]]/22.5-1,0),IF(Tabla1[[#This Row],[ENERO ]]&gt;45,Tabla1[[#This Row],[ENERO ]]/45-1,0))</f>
        <v>0</v>
      </c>
      <c r="AF35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59" s="103">
        <f>IF(Tabla1[[#This Row],[TIPO DE CONSUMIDOR]]="MEDIO",IF(Tabla1[[#This Row],[MARZO]]&gt;22.5,Tabla1[[#This Row],[MARZO]]/22.5-1,0),IF(Tabla1[[#This Row],[MARZO]]&gt;45,Tabla1[[#This Row],[MARZO]]/45-1,0))</f>
        <v>0</v>
      </c>
      <c r="AH359" s="103">
        <f>IF(Tabla1[[#This Row],[TIPO DE CONSUMIDOR]]="MEDIO",IF(Tabla1[[#This Row],[ABRIL]]&gt;22.5,Tabla1[[#This Row],[ABRIL]]/22.5-1,0),IF(Tabla1[[#This Row],[ABRIL]]&gt;45,Tabla1[[#This Row],[ABRIL]]/45-1,0))</f>
        <v>0</v>
      </c>
      <c r="AI359" s="103">
        <f>IF(Tabla1[[#This Row],[TIPO DE CONSUMIDOR]]="MEDIO",IF(Tabla1[[#This Row],[MAYO ]]&gt;22.5,Tabla1[[#This Row],[MAYO ]]/22.5-1,0),IF(Tabla1[[#This Row],[MAYO ]]&gt;45,Tabla1[[#This Row],[MAYO ]]/45-1,0))</f>
        <v>0</v>
      </c>
      <c r="AJ359" s="103">
        <f>IF(Tabla1[[#This Row],[TIPO DE CONSUMIDOR]]="MEDIO",IF(Tabla1[[#This Row],[JUNIO ]]&gt;22.5,Tabla1[[#This Row],[JUNIO ]]/22.5-1,0),IF(Tabla1[[#This Row],[JUNIO ]]&gt;45,Tabla1[[#This Row],[JUNIO ]]/45-1,0))</f>
        <v>0</v>
      </c>
      <c r="AK359" s="103">
        <f>IF(Tabla1[[#This Row],[TIPO DE CONSUMIDOR]]="MEDIO",IF(Tabla1[[#This Row],[JULIO ]]&gt;22.5,Tabla1[[#This Row],[JULIO ]]/22.5-1,0),IF(Tabla1[[#This Row],[JULIO ]]&gt;45,Tabla1[[#This Row],[JULIO ]]/45-1,0))</f>
        <v>0</v>
      </c>
      <c r="AL359" s="103">
        <f>IF(Tabla1[[#This Row],[TIPO DE CONSUMIDOR]]="MEDIO",IF(Tabla1[[#This Row],[AGOSTO]]&gt;22.5,Tabla1[[#This Row],[AGOSTO]]/22.5-1,0),IF(Tabla1[[#This Row],[AGOSTO]]&gt;45,Tabla1[[#This Row],[AGOSTO]]/45-1,0))</f>
        <v>0</v>
      </c>
      <c r="AM35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5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5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5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59" s="104">
        <f t="shared" si="12"/>
        <v>0</v>
      </c>
      <c r="AR359" s="9">
        <f t="shared" si="11"/>
        <v>1</v>
      </c>
      <c r="AS359" s="60">
        <f>IF(Tabla1[[#This Row],[MESES DE ADEUDO DEL AÑO EN CURSO ]]&gt;0,1,0)</f>
        <v>1</v>
      </c>
      <c r="AT359" s="42"/>
      <c r="AU359" s="42"/>
      <c r="AV359" s="42"/>
      <c r="AW359" s="43"/>
    </row>
    <row r="360" spans="1:49" ht="21.75" thickBot="1" x14ac:dyDescent="0.35">
      <c r="A360" s="109">
        <v>354</v>
      </c>
      <c r="B360" s="5" t="s">
        <v>74</v>
      </c>
      <c r="C360" s="2" t="s">
        <v>480</v>
      </c>
      <c r="D360" s="32"/>
      <c r="E360" s="35" t="s">
        <v>455</v>
      </c>
      <c r="F360" s="34">
        <v>45</v>
      </c>
      <c r="G360" s="34">
        <v>45</v>
      </c>
      <c r="H360" s="34">
        <v>45</v>
      </c>
      <c r="I360" s="34">
        <v>45</v>
      </c>
      <c r="J360" s="34">
        <v>45</v>
      </c>
      <c r="K360" s="34">
        <v>0</v>
      </c>
      <c r="L360" s="34">
        <v>0</v>
      </c>
      <c r="M360" s="34">
        <v>0</v>
      </c>
      <c r="N360" s="34">
        <v>0</v>
      </c>
      <c r="O360" s="34">
        <v>0</v>
      </c>
      <c r="P360" s="34">
        <v>0</v>
      </c>
      <c r="Q360" s="34">
        <v>0</v>
      </c>
      <c r="R360" s="24">
        <f>SUM(Tabla1[[#This Row],[ENERO ]:[DICIEMBRE]])</f>
        <v>225</v>
      </c>
      <c r="W360" s="65">
        <v>0</v>
      </c>
      <c r="X360" s="21">
        <f>COUNTIF(Tabla1[[#This Row],[ENERO ]:[DICIEMBRE]],0)-(AQ360)-IF(Tabla1[[#This Row],[BAJAS]]="BAJA",IF(Tabla1[[#This Row],[ALTAS]]="ALTA",VLOOKUP(Tabla1[[#This Row],[MES DE ALTA ]],$AT$6:$AU$17,2,FALSE),12)-VLOOKUP(Tabla1[[#This Row],[MES DE BAJA ]],$AT$6:$AU$17,2,FALSE),0)</f>
        <v>7</v>
      </c>
      <c r="Y360" s="69">
        <f>SUM(Tabla1[[#This Row],[MES ADEUDO DE AÑOS PASADOS ]:[MESES DE ADEUDO DEL AÑO EN CURSO ]])</f>
        <v>7</v>
      </c>
      <c r="Z360" s="15">
        <f>IF(Tabla1[[#This Row],[TIPO DE CONSUMIDOR]]="COMPLETO",W360*$T$2,W360*($T$2/2))</f>
        <v>0</v>
      </c>
      <c r="AA360" s="15">
        <f>IF(Tabla1[[#This Row],[TIPO DE CONSUMIDOR]]="COMPLETO",Tabla1[[#This Row],[MESES DE ADEUDO DEL AÑO EN CURSO ]]*$T$2,Tabla1[[#This Row],[MESES DE ADEUDO DEL AÑO EN CURSO ]]*($T$2/2))</f>
        <v>315</v>
      </c>
      <c r="AB360" s="70">
        <f>SUM(Tabla1[[#This Row],[DEUDA DE LOS MESES PASADOS EN $$]:[DEUDA DEL AÑO 2013 $$ ]])</f>
        <v>315</v>
      </c>
      <c r="AE360" s="103">
        <f>IF(Tabla1[[#This Row],[TIPO DE CONSUMIDOR]]="MEDIO",IF(Tabla1[[#This Row],[ENERO ]]&gt;22.5,Tabla1[[#This Row],[ENERO ]]/22.5-1,0),IF(Tabla1[[#This Row],[ENERO ]]&gt;45,Tabla1[[#This Row],[ENERO ]]/45-1,0))</f>
        <v>0</v>
      </c>
      <c r="AF36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0" s="103">
        <f>IF(Tabla1[[#This Row],[TIPO DE CONSUMIDOR]]="MEDIO",IF(Tabla1[[#This Row],[MARZO]]&gt;22.5,Tabla1[[#This Row],[MARZO]]/22.5-1,0),IF(Tabla1[[#This Row],[MARZO]]&gt;45,Tabla1[[#This Row],[MARZO]]/45-1,0))</f>
        <v>0</v>
      </c>
      <c r="AH360" s="103">
        <f>IF(Tabla1[[#This Row],[TIPO DE CONSUMIDOR]]="MEDIO",IF(Tabla1[[#This Row],[ABRIL]]&gt;22.5,Tabla1[[#This Row],[ABRIL]]/22.5-1,0),IF(Tabla1[[#This Row],[ABRIL]]&gt;45,Tabla1[[#This Row],[ABRIL]]/45-1,0))</f>
        <v>0</v>
      </c>
      <c r="AI360" s="103">
        <f>IF(Tabla1[[#This Row],[TIPO DE CONSUMIDOR]]="MEDIO",IF(Tabla1[[#This Row],[MAYO ]]&gt;22.5,Tabla1[[#This Row],[MAYO ]]/22.5-1,0),IF(Tabla1[[#This Row],[MAYO ]]&gt;45,Tabla1[[#This Row],[MAYO ]]/45-1,0))</f>
        <v>0</v>
      </c>
      <c r="AJ360" s="103">
        <f>IF(Tabla1[[#This Row],[TIPO DE CONSUMIDOR]]="MEDIO",IF(Tabla1[[#This Row],[JUNIO ]]&gt;22.5,Tabla1[[#This Row],[JUNIO ]]/22.5-1,0),IF(Tabla1[[#This Row],[JUNIO ]]&gt;45,Tabla1[[#This Row],[JUNIO ]]/45-1,0))</f>
        <v>0</v>
      </c>
      <c r="AK360" s="103">
        <f>IF(Tabla1[[#This Row],[TIPO DE CONSUMIDOR]]="MEDIO",IF(Tabla1[[#This Row],[JULIO ]]&gt;22.5,Tabla1[[#This Row],[JULIO ]]/22.5-1,0),IF(Tabla1[[#This Row],[JULIO ]]&gt;45,Tabla1[[#This Row],[JULIO ]]/45-1,0))</f>
        <v>0</v>
      </c>
      <c r="AL360" s="103">
        <f>IF(Tabla1[[#This Row],[TIPO DE CONSUMIDOR]]="MEDIO",IF(Tabla1[[#This Row],[AGOSTO]]&gt;22.5,Tabla1[[#This Row],[AGOSTO]]/22.5-1,0),IF(Tabla1[[#This Row],[AGOSTO]]&gt;45,Tabla1[[#This Row],[AGOSTO]]/45-1,0))</f>
        <v>0</v>
      </c>
      <c r="AM36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0" s="104">
        <f t="shared" si="12"/>
        <v>0</v>
      </c>
      <c r="AR360" s="9">
        <f t="shared" si="11"/>
        <v>1</v>
      </c>
      <c r="AS360" s="60">
        <f>IF(Tabla1[[#This Row],[MESES DE ADEUDO DEL AÑO EN CURSO ]]&gt;0,1,0)</f>
        <v>1</v>
      </c>
      <c r="AT360" s="42"/>
      <c r="AU360" s="42"/>
      <c r="AV360" s="42"/>
      <c r="AW360" s="43"/>
    </row>
    <row r="361" spans="1:49" ht="21.75" thickBot="1" x14ac:dyDescent="0.35">
      <c r="A361" s="109">
        <v>355</v>
      </c>
      <c r="B361" s="5" t="s">
        <v>514</v>
      </c>
      <c r="C361" s="2" t="s">
        <v>511</v>
      </c>
      <c r="D361" s="32"/>
      <c r="E361" s="35" t="s">
        <v>455</v>
      </c>
      <c r="F361" s="34">
        <v>45</v>
      </c>
      <c r="G361" s="34">
        <v>45</v>
      </c>
      <c r="H361" s="34">
        <v>45</v>
      </c>
      <c r="I361" s="34">
        <v>45</v>
      </c>
      <c r="J361" s="34">
        <v>45</v>
      </c>
      <c r="K361" s="34">
        <v>0</v>
      </c>
      <c r="L361" s="34">
        <v>0</v>
      </c>
      <c r="M361" s="34">
        <v>0</v>
      </c>
      <c r="N361" s="34">
        <v>0</v>
      </c>
      <c r="O361" s="34">
        <v>0</v>
      </c>
      <c r="P361" s="34">
        <v>0</v>
      </c>
      <c r="Q361" s="34">
        <v>0</v>
      </c>
      <c r="R361" s="24">
        <f>SUM(Tabla1[[#This Row],[ENERO ]:[DICIEMBRE]])</f>
        <v>225</v>
      </c>
      <c r="W361" s="65">
        <v>0</v>
      </c>
      <c r="X361" s="21">
        <f>COUNTIF(Tabla1[[#This Row],[ENERO ]:[DICIEMBRE]],0)-(AQ361)-IF(Tabla1[[#This Row],[BAJAS]]="BAJA",IF(Tabla1[[#This Row],[ALTAS]]="ALTA",VLOOKUP(Tabla1[[#This Row],[MES DE ALTA ]],$AT$6:$AU$17,2,FALSE),12)-VLOOKUP(Tabla1[[#This Row],[MES DE BAJA ]],$AT$6:$AU$17,2,FALSE),0)</f>
        <v>7</v>
      </c>
      <c r="Y361" s="69">
        <f>SUM(Tabla1[[#This Row],[MES ADEUDO DE AÑOS PASADOS ]:[MESES DE ADEUDO DEL AÑO EN CURSO ]])</f>
        <v>7</v>
      </c>
      <c r="Z361" s="15">
        <f>IF(Tabla1[[#This Row],[TIPO DE CONSUMIDOR]]="COMPLETO",W361*$T$2,W361*($T$2/2))</f>
        <v>0</v>
      </c>
      <c r="AA361" s="15">
        <f>IF(Tabla1[[#This Row],[TIPO DE CONSUMIDOR]]="COMPLETO",Tabla1[[#This Row],[MESES DE ADEUDO DEL AÑO EN CURSO ]]*$T$2,Tabla1[[#This Row],[MESES DE ADEUDO DEL AÑO EN CURSO ]]*($T$2/2))</f>
        <v>315</v>
      </c>
      <c r="AB361" s="70">
        <f>SUM(Tabla1[[#This Row],[DEUDA DE LOS MESES PASADOS EN $$]:[DEUDA DEL AÑO 2013 $$ ]])</f>
        <v>315</v>
      </c>
      <c r="AE361" s="103">
        <f>IF(Tabla1[[#This Row],[TIPO DE CONSUMIDOR]]="MEDIO",IF(Tabla1[[#This Row],[ENERO ]]&gt;22.5,Tabla1[[#This Row],[ENERO ]]/22.5-1,0),IF(Tabla1[[#This Row],[ENERO ]]&gt;45,Tabla1[[#This Row],[ENERO ]]/45-1,0))</f>
        <v>0</v>
      </c>
      <c r="AF36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1" s="103">
        <f>IF(Tabla1[[#This Row],[TIPO DE CONSUMIDOR]]="MEDIO",IF(Tabla1[[#This Row],[MARZO]]&gt;22.5,Tabla1[[#This Row],[MARZO]]/22.5-1,0),IF(Tabla1[[#This Row],[MARZO]]&gt;45,Tabla1[[#This Row],[MARZO]]/45-1,0))</f>
        <v>0</v>
      </c>
      <c r="AH361" s="103">
        <f>IF(Tabla1[[#This Row],[TIPO DE CONSUMIDOR]]="MEDIO",IF(Tabla1[[#This Row],[ABRIL]]&gt;22.5,Tabla1[[#This Row],[ABRIL]]/22.5-1,0),IF(Tabla1[[#This Row],[ABRIL]]&gt;45,Tabla1[[#This Row],[ABRIL]]/45-1,0))</f>
        <v>0</v>
      </c>
      <c r="AI361" s="103">
        <f>IF(Tabla1[[#This Row],[TIPO DE CONSUMIDOR]]="MEDIO",IF(Tabla1[[#This Row],[MAYO ]]&gt;22.5,Tabla1[[#This Row],[MAYO ]]/22.5-1,0),IF(Tabla1[[#This Row],[MAYO ]]&gt;45,Tabla1[[#This Row],[MAYO ]]/45-1,0))</f>
        <v>0</v>
      </c>
      <c r="AJ361" s="103">
        <f>IF(Tabla1[[#This Row],[TIPO DE CONSUMIDOR]]="MEDIO",IF(Tabla1[[#This Row],[JUNIO ]]&gt;22.5,Tabla1[[#This Row],[JUNIO ]]/22.5-1,0),IF(Tabla1[[#This Row],[JUNIO ]]&gt;45,Tabla1[[#This Row],[JUNIO ]]/45-1,0))</f>
        <v>0</v>
      </c>
      <c r="AK361" s="103">
        <f>IF(Tabla1[[#This Row],[TIPO DE CONSUMIDOR]]="MEDIO",IF(Tabla1[[#This Row],[JULIO ]]&gt;22.5,Tabla1[[#This Row],[JULIO ]]/22.5-1,0),IF(Tabla1[[#This Row],[JULIO ]]&gt;45,Tabla1[[#This Row],[JULIO ]]/45-1,0))</f>
        <v>0</v>
      </c>
      <c r="AL361" s="103">
        <f>IF(Tabla1[[#This Row],[TIPO DE CONSUMIDOR]]="MEDIO",IF(Tabla1[[#This Row],[AGOSTO]]&gt;22.5,Tabla1[[#This Row],[AGOSTO]]/22.5-1,0),IF(Tabla1[[#This Row],[AGOSTO]]&gt;45,Tabla1[[#This Row],[AGOSTO]]/45-1,0))</f>
        <v>0</v>
      </c>
      <c r="AM36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1" s="104">
        <f t="shared" si="12"/>
        <v>0</v>
      </c>
      <c r="AR361" s="9">
        <f t="shared" si="11"/>
        <v>1</v>
      </c>
      <c r="AS361" s="60">
        <f>IF(Tabla1[[#This Row],[MESES DE ADEUDO DEL AÑO EN CURSO ]]&gt;0,1,0)</f>
        <v>1</v>
      </c>
      <c r="AT361" s="42"/>
      <c r="AU361" s="42"/>
      <c r="AV361" s="42"/>
      <c r="AW361" s="43"/>
    </row>
    <row r="362" spans="1:49" ht="21.75" thickBot="1" x14ac:dyDescent="0.35">
      <c r="A362" s="109">
        <v>356</v>
      </c>
      <c r="B362" s="5" t="s">
        <v>543</v>
      </c>
      <c r="C362" s="2" t="s">
        <v>530</v>
      </c>
      <c r="D362" s="32"/>
      <c r="E362" s="35" t="s">
        <v>455</v>
      </c>
      <c r="F362" s="34">
        <v>45</v>
      </c>
      <c r="G362" s="34">
        <v>45</v>
      </c>
      <c r="H362" s="34">
        <v>45</v>
      </c>
      <c r="I362" s="34">
        <v>45</v>
      </c>
      <c r="J362" s="34">
        <v>45</v>
      </c>
      <c r="K362" s="34">
        <v>0</v>
      </c>
      <c r="L362" s="34">
        <v>0</v>
      </c>
      <c r="M362" s="34">
        <v>0</v>
      </c>
      <c r="N362" s="34">
        <v>0</v>
      </c>
      <c r="O362" s="34">
        <v>0</v>
      </c>
      <c r="P362" s="34">
        <v>0</v>
      </c>
      <c r="Q362" s="34">
        <v>0</v>
      </c>
      <c r="R362" s="24">
        <f>SUM(Tabla1[[#This Row],[ENERO ]:[DICIEMBRE]])</f>
        <v>225</v>
      </c>
      <c r="W362" s="65">
        <v>0</v>
      </c>
      <c r="X362" s="21">
        <f>COUNTIF(Tabla1[[#This Row],[ENERO ]:[DICIEMBRE]],0)-(AQ362)-IF(Tabla1[[#This Row],[BAJAS]]="BAJA",IF(Tabla1[[#This Row],[ALTAS]]="ALTA",VLOOKUP(Tabla1[[#This Row],[MES DE ALTA ]],$AT$6:$AU$17,2,FALSE),12)-VLOOKUP(Tabla1[[#This Row],[MES DE BAJA ]],$AT$6:$AU$17,2,FALSE),0)</f>
        <v>7</v>
      </c>
      <c r="Y362" s="69">
        <f>SUM(Tabla1[[#This Row],[MES ADEUDO DE AÑOS PASADOS ]:[MESES DE ADEUDO DEL AÑO EN CURSO ]])</f>
        <v>7</v>
      </c>
      <c r="Z362" s="15">
        <f>IF(Tabla1[[#This Row],[TIPO DE CONSUMIDOR]]="COMPLETO",W362*$T$2,W362*($T$2/2))</f>
        <v>0</v>
      </c>
      <c r="AA362" s="15">
        <f>IF(Tabla1[[#This Row],[TIPO DE CONSUMIDOR]]="COMPLETO",Tabla1[[#This Row],[MESES DE ADEUDO DEL AÑO EN CURSO ]]*$T$2,Tabla1[[#This Row],[MESES DE ADEUDO DEL AÑO EN CURSO ]]*($T$2/2))</f>
        <v>315</v>
      </c>
      <c r="AB362" s="70">
        <f>SUM(Tabla1[[#This Row],[DEUDA DE LOS MESES PASADOS EN $$]:[DEUDA DEL AÑO 2013 $$ ]])</f>
        <v>315</v>
      </c>
      <c r="AE362" s="103">
        <f>IF(Tabla1[[#This Row],[TIPO DE CONSUMIDOR]]="MEDIO",IF(Tabla1[[#This Row],[ENERO ]]&gt;22.5,Tabla1[[#This Row],[ENERO ]]/22.5-1,0),IF(Tabla1[[#This Row],[ENERO ]]&gt;45,Tabla1[[#This Row],[ENERO ]]/45-1,0))</f>
        <v>0</v>
      </c>
      <c r="AF36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2" s="103">
        <f>IF(Tabla1[[#This Row],[TIPO DE CONSUMIDOR]]="MEDIO",IF(Tabla1[[#This Row],[MARZO]]&gt;22.5,Tabla1[[#This Row],[MARZO]]/22.5-1,0),IF(Tabla1[[#This Row],[MARZO]]&gt;45,Tabla1[[#This Row],[MARZO]]/45-1,0))</f>
        <v>0</v>
      </c>
      <c r="AH362" s="103">
        <f>IF(Tabla1[[#This Row],[TIPO DE CONSUMIDOR]]="MEDIO",IF(Tabla1[[#This Row],[ABRIL]]&gt;22.5,Tabla1[[#This Row],[ABRIL]]/22.5-1,0),IF(Tabla1[[#This Row],[ABRIL]]&gt;45,Tabla1[[#This Row],[ABRIL]]/45-1,0))</f>
        <v>0</v>
      </c>
      <c r="AI362" s="103">
        <f>IF(Tabla1[[#This Row],[TIPO DE CONSUMIDOR]]="MEDIO",IF(Tabla1[[#This Row],[MAYO ]]&gt;22.5,Tabla1[[#This Row],[MAYO ]]/22.5-1,0),IF(Tabla1[[#This Row],[MAYO ]]&gt;45,Tabla1[[#This Row],[MAYO ]]/45-1,0))</f>
        <v>0</v>
      </c>
      <c r="AJ362" s="103">
        <f>IF(Tabla1[[#This Row],[TIPO DE CONSUMIDOR]]="MEDIO",IF(Tabla1[[#This Row],[JUNIO ]]&gt;22.5,Tabla1[[#This Row],[JUNIO ]]/22.5-1,0),IF(Tabla1[[#This Row],[JUNIO ]]&gt;45,Tabla1[[#This Row],[JUNIO ]]/45-1,0))</f>
        <v>0</v>
      </c>
      <c r="AK362" s="103">
        <f>IF(Tabla1[[#This Row],[TIPO DE CONSUMIDOR]]="MEDIO",IF(Tabla1[[#This Row],[JULIO ]]&gt;22.5,Tabla1[[#This Row],[JULIO ]]/22.5-1,0),IF(Tabla1[[#This Row],[JULIO ]]&gt;45,Tabla1[[#This Row],[JULIO ]]/45-1,0))</f>
        <v>0</v>
      </c>
      <c r="AL362" s="103">
        <f>IF(Tabla1[[#This Row],[TIPO DE CONSUMIDOR]]="MEDIO",IF(Tabla1[[#This Row],[AGOSTO]]&gt;22.5,Tabla1[[#This Row],[AGOSTO]]/22.5-1,0),IF(Tabla1[[#This Row],[AGOSTO]]&gt;45,Tabla1[[#This Row],[AGOSTO]]/45-1,0))</f>
        <v>0</v>
      </c>
      <c r="AM36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2" s="104">
        <f t="shared" si="12"/>
        <v>0</v>
      </c>
      <c r="AR362" s="9">
        <f t="shared" si="11"/>
        <v>1</v>
      </c>
      <c r="AS362" s="60">
        <f>IF(Tabla1[[#This Row],[MESES DE ADEUDO DEL AÑO EN CURSO ]]&gt;0,1,0)</f>
        <v>1</v>
      </c>
      <c r="AT362" s="42"/>
      <c r="AU362" s="42"/>
      <c r="AV362" s="42"/>
      <c r="AW362" s="43"/>
    </row>
    <row r="363" spans="1:49" ht="21.75" thickBot="1" x14ac:dyDescent="0.35">
      <c r="A363" s="109">
        <v>357</v>
      </c>
      <c r="B363" s="5" t="s">
        <v>92</v>
      </c>
      <c r="C363" s="2" t="s">
        <v>530</v>
      </c>
      <c r="D363" s="32"/>
      <c r="E363" s="35" t="s">
        <v>455</v>
      </c>
      <c r="F363" s="34">
        <v>45</v>
      </c>
      <c r="G363" s="34">
        <v>45</v>
      </c>
      <c r="H363" s="34">
        <v>45</v>
      </c>
      <c r="I363" s="34">
        <v>45</v>
      </c>
      <c r="J363" s="34">
        <v>45</v>
      </c>
      <c r="K363" s="34">
        <v>0</v>
      </c>
      <c r="L363" s="34">
        <v>0</v>
      </c>
      <c r="M363" s="34">
        <v>0</v>
      </c>
      <c r="N363" s="34">
        <v>0</v>
      </c>
      <c r="O363" s="34">
        <v>0</v>
      </c>
      <c r="P363" s="34">
        <v>0</v>
      </c>
      <c r="Q363" s="34">
        <v>0</v>
      </c>
      <c r="R363" s="24">
        <f>SUM(Tabla1[[#This Row],[ENERO ]:[DICIEMBRE]])</f>
        <v>225</v>
      </c>
      <c r="W363" s="65">
        <v>0</v>
      </c>
      <c r="X363" s="21">
        <f>COUNTIF(Tabla1[[#This Row],[ENERO ]:[DICIEMBRE]],0)-(AQ363)-IF(Tabla1[[#This Row],[BAJAS]]="BAJA",IF(Tabla1[[#This Row],[ALTAS]]="ALTA",VLOOKUP(Tabla1[[#This Row],[MES DE ALTA ]],$AT$6:$AU$17,2,FALSE),12)-VLOOKUP(Tabla1[[#This Row],[MES DE BAJA ]],$AT$6:$AU$17,2,FALSE),0)</f>
        <v>7</v>
      </c>
      <c r="Y363" s="69">
        <f>SUM(Tabla1[[#This Row],[MES ADEUDO DE AÑOS PASADOS ]:[MESES DE ADEUDO DEL AÑO EN CURSO ]])</f>
        <v>7</v>
      </c>
      <c r="Z363" s="15">
        <f>IF(Tabla1[[#This Row],[TIPO DE CONSUMIDOR]]="COMPLETO",W363*$T$2,W363*($T$2/2))</f>
        <v>0</v>
      </c>
      <c r="AA363" s="15">
        <f>IF(Tabla1[[#This Row],[TIPO DE CONSUMIDOR]]="COMPLETO",Tabla1[[#This Row],[MESES DE ADEUDO DEL AÑO EN CURSO ]]*$T$2,Tabla1[[#This Row],[MESES DE ADEUDO DEL AÑO EN CURSO ]]*($T$2/2))</f>
        <v>315</v>
      </c>
      <c r="AB363" s="70">
        <f>SUM(Tabla1[[#This Row],[DEUDA DE LOS MESES PASADOS EN $$]:[DEUDA DEL AÑO 2013 $$ ]])</f>
        <v>315</v>
      </c>
      <c r="AE363" s="103">
        <f>IF(Tabla1[[#This Row],[TIPO DE CONSUMIDOR]]="MEDIO",IF(Tabla1[[#This Row],[ENERO ]]&gt;22.5,Tabla1[[#This Row],[ENERO ]]/22.5-1,0),IF(Tabla1[[#This Row],[ENERO ]]&gt;45,Tabla1[[#This Row],[ENERO ]]/45-1,0))</f>
        <v>0</v>
      </c>
      <c r="AF36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3" s="103">
        <f>IF(Tabla1[[#This Row],[TIPO DE CONSUMIDOR]]="MEDIO",IF(Tabla1[[#This Row],[MARZO]]&gt;22.5,Tabla1[[#This Row],[MARZO]]/22.5-1,0),IF(Tabla1[[#This Row],[MARZO]]&gt;45,Tabla1[[#This Row],[MARZO]]/45-1,0))</f>
        <v>0</v>
      </c>
      <c r="AH363" s="103">
        <f>IF(Tabla1[[#This Row],[TIPO DE CONSUMIDOR]]="MEDIO",IF(Tabla1[[#This Row],[ABRIL]]&gt;22.5,Tabla1[[#This Row],[ABRIL]]/22.5-1,0),IF(Tabla1[[#This Row],[ABRIL]]&gt;45,Tabla1[[#This Row],[ABRIL]]/45-1,0))</f>
        <v>0</v>
      </c>
      <c r="AI363" s="103">
        <f>IF(Tabla1[[#This Row],[TIPO DE CONSUMIDOR]]="MEDIO",IF(Tabla1[[#This Row],[MAYO ]]&gt;22.5,Tabla1[[#This Row],[MAYO ]]/22.5-1,0),IF(Tabla1[[#This Row],[MAYO ]]&gt;45,Tabla1[[#This Row],[MAYO ]]/45-1,0))</f>
        <v>0</v>
      </c>
      <c r="AJ363" s="103">
        <f>IF(Tabla1[[#This Row],[TIPO DE CONSUMIDOR]]="MEDIO",IF(Tabla1[[#This Row],[JUNIO ]]&gt;22.5,Tabla1[[#This Row],[JUNIO ]]/22.5-1,0),IF(Tabla1[[#This Row],[JUNIO ]]&gt;45,Tabla1[[#This Row],[JUNIO ]]/45-1,0))</f>
        <v>0</v>
      </c>
      <c r="AK363" s="103">
        <f>IF(Tabla1[[#This Row],[TIPO DE CONSUMIDOR]]="MEDIO",IF(Tabla1[[#This Row],[JULIO ]]&gt;22.5,Tabla1[[#This Row],[JULIO ]]/22.5-1,0),IF(Tabla1[[#This Row],[JULIO ]]&gt;45,Tabla1[[#This Row],[JULIO ]]/45-1,0))</f>
        <v>0</v>
      </c>
      <c r="AL363" s="103">
        <f>IF(Tabla1[[#This Row],[TIPO DE CONSUMIDOR]]="MEDIO",IF(Tabla1[[#This Row],[AGOSTO]]&gt;22.5,Tabla1[[#This Row],[AGOSTO]]/22.5-1,0),IF(Tabla1[[#This Row],[AGOSTO]]&gt;45,Tabla1[[#This Row],[AGOSTO]]/45-1,0))</f>
        <v>0</v>
      </c>
      <c r="AM36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3" s="104">
        <f t="shared" si="12"/>
        <v>0</v>
      </c>
      <c r="AR363" s="9">
        <f t="shared" si="11"/>
        <v>1</v>
      </c>
      <c r="AS363" s="60">
        <f>IF(Tabla1[[#This Row],[MESES DE ADEUDO DEL AÑO EN CURSO ]]&gt;0,1,0)</f>
        <v>1</v>
      </c>
      <c r="AT363" s="42"/>
      <c r="AU363" s="42"/>
      <c r="AV363" s="42"/>
      <c r="AW363" s="43"/>
    </row>
    <row r="364" spans="1:49" ht="21.75" thickBot="1" x14ac:dyDescent="0.35">
      <c r="A364" s="109">
        <v>358</v>
      </c>
      <c r="B364" s="5" t="s">
        <v>223</v>
      </c>
      <c r="C364" s="2" t="s">
        <v>530</v>
      </c>
      <c r="D364" s="32"/>
      <c r="E364" s="35" t="s">
        <v>455</v>
      </c>
      <c r="F364" s="34">
        <v>45</v>
      </c>
      <c r="G364" s="34">
        <v>45</v>
      </c>
      <c r="H364" s="34">
        <v>45</v>
      </c>
      <c r="I364" s="34">
        <v>45</v>
      </c>
      <c r="J364" s="34">
        <v>45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24">
        <f>SUM(Tabla1[[#This Row],[ENERO ]:[DICIEMBRE]])</f>
        <v>225</v>
      </c>
      <c r="W364" s="65">
        <v>0</v>
      </c>
      <c r="X364" s="21">
        <f>COUNTIF(Tabla1[[#This Row],[ENERO ]:[DICIEMBRE]],0)-(AQ364)-IF(Tabla1[[#This Row],[BAJAS]]="BAJA",IF(Tabla1[[#This Row],[ALTAS]]="ALTA",VLOOKUP(Tabla1[[#This Row],[MES DE ALTA ]],$AT$6:$AU$17,2,FALSE),12)-VLOOKUP(Tabla1[[#This Row],[MES DE BAJA ]],$AT$6:$AU$17,2,FALSE),0)</f>
        <v>7</v>
      </c>
      <c r="Y364" s="69">
        <f>SUM(Tabla1[[#This Row],[MES ADEUDO DE AÑOS PASADOS ]:[MESES DE ADEUDO DEL AÑO EN CURSO ]])</f>
        <v>7</v>
      </c>
      <c r="Z364" s="15">
        <f>IF(Tabla1[[#This Row],[TIPO DE CONSUMIDOR]]="COMPLETO",W364*$T$2,W364*($T$2/2))</f>
        <v>0</v>
      </c>
      <c r="AA364" s="15">
        <f>IF(Tabla1[[#This Row],[TIPO DE CONSUMIDOR]]="COMPLETO",Tabla1[[#This Row],[MESES DE ADEUDO DEL AÑO EN CURSO ]]*$T$2,Tabla1[[#This Row],[MESES DE ADEUDO DEL AÑO EN CURSO ]]*($T$2/2))</f>
        <v>315</v>
      </c>
      <c r="AB364" s="70">
        <f>SUM(Tabla1[[#This Row],[DEUDA DE LOS MESES PASADOS EN $$]:[DEUDA DEL AÑO 2013 $$ ]])</f>
        <v>315</v>
      </c>
      <c r="AE364" s="103">
        <f>IF(Tabla1[[#This Row],[TIPO DE CONSUMIDOR]]="MEDIO",IF(Tabla1[[#This Row],[ENERO ]]&gt;22.5,Tabla1[[#This Row],[ENERO ]]/22.5-1,0),IF(Tabla1[[#This Row],[ENERO ]]&gt;45,Tabla1[[#This Row],[ENERO ]]/45-1,0))</f>
        <v>0</v>
      </c>
      <c r="AF36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4" s="103">
        <f>IF(Tabla1[[#This Row],[TIPO DE CONSUMIDOR]]="MEDIO",IF(Tabla1[[#This Row],[MARZO]]&gt;22.5,Tabla1[[#This Row],[MARZO]]/22.5-1,0),IF(Tabla1[[#This Row],[MARZO]]&gt;45,Tabla1[[#This Row],[MARZO]]/45-1,0))</f>
        <v>0</v>
      </c>
      <c r="AH364" s="103">
        <f>IF(Tabla1[[#This Row],[TIPO DE CONSUMIDOR]]="MEDIO",IF(Tabla1[[#This Row],[ABRIL]]&gt;22.5,Tabla1[[#This Row],[ABRIL]]/22.5-1,0),IF(Tabla1[[#This Row],[ABRIL]]&gt;45,Tabla1[[#This Row],[ABRIL]]/45-1,0))</f>
        <v>0</v>
      </c>
      <c r="AI364" s="103">
        <f>IF(Tabla1[[#This Row],[TIPO DE CONSUMIDOR]]="MEDIO",IF(Tabla1[[#This Row],[MAYO ]]&gt;22.5,Tabla1[[#This Row],[MAYO ]]/22.5-1,0),IF(Tabla1[[#This Row],[MAYO ]]&gt;45,Tabla1[[#This Row],[MAYO ]]/45-1,0))</f>
        <v>0</v>
      </c>
      <c r="AJ364" s="103">
        <f>IF(Tabla1[[#This Row],[TIPO DE CONSUMIDOR]]="MEDIO",IF(Tabla1[[#This Row],[JUNIO ]]&gt;22.5,Tabla1[[#This Row],[JUNIO ]]/22.5-1,0),IF(Tabla1[[#This Row],[JUNIO ]]&gt;45,Tabla1[[#This Row],[JUNIO ]]/45-1,0))</f>
        <v>0</v>
      </c>
      <c r="AK364" s="103">
        <f>IF(Tabla1[[#This Row],[TIPO DE CONSUMIDOR]]="MEDIO",IF(Tabla1[[#This Row],[JULIO ]]&gt;22.5,Tabla1[[#This Row],[JULIO ]]/22.5-1,0),IF(Tabla1[[#This Row],[JULIO ]]&gt;45,Tabla1[[#This Row],[JULIO ]]/45-1,0))</f>
        <v>0</v>
      </c>
      <c r="AL364" s="103">
        <f>IF(Tabla1[[#This Row],[TIPO DE CONSUMIDOR]]="MEDIO",IF(Tabla1[[#This Row],[AGOSTO]]&gt;22.5,Tabla1[[#This Row],[AGOSTO]]/22.5-1,0),IF(Tabla1[[#This Row],[AGOSTO]]&gt;45,Tabla1[[#This Row],[AGOSTO]]/45-1,0))</f>
        <v>0</v>
      </c>
      <c r="AM36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4" s="104">
        <f t="shared" si="12"/>
        <v>0</v>
      </c>
      <c r="AR364" s="9">
        <f t="shared" si="11"/>
        <v>1</v>
      </c>
      <c r="AS364" s="60">
        <f>IF(Tabla1[[#This Row],[MESES DE ADEUDO DEL AÑO EN CURSO ]]&gt;0,1,0)</f>
        <v>1</v>
      </c>
      <c r="AT364" s="42"/>
      <c r="AU364" s="42"/>
      <c r="AV364" s="42"/>
      <c r="AW364" s="43"/>
    </row>
    <row r="365" spans="1:49" ht="21.75" thickBot="1" x14ac:dyDescent="0.35">
      <c r="A365" s="109">
        <v>359</v>
      </c>
      <c r="B365" s="5" t="s">
        <v>540</v>
      </c>
      <c r="C365" s="2" t="s">
        <v>530</v>
      </c>
      <c r="D365" s="46"/>
      <c r="E365" s="36" t="s">
        <v>455</v>
      </c>
      <c r="F365" s="34">
        <v>45</v>
      </c>
      <c r="G365" s="34">
        <v>45</v>
      </c>
      <c r="H365" s="34">
        <v>45</v>
      </c>
      <c r="I365" s="34">
        <v>45</v>
      </c>
      <c r="J365" s="34">
        <v>45</v>
      </c>
      <c r="K365" s="34">
        <v>0</v>
      </c>
      <c r="L365" s="34">
        <v>0</v>
      </c>
      <c r="M365" s="34">
        <v>0</v>
      </c>
      <c r="N365" s="34">
        <v>0</v>
      </c>
      <c r="O365" s="34">
        <v>0</v>
      </c>
      <c r="P365" s="34">
        <v>0</v>
      </c>
      <c r="Q365" s="34">
        <v>0</v>
      </c>
      <c r="R365" s="24">
        <f>SUM(Tabla1[[#This Row],[ENERO ]:[DICIEMBRE]])</f>
        <v>225</v>
      </c>
      <c r="W365" s="65">
        <v>0</v>
      </c>
      <c r="X365" s="21">
        <f>COUNTIF(Tabla1[[#This Row],[ENERO ]:[DICIEMBRE]],0)-(AQ365)-IF(Tabla1[[#This Row],[BAJAS]]="BAJA",IF(Tabla1[[#This Row],[ALTAS]]="ALTA",VLOOKUP(Tabla1[[#This Row],[MES DE ALTA ]],$AT$6:$AU$17,2,FALSE),12)-VLOOKUP(Tabla1[[#This Row],[MES DE BAJA ]],$AT$6:$AU$17,2,FALSE),0)</f>
        <v>7</v>
      </c>
      <c r="Y365" s="69">
        <f>SUM(Tabla1[[#This Row],[MES ADEUDO DE AÑOS PASADOS ]:[MESES DE ADEUDO DEL AÑO EN CURSO ]])</f>
        <v>7</v>
      </c>
      <c r="Z365" s="15">
        <f>IF(Tabla1[[#This Row],[TIPO DE CONSUMIDOR]]="COMPLETO",W365*$T$2,W365*($T$2/2))</f>
        <v>0</v>
      </c>
      <c r="AA365" s="15">
        <f>IF(Tabla1[[#This Row],[TIPO DE CONSUMIDOR]]="COMPLETO",Tabla1[[#This Row],[MESES DE ADEUDO DEL AÑO EN CURSO ]]*$T$2,Tabla1[[#This Row],[MESES DE ADEUDO DEL AÑO EN CURSO ]]*($T$2/2))</f>
        <v>315</v>
      </c>
      <c r="AB365" s="70">
        <f>SUM(Tabla1[[#This Row],[DEUDA DE LOS MESES PASADOS EN $$]:[DEUDA DEL AÑO 2013 $$ ]])</f>
        <v>315</v>
      </c>
      <c r="AE365" s="103">
        <f>IF(Tabla1[[#This Row],[TIPO DE CONSUMIDOR]]="MEDIO",IF(Tabla1[[#This Row],[ENERO ]]&gt;22.5,Tabla1[[#This Row],[ENERO ]]/22.5-1,0),IF(Tabla1[[#This Row],[ENERO ]]&gt;45,Tabla1[[#This Row],[ENERO ]]/45-1,0))</f>
        <v>0</v>
      </c>
      <c r="AF36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5" s="103">
        <f>IF(Tabla1[[#This Row],[TIPO DE CONSUMIDOR]]="MEDIO",IF(Tabla1[[#This Row],[MARZO]]&gt;22.5,Tabla1[[#This Row],[MARZO]]/22.5-1,0),IF(Tabla1[[#This Row],[MARZO]]&gt;45,Tabla1[[#This Row],[MARZO]]/45-1,0))</f>
        <v>0</v>
      </c>
      <c r="AH365" s="103">
        <f>IF(Tabla1[[#This Row],[TIPO DE CONSUMIDOR]]="MEDIO",IF(Tabla1[[#This Row],[ABRIL]]&gt;22.5,Tabla1[[#This Row],[ABRIL]]/22.5-1,0),IF(Tabla1[[#This Row],[ABRIL]]&gt;45,Tabla1[[#This Row],[ABRIL]]/45-1,0))</f>
        <v>0</v>
      </c>
      <c r="AI365" s="103">
        <f>IF(Tabla1[[#This Row],[TIPO DE CONSUMIDOR]]="MEDIO",IF(Tabla1[[#This Row],[MAYO ]]&gt;22.5,Tabla1[[#This Row],[MAYO ]]/22.5-1,0),IF(Tabla1[[#This Row],[MAYO ]]&gt;45,Tabla1[[#This Row],[MAYO ]]/45-1,0))</f>
        <v>0</v>
      </c>
      <c r="AJ365" s="103">
        <f>IF(Tabla1[[#This Row],[TIPO DE CONSUMIDOR]]="MEDIO",IF(Tabla1[[#This Row],[JUNIO ]]&gt;22.5,Tabla1[[#This Row],[JUNIO ]]/22.5-1,0),IF(Tabla1[[#This Row],[JUNIO ]]&gt;45,Tabla1[[#This Row],[JUNIO ]]/45-1,0))</f>
        <v>0</v>
      </c>
      <c r="AK365" s="103">
        <f>IF(Tabla1[[#This Row],[TIPO DE CONSUMIDOR]]="MEDIO",IF(Tabla1[[#This Row],[JULIO ]]&gt;22.5,Tabla1[[#This Row],[JULIO ]]/22.5-1,0),IF(Tabla1[[#This Row],[JULIO ]]&gt;45,Tabla1[[#This Row],[JULIO ]]/45-1,0))</f>
        <v>0</v>
      </c>
      <c r="AL365" s="103">
        <f>IF(Tabla1[[#This Row],[TIPO DE CONSUMIDOR]]="MEDIO",IF(Tabla1[[#This Row],[AGOSTO]]&gt;22.5,Tabla1[[#This Row],[AGOSTO]]/22.5-1,0),IF(Tabla1[[#This Row],[AGOSTO]]&gt;45,Tabla1[[#This Row],[AGOSTO]]/45-1,0))</f>
        <v>0</v>
      </c>
      <c r="AM36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5" s="104">
        <f t="shared" si="12"/>
        <v>0</v>
      </c>
      <c r="AR365" s="9">
        <f t="shared" si="11"/>
        <v>1</v>
      </c>
      <c r="AS365" s="60">
        <f>IF(Tabla1[[#This Row],[MESES DE ADEUDO DEL AÑO EN CURSO ]]&gt;0,1,0)</f>
        <v>1</v>
      </c>
      <c r="AT365" s="42"/>
      <c r="AU365" s="42"/>
      <c r="AV365" s="42"/>
      <c r="AW365" s="43"/>
    </row>
    <row r="366" spans="1:49" ht="21.75" thickBot="1" x14ac:dyDescent="0.35">
      <c r="A366" s="109">
        <v>360</v>
      </c>
      <c r="B366" s="5" t="s">
        <v>196</v>
      </c>
      <c r="C366" s="2" t="s">
        <v>549</v>
      </c>
      <c r="D366" s="32"/>
      <c r="E366" s="35" t="s">
        <v>455</v>
      </c>
      <c r="F366" s="34">
        <v>45</v>
      </c>
      <c r="G366" s="34">
        <v>45</v>
      </c>
      <c r="H366" s="34">
        <v>45</v>
      </c>
      <c r="I366" s="34">
        <v>45</v>
      </c>
      <c r="J366" s="34">
        <v>45</v>
      </c>
      <c r="K366" s="34">
        <v>0</v>
      </c>
      <c r="L366" s="34">
        <v>0</v>
      </c>
      <c r="M366" s="34">
        <v>0</v>
      </c>
      <c r="N366" s="34">
        <v>0</v>
      </c>
      <c r="O366" s="34">
        <v>0</v>
      </c>
      <c r="P366" s="34">
        <v>0</v>
      </c>
      <c r="Q366" s="34">
        <v>0</v>
      </c>
      <c r="R366" s="58">
        <f>SUM(Tabla1[[#This Row],[ENERO ]:[DICIEMBRE]])</f>
        <v>225</v>
      </c>
      <c r="W366" s="65">
        <v>0</v>
      </c>
      <c r="X366" s="21">
        <f>COUNTIF(Tabla1[[#This Row],[ENERO ]:[DICIEMBRE]],0)-(AQ366)-IF(Tabla1[[#This Row],[BAJAS]]="BAJA",IF(Tabla1[[#This Row],[ALTAS]]="ALTA",VLOOKUP(Tabla1[[#This Row],[MES DE ALTA ]],$AT$6:$AU$17,2,FALSE),12)-VLOOKUP(Tabla1[[#This Row],[MES DE BAJA ]],$AT$6:$AU$17,2,FALSE),0)</f>
        <v>7</v>
      </c>
      <c r="Y366" s="69">
        <f>SUM(Tabla1[[#This Row],[MES ADEUDO DE AÑOS PASADOS ]:[MESES DE ADEUDO DEL AÑO EN CURSO ]])</f>
        <v>7</v>
      </c>
      <c r="Z366" s="15">
        <f>IF(Tabla1[[#This Row],[TIPO DE CONSUMIDOR]]="COMPLETO",W366*$T$2,W366*($T$2/2))</f>
        <v>0</v>
      </c>
      <c r="AA366" s="15">
        <f>IF(Tabla1[[#This Row],[TIPO DE CONSUMIDOR]]="COMPLETO",Tabla1[[#This Row],[MESES DE ADEUDO DEL AÑO EN CURSO ]]*$T$2,Tabla1[[#This Row],[MESES DE ADEUDO DEL AÑO EN CURSO ]]*($T$2/2))</f>
        <v>315</v>
      </c>
      <c r="AB366" s="70">
        <f>SUM(Tabla1[[#This Row],[DEUDA DE LOS MESES PASADOS EN $$]:[DEUDA DEL AÑO 2013 $$ ]])</f>
        <v>315</v>
      </c>
      <c r="AE366" s="103">
        <f>IF(Tabla1[[#This Row],[TIPO DE CONSUMIDOR]]="MEDIO",IF(Tabla1[[#This Row],[ENERO ]]&gt;22.5,Tabla1[[#This Row],[ENERO ]]/22.5-1,0),IF(Tabla1[[#This Row],[ENERO ]]&gt;45,Tabla1[[#This Row],[ENERO ]]/45-1,0))</f>
        <v>0</v>
      </c>
      <c r="AF36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6" s="103">
        <f>IF(Tabla1[[#This Row],[TIPO DE CONSUMIDOR]]="MEDIO",IF(Tabla1[[#This Row],[MARZO]]&gt;22.5,Tabla1[[#This Row],[MARZO]]/22.5-1,0),IF(Tabla1[[#This Row],[MARZO]]&gt;45,Tabla1[[#This Row],[MARZO]]/45-1,0))</f>
        <v>0</v>
      </c>
      <c r="AH366" s="103">
        <f>IF(Tabla1[[#This Row],[TIPO DE CONSUMIDOR]]="MEDIO",IF(Tabla1[[#This Row],[ABRIL]]&gt;22.5,Tabla1[[#This Row],[ABRIL]]/22.5-1,0),IF(Tabla1[[#This Row],[ABRIL]]&gt;45,Tabla1[[#This Row],[ABRIL]]/45-1,0))</f>
        <v>0</v>
      </c>
      <c r="AI366" s="103">
        <f>IF(Tabla1[[#This Row],[TIPO DE CONSUMIDOR]]="MEDIO",IF(Tabla1[[#This Row],[MAYO ]]&gt;22.5,Tabla1[[#This Row],[MAYO ]]/22.5-1,0),IF(Tabla1[[#This Row],[MAYO ]]&gt;45,Tabla1[[#This Row],[MAYO ]]/45-1,0))</f>
        <v>0</v>
      </c>
      <c r="AJ366" s="103">
        <f>IF(Tabla1[[#This Row],[TIPO DE CONSUMIDOR]]="MEDIO",IF(Tabla1[[#This Row],[JUNIO ]]&gt;22.5,Tabla1[[#This Row],[JUNIO ]]/22.5-1,0),IF(Tabla1[[#This Row],[JUNIO ]]&gt;45,Tabla1[[#This Row],[JUNIO ]]/45-1,0))</f>
        <v>0</v>
      </c>
      <c r="AK366" s="103">
        <f>IF(Tabla1[[#This Row],[TIPO DE CONSUMIDOR]]="MEDIO",IF(Tabla1[[#This Row],[JULIO ]]&gt;22.5,Tabla1[[#This Row],[JULIO ]]/22.5-1,0),IF(Tabla1[[#This Row],[JULIO ]]&gt;45,Tabla1[[#This Row],[JULIO ]]/45-1,0))</f>
        <v>0</v>
      </c>
      <c r="AL366" s="103">
        <f>IF(Tabla1[[#This Row],[TIPO DE CONSUMIDOR]]="MEDIO",IF(Tabla1[[#This Row],[AGOSTO]]&gt;22.5,Tabla1[[#This Row],[AGOSTO]]/22.5-1,0),IF(Tabla1[[#This Row],[AGOSTO]]&gt;45,Tabla1[[#This Row],[AGOSTO]]/45-1,0))</f>
        <v>0</v>
      </c>
      <c r="AM36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6" s="104">
        <f t="shared" si="12"/>
        <v>0</v>
      </c>
      <c r="AR366" s="9">
        <f t="shared" si="11"/>
        <v>1</v>
      </c>
      <c r="AS366" s="60">
        <f>IF(Tabla1[[#This Row],[MESES DE ADEUDO DEL AÑO EN CURSO ]]&gt;0,1,0)</f>
        <v>1</v>
      </c>
      <c r="AT366" s="42"/>
      <c r="AU366" s="42"/>
      <c r="AV366" s="42"/>
      <c r="AW366" s="43"/>
    </row>
    <row r="367" spans="1:49" ht="21.75" thickBot="1" x14ac:dyDescent="0.35">
      <c r="A367" s="109">
        <v>361</v>
      </c>
      <c r="B367" s="5" t="s">
        <v>55</v>
      </c>
      <c r="C367" s="2" t="s">
        <v>575</v>
      </c>
      <c r="D367" s="32"/>
      <c r="E367" s="35" t="s">
        <v>455</v>
      </c>
      <c r="F367" s="34">
        <v>45</v>
      </c>
      <c r="G367" s="34">
        <v>45</v>
      </c>
      <c r="H367" s="34">
        <v>45</v>
      </c>
      <c r="I367" s="34">
        <v>45</v>
      </c>
      <c r="J367" s="34">
        <v>45</v>
      </c>
      <c r="K367" s="34">
        <v>0</v>
      </c>
      <c r="L367" s="34">
        <v>0</v>
      </c>
      <c r="M367" s="34">
        <v>0</v>
      </c>
      <c r="N367" s="34">
        <v>0</v>
      </c>
      <c r="O367" s="34">
        <v>0</v>
      </c>
      <c r="P367" s="34">
        <v>0</v>
      </c>
      <c r="Q367" s="34">
        <v>0</v>
      </c>
      <c r="R367" s="24">
        <f>SUM(Tabla1[[#This Row],[ENERO ]:[DICIEMBRE]])</f>
        <v>225</v>
      </c>
      <c r="W367" s="65">
        <v>0</v>
      </c>
      <c r="X367" s="21">
        <f>COUNTIF(Tabla1[[#This Row],[ENERO ]:[DICIEMBRE]],0)-(AQ367)-IF(Tabla1[[#This Row],[BAJAS]]="BAJA",IF(Tabla1[[#This Row],[ALTAS]]="ALTA",VLOOKUP(Tabla1[[#This Row],[MES DE ALTA ]],$AT$6:$AU$17,2,FALSE),12)-VLOOKUP(Tabla1[[#This Row],[MES DE BAJA ]],$AT$6:$AU$17,2,FALSE),0)</f>
        <v>7</v>
      </c>
      <c r="Y367" s="69">
        <f>SUM(Tabla1[[#This Row],[MES ADEUDO DE AÑOS PASADOS ]:[MESES DE ADEUDO DEL AÑO EN CURSO ]])</f>
        <v>7</v>
      </c>
      <c r="Z367" s="15">
        <f>IF(Tabla1[[#This Row],[TIPO DE CONSUMIDOR]]="COMPLETO",W367*$T$2,W367*($T$2/2))</f>
        <v>0</v>
      </c>
      <c r="AA367" s="15">
        <f>IF(Tabla1[[#This Row],[TIPO DE CONSUMIDOR]]="COMPLETO",Tabla1[[#This Row],[MESES DE ADEUDO DEL AÑO EN CURSO ]]*$T$2,Tabla1[[#This Row],[MESES DE ADEUDO DEL AÑO EN CURSO ]]*($T$2/2))</f>
        <v>315</v>
      </c>
      <c r="AB367" s="70">
        <f>SUM(Tabla1[[#This Row],[DEUDA DE LOS MESES PASADOS EN $$]:[DEUDA DEL AÑO 2013 $$ ]])</f>
        <v>315</v>
      </c>
      <c r="AE367" s="103">
        <f>IF(Tabla1[[#This Row],[TIPO DE CONSUMIDOR]]="MEDIO",IF(Tabla1[[#This Row],[ENERO ]]&gt;22.5,Tabla1[[#This Row],[ENERO ]]/22.5-1,0),IF(Tabla1[[#This Row],[ENERO ]]&gt;45,Tabla1[[#This Row],[ENERO ]]/45-1,0))</f>
        <v>0</v>
      </c>
      <c r="AF36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7" s="103">
        <f>IF(Tabla1[[#This Row],[TIPO DE CONSUMIDOR]]="MEDIO",IF(Tabla1[[#This Row],[MARZO]]&gt;22.5,Tabla1[[#This Row],[MARZO]]/22.5-1,0),IF(Tabla1[[#This Row],[MARZO]]&gt;45,Tabla1[[#This Row],[MARZO]]/45-1,0))</f>
        <v>0</v>
      </c>
      <c r="AH367" s="103">
        <f>IF(Tabla1[[#This Row],[TIPO DE CONSUMIDOR]]="MEDIO",IF(Tabla1[[#This Row],[ABRIL]]&gt;22.5,Tabla1[[#This Row],[ABRIL]]/22.5-1,0),IF(Tabla1[[#This Row],[ABRIL]]&gt;45,Tabla1[[#This Row],[ABRIL]]/45-1,0))</f>
        <v>0</v>
      </c>
      <c r="AI367" s="103">
        <f>IF(Tabla1[[#This Row],[TIPO DE CONSUMIDOR]]="MEDIO",IF(Tabla1[[#This Row],[MAYO ]]&gt;22.5,Tabla1[[#This Row],[MAYO ]]/22.5-1,0),IF(Tabla1[[#This Row],[MAYO ]]&gt;45,Tabla1[[#This Row],[MAYO ]]/45-1,0))</f>
        <v>0</v>
      </c>
      <c r="AJ367" s="103">
        <f>IF(Tabla1[[#This Row],[TIPO DE CONSUMIDOR]]="MEDIO",IF(Tabla1[[#This Row],[JUNIO ]]&gt;22.5,Tabla1[[#This Row],[JUNIO ]]/22.5-1,0),IF(Tabla1[[#This Row],[JUNIO ]]&gt;45,Tabla1[[#This Row],[JUNIO ]]/45-1,0))</f>
        <v>0</v>
      </c>
      <c r="AK367" s="103">
        <f>IF(Tabla1[[#This Row],[TIPO DE CONSUMIDOR]]="MEDIO",IF(Tabla1[[#This Row],[JULIO ]]&gt;22.5,Tabla1[[#This Row],[JULIO ]]/22.5-1,0),IF(Tabla1[[#This Row],[JULIO ]]&gt;45,Tabla1[[#This Row],[JULIO ]]/45-1,0))</f>
        <v>0</v>
      </c>
      <c r="AL367" s="103">
        <f>IF(Tabla1[[#This Row],[TIPO DE CONSUMIDOR]]="MEDIO",IF(Tabla1[[#This Row],[AGOSTO]]&gt;22.5,Tabla1[[#This Row],[AGOSTO]]/22.5-1,0),IF(Tabla1[[#This Row],[AGOSTO]]&gt;45,Tabla1[[#This Row],[AGOSTO]]/45-1,0))</f>
        <v>0</v>
      </c>
      <c r="AM36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7" s="104">
        <f t="shared" si="12"/>
        <v>0</v>
      </c>
      <c r="AR367" s="9">
        <f t="shared" si="11"/>
        <v>1</v>
      </c>
      <c r="AS367" s="60">
        <f>IF(Tabla1[[#This Row],[MESES DE ADEUDO DEL AÑO EN CURSO ]]&gt;0,1,0)</f>
        <v>1</v>
      </c>
      <c r="AT367" s="42"/>
      <c r="AU367" s="42"/>
      <c r="AV367" s="42"/>
      <c r="AW367" s="43"/>
    </row>
    <row r="368" spans="1:49" ht="21.75" thickBot="1" x14ac:dyDescent="0.35">
      <c r="A368" s="109">
        <v>362</v>
      </c>
      <c r="B368" s="5" t="s">
        <v>585</v>
      </c>
      <c r="C368" s="2"/>
      <c r="D368" s="32"/>
      <c r="E368" s="35" t="s">
        <v>455</v>
      </c>
      <c r="F368" s="34">
        <v>45</v>
      </c>
      <c r="G368" s="34">
        <v>45</v>
      </c>
      <c r="H368" s="34">
        <v>45</v>
      </c>
      <c r="I368" s="34">
        <v>45</v>
      </c>
      <c r="J368" s="34">
        <v>45</v>
      </c>
      <c r="K368" s="34">
        <v>0</v>
      </c>
      <c r="L368" s="34">
        <v>0</v>
      </c>
      <c r="M368" s="34">
        <v>0</v>
      </c>
      <c r="N368" s="34">
        <v>0</v>
      </c>
      <c r="O368" s="34">
        <v>0</v>
      </c>
      <c r="P368" s="34">
        <v>0</v>
      </c>
      <c r="Q368" s="34">
        <v>0</v>
      </c>
      <c r="R368" s="24">
        <f>SUM(Tabla1[[#This Row],[ENERO ]:[DICIEMBRE]])</f>
        <v>225</v>
      </c>
      <c r="W368" s="65">
        <v>0</v>
      </c>
      <c r="X368" s="21">
        <f>COUNTIF(Tabla1[[#This Row],[ENERO ]:[DICIEMBRE]],0)-(AQ368)-IF(Tabla1[[#This Row],[BAJAS]]="BAJA",IF(Tabla1[[#This Row],[ALTAS]]="ALTA",VLOOKUP(Tabla1[[#This Row],[MES DE ALTA ]],$AT$6:$AU$17,2,FALSE),12)-VLOOKUP(Tabla1[[#This Row],[MES DE BAJA ]],$AT$6:$AU$17,2,FALSE),0)</f>
        <v>7</v>
      </c>
      <c r="Y368" s="69">
        <f>SUM(Tabla1[[#This Row],[MES ADEUDO DE AÑOS PASADOS ]:[MESES DE ADEUDO DEL AÑO EN CURSO ]])</f>
        <v>7</v>
      </c>
      <c r="Z368" s="15">
        <f>IF(Tabla1[[#This Row],[TIPO DE CONSUMIDOR]]="COMPLETO",W368*$T$2,W368*($T$2/2))</f>
        <v>0</v>
      </c>
      <c r="AA368" s="15">
        <f>IF(Tabla1[[#This Row],[TIPO DE CONSUMIDOR]]="COMPLETO",Tabla1[[#This Row],[MESES DE ADEUDO DEL AÑO EN CURSO ]]*$T$2,Tabla1[[#This Row],[MESES DE ADEUDO DEL AÑO EN CURSO ]]*($T$2/2))</f>
        <v>315</v>
      </c>
      <c r="AB368" s="70">
        <f>SUM(Tabla1[[#This Row],[DEUDA DE LOS MESES PASADOS EN $$]:[DEUDA DEL AÑO 2013 $$ ]])</f>
        <v>315</v>
      </c>
      <c r="AE368" s="103">
        <f>IF(Tabla1[[#This Row],[TIPO DE CONSUMIDOR]]="MEDIO",IF(Tabla1[[#This Row],[ENERO ]]&gt;22.5,Tabla1[[#This Row],[ENERO ]]/22.5-1,0),IF(Tabla1[[#This Row],[ENERO ]]&gt;45,Tabla1[[#This Row],[ENERO ]]/45-1,0))</f>
        <v>0</v>
      </c>
      <c r="AF36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8" s="103">
        <f>IF(Tabla1[[#This Row],[TIPO DE CONSUMIDOR]]="MEDIO",IF(Tabla1[[#This Row],[MARZO]]&gt;22.5,Tabla1[[#This Row],[MARZO]]/22.5-1,0),IF(Tabla1[[#This Row],[MARZO]]&gt;45,Tabla1[[#This Row],[MARZO]]/45-1,0))</f>
        <v>0</v>
      </c>
      <c r="AH368" s="103">
        <f>IF(Tabla1[[#This Row],[TIPO DE CONSUMIDOR]]="MEDIO",IF(Tabla1[[#This Row],[ABRIL]]&gt;22.5,Tabla1[[#This Row],[ABRIL]]/22.5-1,0),IF(Tabla1[[#This Row],[ABRIL]]&gt;45,Tabla1[[#This Row],[ABRIL]]/45-1,0))</f>
        <v>0</v>
      </c>
      <c r="AI368" s="103">
        <f>IF(Tabla1[[#This Row],[TIPO DE CONSUMIDOR]]="MEDIO",IF(Tabla1[[#This Row],[MAYO ]]&gt;22.5,Tabla1[[#This Row],[MAYO ]]/22.5-1,0),IF(Tabla1[[#This Row],[MAYO ]]&gt;45,Tabla1[[#This Row],[MAYO ]]/45-1,0))</f>
        <v>0</v>
      </c>
      <c r="AJ368" s="103">
        <f>IF(Tabla1[[#This Row],[TIPO DE CONSUMIDOR]]="MEDIO",IF(Tabla1[[#This Row],[JUNIO ]]&gt;22.5,Tabla1[[#This Row],[JUNIO ]]/22.5-1,0),IF(Tabla1[[#This Row],[JUNIO ]]&gt;45,Tabla1[[#This Row],[JUNIO ]]/45-1,0))</f>
        <v>0</v>
      </c>
      <c r="AK368" s="103">
        <f>IF(Tabla1[[#This Row],[TIPO DE CONSUMIDOR]]="MEDIO",IF(Tabla1[[#This Row],[JULIO ]]&gt;22.5,Tabla1[[#This Row],[JULIO ]]/22.5-1,0),IF(Tabla1[[#This Row],[JULIO ]]&gt;45,Tabla1[[#This Row],[JULIO ]]/45-1,0))</f>
        <v>0</v>
      </c>
      <c r="AL368" s="103">
        <f>IF(Tabla1[[#This Row],[TIPO DE CONSUMIDOR]]="MEDIO",IF(Tabla1[[#This Row],[AGOSTO]]&gt;22.5,Tabla1[[#This Row],[AGOSTO]]/22.5-1,0),IF(Tabla1[[#This Row],[AGOSTO]]&gt;45,Tabla1[[#This Row],[AGOSTO]]/45-1,0))</f>
        <v>0</v>
      </c>
      <c r="AM36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8" s="104">
        <f t="shared" si="12"/>
        <v>0</v>
      </c>
      <c r="AR368" s="9">
        <f t="shared" si="11"/>
        <v>1</v>
      </c>
      <c r="AS368" s="60">
        <f>IF(Tabla1[[#This Row],[MESES DE ADEUDO DEL AÑO EN CURSO ]]&gt;0,1,0)</f>
        <v>1</v>
      </c>
      <c r="AT368" s="42"/>
      <c r="AU368" s="42"/>
      <c r="AV368" s="42"/>
      <c r="AW368" s="43"/>
    </row>
    <row r="369" spans="1:49" ht="21.75" thickBot="1" x14ac:dyDescent="0.35">
      <c r="A369" s="109">
        <v>363</v>
      </c>
      <c r="B369" s="5" t="s">
        <v>269</v>
      </c>
      <c r="C369" s="2"/>
      <c r="D369" s="32"/>
      <c r="E369" s="35" t="s">
        <v>455</v>
      </c>
      <c r="F369" s="34">
        <v>45</v>
      </c>
      <c r="G369" s="34">
        <v>45</v>
      </c>
      <c r="H369" s="34">
        <v>45</v>
      </c>
      <c r="I369" s="34">
        <v>45</v>
      </c>
      <c r="J369" s="34">
        <v>45</v>
      </c>
      <c r="K369" s="34">
        <v>0</v>
      </c>
      <c r="L369" s="34">
        <v>0</v>
      </c>
      <c r="M369" s="34">
        <v>0</v>
      </c>
      <c r="N369" s="34">
        <v>0</v>
      </c>
      <c r="O369" s="34">
        <v>0</v>
      </c>
      <c r="P369" s="34">
        <v>0</v>
      </c>
      <c r="Q369" s="34">
        <v>0</v>
      </c>
      <c r="R369" s="58">
        <f>SUM(Tabla1[[#This Row],[ENERO ]:[DICIEMBRE]])</f>
        <v>225</v>
      </c>
      <c r="W369" s="65">
        <v>0</v>
      </c>
      <c r="X369" s="21">
        <f>COUNTIF(Tabla1[[#This Row],[ENERO ]:[DICIEMBRE]],0)-(AQ369)-IF(Tabla1[[#This Row],[BAJAS]]="BAJA",IF(Tabla1[[#This Row],[ALTAS]]="ALTA",VLOOKUP(Tabla1[[#This Row],[MES DE ALTA ]],$AT$6:$AU$17,2,FALSE),12)-VLOOKUP(Tabla1[[#This Row],[MES DE BAJA ]],$AT$6:$AU$17,2,FALSE),0)</f>
        <v>7</v>
      </c>
      <c r="Y369" s="69">
        <f>SUM(Tabla1[[#This Row],[MES ADEUDO DE AÑOS PASADOS ]:[MESES DE ADEUDO DEL AÑO EN CURSO ]])</f>
        <v>7</v>
      </c>
      <c r="Z369" s="15">
        <f>IF(Tabla1[[#This Row],[TIPO DE CONSUMIDOR]]="COMPLETO",W369*$T$2,W369*($T$2/2))</f>
        <v>0</v>
      </c>
      <c r="AA369" s="15">
        <f>IF(Tabla1[[#This Row],[TIPO DE CONSUMIDOR]]="COMPLETO",Tabla1[[#This Row],[MESES DE ADEUDO DEL AÑO EN CURSO ]]*$T$2,Tabla1[[#This Row],[MESES DE ADEUDO DEL AÑO EN CURSO ]]*($T$2/2))</f>
        <v>315</v>
      </c>
      <c r="AB369" s="70">
        <f>SUM(Tabla1[[#This Row],[DEUDA DE LOS MESES PASADOS EN $$]:[DEUDA DEL AÑO 2013 $$ ]])</f>
        <v>315</v>
      </c>
      <c r="AE369" s="103">
        <f>IF(Tabla1[[#This Row],[TIPO DE CONSUMIDOR]]="MEDIO",IF(Tabla1[[#This Row],[ENERO ]]&gt;22.5,Tabla1[[#This Row],[ENERO ]]/22.5-1,0),IF(Tabla1[[#This Row],[ENERO ]]&gt;45,Tabla1[[#This Row],[ENERO ]]/45-1,0))</f>
        <v>0</v>
      </c>
      <c r="AF36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69" s="103">
        <f>IF(Tabla1[[#This Row],[TIPO DE CONSUMIDOR]]="MEDIO",IF(Tabla1[[#This Row],[MARZO]]&gt;22.5,Tabla1[[#This Row],[MARZO]]/22.5-1,0),IF(Tabla1[[#This Row],[MARZO]]&gt;45,Tabla1[[#This Row],[MARZO]]/45-1,0))</f>
        <v>0</v>
      </c>
      <c r="AH369" s="103">
        <f>IF(Tabla1[[#This Row],[TIPO DE CONSUMIDOR]]="MEDIO",IF(Tabla1[[#This Row],[ABRIL]]&gt;22.5,Tabla1[[#This Row],[ABRIL]]/22.5-1,0),IF(Tabla1[[#This Row],[ABRIL]]&gt;45,Tabla1[[#This Row],[ABRIL]]/45-1,0))</f>
        <v>0</v>
      </c>
      <c r="AI369" s="103">
        <f>IF(Tabla1[[#This Row],[TIPO DE CONSUMIDOR]]="MEDIO",IF(Tabla1[[#This Row],[MAYO ]]&gt;22.5,Tabla1[[#This Row],[MAYO ]]/22.5-1,0),IF(Tabla1[[#This Row],[MAYO ]]&gt;45,Tabla1[[#This Row],[MAYO ]]/45-1,0))</f>
        <v>0</v>
      </c>
      <c r="AJ369" s="103">
        <f>IF(Tabla1[[#This Row],[TIPO DE CONSUMIDOR]]="MEDIO",IF(Tabla1[[#This Row],[JUNIO ]]&gt;22.5,Tabla1[[#This Row],[JUNIO ]]/22.5-1,0),IF(Tabla1[[#This Row],[JUNIO ]]&gt;45,Tabla1[[#This Row],[JUNIO ]]/45-1,0))</f>
        <v>0</v>
      </c>
      <c r="AK369" s="103">
        <f>IF(Tabla1[[#This Row],[TIPO DE CONSUMIDOR]]="MEDIO",IF(Tabla1[[#This Row],[JULIO ]]&gt;22.5,Tabla1[[#This Row],[JULIO ]]/22.5-1,0),IF(Tabla1[[#This Row],[JULIO ]]&gt;45,Tabla1[[#This Row],[JULIO ]]/45-1,0))</f>
        <v>0</v>
      </c>
      <c r="AL369" s="103">
        <f>IF(Tabla1[[#This Row],[TIPO DE CONSUMIDOR]]="MEDIO",IF(Tabla1[[#This Row],[AGOSTO]]&gt;22.5,Tabla1[[#This Row],[AGOSTO]]/22.5-1,0),IF(Tabla1[[#This Row],[AGOSTO]]&gt;45,Tabla1[[#This Row],[AGOSTO]]/45-1,0))</f>
        <v>0</v>
      </c>
      <c r="AM36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6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6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6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69" s="104">
        <f t="shared" si="12"/>
        <v>0</v>
      </c>
      <c r="AR369" s="9">
        <f t="shared" si="11"/>
        <v>1</v>
      </c>
      <c r="AS369" s="60">
        <f>IF(Tabla1[[#This Row],[MESES DE ADEUDO DEL AÑO EN CURSO ]]&gt;0,1,0)</f>
        <v>1</v>
      </c>
      <c r="AT369" s="42"/>
      <c r="AU369" s="42"/>
      <c r="AV369" s="42"/>
      <c r="AW369" s="43"/>
    </row>
    <row r="370" spans="1:49" ht="21.75" thickBot="1" x14ac:dyDescent="0.35">
      <c r="A370" s="109">
        <v>364</v>
      </c>
      <c r="B370" s="5" t="s">
        <v>593</v>
      </c>
      <c r="C370" s="2" t="s">
        <v>459</v>
      </c>
      <c r="D370" s="32"/>
      <c r="E370" s="35" t="s">
        <v>455</v>
      </c>
      <c r="F370" s="34">
        <v>45</v>
      </c>
      <c r="G370" s="34">
        <v>45</v>
      </c>
      <c r="H370" s="34">
        <v>45</v>
      </c>
      <c r="I370" s="34">
        <v>45</v>
      </c>
      <c r="J370" s="34">
        <v>0</v>
      </c>
      <c r="K370" s="34">
        <v>0</v>
      </c>
      <c r="L370" s="34">
        <v>0</v>
      </c>
      <c r="M370" s="34">
        <v>0</v>
      </c>
      <c r="N370" s="34">
        <v>0</v>
      </c>
      <c r="O370" s="34">
        <v>0</v>
      </c>
      <c r="P370" s="34">
        <v>0</v>
      </c>
      <c r="Q370" s="34">
        <v>0</v>
      </c>
      <c r="R370" s="24">
        <f>SUM(Tabla1[[#This Row],[ENERO ]:[DICIEMBRE]])</f>
        <v>180</v>
      </c>
      <c r="W370" s="65">
        <v>0</v>
      </c>
      <c r="X370" s="21">
        <f>COUNTIF(Tabla1[[#This Row],[ENERO ]:[DICIEMBRE]],0)-(AQ370)-IF(Tabla1[[#This Row],[BAJAS]]="BAJA",IF(Tabla1[[#This Row],[ALTAS]]="ALTA",VLOOKUP(Tabla1[[#This Row],[MES DE ALTA ]],$AT$6:$AU$17,2,FALSE),12)-VLOOKUP(Tabla1[[#This Row],[MES DE BAJA ]],$AT$6:$AU$17,2,FALSE),0)</f>
        <v>8</v>
      </c>
      <c r="Y370" s="69">
        <f>SUM(Tabla1[[#This Row],[MES ADEUDO DE AÑOS PASADOS ]:[MESES DE ADEUDO DEL AÑO EN CURSO ]])</f>
        <v>8</v>
      </c>
      <c r="Z370" s="15">
        <f>IF(Tabla1[[#This Row],[TIPO DE CONSUMIDOR]]="COMPLETO",W370*$T$2,W370*($T$2/2))</f>
        <v>0</v>
      </c>
      <c r="AA370" s="15">
        <f>IF(Tabla1[[#This Row],[TIPO DE CONSUMIDOR]]="COMPLETO",Tabla1[[#This Row],[MESES DE ADEUDO DEL AÑO EN CURSO ]]*$T$2,Tabla1[[#This Row],[MESES DE ADEUDO DEL AÑO EN CURSO ]]*($T$2/2))</f>
        <v>360</v>
      </c>
      <c r="AB370" s="70">
        <f>SUM(Tabla1[[#This Row],[DEUDA DE LOS MESES PASADOS EN $$]:[DEUDA DEL AÑO 2013 $$ ]])</f>
        <v>360</v>
      </c>
      <c r="AE370" s="103">
        <f>IF(Tabla1[[#This Row],[TIPO DE CONSUMIDOR]]="MEDIO",IF(Tabla1[[#This Row],[ENERO ]]&gt;22.5,Tabla1[[#This Row],[ENERO ]]/22.5-1,0),IF(Tabla1[[#This Row],[ENERO ]]&gt;45,Tabla1[[#This Row],[ENERO ]]/45-1,0))</f>
        <v>0</v>
      </c>
      <c r="AF37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0" s="103">
        <f>IF(Tabla1[[#This Row],[TIPO DE CONSUMIDOR]]="MEDIO",IF(Tabla1[[#This Row],[MARZO]]&gt;22.5,Tabla1[[#This Row],[MARZO]]/22.5-1,0),IF(Tabla1[[#This Row],[MARZO]]&gt;45,Tabla1[[#This Row],[MARZO]]/45-1,0))</f>
        <v>0</v>
      </c>
      <c r="AH370" s="103">
        <f>IF(Tabla1[[#This Row],[TIPO DE CONSUMIDOR]]="MEDIO",IF(Tabla1[[#This Row],[ABRIL]]&gt;22.5,Tabla1[[#This Row],[ABRIL]]/22.5-1,0),IF(Tabla1[[#This Row],[ABRIL]]&gt;45,Tabla1[[#This Row],[ABRIL]]/45-1,0))</f>
        <v>0</v>
      </c>
      <c r="AI370" s="103">
        <f>IF(Tabla1[[#This Row],[TIPO DE CONSUMIDOR]]="MEDIO",IF(Tabla1[[#This Row],[MAYO ]]&gt;22.5,Tabla1[[#This Row],[MAYO ]]/22.5-1,0),IF(Tabla1[[#This Row],[MAYO ]]&gt;45,Tabla1[[#This Row],[MAYO ]]/45-1,0))</f>
        <v>0</v>
      </c>
      <c r="AJ370" s="103">
        <f>IF(Tabla1[[#This Row],[TIPO DE CONSUMIDOR]]="MEDIO",IF(Tabla1[[#This Row],[JUNIO ]]&gt;22.5,Tabla1[[#This Row],[JUNIO ]]/22.5-1,0),IF(Tabla1[[#This Row],[JUNIO ]]&gt;45,Tabla1[[#This Row],[JUNIO ]]/45-1,0))</f>
        <v>0</v>
      </c>
      <c r="AK370" s="103">
        <f>IF(Tabla1[[#This Row],[TIPO DE CONSUMIDOR]]="MEDIO",IF(Tabla1[[#This Row],[JULIO ]]&gt;22.5,Tabla1[[#This Row],[JULIO ]]/22.5-1,0),IF(Tabla1[[#This Row],[JULIO ]]&gt;45,Tabla1[[#This Row],[JULIO ]]/45-1,0))</f>
        <v>0</v>
      </c>
      <c r="AL370" s="103">
        <f>IF(Tabla1[[#This Row],[TIPO DE CONSUMIDOR]]="MEDIO",IF(Tabla1[[#This Row],[AGOSTO]]&gt;22.5,Tabla1[[#This Row],[AGOSTO]]/22.5-1,0),IF(Tabla1[[#This Row],[AGOSTO]]&gt;45,Tabla1[[#This Row],[AGOSTO]]/45-1,0))</f>
        <v>0</v>
      </c>
      <c r="AM37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0" s="104">
        <f t="shared" si="12"/>
        <v>0</v>
      </c>
      <c r="AR370" s="9">
        <f t="shared" si="11"/>
        <v>1</v>
      </c>
      <c r="AS370" s="60">
        <f>IF(Tabla1[[#This Row],[MESES DE ADEUDO DEL AÑO EN CURSO ]]&gt;0,1,0)</f>
        <v>1</v>
      </c>
      <c r="AT370" s="42"/>
      <c r="AU370" s="42"/>
      <c r="AV370" s="42"/>
      <c r="AW370" s="43"/>
    </row>
    <row r="371" spans="1:49" ht="21.75" thickBot="1" x14ac:dyDescent="0.35">
      <c r="A371" s="109">
        <v>365</v>
      </c>
      <c r="B371" s="5" t="s">
        <v>460</v>
      </c>
      <c r="C371" s="2" t="s">
        <v>461</v>
      </c>
      <c r="D371" s="32"/>
      <c r="E371" s="35" t="s">
        <v>455</v>
      </c>
      <c r="F371" s="34">
        <v>0</v>
      </c>
      <c r="G371" s="34">
        <v>0</v>
      </c>
      <c r="H371" s="34">
        <v>0</v>
      </c>
      <c r="I371" s="34">
        <v>0</v>
      </c>
      <c r="J371" s="34">
        <v>0</v>
      </c>
      <c r="K371" s="34">
        <v>0</v>
      </c>
      <c r="L371" s="34">
        <v>45</v>
      </c>
      <c r="M371" s="34">
        <v>45</v>
      </c>
      <c r="N371" s="34">
        <v>45</v>
      </c>
      <c r="O371" s="34">
        <v>45</v>
      </c>
      <c r="P371" s="34">
        <v>0</v>
      </c>
      <c r="Q371" s="34">
        <v>0</v>
      </c>
      <c r="R371" s="24">
        <f>SUM(Tabla1[[#This Row],[ENERO ]:[DICIEMBRE]])</f>
        <v>180</v>
      </c>
      <c r="W371" s="65">
        <v>0</v>
      </c>
      <c r="X371" s="21">
        <f>COUNTIF(Tabla1[[#This Row],[ENERO ]:[DICIEMBRE]],0)-(AQ371)-IF(Tabla1[[#This Row],[BAJAS]]="BAJA",IF(Tabla1[[#This Row],[ALTAS]]="ALTA",VLOOKUP(Tabla1[[#This Row],[MES DE ALTA ]],$AT$6:$AU$17,2,FALSE),12)-VLOOKUP(Tabla1[[#This Row],[MES DE BAJA ]],$AT$6:$AU$17,2,FALSE),0)</f>
        <v>8</v>
      </c>
      <c r="Y371" s="69">
        <f>SUM(Tabla1[[#This Row],[MES ADEUDO DE AÑOS PASADOS ]:[MESES DE ADEUDO DEL AÑO EN CURSO ]])</f>
        <v>8</v>
      </c>
      <c r="Z371" s="15">
        <f>IF(Tabla1[[#This Row],[TIPO DE CONSUMIDOR]]="COMPLETO",W371*$T$2,W371*($T$2/2))</f>
        <v>0</v>
      </c>
      <c r="AA371" s="15">
        <f>IF(Tabla1[[#This Row],[TIPO DE CONSUMIDOR]]="COMPLETO",Tabla1[[#This Row],[MESES DE ADEUDO DEL AÑO EN CURSO ]]*$T$2,Tabla1[[#This Row],[MESES DE ADEUDO DEL AÑO EN CURSO ]]*($T$2/2))</f>
        <v>360</v>
      </c>
      <c r="AB371" s="70">
        <f>SUM(Tabla1[[#This Row],[DEUDA DE LOS MESES PASADOS EN $$]:[DEUDA DEL AÑO 2013 $$ ]])</f>
        <v>360</v>
      </c>
      <c r="AE371" s="103">
        <f>IF(Tabla1[[#This Row],[TIPO DE CONSUMIDOR]]="MEDIO",IF(Tabla1[[#This Row],[ENERO ]]&gt;22.5,Tabla1[[#This Row],[ENERO ]]/22.5-1,0),IF(Tabla1[[#This Row],[ENERO ]]&gt;45,Tabla1[[#This Row],[ENERO ]]/45-1,0))</f>
        <v>0</v>
      </c>
      <c r="AF37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1" s="103">
        <f>IF(Tabla1[[#This Row],[TIPO DE CONSUMIDOR]]="MEDIO",IF(Tabla1[[#This Row],[MARZO]]&gt;22.5,Tabla1[[#This Row],[MARZO]]/22.5-1,0),IF(Tabla1[[#This Row],[MARZO]]&gt;45,Tabla1[[#This Row],[MARZO]]/45-1,0))</f>
        <v>0</v>
      </c>
      <c r="AH371" s="103">
        <f>IF(Tabla1[[#This Row],[TIPO DE CONSUMIDOR]]="MEDIO",IF(Tabla1[[#This Row],[ABRIL]]&gt;22.5,Tabla1[[#This Row],[ABRIL]]/22.5-1,0),IF(Tabla1[[#This Row],[ABRIL]]&gt;45,Tabla1[[#This Row],[ABRIL]]/45-1,0))</f>
        <v>0</v>
      </c>
      <c r="AI371" s="103">
        <f>IF(Tabla1[[#This Row],[TIPO DE CONSUMIDOR]]="MEDIO",IF(Tabla1[[#This Row],[MAYO ]]&gt;22.5,Tabla1[[#This Row],[MAYO ]]/22.5-1,0),IF(Tabla1[[#This Row],[MAYO ]]&gt;45,Tabla1[[#This Row],[MAYO ]]/45-1,0))</f>
        <v>0</v>
      </c>
      <c r="AJ371" s="103">
        <f>IF(Tabla1[[#This Row],[TIPO DE CONSUMIDOR]]="MEDIO",IF(Tabla1[[#This Row],[JUNIO ]]&gt;22.5,Tabla1[[#This Row],[JUNIO ]]/22.5-1,0),IF(Tabla1[[#This Row],[JUNIO ]]&gt;45,Tabla1[[#This Row],[JUNIO ]]/45-1,0))</f>
        <v>0</v>
      </c>
      <c r="AK371" s="103">
        <f>IF(Tabla1[[#This Row],[TIPO DE CONSUMIDOR]]="MEDIO",IF(Tabla1[[#This Row],[JULIO ]]&gt;22.5,Tabla1[[#This Row],[JULIO ]]/22.5-1,0),IF(Tabla1[[#This Row],[JULIO ]]&gt;45,Tabla1[[#This Row],[JULIO ]]/45-1,0))</f>
        <v>0</v>
      </c>
      <c r="AL371" s="103">
        <f>IF(Tabla1[[#This Row],[TIPO DE CONSUMIDOR]]="MEDIO",IF(Tabla1[[#This Row],[AGOSTO]]&gt;22.5,Tabla1[[#This Row],[AGOSTO]]/22.5-1,0),IF(Tabla1[[#This Row],[AGOSTO]]&gt;45,Tabla1[[#This Row],[AGOSTO]]/45-1,0))</f>
        <v>0</v>
      </c>
      <c r="AM37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1" s="104">
        <f t="shared" si="12"/>
        <v>0</v>
      </c>
      <c r="AR371" s="9">
        <f t="shared" si="11"/>
        <v>1</v>
      </c>
      <c r="AS371" s="60">
        <f>IF(Tabla1[[#This Row],[MESES DE ADEUDO DEL AÑO EN CURSO ]]&gt;0,1,0)</f>
        <v>1</v>
      </c>
      <c r="AT371" s="42"/>
      <c r="AU371" s="42"/>
      <c r="AV371" s="42"/>
      <c r="AW371" s="43"/>
    </row>
    <row r="372" spans="1:49" ht="21.75" thickBot="1" x14ac:dyDescent="0.35">
      <c r="A372" s="109">
        <v>366</v>
      </c>
      <c r="B372" s="5" t="s">
        <v>181</v>
      </c>
      <c r="C372" s="2" t="s">
        <v>488</v>
      </c>
      <c r="D372" s="32"/>
      <c r="E372" s="35" t="s">
        <v>455</v>
      </c>
      <c r="F372" s="34">
        <v>45</v>
      </c>
      <c r="G372" s="34">
        <v>45</v>
      </c>
      <c r="H372" s="34">
        <v>45</v>
      </c>
      <c r="I372" s="34">
        <v>45</v>
      </c>
      <c r="J372" s="34">
        <v>0</v>
      </c>
      <c r="K372" s="34">
        <v>0</v>
      </c>
      <c r="L372" s="34">
        <v>0</v>
      </c>
      <c r="M372" s="34">
        <v>0</v>
      </c>
      <c r="N372" s="34">
        <v>0</v>
      </c>
      <c r="O372" s="34">
        <v>0</v>
      </c>
      <c r="P372" s="34">
        <v>0</v>
      </c>
      <c r="Q372" s="34">
        <v>0</v>
      </c>
      <c r="R372" s="24">
        <f>SUM(Tabla1[[#This Row],[ENERO ]:[DICIEMBRE]])</f>
        <v>180</v>
      </c>
      <c r="W372" s="65">
        <v>0</v>
      </c>
      <c r="X372" s="21">
        <f>COUNTIF(Tabla1[[#This Row],[ENERO ]:[DICIEMBRE]],0)-(AQ372)-IF(Tabla1[[#This Row],[BAJAS]]="BAJA",IF(Tabla1[[#This Row],[ALTAS]]="ALTA",VLOOKUP(Tabla1[[#This Row],[MES DE ALTA ]],$AT$6:$AU$17,2,FALSE),12)-VLOOKUP(Tabla1[[#This Row],[MES DE BAJA ]],$AT$6:$AU$17,2,FALSE),0)</f>
        <v>8</v>
      </c>
      <c r="Y372" s="69">
        <f>SUM(Tabla1[[#This Row],[MES ADEUDO DE AÑOS PASADOS ]:[MESES DE ADEUDO DEL AÑO EN CURSO ]])</f>
        <v>8</v>
      </c>
      <c r="Z372" s="15">
        <f>IF(Tabla1[[#This Row],[TIPO DE CONSUMIDOR]]="COMPLETO",W372*$T$2,W372*($T$2/2))</f>
        <v>0</v>
      </c>
      <c r="AA372" s="15">
        <f>IF(Tabla1[[#This Row],[TIPO DE CONSUMIDOR]]="COMPLETO",Tabla1[[#This Row],[MESES DE ADEUDO DEL AÑO EN CURSO ]]*$T$2,Tabla1[[#This Row],[MESES DE ADEUDO DEL AÑO EN CURSO ]]*($T$2/2))</f>
        <v>360</v>
      </c>
      <c r="AB372" s="70">
        <f>SUM(Tabla1[[#This Row],[DEUDA DE LOS MESES PASADOS EN $$]:[DEUDA DEL AÑO 2013 $$ ]])</f>
        <v>360</v>
      </c>
      <c r="AE372" s="103">
        <f>IF(Tabla1[[#This Row],[TIPO DE CONSUMIDOR]]="MEDIO",IF(Tabla1[[#This Row],[ENERO ]]&gt;22.5,Tabla1[[#This Row],[ENERO ]]/22.5-1,0),IF(Tabla1[[#This Row],[ENERO ]]&gt;45,Tabla1[[#This Row],[ENERO ]]/45-1,0))</f>
        <v>0</v>
      </c>
      <c r="AF37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2" s="103">
        <f>IF(Tabla1[[#This Row],[TIPO DE CONSUMIDOR]]="MEDIO",IF(Tabla1[[#This Row],[MARZO]]&gt;22.5,Tabla1[[#This Row],[MARZO]]/22.5-1,0),IF(Tabla1[[#This Row],[MARZO]]&gt;45,Tabla1[[#This Row],[MARZO]]/45-1,0))</f>
        <v>0</v>
      </c>
      <c r="AH372" s="103">
        <f>IF(Tabla1[[#This Row],[TIPO DE CONSUMIDOR]]="MEDIO",IF(Tabla1[[#This Row],[ABRIL]]&gt;22.5,Tabla1[[#This Row],[ABRIL]]/22.5-1,0),IF(Tabla1[[#This Row],[ABRIL]]&gt;45,Tabla1[[#This Row],[ABRIL]]/45-1,0))</f>
        <v>0</v>
      </c>
      <c r="AI372" s="103">
        <f>IF(Tabla1[[#This Row],[TIPO DE CONSUMIDOR]]="MEDIO",IF(Tabla1[[#This Row],[MAYO ]]&gt;22.5,Tabla1[[#This Row],[MAYO ]]/22.5-1,0),IF(Tabla1[[#This Row],[MAYO ]]&gt;45,Tabla1[[#This Row],[MAYO ]]/45-1,0))</f>
        <v>0</v>
      </c>
      <c r="AJ372" s="103">
        <f>IF(Tabla1[[#This Row],[TIPO DE CONSUMIDOR]]="MEDIO",IF(Tabla1[[#This Row],[JUNIO ]]&gt;22.5,Tabla1[[#This Row],[JUNIO ]]/22.5-1,0),IF(Tabla1[[#This Row],[JUNIO ]]&gt;45,Tabla1[[#This Row],[JUNIO ]]/45-1,0))</f>
        <v>0</v>
      </c>
      <c r="AK372" s="103">
        <f>IF(Tabla1[[#This Row],[TIPO DE CONSUMIDOR]]="MEDIO",IF(Tabla1[[#This Row],[JULIO ]]&gt;22.5,Tabla1[[#This Row],[JULIO ]]/22.5-1,0),IF(Tabla1[[#This Row],[JULIO ]]&gt;45,Tabla1[[#This Row],[JULIO ]]/45-1,0))</f>
        <v>0</v>
      </c>
      <c r="AL372" s="103">
        <f>IF(Tabla1[[#This Row],[TIPO DE CONSUMIDOR]]="MEDIO",IF(Tabla1[[#This Row],[AGOSTO]]&gt;22.5,Tabla1[[#This Row],[AGOSTO]]/22.5-1,0),IF(Tabla1[[#This Row],[AGOSTO]]&gt;45,Tabla1[[#This Row],[AGOSTO]]/45-1,0))</f>
        <v>0</v>
      </c>
      <c r="AM37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2" s="104">
        <f t="shared" si="12"/>
        <v>0</v>
      </c>
      <c r="AR372" s="9">
        <f t="shared" si="11"/>
        <v>1</v>
      </c>
      <c r="AS372" s="60">
        <f>IF(Tabla1[[#This Row],[MESES DE ADEUDO DEL AÑO EN CURSO ]]&gt;0,1,0)</f>
        <v>1</v>
      </c>
      <c r="AT372" s="42"/>
      <c r="AU372" s="42"/>
      <c r="AV372" s="42"/>
      <c r="AW372" s="43"/>
    </row>
    <row r="373" spans="1:49" ht="21.75" thickBot="1" x14ac:dyDescent="0.35">
      <c r="A373" s="109">
        <v>367</v>
      </c>
      <c r="B373" s="5" t="s">
        <v>47</v>
      </c>
      <c r="C373" s="2" t="s">
        <v>530</v>
      </c>
      <c r="D373" s="32"/>
      <c r="E373" s="35" t="s">
        <v>455</v>
      </c>
      <c r="F373" s="34">
        <v>45</v>
      </c>
      <c r="G373" s="34">
        <v>45</v>
      </c>
      <c r="H373" s="34">
        <v>45</v>
      </c>
      <c r="I373" s="34">
        <v>45</v>
      </c>
      <c r="J373" s="34">
        <v>0</v>
      </c>
      <c r="K373" s="34">
        <v>0</v>
      </c>
      <c r="L373" s="34">
        <v>0</v>
      </c>
      <c r="M373" s="34">
        <v>0</v>
      </c>
      <c r="N373" s="34">
        <v>0</v>
      </c>
      <c r="O373" s="34">
        <v>0</v>
      </c>
      <c r="P373" s="34">
        <v>0</v>
      </c>
      <c r="Q373" s="34">
        <v>0</v>
      </c>
      <c r="R373" s="24">
        <f>SUM(Tabla1[[#This Row],[ENERO ]:[DICIEMBRE]])</f>
        <v>180</v>
      </c>
      <c r="W373" s="65">
        <v>0</v>
      </c>
      <c r="X373" s="21">
        <f>COUNTIF(Tabla1[[#This Row],[ENERO ]:[DICIEMBRE]],0)-(AQ373)-IF(Tabla1[[#This Row],[BAJAS]]="BAJA",IF(Tabla1[[#This Row],[ALTAS]]="ALTA",VLOOKUP(Tabla1[[#This Row],[MES DE ALTA ]],$AT$6:$AU$17,2,FALSE),12)-VLOOKUP(Tabla1[[#This Row],[MES DE BAJA ]],$AT$6:$AU$17,2,FALSE),0)</f>
        <v>8</v>
      </c>
      <c r="Y373" s="69">
        <f>SUM(Tabla1[[#This Row],[MES ADEUDO DE AÑOS PASADOS ]:[MESES DE ADEUDO DEL AÑO EN CURSO ]])</f>
        <v>8</v>
      </c>
      <c r="Z373" s="15">
        <f>IF(Tabla1[[#This Row],[TIPO DE CONSUMIDOR]]="COMPLETO",W373*$T$2,W373*($T$2/2))</f>
        <v>0</v>
      </c>
      <c r="AA373" s="15">
        <f>IF(Tabla1[[#This Row],[TIPO DE CONSUMIDOR]]="COMPLETO",Tabla1[[#This Row],[MESES DE ADEUDO DEL AÑO EN CURSO ]]*$T$2,Tabla1[[#This Row],[MESES DE ADEUDO DEL AÑO EN CURSO ]]*($T$2/2))</f>
        <v>360</v>
      </c>
      <c r="AB373" s="70">
        <f>SUM(Tabla1[[#This Row],[DEUDA DE LOS MESES PASADOS EN $$]:[DEUDA DEL AÑO 2013 $$ ]])</f>
        <v>360</v>
      </c>
      <c r="AE373" s="103">
        <f>IF(Tabla1[[#This Row],[TIPO DE CONSUMIDOR]]="MEDIO",IF(Tabla1[[#This Row],[ENERO ]]&gt;22.5,Tabla1[[#This Row],[ENERO ]]/22.5-1,0),IF(Tabla1[[#This Row],[ENERO ]]&gt;45,Tabla1[[#This Row],[ENERO ]]/45-1,0))</f>
        <v>0</v>
      </c>
      <c r="AF37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3" s="103">
        <f>IF(Tabla1[[#This Row],[TIPO DE CONSUMIDOR]]="MEDIO",IF(Tabla1[[#This Row],[MARZO]]&gt;22.5,Tabla1[[#This Row],[MARZO]]/22.5-1,0),IF(Tabla1[[#This Row],[MARZO]]&gt;45,Tabla1[[#This Row],[MARZO]]/45-1,0))</f>
        <v>0</v>
      </c>
      <c r="AH373" s="103">
        <f>IF(Tabla1[[#This Row],[TIPO DE CONSUMIDOR]]="MEDIO",IF(Tabla1[[#This Row],[ABRIL]]&gt;22.5,Tabla1[[#This Row],[ABRIL]]/22.5-1,0),IF(Tabla1[[#This Row],[ABRIL]]&gt;45,Tabla1[[#This Row],[ABRIL]]/45-1,0))</f>
        <v>0</v>
      </c>
      <c r="AI373" s="103">
        <f>IF(Tabla1[[#This Row],[TIPO DE CONSUMIDOR]]="MEDIO",IF(Tabla1[[#This Row],[MAYO ]]&gt;22.5,Tabla1[[#This Row],[MAYO ]]/22.5-1,0),IF(Tabla1[[#This Row],[MAYO ]]&gt;45,Tabla1[[#This Row],[MAYO ]]/45-1,0))</f>
        <v>0</v>
      </c>
      <c r="AJ373" s="103">
        <f>IF(Tabla1[[#This Row],[TIPO DE CONSUMIDOR]]="MEDIO",IF(Tabla1[[#This Row],[JUNIO ]]&gt;22.5,Tabla1[[#This Row],[JUNIO ]]/22.5-1,0),IF(Tabla1[[#This Row],[JUNIO ]]&gt;45,Tabla1[[#This Row],[JUNIO ]]/45-1,0))</f>
        <v>0</v>
      </c>
      <c r="AK373" s="103">
        <f>IF(Tabla1[[#This Row],[TIPO DE CONSUMIDOR]]="MEDIO",IF(Tabla1[[#This Row],[JULIO ]]&gt;22.5,Tabla1[[#This Row],[JULIO ]]/22.5-1,0),IF(Tabla1[[#This Row],[JULIO ]]&gt;45,Tabla1[[#This Row],[JULIO ]]/45-1,0))</f>
        <v>0</v>
      </c>
      <c r="AL373" s="103">
        <f>IF(Tabla1[[#This Row],[TIPO DE CONSUMIDOR]]="MEDIO",IF(Tabla1[[#This Row],[AGOSTO]]&gt;22.5,Tabla1[[#This Row],[AGOSTO]]/22.5-1,0),IF(Tabla1[[#This Row],[AGOSTO]]&gt;45,Tabla1[[#This Row],[AGOSTO]]/45-1,0))</f>
        <v>0</v>
      </c>
      <c r="AM37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3" s="104">
        <f t="shared" si="12"/>
        <v>0</v>
      </c>
      <c r="AR373" s="9">
        <f t="shared" si="11"/>
        <v>1</v>
      </c>
      <c r="AS373" s="60">
        <f>IF(Tabla1[[#This Row],[MESES DE ADEUDO DEL AÑO EN CURSO ]]&gt;0,1,0)</f>
        <v>1</v>
      </c>
      <c r="AT373" s="42"/>
      <c r="AU373" s="42"/>
      <c r="AV373" s="42"/>
      <c r="AW373" s="43"/>
    </row>
    <row r="374" spans="1:49" ht="21.75" thickBot="1" x14ac:dyDescent="0.35">
      <c r="A374" s="109">
        <v>368</v>
      </c>
      <c r="B374" s="5" t="s">
        <v>610</v>
      </c>
      <c r="C374" s="2" t="s">
        <v>530</v>
      </c>
      <c r="D374" s="32"/>
      <c r="E374" s="35" t="s">
        <v>455</v>
      </c>
      <c r="F374" s="34">
        <v>45</v>
      </c>
      <c r="G374" s="34">
        <v>45</v>
      </c>
      <c r="H374" s="34">
        <v>45</v>
      </c>
      <c r="I374" s="34">
        <v>45</v>
      </c>
      <c r="J374" s="34">
        <v>0</v>
      </c>
      <c r="K374" s="34">
        <v>0</v>
      </c>
      <c r="L374" s="34">
        <v>0</v>
      </c>
      <c r="M374" s="34">
        <v>0</v>
      </c>
      <c r="N374" s="34">
        <v>0</v>
      </c>
      <c r="O374" s="34">
        <v>0</v>
      </c>
      <c r="P374" s="34">
        <v>0</v>
      </c>
      <c r="Q374" s="34">
        <v>0</v>
      </c>
      <c r="R374" s="24">
        <f>SUM(Tabla1[[#This Row],[ENERO ]:[DICIEMBRE]])</f>
        <v>180</v>
      </c>
      <c r="W374" s="65">
        <v>0</v>
      </c>
      <c r="X374" s="21">
        <f>COUNTIF(Tabla1[[#This Row],[ENERO ]:[DICIEMBRE]],0)-(AQ374)-IF(Tabla1[[#This Row],[BAJAS]]="BAJA",IF(Tabla1[[#This Row],[ALTAS]]="ALTA",VLOOKUP(Tabla1[[#This Row],[MES DE ALTA ]],$AT$6:$AU$17,2,FALSE),12)-VLOOKUP(Tabla1[[#This Row],[MES DE BAJA ]],$AT$6:$AU$17,2,FALSE),0)</f>
        <v>8</v>
      </c>
      <c r="Y374" s="69">
        <f>SUM(Tabla1[[#This Row],[MES ADEUDO DE AÑOS PASADOS ]:[MESES DE ADEUDO DEL AÑO EN CURSO ]])</f>
        <v>8</v>
      </c>
      <c r="Z374" s="15">
        <f>IF(Tabla1[[#This Row],[TIPO DE CONSUMIDOR]]="COMPLETO",W374*$T$2,W374*($T$2/2))</f>
        <v>0</v>
      </c>
      <c r="AA374" s="15">
        <f>IF(Tabla1[[#This Row],[TIPO DE CONSUMIDOR]]="COMPLETO",Tabla1[[#This Row],[MESES DE ADEUDO DEL AÑO EN CURSO ]]*$T$2,Tabla1[[#This Row],[MESES DE ADEUDO DEL AÑO EN CURSO ]]*($T$2/2))</f>
        <v>360</v>
      </c>
      <c r="AB374" s="70">
        <f>SUM(Tabla1[[#This Row],[DEUDA DE LOS MESES PASADOS EN $$]:[DEUDA DEL AÑO 2013 $$ ]])</f>
        <v>360</v>
      </c>
      <c r="AE374" s="103">
        <f>IF(Tabla1[[#This Row],[TIPO DE CONSUMIDOR]]="MEDIO",IF(Tabla1[[#This Row],[ENERO ]]&gt;22.5,Tabla1[[#This Row],[ENERO ]]/22.5-1,0),IF(Tabla1[[#This Row],[ENERO ]]&gt;45,Tabla1[[#This Row],[ENERO ]]/45-1,0))</f>
        <v>0</v>
      </c>
      <c r="AF37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4" s="103">
        <f>IF(Tabla1[[#This Row],[TIPO DE CONSUMIDOR]]="MEDIO",IF(Tabla1[[#This Row],[MARZO]]&gt;22.5,Tabla1[[#This Row],[MARZO]]/22.5-1,0),IF(Tabla1[[#This Row],[MARZO]]&gt;45,Tabla1[[#This Row],[MARZO]]/45-1,0))</f>
        <v>0</v>
      </c>
      <c r="AH374" s="103">
        <f>IF(Tabla1[[#This Row],[TIPO DE CONSUMIDOR]]="MEDIO",IF(Tabla1[[#This Row],[ABRIL]]&gt;22.5,Tabla1[[#This Row],[ABRIL]]/22.5-1,0),IF(Tabla1[[#This Row],[ABRIL]]&gt;45,Tabla1[[#This Row],[ABRIL]]/45-1,0))</f>
        <v>0</v>
      </c>
      <c r="AI374" s="103">
        <f>IF(Tabla1[[#This Row],[TIPO DE CONSUMIDOR]]="MEDIO",IF(Tabla1[[#This Row],[MAYO ]]&gt;22.5,Tabla1[[#This Row],[MAYO ]]/22.5-1,0),IF(Tabla1[[#This Row],[MAYO ]]&gt;45,Tabla1[[#This Row],[MAYO ]]/45-1,0))</f>
        <v>0</v>
      </c>
      <c r="AJ374" s="103">
        <f>IF(Tabla1[[#This Row],[TIPO DE CONSUMIDOR]]="MEDIO",IF(Tabla1[[#This Row],[JUNIO ]]&gt;22.5,Tabla1[[#This Row],[JUNIO ]]/22.5-1,0),IF(Tabla1[[#This Row],[JUNIO ]]&gt;45,Tabla1[[#This Row],[JUNIO ]]/45-1,0))</f>
        <v>0</v>
      </c>
      <c r="AK374" s="103">
        <f>IF(Tabla1[[#This Row],[TIPO DE CONSUMIDOR]]="MEDIO",IF(Tabla1[[#This Row],[JULIO ]]&gt;22.5,Tabla1[[#This Row],[JULIO ]]/22.5-1,0),IF(Tabla1[[#This Row],[JULIO ]]&gt;45,Tabla1[[#This Row],[JULIO ]]/45-1,0))</f>
        <v>0</v>
      </c>
      <c r="AL374" s="103">
        <f>IF(Tabla1[[#This Row],[TIPO DE CONSUMIDOR]]="MEDIO",IF(Tabla1[[#This Row],[AGOSTO]]&gt;22.5,Tabla1[[#This Row],[AGOSTO]]/22.5-1,0),IF(Tabla1[[#This Row],[AGOSTO]]&gt;45,Tabla1[[#This Row],[AGOSTO]]/45-1,0))</f>
        <v>0</v>
      </c>
      <c r="AM37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4" s="104">
        <f t="shared" si="12"/>
        <v>0</v>
      </c>
      <c r="AR374" s="9">
        <f t="shared" si="11"/>
        <v>1</v>
      </c>
      <c r="AS374" s="60">
        <f>IF(Tabla1[[#This Row],[MESES DE ADEUDO DEL AÑO EN CURSO ]]&gt;0,1,0)</f>
        <v>1</v>
      </c>
      <c r="AT374" s="42"/>
      <c r="AU374" s="42"/>
      <c r="AV374" s="42"/>
      <c r="AW374" s="43"/>
    </row>
    <row r="375" spans="1:49" ht="21.75" thickBot="1" x14ac:dyDescent="0.35">
      <c r="A375" s="109">
        <v>369</v>
      </c>
      <c r="B375" s="5" t="s">
        <v>355</v>
      </c>
      <c r="C375" s="2" t="s">
        <v>530</v>
      </c>
      <c r="D375" s="32"/>
      <c r="E375" s="35" t="s">
        <v>455</v>
      </c>
      <c r="F375" s="34">
        <v>45</v>
      </c>
      <c r="G375" s="34">
        <v>45</v>
      </c>
      <c r="H375" s="34">
        <v>45</v>
      </c>
      <c r="I375" s="34">
        <v>45</v>
      </c>
      <c r="J375" s="34">
        <v>0</v>
      </c>
      <c r="K375" s="34">
        <v>0</v>
      </c>
      <c r="L375" s="34">
        <v>0</v>
      </c>
      <c r="M375" s="34">
        <v>0</v>
      </c>
      <c r="N375" s="34">
        <v>0</v>
      </c>
      <c r="O375" s="34">
        <v>0</v>
      </c>
      <c r="P375" s="34">
        <v>0</v>
      </c>
      <c r="Q375" s="34">
        <v>0</v>
      </c>
      <c r="R375" s="24">
        <f>SUM(Tabla1[[#This Row],[ENERO ]:[DICIEMBRE]])</f>
        <v>180</v>
      </c>
      <c r="W375" s="65">
        <v>0</v>
      </c>
      <c r="X375" s="21">
        <f>COUNTIF(Tabla1[[#This Row],[ENERO ]:[DICIEMBRE]],0)-(AQ375)-IF(Tabla1[[#This Row],[BAJAS]]="BAJA",IF(Tabla1[[#This Row],[ALTAS]]="ALTA",VLOOKUP(Tabla1[[#This Row],[MES DE ALTA ]],$AT$6:$AU$17,2,FALSE),12)-VLOOKUP(Tabla1[[#This Row],[MES DE BAJA ]],$AT$6:$AU$17,2,FALSE),0)</f>
        <v>8</v>
      </c>
      <c r="Y375" s="69">
        <f>SUM(Tabla1[[#This Row],[MES ADEUDO DE AÑOS PASADOS ]:[MESES DE ADEUDO DEL AÑO EN CURSO ]])</f>
        <v>8</v>
      </c>
      <c r="Z375" s="15">
        <f>IF(Tabla1[[#This Row],[TIPO DE CONSUMIDOR]]="COMPLETO",W375*$T$2,W375*($T$2/2))</f>
        <v>0</v>
      </c>
      <c r="AA375" s="15">
        <f>IF(Tabla1[[#This Row],[TIPO DE CONSUMIDOR]]="COMPLETO",Tabla1[[#This Row],[MESES DE ADEUDO DEL AÑO EN CURSO ]]*$T$2,Tabla1[[#This Row],[MESES DE ADEUDO DEL AÑO EN CURSO ]]*($T$2/2))</f>
        <v>360</v>
      </c>
      <c r="AB375" s="70">
        <f>SUM(Tabla1[[#This Row],[DEUDA DE LOS MESES PASADOS EN $$]:[DEUDA DEL AÑO 2013 $$ ]])</f>
        <v>360</v>
      </c>
      <c r="AE375" s="103">
        <f>IF(Tabla1[[#This Row],[TIPO DE CONSUMIDOR]]="MEDIO",IF(Tabla1[[#This Row],[ENERO ]]&gt;22.5,Tabla1[[#This Row],[ENERO ]]/22.5-1,0),IF(Tabla1[[#This Row],[ENERO ]]&gt;45,Tabla1[[#This Row],[ENERO ]]/45-1,0))</f>
        <v>0</v>
      </c>
      <c r="AF37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5" s="103">
        <f>IF(Tabla1[[#This Row],[TIPO DE CONSUMIDOR]]="MEDIO",IF(Tabla1[[#This Row],[MARZO]]&gt;22.5,Tabla1[[#This Row],[MARZO]]/22.5-1,0),IF(Tabla1[[#This Row],[MARZO]]&gt;45,Tabla1[[#This Row],[MARZO]]/45-1,0))</f>
        <v>0</v>
      </c>
      <c r="AH375" s="103">
        <f>IF(Tabla1[[#This Row],[TIPO DE CONSUMIDOR]]="MEDIO",IF(Tabla1[[#This Row],[ABRIL]]&gt;22.5,Tabla1[[#This Row],[ABRIL]]/22.5-1,0),IF(Tabla1[[#This Row],[ABRIL]]&gt;45,Tabla1[[#This Row],[ABRIL]]/45-1,0))</f>
        <v>0</v>
      </c>
      <c r="AI375" s="103">
        <f>IF(Tabla1[[#This Row],[TIPO DE CONSUMIDOR]]="MEDIO",IF(Tabla1[[#This Row],[MAYO ]]&gt;22.5,Tabla1[[#This Row],[MAYO ]]/22.5-1,0),IF(Tabla1[[#This Row],[MAYO ]]&gt;45,Tabla1[[#This Row],[MAYO ]]/45-1,0))</f>
        <v>0</v>
      </c>
      <c r="AJ375" s="103">
        <f>IF(Tabla1[[#This Row],[TIPO DE CONSUMIDOR]]="MEDIO",IF(Tabla1[[#This Row],[JUNIO ]]&gt;22.5,Tabla1[[#This Row],[JUNIO ]]/22.5-1,0),IF(Tabla1[[#This Row],[JUNIO ]]&gt;45,Tabla1[[#This Row],[JUNIO ]]/45-1,0))</f>
        <v>0</v>
      </c>
      <c r="AK375" s="103">
        <f>IF(Tabla1[[#This Row],[TIPO DE CONSUMIDOR]]="MEDIO",IF(Tabla1[[#This Row],[JULIO ]]&gt;22.5,Tabla1[[#This Row],[JULIO ]]/22.5-1,0),IF(Tabla1[[#This Row],[JULIO ]]&gt;45,Tabla1[[#This Row],[JULIO ]]/45-1,0))</f>
        <v>0</v>
      </c>
      <c r="AL375" s="103">
        <f>IF(Tabla1[[#This Row],[TIPO DE CONSUMIDOR]]="MEDIO",IF(Tabla1[[#This Row],[AGOSTO]]&gt;22.5,Tabla1[[#This Row],[AGOSTO]]/22.5-1,0),IF(Tabla1[[#This Row],[AGOSTO]]&gt;45,Tabla1[[#This Row],[AGOSTO]]/45-1,0))</f>
        <v>0</v>
      </c>
      <c r="AM37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5" s="104">
        <f t="shared" si="12"/>
        <v>0</v>
      </c>
      <c r="AR375" s="9">
        <f t="shared" si="11"/>
        <v>1</v>
      </c>
      <c r="AS375" s="60">
        <f>IF(Tabla1[[#This Row],[MESES DE ADEUDO DEL AÑO EN CURSO ]]&gt;0,1,0)</f>
        <v>1</v>
      </c>
      <c r="AT375" s="42"/>
      <c r="AU375" s="42"/>
      <c r="AV375" s="42"/>
      <c r="AW375" s="43"/>
    </row>
    <row r="376" spans="1:49" ht="21.75" thickBot="1" x14ac:dyDescent="0.35">
      <c r="A376" s="109">
        <v>370</v>
      </c>
      <c r="B376" s="5" t="s">
        <v>375</v>
      </c>
      <c r="C376" s="2" t="s">
        <v>530</v>
      </c>
      <c r="D376" s="32"/>
      <c r="E376" s="35" t="s">
        <v>455</v>
      </c>
      <c r="F376" s="34">
        <v>45</v>
      </c>
      <c r="G376" s="34">
        <v>45</v>
      </c>
      <c r="H376" s="34">
        <v>45</v>
      </c>
      <c r="I376" s="34">
        <v>45</v>
      </c>
      <c r="J376" s="34">
        <v>0</v>
      </c>
      <c r="K376" s="34">
        <v>0</v>
      </c>
      <c r="L376" s="34">
        <v>0</v>
      </c>
      <c r="M376" s="34">
        <v>0</v>
      </c>
      <c r="N376" s="34">
        <v>0</v>
      </c>
      <c r="O376" s="34">
        <v>0</v>
      </c>
      <c r="P376" s="34">
        <v>0</v>
      </c>
      <c r="Q376" s="34">
        <v>0</v>
      </c>
      <c r="R376" s="24">
        <f>SUM(Tabla1[[#This Row],[ENERO ]:[DICIEMBRE]])</f>
        <v>180</v>
      </c>
      <c r="W376" s="65">
        <v>0</v>
      </c>
      <c r="X376" s="21">
        <f>COUNTIF(Tabla1[[#This Row],[ENERO ]:[DICIEMBRE]],0)-(AQ376)-IF(Tabla1[[#This Row],[BAJAS]]="BAJA",IF(Tabla1[[#This Row],[ALTAS]]="ALTA",VLOOKUP(Tabla1[[#This Row],[MES DE ALTA ]],$AT$6:$AU$17,2,FALSE),12)-VLOOKUP(Tabla1[[#This Row],[MES DE BAJA ]],$AT$6:$AU$17,2,FALSE),0)</f>
        <v>8</v>
      </c>
      <c r="Y376" s="69">
        <f>SUM(Tabla1[[#This Row],[MES ADEUDO DE AÑOS PASADOS ]:[MESES DE ADEUDO DEL AÑO EN CURSO ]])</f>
        <v>8</v>
      </c>
      <c r="Z376" s="15">
        <f>IF(Tabla1[[#This Row],[TIPO DE CONSUMIDOR]]="COMPLETO",W376*$T$2,W376*($T$2/2))</f>
        <v>0</v>
      </c>
      <c r="AA376" s="15">
        <f>IF(Tabla1[[#This Row],[TIPO DE CONSUMIDOR]]="COMPLETO",Tabla1[[#This Row],[MESES DE ADEUDO DEL AÑO EN CURSO ]]*$T$2,Tabla1[[#This Row],[MESES DE ADEUDO DEL AÑO EN CURSO ]]*($T$2/2))</f>
        <v>360</v>
      </c>
      <c r="AB376" s="70">
        <f>SUM(Tabla1[[#This Row],[DEUDA DE LOS MESES PASADOS EN $$]:[DEUDA DEL AÑO 2013 $$ ]])</f>
        <v>360</v>
      </c>
      <c r="AE376" s="103">
        <f>IF(Tabla1[[#This Row],[TIPO DE CONSUMIDOR]]="MEDIO",IF(Tabla1[[#This Row],[ENERO ]]&gt;22.5,Tabla1[[#This Row],[ENERO ]]/22.5-1,0),IF(Tabla1[[#This Row],[ENERO ]]&gt;45,Tabla1[[#This Row],[ENERO ]]/45-1,0))</f>
        <v>0</v>
      </c>
      <c r="AF37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6" s="103">
        <f>IF(Tabla1[[#This Row],[TIPO DE CONSUMIDOR]]="MEDIO",IF(Tabla1[[#This Row],[MARZO]]&gt;22.5,Tabla1[[#This Row],[MARZO]]/22.5-1,0),IF(Tabla1[[#This Row],[MARZO]]&gt;45,Tabla1[[#This Row],[MARZO]]/45-1,0))</f>
        <v>0</v>
      </c>
      <c r="AH376" s="103">
        <f>IF(Tabla1[[#This Row],[TIPO DE CONSUMIDOR]]="MEDIO",IF(Tabla1[[#This Row],[ABRIL]]&gt;22.5,Tabla1[[#This Row],[ABRIL]]/22.5-1,0),IF(Tabla1[[#This Row],[ABRIL]]&gt;45,Tabla1[[#This Row],[ABRIL]]/45-1,0))</f>
        <v>0</v>
      </c>
      <c r="AI376" s="103">
        <f>IF(Tabla1[[#This Row],[TIPO DE CONSUMIDOR]]="MEDIO",IF(Tabla1[[#This Row],[MAYO ]]&gt;22.5,Tabla1[[#This Row],[MAYO ]]/22.5-1,0),IF(Tabla1[[#This Row],[MAYO ]]&gt;45,Tabla1[[#This Row],[MAYO ]]/45-1,0))</f>
        <v>0</v>
      </c>
      <c r="AJ376" s="103">
        <f>IF(Tabla1[[#This Row],[TIPO DE CONSUMIDOR]]="MEDIO",IF(Tabla1[[#This Row],[JUNIO ]]&gt;22.5,Tabla1[[#This Row],[JUNIO ]]/22.5-1,0),IF(Tabla1[[#This Row],[JUNIO ]]&gt;45,Tabla1[[#This Row],[JUNIO ]]/45-1,0))</f>
        <v>0</v>
      </c>
      <c r="AK376" s="103">
        <f>IF(Tabla1[[#This Row],[TIPO DE CONSUMIDOR]]="MEDIO",IF(Tabla1[[#This Row],[JULIO ]]&gt;22.5,Tabla1[[#This Row],[JULIO ]]/22.5-1,0),IF(Tabla1[[#This Row],[JULIO ]]&gt;45,Tabla1[[#This Row],[JULIO ]]/45-1,0))</f>
        <v>0</v>
      </c>
      <c r="AL376" s="103">
        <f>IF(Tabla1[[#This Row],[TIPO DE CONSUMIDOR]]="MEDIO",IF(Tabla1[[#This Row],[AGOSTO]]&gt;22.5,Tabla1[[#This Row],[AGOSTO]]/22.5-1,0),IF(Tabla1[[#This Row],[AGOSTO]]&gt;45,Tabla1[[#This Row],[AGOSTO]]/45-1,0))</f>
        <v>0</v>
      </c>
      <c r="AM37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6" s="104">
        <f t="shared" si="12"/>
        <v>0</v>
      </c>
      <c r="AR376" s="9">
        <f t="shared" si="11"/>
        <v>1</v>
      </c>
      <c r="AS376" s="60">
        <f>IF(Tabla1[[#This Row],[MESES DE ADEUDO DEL AÑO EN CURSO ]]&gt;0,1,0)</f>
        <v>1</v>
      </c>
      <c r="AT376" s="42"/>
      <c r="AU376" s="42"/>
      <c r="AV376" s="42"/>
      <c r="AW376" s="43"/>
    </row>
    <row r="377" spans="1:49" ht="21.75" thickBot="1" x14ac:dyDescent="0.35">
      <c r="A377" s="109">
        <v>371</v>
      </c>
      <c r="B377" s="5" t="s">
        <v>552</v>
      </c>
      <c r="C377" s="2" t="s">
        <v>549</v>
      </c>
      <c r="D377" s="32"/>
      <c r="E377" s="35" t="s">
        <v>455</v>
      </c>
      <c r="F377" s="34">
        <v>0</v>
      </c>
      <c r="G377" s="34">
        <v>0</v>
      </c>
      <c r="H377" s="34">
        <v>45</v>
      </c>
      <c r="I377" s="34">
        <v>45</v>
      </c>
      <c r="J377" s="34">
        <v>0</v>
      </c>
      <c r="K377" s="34">
        <v>0</v>
      </c>
      <c r="L377" s="34">
        <v>0</v>
      </c>
      <c r="M377" s="34">
        <v>0</v>
      </c>
      <c r="N377" s="34">
        <v>0</v>
      </c>
      <c r="O377" s="34">
        <v>0</v>
      </c>
      <c r="P377" s="34">
        <v>0</v>
      </c>
      <c r="Q377" s="34">
        <v>0</v>
      </c>
      <c r="R377" s="24">
        <f>SUM(Tabla1[[#This Row],[ENERO ]:[DICIEMBRE]])</f>
        <v>90</v>
      </c>
      <c r="S377" t="s">
        <v>626</v>
      </c>
      <c r="T377" t="s">
        <v>434</v>
      </c>
      <c r="U377" t="s">
        <v>625</v>
      </c>
      <c r="V377" t="s">
        <v>2</v>
      </c>
      <c r="W377" s="65">
        <v>0</v>
      </c>
      <c r="X377" s="21">
        <f>COUNTIF(Tabla1[[#This Row],[ENERO ]:[DICIEMBRE]],0)-(AQ377)-IF(Tabla1[[#This Row],[BAJAS]]="BAJA",IF(Tabla1[[#This Row],[ALTAS]]="ALTA",VLOOKUP(Tabla1[[#This Row],[MES DE ALTA ]],$AT$6:$AU$17,2,FALSE),12)-VLOOKUP(Tabla1[[#This Row],[MES DE BAJA ]],$AT$6:$AU$17,2,FALSE),0)</f>
        <v>8</v>
      </c>
      <c r="Y377" s="69">
        <f>SUM(Tabla1[[#This Row],[MES ADEUDO DE AÑOS PASADOS ]:[MESES DE ADEUDO DEL AÑO EN CURSO ]])</f>
        <v>8</v>
      </c>
      <c r="Z377" s="15">
        <f>IF(Tabla1[[#This Row],[TIPO DE CONSUMIDOR]]="COMPLETO",W377*$T$2,W377*($T$2/2))</f>
        <v>0</v>
      </c>
      <c r="AA377" s="15">
        <f>IF(Tabla1[[#This Row],[TIPO DE CONSUMIDOR]]="COMPLETO",Tabla1[[#This Row],[MESES DE ADEUDO DEL AÑO EN CURSO ]]*$T$2,Tabla1[[#This Row],[MESES DE ADEUDO DEL AÑO EN CURSO ]]*($T$2/2))</f>
        <v>360</v>
      </c>
      <c r="AB377" s="70">
        <f>SUM(Tabla1[[#This Row],[DEUDA DE LOS MESES PASADOS EN $$]:[DEUDA DEL AÑO 2013 $$ ]])</f>
        <v>360</v>
      </c>
      <c r="AE377" s="103">
        <f>IF(Tabla1[[#This Row],[TIPO DE CONSUMIDOR]]="MEDIO",IF(Tabla1[[#This Row],[ENERO ]]&gt;22.5,Tabla1[[#This Row],[ENERO ]]/22.5-1,0),IF(Tabla1[[#This Row],[ENERO ]]&gt;45,Tabla1[[#This Row],[ENERO ]]/45-1,0))</f>
        <v>0</v>
      </c>
      <c r="AF37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7" s="103">
        <f>IF(Tabla1[[#This Row],[TIPO DE CONSUMIDOR]]="MEDIO",IF(Tabla1[[#This Row],[MARZO]]&gt;22.5,Tabla1[[#This Row],[MARZO]]/22.5-1,0),IF(Tabla1[[#This Row],[MARZO]]&gt;45,Tabla1[[#This Row],[MARZO]]/45-1,0))</f>
        <v>0</v>
      </c>
      <c r="AH377" s="103">
        <f>IF(Tabla1[[#This Row],[TIPO DE CONSUMIDOR]]="MEDIO",IF(Tabla1[[#This Row],[ABRIL]]&gt;22.5,Tabla1[[#This Row],[ABRIL]]/22.5-1,0),IF(Tabla1[[#This Row],[ABRIL]]&gt;45,Tabla1[[#This Row],[ABRIL]]/45-1,0))</f>
        <v>0</v>
      </c>
      <c r="AI377" s="103">
        <f>IF(Tabla1[[#This Row],[TIPO DE CONSUMIDOR]]="MEDIO",IF(Tabla1[[#This Row],[MAYO ]]&gt;22.5,Tabla1[[#This Row],[MAYO ]]/22.5-1,0),IF(Tabla1[[#This Row],[MAYO ]]&gt;45,Tabla1[[#This Row],[MAYO ]]/45-1,0))</f>
        <v>0</v>
      </c>
      <c r="AJ377" s="103">
        <f>IF(Tabla1[[#This Row],[TIPO DE CONSUMIDOR]]="MEDIO",IF(Tabla1[[#This Row],[JUNIO ]]&gt;22.5,Tabla1[[#This Row],[JUNIO ]]/22.5-1,0),IF(Tabla1[[#This Row],[JUNIO ]]&gt;45,Tabla1[[#This Row],[JUNIO ]]/45-1,0))</f>
        <v>0</v>
      </c>
      <c r="AK377" s="103">
        <f>IF(Tabla1[[#This Row],[TIPO DE CONSUMIDOR]]="MEDIO",IF(Tabla1[[#This Row],[JULIO ]]&gt;22.5,Tabla1[[#This Row],[JULIO ]]/22.5-1,0),IF(Tabla1[[#This Row],[JULIO ]]&gt;45,Tabla1[[#This Row],[JULIO ]]/45-1,0))</f>
        <v>0</v>
      </c>
      <c r="AL377" s="103">
        <f>IF(Tabla1[[#This Row],[TIPO DE CONSUMIDOR]]="MEDIO",IF(Tabla1[[#This Row],[AGOSTO]]&gt;22.5,Tabla1[[#This Row],[AGOSTO]]/22.5-1,0),IF(Tabla1[[#This Row],[AGOSTO]]&gt;45,Tabla1[[#This Row],[AGOSTO]]/45-1,0))</f>
        <v>0</v>
      </c>
      <c r="AM37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7" s="104">
        <f t="shared" si="12"/>
        <v>0</v>
      </c>
      <c r="AR377" s="9">
        <f t="shared" si="11"/>
        <v>1</v>
      </c>
      <c r="AS377" s="60">
        <f>IF(Tabla1[[#This Row],[MESES DE ADEUDO DEL AÑO EN CURSO ]]&gt;0,1,0)</f>
        <v>1</v>
      </c>
      <c r="AT377" s="42"/>
      <c r="AU377" s="42"/>
      <c r="AV377" s="42"/>
      <c r="AW377" s="43"/>
    </row>
    <row r="378" spans="1:49" ht="21.75" thickBot="1" x14ac:dyDescent="0.35">
      <c r="A378" s="109">
        <v>372</v>
      </c>
      <c r="B378" s="5" t="s">
        <v>553</v>
      </c>
      <c r="C378" s="2" t="s">
        <v>549</v>
      </c>
      <c r="D378" s="32"/>
      <c r="E378" s="35" t="s">
        <v>455</v>
      </c>
      <c r="F378" s="34">
        <v>45</v>
      </c>
      <c r="G378" s="34">
        <v>45</v>
      </c>
      <c r="H378" s="34">
        <v>45</v>
      </c>
      <c r="I378" s="34">
        <v>45</v>
      </c>
      <c r="J378" s="34">
        <v>0</v>
      </c>
      <c r="K378" s="34">
        <v>0</v>
      </c>
      <c r="L378" s="34">
        <v>0</v>
      </c>
      <c r="M378" s="34">
        <v>0</v>
      </c>
      <c r="N378" s="34">
        <v>0</v>
      </c>
      <c r="O378" s="34">
        <v>0</v>
      </c>
      <c r="P378" s="34">
        <v>0</v>
      </c>
      <c r="Q378" s="34">
        <v>0</v>
      </c>
      <c r="R378" s="24">
        <f>SUM(Tabla1[[#This Row],[ENERO ]:[DICIEMBRE]])</f>
        <v>180</v>
      </c>
      <c r="W378" s="65">
        <v>0</v>
      </c>
      <c r="X378" s="21">
        <f>COUNTIF(Tabla1[[#This Row],[ENERO ]:[DICIEMBRE]],0)-(AQ378)-IF(Tabla1[[#This Row],[BAJAS]]="BAJA",IF(Tabla1[[#This Row],[ALTAS]]="ALTA",VLOOKUP(Tabla1[[#This Row],[MES DE ALTA ]],$AT$6:$AU$17,2,FALSE),12)-VLOOKUP(Tabla1[[#This Row],[MES DE BAJA ]],$AT$6:$AU$17,2,FALSE),0)</f>
        <v>8</v>
      </c>
      <c r="Y378" s="69">
        <f>SUM(Tabla1[[#This Row],[MES ADEUDO DE AÑOS PASADOS ]:[MESES DE ADEUDO DEL AÑO EN CURSO ]])</f>
        <v>8</v>
      </c>
      <c r="Z378" s="15">
        <f>IF(Tabla1[[#This Row],[TIPO DE CONSUMIDOR]]="COMPLETO",W378*$T$2,W378*($T$2/2))</f>
        <v>0</v>
      </c>
      <c r="AA378" s="15">
        <f>IF(Tabla1[[#This Row],[TIPO DE CONSUMIDOR]]="COMPLETO",Tabla1[[#This Row],[MESES DE ADEUDO DEL AÑO EN CURSO ]]*$T$2,Tabla1[[#This Row],[MESES DE ADEUDO DEL AÑO EN CURSO ]]*($T$2/2))</f>
        <v>360</v>
      </c>
      <c r="AB378" s="70">
        <f>SUM(Tabla1[[#This Row],[DEUDA DE LOS MESES PASADOS EN $$]:[DEUDA DEL AÑO 2013 $$ ]])</f>
        <v>360</v>
      </c>
      <c r="AE378" s="103">
        <f>IF(Tabla1[[#This Row],[TIPO DE CONSUMIDOR]]="MEDIO",IF(Tabla1[[#This Row],[ENERO ]]&gt;22.5,Tabla1[[#This Row],[ENERO ]]/22.5-1,0),IF(Tabla1[[#This Row],[ENERO ]]&gt;45,Tabla1[[#This Row],[ENERO ]]/45-1,0))</f>
        <v>0</v>
      </c>
      <c r="AF37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8" s="103">
        <f>IF(Tabla1[[#This Row],[TIPO DE CONSUMIDOR]]="MEDIO",IF(Tabla1[[#This Row],[MARZO]]&gt;22.5,Tabla1[[#This Row],[MARZO]]/22.5-1,0),IF(Tabla1[[#This Row],[MARZO]]&gt;45,Tabla1[[#This Row],[MARZO]]/45-1,0))</f>
        <v>0</v>
      </c>
      <c r="AH378" s="103">
        <f>IF(Tabla1[[#This Row],[TIPO DE CONSUMIDOR]]="MEDIO",IF(Tabla1[[#This Row],[ABRIL]]&gt;22.5,Tabla1[[#This Row],[ABRIL]]/22.5-1,0),IF(Tabla1[[#This Row],[ABRIL]]&gt;45,Tabla1[[#This Row],[ABRIL]]/45-1,0))</f>
        <v>0</v>
      </c>
      <c r="AI378" s="103">
        <f>IF(Tabla1[[#This Row],[TIPO DE CONSUMIDOR]]="MEDIO",IF(Tabla1[[#This Row],[MAYO ]]&gt;22.5,Tabla1[[#This Row],[MAYO ]]/22.5-1,0),IF(Tabla1[[#This Row],[MAYO ]]&gt;45,Tabla1[[#This Row],[MAYO ]]/45-1,0))</f>
        <v>0</v>
      </c>
      <c r="AJ378" s="103">
        <f>IF(Tabla1[[#This Row],[TIPO DE CONSUMIDOR]]="MEDIO",IF(Tabla1[[#This Row],[JUNIO ]]&gt;22.5,Tabla1[[#This Row],[JUNIO ]]/22.5-1,0),IF(Tabla1[[#This Row],[JUNIO ]]&gt;45,Tabla1[[#This Row],[JUNIO ]]/45-1,0))</f>
        <v>0</v>
      </c>
      <c r="AK378" s="103">
        <f>IF(Tabla1[[#This Row],[TIPO DE CONSUMIDOR]]="MEDIO",IF(Tabla1[[#This Row],[JULIO ]]&gt;22.5,Tabla1[[#This Row],[JULIO ]]/22.5-1,0),IF(Tabla1[[#This Row],[JULIO ]]&gt;45,Tabla1[[#This Row],[JULIO ]]/45-1,0))</f>
        <v>0</v>
      </c>
      <c r="AL378" s="103">
        <f>IF(Tabla1[[#This Row],[TIPO DE CONSUMIDOR]]="MEDIO",IF(Tabla1[[#This Row],[AGOSTO]]&gt;22.5,Tabla1[[#This Row],[AGOSTO]]/22.5-1,0),IF(Tabla1[[#This Row],[AGOSTO]]&gt;45,Tabla1[[#This Row],[AGOSTO]]/45-1,0))</f>
        <v>0</v>
      </c>
      <c r="AM37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8" s="104">
        <f t="shared" si="12"/>
        <v>0</v>
      </c>
      <c r="AR378" s="9">
        <f t="shared" si="11"/>
        <v>1</v>
      </c>
      <c r="AS378" s="60">
        <f>IF(Tabla1[[#This Row],[MESES DE ADEUDO DEL AÑO EN CURSO ]]&gt;0,1,0)</f>
        <v>1</v>
      </c>
      <c r="AT378" s="42"/>
      <c r="AU378" s="42"/>
      <c r="AV378" s="42"/>
      <c r="AW378" s="43"/>
    </row>
    <row r="379" spans="1:49" ht="21.75" thickBot="1" x14ac:dyDescent="0.35">
      <c r="A379" s="109">
        <v>373</v>
      </c>
      <c r="B379" s="5" t="s">
        <v>433</v>
      </c>
      <c r="C379" s="2" t="s">
        <v>562</v>
      </c>
      <c r="D379" s="32"/>
      <c r="E379" s="35" t="s">
        <v>455</v>
      </c>
      <c r="F379" s="34">
        <v>45</v>
      </c>
      <c r="G379" s="34">
        <v>45</v>
      </c>
      <c r="H379" s="34">
        <v>45</v>
      </c>
      <c r="I379" s="34">
        <v>45</v>
      </c>
      <c r="J379" s="34">
        <v>0</v>
      </c>
      <c r="K379" s="34">
        <v>0</v>
      </c>
      <c r="L379" s="34">
        <v>0</v>
      </c>
      <c r="M379" s="34">
        <v>0</v>
      </c>
      <c r="N379" s="34">
        <v>0</v>
      </c>
      <c r="O379" s="34">
        <v>0</v>
      </c>
      <c r="P379" s="34">
        <v>0</v>
      </c>
      <c r="Q379" s="34">
        <v>0</v>
      </c>
      <c r="R379" s="24">
        <f>SUM(Tabla1[[#This Row],[ENERO ]:[DICIEMBRE]])</f>
        <v>180</v>
      </c>
      <c r="W379" s="65">
        <v>0</v>
      </c>
      <c r="X379" s="21">
        <f>COUNTIF(Tabla1[[#This Row],[ENERO ]:[DICIEMBRE]],0)-(AQ379)-IF(Tabla1[[#This Row],[BAJAS]]="BAJA",IF(Tabla1[[#This Row],[ALTAS]]="ALTA",VLOOKUP(Tabla1[[#This Row],[MES DE ALTA ]],$AT$6:$AU$17,2,FALSE),12)-VLOOKUP(Tabla1[[#This Row],[MES DE BAJA ]],$AT$6:$AU$17,2,FALSE),0)</f>
        <v>8</v>
      </c>
      <c r="Y379" s="69">
        <f>SUM(Tabla1[[#This Row],[MES ADEUDO DE AÑOS PASADOS ]:[MESES DE ADEUDO DEL AÑO EN CURSO ]])</f>
        <v>8</v>
      </c>
      <c r="Z379" s="15">
        <f>IF(Tabla1[[#This Row],[TIPO DE CONSUMIDOR]]="COMPLETO",W379*$T$2,W379*($T$2/2))</f>
        <v>0</v>
      </c>
      <c r="AA379" s="15">
        <f>IF(Tabla1[[#This Row],[TIPO DE CONSUMIDOR]]="COMPLETO",Tabla1[[#This Row],[MESES DE ADEUDO DEL AÑO EN CURSO ]]*$T$2,Tabla1[[#This Row],[MESES DE ADEUDO DEL AÑO EN CURSO ]]*($T$2/2))</f>
        <v>360</v>
      </c>
      <c r="AB379" s="70">
        <f>SUM(Tabla1[[#This Row],[DEUDA DE LOS MESES PASADOS EN $$]:[DEUDA DEL AÑO 2013 $$ ]])</f>
        <v>360</v>
      </c>
      <c r="AE379" s="103">
        <f>IF(Tabla1[[#This Row],[TIPO DE CONSUMIDOR]]="MEDIO",IF(Tabla1[[#This Row],[ENERO ]]&gt;22.5,Tabla1[[#This Row],[ENERO ]]/22.5-1,0),IF(Tabla1[[#This Row],[ENERO ]]&gt;45,Tabla1[[#This Row],[ENERO ]]/45-1,0))</f>
        <v>0</v>
      </c>
      <c r="AF37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79" s="103">
        <f>IF(Tabla1[[#This Row],[TIPO DE CONSUMIDOR]]="MEDIO",IF(Tabla1[[#This Row],[MARZO]]&gt;22.5,Tabla1[[#This Row],[MARZO]]/22.5-1,0),IF(Tabla1[[#This Row],[MARZO]]&gt;45,Tabla1[[#This Row],[MARZO]]/45-1,0))</f>
        <v>0</v>
      </c>
      <c r="AH379" s="103">
        <f>IF(Tabla1[[#This Row],[TIPO DE CONSUMIDOR]]="MEDIO",IF(Tabla1[[#This Row],[ABRIL]]&gt;22.5,Tabla1[[#This Row],[ABRIL]]/22.5-1,0),IF(Tabla1[[#This Row],[ABRIL]]&gt;45,Tabla1[[#This Row],[ABRIL]]/45-1,0))</f>
        <v>0</v>
      </c>
      <c r="AI379" s="103">
        <f>IF(Tabla1[[#This Row],[TIPO DE CONSUMIDOR]]="MEDIO",IF(Tabla1[[#This Row],[MAYO ]]&gt;22.5,Tabla1[[#This Row],[MAYO ]]/22.5-1,0),IF(Tabla1[[#This Row],[MAYO ]]&gt;45,Tabla1[[#This Row],[MAYO ]]/45-1,0))</f>
        <v>0</v>
      </c>
      <c r="AJ379" s="103">
        <f>IF(Tabla1[[#This Row],[TIPO DE CONSUMIDOR]]="MEDIO",IF(Tabla1[[#This Row],[JUNIO ]]&gt;22.5,Tabla1[[#This Row],[JUNIO ]]/22.5-1,0),IF(Tabla1[[#This Row],[JUNIO ]]&gt;45,Tabla1[[#This Row],[JUNIO ]]/45-1,0))</f>
        <v>0</v>
      </c>
      <c r="AK379" s="103">
        <f>IF(Tabla1[[#This Row],[TIPO DE CONSUMIDOR]]="MEDIO",IF(Tabla1[[#This Row],[JULIO ]]&gt;22.5,Tabla1[[#This Row],[JULIO ]]/22.5-1,0),IF(Tabla1[[#This Row],[JULIO ]]&gt;45,Tabla1[[#This Row],[JULIO ]]/45-1,0))</f>
        <v>0</v>
      </c>
      <c r="AL379" s="103">
        <f>IF(Tabla1[[#This Row],[TIPO DE CONSUMIDOR]]="MEDIO",IF(Tabla1[[#This Row],[AGOSTO]]&gt;22.5,Tabla1[[#This Row],[AGOSTO]]/22.5-1,0),IF(Tabla1[[#This Row],[AGOSTO]]&gt;45,Tabla1[[#This Row],[AGOSTO]]/45-1,0))</f>
        <v>0</v>
      </c>
      <c r="AM37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7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7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7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79" s="104">
        <f t="shared" si="12"/>
        <v>0</v>
      </c>
      <c r="AR379" s="9">
        <f t="shared" si="11"/>
        <v>1</v>
      </c>
      <c r="AS379" s="60">
        <f>IF(Tabla1[[#This Row],[MESES DE ADEUDO DEL AÑO EN CURSO ]]&gt;0,1,0)</f>
        <v>1</v>
      </c>
      <c r="AT379" s="42"/>
      <c r="AU379" s="42"/>
      <c r="AV379" s="42"/>
      <c r="AW379" s="43"/>
    </row>
    <row r="380" spans="1:49" ht="21.75" thickBot="1" x14ac:dyDescent="0.35">
      <c r="A380" s="109">
        <v>374</v>
      </c>
      <c r="B380" s="5" t="s">
        <v>180</v>
      </c>
      <c r="C380" s="2" t="s">
        <v>562</v>
      </c>
      <c r="D380" s="32"/>
      <c r="E380" s="35" t="s">
        <v>455</v>
      </c>
      <c r="F380" s="34">
        <v>45</v>
      </c>
      <c r="G380" s="34">
        <v>45</v>
      </c>
      <c r="H380" s="34">
        <v>45</v>
      </c>
      <c r="I380" s="34">
        <v>45</v>
      </c>
      <c r="J380" s="34">
        <v>0</v>
      </c>
      <c r="K380" s="34">
        <v>0</v>
      </c>
      <c r="L380" s="34">
        <v>0</v>
      </c>
      <c r="M380" s="34">
        <v>0</v>
      </c>
      <c r="N380" s="34">
        <v>0</v>
      </c>
      <c r="O380" s="34">
        <v>0</v>
      </c>
      <c r="P380" s="34">
        <v>0</v>
      </c>
      <c r="Q380" s="34">
        <v>0</v>
      </c>
      <c r="R380" s="24">
        <f>SUM(Tabla1[[#This Row],[ENERO ]:[DICIEMBRE]])</f>
        <v>180</v>
      </c>
      <c r="W380" s="65">
        <v>0</v>
      </c>
      <c r="X380" s="21">
        <f>COUNTIF(Tabla1[[#This Row],[ENERO ]:[DICIEMBRE]],0)-(AQ380)-IF(Tabla1[[#This Row],[BAJAS]]="BAJA",IF(Tabla1[[#This Row],[ALTAS]]="ALTA",VLOOKUP(Tabla1[[#This Row],[MES DE ALTA ]],$AT$6:$AU$17,2,FALSE),12)-VLOOKUP(Tabla1[[#This Row],[MES DE BAJA ]],$AT$6:$AU$17,2,FALSE),0)</f>
        <v>8</v>
      </c>
      <c r="Y380" s="69">
        <f>SUM(Tabla1[[#This Row],[MES ADEUDO DE AÑOS PASADOS ]:[MESES DE ADEUDO DEL AÑO EN CURSO ]])</f>
        <v>8</v>
      </c>
      <c r="Z380" s="15">
        <f>IF(Tabla1[[#This Row],[TIPO DE CONSUMIDOR]]="COMPLETO",W380*$T$2,W380*($T$2/2))</f>
        <v>0</v>
      </c>
      <c r="AA380" s="15">
        <f>IF(Tabla1[[#This Row],[TIPO DE CONSUMIDOR]]="COMPLETO",Tabla1[[#This Row],[MESES DE ADEUDO DEL AÑO EN CURSO ]]*$T$2,Tabla1[[#This Row],[MESES DE ADEUDO DEL AÑO EN CURSO ]]*($T$2/2))</f>
        <v>360</v>
      </c>
      <c r="AB380" s="70">
        <f>SUM(Tabla1[[#This Row],[DEUDA DE LOS MESES PASADOS EN $$]:[DEUDA DEL AÑO 2013 $$ ]])</f>
        <v>360</v>
      </c>
      <c r="AE380" s="103">
        <f>IF(Tabla1[[#This Row],[TIPO DE CONSUMIDOR]]="MEDIO",IF(Tabla1[[#This Row],[ENERO ]]&gt;22.5,Tabla1[[#This Row],[ENERO ]]/22.5-1,0),IF(Tabla1[[#This Row],[ENERO ]]&gt;45,Tabla1[[#This Row],[ENERO ]]/45-1,0))</f>
        <v>0</v>
      </c>
      <c r="AF38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0" s="103">
        <f>IF(Tabla1[[#This Row],[TIPO DE CONSUMIDOR]]="MEDIO",IF(Tabla1[[#This Row],[MARZO]]&gt;22.5,Tabla1[[#This Row],[MARZO]]/22.5-1,0),IF(Tabla1[[#This Row],[MARZO]]&gt;45,Tabla1[[#This Row],[MARZO]]/45-1,0))</f>
        <v>0</v>
      </c>
      <c r="AH380" s="103">
        <f>IF(Tabla1[[#This Row],[TIPO DE CONSUMIDOR]]="MEDIO",IF(Tabla1[[#This Row],[ABRIL]]&gt;22.5,Tabla1[[#This Row],[ABRIL]]/22.5-1,0),IF(Tabla1[[#This Row],[ABRIL]]&gt;45,Tabla1[[#This Row],[ABRIL]]/45-1,0))</f>
        <v>0</v>
      </c>
      <c r="AI380" s="103">
        <f>IF(Tabla1[[#This Row],[TIPO DE CONSUMIDOR]]="MEDIO",IF(Tabla1[[#This Row],[MAYO ]]&gt;22.5,Tabla1[[#This Row],[MAYO ]]/22.5-1,0),IF(Tabla1[[#This Row],[MAYO ]]&gt;45,Tabla1[[#This Row],[MAYO ]]/45-1,0))</f>
        <v>0</v>
      </c>
      <c r="AJ380" s="103">
        <f>IF(Tabla1[[#This Row],[TIPO DE CONSUMIDOR]]="MEDIO",IF(Tabla1[[#This Row],[JUNIO ]]&gt;22.5,Tabla1[[#This Row],[JUNIO ]]/22.5-1,0),IF(Tabla1[[#This Row],[JUNIO ]]&gt;45,Tabla1[[#This Row],[JUNIO ]]/45-1,0))</f>
        <v>0</v>
      </c>
      <c r="AK380" s="103">
        <f>IF(Tabla1[[#This Row],[TIPO DE CONSUMIDOR]]="MEDIO",IF(Tabla1[[#This Row],[JULIO ]]&gt;22.5,Tabla1[[#This Row],[JULIO ]]/22.5-1,0),IF(Tabla1[[#This Row],[JULIO ]]&gt;45,Tabla1[[#This Row],[JULIO ]]/45-1,0))</f>
        <v>0</v>
      </c>
      <c r="AL380" s="103">
        <f>IF(Tabla1[[#This Row],[TIPO DE CONSUMIDOR]]="MEDIO",IF(Tabla1[[#This Row],[AGOSTO]]&gt;22.5,Tabla1[[#This Row],[AGOSTO]]/22.5-1,0),IF(Tabla1[[#This Row],[AGOSTO]]&gt;45,Tabla1[[#This Row],[AGOSTO]]/45-1,0))</f>
        <v>0</v>
      </c>
      <c r="AM38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0" s="104">
        <f t="shared" si="12"/>
        <v>0</v>
      </c>
      <c r="AR380" s="9">
        <f t="shared" si="11"/>
        <v>1</v>
      </c>
      <c r="AS380" s="60">
        <f>IF(Tabla1[[#This Row],[MESES DE ADEUDO DEL AÑO EN CURSO ]]&gt;0,1,0)</f>
        <v>1</v>
      </c>
      <c r="AT380" s="42"/>
      <c r="AU380" s="42"/>
      <c r="AV380" s="42"/>
      <c r="AW380" s="43"/>
    </row>
    <row r="381" spans="1:49" ht="21.75" thickBot="1" x14ac:dyDescent="0.35">
      <c r="A381" s="109">
        <v>375</v>
      </c>
      <c r="B381" s="5" t="s">
        <v>412</v>
      </c>
      <c r="C381" s="2" t="s">
        <v>575</v>
      </c>
      <c r="D381" s="32"/>
      <c r="E381" s="35" t="s">
        <v>455</v>
      </c>
      <c r="F381" s="34">
        <v>45</v>
      </c>
      <c r="G381" s="34">
        <v>45</v>
      </c>
      <c r="H381" s="34">
        <v>45</v>
      </c>
      <c r="I381" s="34">
        <v>45</v>
      </c>
      <c r="J381" s="34">
        <v>0</v>
      </c>
      <c r="K381" s="34">
        <v>0</v>
      </c>
      <c r="L381" s="34">
        <v>0</v>
      </c>
      <c r="M381" s="34">
        <v>0</v>
      </c>
      <c r="N381" s="34">
        <v>0</v>
      </c>
      <c r="O381" s="34">
        <v>0</v>
      </c>
      <c r="P381" s="34">
        <v>0</v>
      </c>
      <c r="Q381" s="34">
        <v>0</v>
      </c>
      <c r="R381" s="24">
        <f>SUM(Tabla1[[#This Row],[ENERO ]:[DICIEMBRE]])</f>
        <v>180</v>
      </c>
      <c r="W381" s="65">
        <v>0</v>
      </c>
      <c r="X381" s="21">
        <f>COUNTIF(Tabla1[[#This Row],[ENERO ]:[DICIEMBRE]],0)-(AQ381)-IF(Tabla1[[#This Row],[BAJAS]]="BAJA",IF(Tabla1[[#This Row],[ALTAS]]="ALTA",VLOOKUP(Tabla1[[#This Row],[MES DE ALTA ]],$AT$6:$AU$17,2,FALSE),12)-VLOOKUP(Tabla1[[#This Row],[MES DE BAJA ]],$AT$6:$AU$17,2,FALSE),0)</f>
        <v>8</v>
      </c>
      <c r="Y381" s="69">
        <f>SUM(Tabla1[[#This Row],[MES ADEUDO DE AÑOS PASADOS ]:[MESES DE ADEUDO DEL AÑO EN CURSO ]])</f>
        <v>8</v>
      </c>
      <c r="Z381" s="15">
        <f>IF(Tabla1[[#This Row],[TIPO DE CONSUMIDOR]]="COMPLETO",W381*$T$2,W381*($T$2/2))</f>
        <v>0</v>
      </c>
      <c r="AA381" s="15">
        <f>IF(Tabla1[[#This Row],[TIPO DE CONSUMIDOR]]="COMPLETO",Tabla1[[#This Row],[MESES DE ADEUDO DEL AÑO EN CURSO ]]*$T$2,Tabla1[[#This Row],[MESES DE ADEUDO DEL AÑO EN CURSO ]]*($T$2/2))</f>
        <v>360</v>
      </c>
      <c r="AB381" s="70">
        <f>SUM(Tabla1[[#This Row],[DEUDA DE LOS MESES PASADOS EN $$]:[DEUDA DEL AÑO 2013 $$ ]])</f>
        <v>360</v>
      </c>
      <c r="AE381" s="103">
        <f>IF(Tabla1[[#This Row],[TIPO DE CONSUMIDOR]]="MEDIO",IF(Tabla1[[#This Row],[ENERO ]]&gt;22.5,Tabla1[[#This Row],[ENERO ]]/22.5-1,0),IF(Tabla1[[#This Row],[ENERO ]]&gt;45,Tabla1[[#This Row],[ENERO ]]/45-1,0))</f>
        <v>0</v>
      </c>
      <c r="AF38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1" s="103">
        <f>IF(Tabla1[[#This Row],[TIPO DE CONSUMIDOR]]="MEDIO",IF(Tabla1[[#This Row],[MARZO]]&gt;22.5,Tabla1[[#This Row],[MARZO]]/22.5-1,0),IF(Tabla1[[#This Row],[MARZO]]&gt;45,Tabla1[[#This Row],[MARZO]]/45-1,0))</f>
        <v>0</v>
      </c>
      <c r="AH381" s="103">
        <f>IF(Tabla1[[#This Row],[TIPO DE CONSUMIDOR]]="MEDIO",IF(Tabla1[[#This Row],[ABRIL]]&gt;22.5,Tabla1[[#This Row],[ABRIL]]/22.5-1,0),IF(Tabla1[[#This Row],[ABRIL]]&gt;45,Tabla1[[#This Row],[ABRIL]]/45-1,0))</f>
        <v>0</v>
      </c>
      <c r="AI381" s="103">
        <f>IF(Tabla1[[#This Row],[TIPO DE CONSUMIDOR]]="MEDIO",IF(Tabla1[[#This Row],[MAYO ]]&gt;22.5,Tabla1[[#This Row],[MAYO ]]/22.5-1,0),IF(Tabla1[[#This Row],[MAYO ]]&gt;45,Tabla1[[#This Row],[MAYO ]]/45-1,0))</f>
        <v>0</v>
      </c>
      <c r="AJ381" s="103">
        <f>IF(Tabla1[[#This Row],[TIPO DE CONSUMIDOR]]="MEDIO",IF(Tabla1[[#This Row],[JUNIO ]]&gt;22.5,Tabla1[[#This Row],[JUNIO ]]/22.5-1,0),IF(Tabla1[[#This Row],[JUNIO ]]&gt;45,Tabla1[[#This Row],[JUNIO ]]/45-1,0))</f>
        <v>0</v>
      </c>
      <c r="AK381" s="103">
        <f>IF(Tabla1[[#This Row],[TIPO DE CONSUMIDOR]]="MEDIO",IF(Tabla1[[#This Row],[JULIO ]]&gt;22.5,Tabla1[[#This Row],[JULIO ]]/22.5-1,0),IF(Tabla1[[#This Row],[JULIO ]]&gt;45,Tabla1[[#This Row],[JULIO ]]/45-1,0))</f>
        <v>0</v>
      </c>
      <c r="AL381" s="103">
        <f>IF(Tabla1[[#This Row],[TIPO DE CONSUMIDOR]]="MEDIO",IF(Tabla1[[#This Row],[AGOSTO]]&gt;22.5,Tabla1[[#This Row],[AGOSTO]]/22.5-1,0),IF(Tabla1[[#This Row],[AGOSTO]]&gt;45,Tabla1[[#This Row],[AGOSTO]]/45-1,0))</f>
        <v>0</v>
      </c>
      <c r="AM38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1" s="104">
        <f t="shared" si="12"/>
        <v>0</v>
      </c>
      <c r="AR381" s="9">
        <f t="shared" si="11"/>
        <v>1</v>
      </c>
      <c r="AS381" s="60">
        <f>IF(Tabla1[[#This Row],[MESES DE ADEUDO DEL AÑO EN CURSO ]]&gt;0,1,0)</f>
        <v>1</v>
      </c>
      <c r="AT381" s="42"/>
      <c r="AU381" s="42"/>
      <c r="AV381" s="42"/>
      <c r="AW381" s="43"/>
    </row>
    <row r="382" spans="1:49" ht="21.75" thickBot="1" x14ac:dyDescent="0.35">
      <c r="A382" s="109">
        <v>376</v>
      </c>
      <c r="B382" s="5" t="s">
        <v>624</v>
      </c>
      <c r="C382" s="2"/>
      <c r="D382" s="32"/>
      <c r="E382" s="35" t="s">
        <v>455</v>
      </c>
      <c r="F382" s="34">
        <v>45</v>
      </c>
      <c r="G382" s="34">
        <v>45</v>
      </c>
      <c r="H382" s="34">
        <v>45</v>
      </c>
      <c r="I382" s="34">
        <v>45</v>
      </c>
      <c r="J382" s="34">
        <v>0</v>
      </c>
      <c r="K382" s="34">
        <v>0</v>
      </c>
      <c r="L382" s="34">
        <v>0</v>
      </c>
      <c r="M382" s="34">
        <v>0</v>
      </c>
      <c r="N382" s="34">
        <v>0</v>
      </c>
      <c r="O382" s="34">
        <v>0</v>
      </c>
      <c r="P382" s="34">
        <v>0</v>
      </c>
      <c r="Q382" s="34">
        <v>0</v>
      </c>
      <c r="R382" s="24">
        <f>SUM(Tabla1[[#This Row],[ENERO ]:[DICIEMBRE]])</f>
        <v>180</v>
      </c>
      <c r="W382" s="65">
        <v>0</v>
      </c>
      <c r="X382" s="21">
        <f>COUNTIF(Tabla1[[#This Row],[ENERO ]:[DICIEMBRE]],0)-(AQ382)-IF(Tabla1[[#This Row],[BAJAS]]="BAJA",IF(Tabla1[[#This Row],[ALTAS]]="ALTA",VLOOKUP(Tabla1[[#This Row],[MES DE ALTA ]],$AT$6:$AU$17,2,FALSE),12)-VLOOKUP(Tabla1[[#This Row],[MES DE BAJA ]],$AT$6:$AU$17,2,FALSE),0)</f>
        <v>8</v>
      </c>
      <c r="Y382" s="69">
        <f>SUM(Tabla1[[#This Row],[MES ADEUDO DE AÑOS PASADOS ]:[MESES DE ADEUDO DEL AÑO EN CURSO ]])</f>
        <v>8</v>
      </c>
      <c r="Z382" s="15">
        <f>IF(Tabla1[[#This Row],[TIPO DE CONSUMIDOR]]="COMPLETO",W382*$T$2,W382*($T$2/2))</f>
        <v>0</v>
      </c>
      <c r="AA382" s="15">
        <f>IF(Tabla1[[#This Row],[TIPO DE CONSUMIDOR]]="COMPLETO",Tabla1[[#This Row],[MESES DE ADEUDO DEL AÑO EN CURSO ]]*$T$2,Tabla1[[#This Row],[MESES DE ADEUDO DEL AÑO EN CURSO ]]*($T$2/2))</f>
        <v>360</v>
      </c>
      <c r="AB382" s="70">
        <f>SUM(Tabla1[[#This Row],[DEUDA DE LOS MESES PASADOS EN $$]:[DEUDA DEL AÑO 2013 $$ ]])</f>
        <v>360</v>
      </c>
      <c r="AE382" s="103">
        <f>IF(Tabla1[[#This Row],[TIPO DE CONSUMIDOR]]="MEDIO",IF(Tabla1[[#This Row],[ENERO ]]&gt;22.5,Tabla1[[#This Row],[ENERO ]]/22.5-1,0),IF(Tabla1[[#This Row],[ENERO ]]&gt;45,Tabla1[[#This Row],[ENERO ]]/45-1,0))</f>
        <v>0</v>
      </c>
      <c r="AF38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2" s="103">
        <f>IF(Tabla1[[#This Row],[TIPO DE CONSUMIDOR]]="MEDIO",IF(Tabla1[[#This Row],[MARZO]]&gt;22.5,Tabla1[[#This Row],[MARZO]]/22.5-1,0),IF(Tabla1[[#This Row],[MARZO]]&gt;45,Tabla1[[#This Row],[MARZO]]/45-1,0))</f>
        <v>0</v>
      </c>
      <c r="AH382" s="103">
        <f>IF(Tabla1[[#This Row],[TIPO DE CONSUMIDOR]]="MEDIO",IF(Tabla1[[#This Row],[ABRIL]]&gt;22.5,Tabla1[[#This Row],[ABRIL]]/22.5-1,0),IF(Tabla1[[#This Row],[ABRIL]]&gt;45,Tabla1[[#This Row],[ABRIL]]/45-1,0))</f>
        <v>0</v>
      </c>
      <c r="AI382" s="103">
        <f>IF(Tabla1[[#This Row],[TIPO DE CONSUMIDOR]]="MEDIO",IF(Tabla1[[#This Row],[MAYO ]]&gt;22.5,Tabla1[[#This Row],[MAYO ]]/22.5-1,0),IF(Tabla1[[#This Row],[MAYO ]]&gt;45,Tabla1[[#This Row],[MAYO ]]/45-1,0))</f>
        <v>0</v>
      </c>
      <c r="AJ382" s="103">
        <f>IF(Tabla1[[#This Row],[TIPO DE CONSUMIDOR]]="MEDIO",IF(Tabla1[[#This Row],[JUNIO ]]&gt;22.5,Tabla1[[#This Row],[JUNIO ]]/22.5-1,0),IF(Tabla1[[#This Row],[JUNIO ]]&gt;45,Tabla1[[#This Row],[JUNIO ]]/45-1,0))</f>
        <v>0</v>
      </c>
      <c r="AK382" s="103">
        <f>IF(Tabla1[[#This Row],[TIPO DE CONSUMIDOR]]="MEDIO",IF(Tabla1[[#This Row],[JULIO ]]&gt;22.5,Tabla1[[#This Row],[JULIO ]]/22.5-1,0),IF(Tabla1[[#This Row],[JULIO ]]&gt;45,Tabla1[[#This Row],[JULIO ]]/45-1,0))</f>
        <v>0</v>
      </c>
      <c r="AL382" s="103">
        <f>IF(Tabla1[[#This Row],[TIPO DE CONSUMIDOR]]="MEDIO",IF(Tabla1[[#This Row],[AGOSTO]]&gt;22.5,Tabla1[[#This Row],[AGOSTO]]/22.5-1,0),IF(Tabla1[[#This Row],[AGOSTO]]&gt;45,Tabla1[[#This Row],[AGOSTO]]/45-1,0))</f>
        <v>0</v>
      </c>
      <c r="AM38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2" s="104">
        <f t="shared" si="12"/>
        <v>0</v>
      </c>
      <c r="AR382" s="9">
        <f t="shared" si="11"/>
        <v>1</v>
      </c>
      <c r="AS382" s="60">
        <f>IF(Tabla1[[#This Row],[MESES DE ADEUDO DEL AÑO EN CURSO ]]&gt;0,1,0)</f>
        <v>1</v>
      </c>
      <c r="AT382" s="42"/>
      <c r="AU382" s="42"/>
      <c r="AV382" s="42"/>
      <c r="AW382" s="43"/>
    </row>
    <row r="383" spans="1:49" ht="21.75" thickBot="1" x14ac:dyDescent="0.35">
      <c r="A383" s="109">
        <v>377</v>
      </c>
      <c r="B383" s="5" t="s">
        <v>335</v>
      </c>
      <c r="C383" s="2" t="s">
        <v>461</v>
      </c>
      <c r="D383" s="32"/>
      <c r="E383" s="35" t="s">
        <v>455</v>
      </c>
      <c r="F383" s="34">
        <v>45</v>
      </c>
      <c r="G383" s="34">
        <v>45</v>
      </c>
      <c r="H383" s="34">
        <v>45</v>
      </c>
      <c r="I383" s="34">
        <v>0</v>
      </c>
      <c r="J383" s="34">
        <v>0</v>
      </c>
      <c r="K383" s="34">
        <v>0</v>
      </c>
      <c r="L383" s="34">
        <v>0</v>
      </c>
      <c r="M383" s="34">
        <v>0</v>
      </c>
      <c r="N383" s="34">
        <v>0</v>
      </c>
      <c r="O383" s="34">
        <v>0</v>
      </c>
      <c r="P383" s="34">
        <v>0</v>
      </c>
      <c r="Q383" s="34">
        <v>0</v>
      </c>
      <c r="R383" s="24">
        <f>SUM(Tabla1[[#This Row],[ENERO ]:[DICIEMBRE]])</f>
        <v>135</v>
      </c>
      <c r="W383" s="65">
        <v>0</v>
      </c>
      <c r="X383" s="21">
        <f>COUNTIF(Tabla1[[#This Row],[ENERO ]:[DICIEMBRE]],0)-(AQ383)-IF(Tabla1[[#This Row],[BAJAS]]="BAJA",IF(Tabla1[[#This Row],[ALTAS]]="ALTA",VLOOKUP(Tabla1[[#This Row],[MES DE ALTA ]],$AT$6:$AU$17,2,FALSE),12)-VLOOKUP(Tabla1[[#This Row],[MES DE BAJA ]],$AT$6:$AU$17,2,FALSE),0)</f>
        <v>9</v>
      </c>
      <c r="Y383" s="69">
        <f>SUM(Tabla1[[#This Row],[MES ADEUDO DE AÑOS PASADOS ]:[MESES DE ADEUDO DEL AÑO EN CURSO ]])</f>
        <v>9</v>
      </c>
      <c r="Z383" s="15">
        <f>IF(Tabla1[[#This Row],[TIPO DE CONSUMIDOR]]="COMPLETO",W383*$T$2,W383*($T$2/2))</f>
        <v>0</v>
      </c>
      <c r="AA383" s="15">
        <f>IF(Tabla1[[#This Row],[TIPO DE CONSUMIDOR]]="COMPLETO",Tabla1[[#This Row],[MESES DE ADEUDO DEL AÑO EN CURSO ]]*$T$2,Tabla1[[#This Row],[MESES DE ADEUDO DEL AÑO EN CURSO ]]*($T$2/2))</f>
        <v>405</v>
      </c>
      <c r="AB383" s="70">
        <f>SUM(Tabla1[[#This Row],[DEUDA DE LOS MESES PASADOS EN $$]:[DEUDA DEL AÑO 2013 $$ ]])</f>
        <v>405</v>
      </c>
      <c r="AE383" s="103">
        <f>IF(Tabla1[[#This Row],[TIPO DE CONSUMIDOR]]="MEDIO",IF(Tabla1[[#This Row],[ENERO ]]&gt;22.5,Tabla1[[#This Row],[ENERO ]]/22.5-1,0),IF(Tabla1[[#This Row],[ENERO ]]&gt;45,Tabla1[[#This Row],[ENERO ]]/45-1,0))</f>
        <v>0</v>
      </c>
      <c r="AF38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3" s="103">
        <f>IF(Tabla1[[#This Row],[TIPO DE CONSUMIDOR]]="MEDIO",IF(Tabla1[[#This Row],[MARZO]]&gt;22.5,Tabla1[[#This Row],[MARZO]]/22.5-1,0),IF(Tabla1[[#This Row],[MARZO]]&gt;45,Tabla1[[#This Row],[MARZO]]/45-1,0))</f>
        <v>0</v>
      </c>
      <c r="AH383" s="103">
        <f>IF(Tabla1[[#This Row],[TIPO DE CONSUMIDOR]]="MEDIO",IF(Tabla1[[#This Row],[ABRIL]]&gt;22.5,Tabla1[[#This Row],[ABRIL]]/22.5-1,0),IF(Tabla1[[#This Row],[ABRIL]]&gt;45,Tabla1[[#This Row],[ABRIL]]/45-1,0))</f>
        <v>0</v>
      </c>
      <c r="AI383" s="103">
        <f>IF(Tabla1[[#This Row],[TIPO DE CONSUMIDOR]]="MEDIO",IF(Tabla1[[#This Row],[MAYO ]]&gt;22.5,Tabla1[[#This Row],[MAYO ]]/22.5-1,0),IF(Tabla1[[#This Row],[MAYO ]]&gt;45,Tabla1[[#This Row],[MAYO ]]/45-1,0))</f>
        <v>0</v>
      </c>
      <c r="AJ383" s="103">
        <f>IF(Tabla1[[#This Row],[TIPO DE CONSUMIDOR]]="MEDIO",IF(Tabla1[[#This Row],[JUNIO ]]&gt;22.5,Tabla1[[#This Row],[JUNIO ]]/22.5-1,0),IF(Tabla1[[#This Row],[JUNIO ]]&gt;45,Tabla1[[#This Row],[JUNIO ]]/45-1,0))</f>
        <v>0</v>
      </c>
      <c r="AK383" s="103">
        <f>IF(Tabla1[[#This Row],[TIPO DE CONSUMIDOR]]="MEDIO",IF(Tabla1[[#This Row],[JULIO ]]&gt;22.5,Tabla1[[#This Row],[JULIO ]]/22.5-1,0),IF(Tabla1[[#This Row],[JULIO ]]&gt;45,Tabla1[[#This Row],[JULIO ]]/45-1,0))</f>
        <v>0</v>
      </c>
      <c r="AL383" s="103">
        <f>IF(Tabla1[[#This Row],[TIPO DE CONSUMIDOR]]="MEDIO",IF(Tabla1[[#This Row],[AGOSTO]]&gt;22.5,Tabla1[[#This Row],[AGOSTO]]/22.5-1,0),IF(Tabla1[[#This Row],[AGOSTO]]&gt;45,Tabla1[[#This Row],[AGOSTO]]/45-1,0))</f>
        <v>0</v>
      </c>
      <c r="AM38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3" s="104">
        <f t="shared" si="12"/>
        <v>0</v>
      </c>
      <c r="AR383" s="9">
        <f t="shared" si="11"/>
        <v>1</v>
      </c>
      <c r="AS383" s="60">
        <f>IF(Tabla1[[#This Row],[MESES DE ADEUDO DEL AÑO EN CURSO ]]&gt;0,1,0)</f>
        <v>1</v>
      </c>
      <c r="AT383" s="42"/>
      <c r="AU383" s="42"/>
      <c r="AV383" s="42"/>
      <c r="AW383" s="43"/>
    </row>
    <row r="384" spans="1:49" ht="21.75" thickBot="1" x14ac:dyDescent="0.35">
      <c r="A384" s="109">
        <v>378</v>
      </c>
      <c r="B384" s="5" t="s">
        <v>396</v>
      </c>
      <c r="C384" s="2" t="s">
        <v>488</v>
      </c>
      <c r="D384" s="32"/>
      <c r="E384" s="35" t="s">
        <v>455</v>
      </c>
      <c r="F384" s="34">
        <v>45</v>
      </c>
      <c r="G384" s="34">
        <v>45</v>
      </c>
      <c r="H384" s="34">
        <v>45</v>
      </c>
      <c r="I384" s="34">
        <v>0</v>
      </c>
      <c r="J384" s="34">
        <v>0</v>
      </c>
      <c r="K384" s="34">
        <v>0</v>
      </c>
      <c r="L384" s="34">
        <v>0</v>
      </c>
      <c r="M384" s="34">
        <v>0</v>
      </c>
      <c r="N384" s="34">
        <v>0</v>
      </c>
      <c r="O384" s="34">
        <v>0</v>
      </c>
      <c r="P384" s="34">
        <v>0</v>
      </c>
      <c r="Q384" s="34">
        <v>0</v>
      </c>
      <c r="R384" s="24">
        <f>SUM(Tabla1[[#This Row],[ENERO ]:[DICIEMBRE]])</f>
        <v>135</v>
      </c>
      <c r="W384" s="65">
        <v>0</v>
      </c>
      <c r="X384" s="21">
        <f>COUNTIF(Tabla1[[#This Row],[ENERO ]:[DICIEMBRE]],0)-(AQ384)-IF(Tabla1[[#This Row],[BAJAS]]="BAJA",IF(Tabla1[[#This Row],[ALTAS]]="ALTA",VLOOKUP(Tabla1[[#This Row],[MES DE ALTA ]],$AT$6:$AU$17,2,FALSE),12)-VLOOKUP(Tabla1[[#This Row],[MES DE BAJA ]],$AT$6:$AU$17,2,FALSE),0)</f>
        <v>9</v>
      </c>
      <c r="Y384" s="69">
        <f>SUM(Tabla1[[#This Row],[MES ADEUDO DE AÑOS PASADOS ]:[MESES DE ADEUDO DEL AÑO EN CURSO ]])</f>
        <v>9</v>
      </c>
      <c r="Z384" s="15">
        <f>IF(Tabla1[[#This Row],[TIPO DE CONSUMIDOR]]="COMPLETO",W384*$T$2,W384*($T$2/2))</f>
        <v>0</v>
      </c>
      <c r="AA384" s="15">
        <f>IF(Tabla1[[#This Row],[TIPO DE CONSUMIDOR]]="COMPLETO",Tabla1[[#This Row],[MESES DE ADEUDO DEL AÑO EN CURSO ]]*$T$2,Tabla1[[#This Row],[MESES DE ADEUDO DEL AÑO EN CURSO ]]*($T$2/2))</f>
        <v>405</v>
      </c>
      <c r="AB384" s="70">
        <f>SUM(Tabla1[[#This Row],[DEUDA DE LOS MESES PASADOS EN $$]:[DEUDA DEL AÑO 2013 $$ ]])</f>
        <v>405</v>
      </c>
      <c r="AE384" s="103">
        <f>IF(Tabla1[[#This Row],[TIPO DE CONSUMIDOR]]="MEDIO",IF(Tabla1[[#This Row],[ENERO ]]&gt;22.5,Tabla1[[#This Row],[ENERO ]]/22.5-1,0),IF(Tabla1[[#This Row],[ENERO ]]&gt;45,Tabla1[[#This Row],[ENERO ]]/45-1,0))</f>
        <v>0</v>
      </c>
      <c r="AF38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4" s="103">
        <f>IF(Tabla1[[#This Row],[TIPO DE CONSUMIDOR]]="MEDIO",IF(Tabla1[[#This Row],[MARZO]]&gt;22.5,Tabla1[[#This Row],[MARZO]]/22.5-1,0),IF(Tabla1[[#This Row],[MARZO]]&gt;45,Tabla1[[#This Row],[MARZO]]/45-1,0))</f>
        <v>0</v>
      </c>
      <c r="AH384" s="103">
        <f>IF(Tabla1[[#This Row],[TIPO DE CONSUMIDOR]]="MEDIO",IF(Tabla1[[#This Row],[ABRIL]]&gt;22.5,Tabla1[[#This Row],[ABRIL]]/22.5-1,0),IF(Tabla1[[#This Row],[ABRIL]]&gt;45,Tabla1[[#This Row],[ABRIL]]/45-1,0))</f>
        <v>0</v>
      </c>
      <c r="AI384" s="103">
        <f>IF(Tabla1[[#This Row],[TIPO DE CONSUMIDOR]]="MEDIO",IF(Tabla1[[#This Row],[MAYO ]]&gt;22.5,Tabla1[[#This Row],[MAYO ]]/22.5-1,0),IF(Tabla1[[#This Row],[MAYO ]]&gt;45,Tabla1[[#This Row],[MAYO ]]/45-1,0))</f>
        <v>0</v>
      </c>
      <c r="AJ384" s="103">
        <f>IF(Tabla1[[#This Row],[TIPO DE CONSUMIDOR]]="MEDIO",IF(Tabla1[[#This Row],[JUNIO ]]&gt;22.5,Tabla1[[#This Row],[JUNIO ]]/22.5-1,0),IF(Tabla1[[#This Row],[JUNIO ]]&gt;45,Tabla1[[#This Row],[JUNIO ]]/45-1,0))</f>
        <v>0</v>
      </c>
      <c r="AK384" s="103">
        <f>IF(Tabla1[[#This Row],[TIPO DE CONSUMIDOR]]="MEDIO",IF(Tabla1[[#This Row],[JULIO ]]&gt;22.5,Tabla1[[#This Row],[JULIO ]]/22.5-1,0),IF(Tabla1[[#This Row],[JULIO ]]&gt;45,Tabla1[[#This Row],[JULIO ]]/45-1,0))</f>
        <v>0</v>
      </c>
      <c r="AL384" s="103">
        <f>IF(Tabla1[[#This Row],[TIPO DE CONSUMIDOR]]="MEDIO",IF(Tabla1[[#This Row],[AGOSTO]]&gt;22.5,Tabla1[[#This Row],[AGOSTO]]/22.5-1,0),IF(Tabla1[[#This Row],[AGOSTO]]&gt;45,Tabla1[[#This Row],[AGOSTO]]/45-1,0))</f>
        <v>0</v>
      </c>
      <c r="AM38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4" s="104">
        <f t="shared" si="12"/>
        <v>0</v>
      </c>
      <c r="AR384" s="9">
        <f t="shared" si="11"/>
        <v>1</v>
      </c>
      <c r="AS384" s="60">
        <f>IF(Tabla1[[#This Row],[MESES DE ADEUDO DEL AÑO EN CURSO ]]&gt;0,1,0)</f>
        <v>1</v>
      </c>
      <c r="AT384" s="42"/>
      <c r="AU384" s="42"/>
      <c r="AV384" s="42"/>
      <c r="AW384" s="43"/>
    </row>
    <row r="385" spans="1:49" ht="21.75" thickBot="1" x14ac:dyDescent="0.35">
      <c r="A385" s="109">
        <v>379</v>
      </c>
      <c r="B385" s="5" t="s">
        <v>48</v>
      </c>
      <c r="C385" s="2" t="s">
        <v>501</v>
      </c>
      <c r="D385" s="32"/>
      <c r="E385" s="35" t="s">
        <v>455</v>
      </c>
      <c r="F385" s="34">
        <v>45</v>
      </c>
      <c r="G385" s="34">
        <v>45</v>
      </c>
      <c r="H385" s="34">
        <v>45</v>
      </c>
      <c r="I385" s="34">
        <v>0</v>
      </c>
      <c r="J385" s="34">
        <v>0</v>
      </c>
      <c r="K385" s="34">
        <v>0</v>
      </c>
      <c r="L385" s="34">
        <v>0</v>
      </c>
      <c r="M385" s="34">
        <v>0</v>
      </c>
      <c r="N385" s="34">
        <v>0</v>
      </c>
      <c r="O385" s="34">
        <v>0</v>
      </c>
      <c r="P385" s="34">
        <v>0</v>
      </c>
      <c r="Q385" s="34">
        <v>0</v>
      </c>
      <c r="R385" s="24">
        <f>SUM(Tabla1[[#This Row],[ENERO ]:[DICIEMBRE]])</f>
        <v>135</v>
      </c>
      <c r="W385" s="65">
        <v>0</v>
      </c>
      <c r="X385" s="21">
        <f>COUNTIF(Tabla1[[#This Row],[ENERO ]:[DICIEMBRE]],0)-(AQ385)-IF(Tabla1[[#This Row],[BAJAS]]="BAJA",IF(Tabla1[[#This Row],[ALTAS]]="ALTA",VLOOKUP(Tabla1[[#This Row],[MES DE ALTA ]],$AT$6:$AU$17,2,FALSE),12)-VLOOKUP(Tabla1[[#This Row],[MES DE BAJA ]],$AT$6:$AU$17,2,FALSE),0)</f>
        <v>9</v>
      </c>
      <c r="Y385" s="69">
        <f>SUM(Tabla1[[#This Row],[MES ADEUDO DE AÑOS PASADOS ]:[MESES DE ADEUDO DEL AÑO EN CURSO ]])</f>
        <v>9</v>
      </c>
      <c r="Z385" s="15">
        <f>IF(Tabla1[[#This Row],[TIPO DE CONSUMIDOR]]="COMPLETO",W385*$T$2,W385*($T$2/2))</f>
        <v>0</v>
      </c>
      <c r="AA385" s="15">
        <f>IF(Tabla1[[#This Row],[TIPO DE CONSUMIDOR]]="COMPLETO",Tabla1[[#This Row],[MESES DE ADEUDO DEL AÑO EN CURSO ]]*$T$2,Tabla1[[#This Row],[MESES DE ADEUDO DEL AÑO EN CURSO ]]*($T$2/2))</f>
        <v>405</v>
      </c>
      <c r="AB385" s="70">
        <f>SUM(Tabla1[[#This Row],[DEUDA DE LOS MESES PASADOS EN $$]:[DEUDA DEL AÑO 2013 $$ ]])</f>
        <v>405</v>
      </c>
      <c r="AE385" s="103">
        <f>IF(Tabla1[[#This Row],[TIPO DE CONSUMIDOR]]="MEDIO",IF(Tabla1[[#This Row],[ENERO ]]&gt;22.5,Tabla1[[#This Row],[ENERO ]]/22.5-1,0),IF(Tabla1[[#This Row],[ENERO ]]&gt;45,Tabla1[[#This Row],[ENERO ]]/45-1,0))</f>
        <v>0</v>
      </c>
      <c r="AF38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5" s="103">
        <f>IF(Tabla1[[#This Row],[TIPO DE CONSUMIDOR]]="MEDIO",IF(Tabla1[[#This Row],[MARZO]]&gt;22.5,Tabla1[[#This Row],[MARZO]]/22.5-1,0),IF(Tabla1[[#This Row],[MARZO]]&gt;45,Tabla1[[#This Row],[MARZO]]/45-1,0))</f>
        <v>0</v>
      </c>
      <c r="AH385" s="103">
        <f>IF(Tabla1[[#This Row],[TIPO DE CONSUMIDOR]]="MEDIO",IF(Tabla1[[#This Row],[ABRIL]]&gt;22.5,Tabla1[[#This Row],[ABRIL]]/22.5-1,0),IF(Tabla1[[#This Row],[ABRIL]]&gt;45,Tabla1[[#This Row],[ABRIL]]/45-1,0))</f>
        <v>0</v>
      </c>
      <c r="AI385" s="103">
        <f>IF(Tabla1[[#This Row],[TIPO DE CONSUMIDOR]]="MEDIO",IF(Tabla1[[#This Row],[MAYO ]]&gt;22.5,Tabla1[[#This Row],[MAYO ]]/22.5-1,0),IF(Tabla1[[#This Row],[MAYO ]]&gt;45,Tabla1[[#This Row],[MAYO ]]/45-1,0))</f>
        <v>0</v>
      </c>
      <c r="AJ385" s="103">
        <f>IF(Tabla1[[#This Row],[TIPO DE CONSUMIDOR]]="MEDIO",IF(Tabla1[[#This Row],[JUNIO ]]&gt;22.5,Tabla1[[#This Row],[JUNIO ]]/22.5-1,0),IF(Tabla1[[#This Row],[JUNIO ]]&gt;45,Tabla1[[#This Row],[JUNIO ]]/45-1,0))</f>
        <v>0</v>
      </c>
      <c r="AK385" s="103">
        <f>IF(Tabla1[[#This Row],[TIPO DE CONSUMIDOR]]="MEDIO",IF(Tabla1[[#This Row],[JULIO ]]&gt;22.5,Tabla1[[#This Row],[JULIO ]]/22.5-1,0),IF(Tabla1[[#This Row],[JULIO ]]&gt;45,Tabla1[[#This Row],[JULIO ]]/45-1,0))</f>
        <v>0</v>
      </c>
      <c r="AL385" s="103">
        <f>IF(Tabla1[[#This Row],[TIPO DE CONSUMIDOR]]="MEDIO",IF(Tabla1[[#This Row],[AGOSTO]]&gt;22.5,Tabla1[[#This Row],[AGOSTO]]/22.5-1,0),IF(Tabla1[[#This Row],[AGOSTO]]&gt;45,Tabla1[[#This Row],[AGOSTO]]/45-1,0))</f>
        <v>0</v>
      </c>
      <c r="AM38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5" s="104">
        <f t="shared" si="12"/>
        <v>0</v>
      </c>
      <c r="AR385" s="9">
        <f t="shared" si="11"/>
        <v>1</v>
      </c>
      <c r="AS385" s="60">
        <f>IF(Tabla1[[#This Row],[MESES DE ADEUDO DEL AÑO EN CURSO ]]&gt;0,1,0)</f>
        <v>1</v>
      </c>
      <c r="AT385" s="42"/>
      <c r="AU385" s="42"/>
      <c r="AV385" s="42"/>
      <c r="AW385" s="43"/>
    </row>
    <row r="386" spans="1:49" ht="21.75" thickBot="1" x14ac:dyDescent="0.35">
      <c r="A386" s="109">
        <v>380</v>
      </c>
      <c r="B386" s="5" t="s">
        <v>402</v>
      </c>
      <c r="C386" s="2" t="s">
        <v>511</v>
      </c>
      <c r="D386" s="32"/>
      <c r="E386" s="35" t="s">
        <v>455</v>
      </c>
      <c r="F386" s="34">
        <v>45</v>
      </c>
      <c r="G386" s="34">
        <v>45</v>
      </c>
      <c r="H386" s="34">
        <v>45</v>
      </c>
      <c r="I386" s="34">
        <v>0</v>
      </c>
      <c r="J386" s="34">
        <v>0</v>
      </c>
      <c r="K386" s="34">
        <v>0</v>
      </c>
      <c r="L386" s="34">
        <v>0</v>
      </c>
      <c r="M386" s="34">
        <v>0</v>
      </c>
      <c r="N386" s="34">
        <v>0</v>
      </c>
      <c r="O386" s="34">
        <v>0</v>
      </c>
      <c r="P386" s="34">
        <v>0</v>
      </c>
      <c r="Q386" s="34">
        <v>0</v>
      </c>
      <c r="R386" s="24">
        <f>SUM(Tabla1[[#This Row],[ENERO ]:[DICIEMBRE]])</f>
        <v>135</v>
      </c>
      <c r="W386" s="65">
        <v>0</v>
      </c>
      <c r="X386" s="21">
        <f>COUNTIF(Tabla1[[#This Row],[ENERO ]:[DICIEMBRE]],0)-(AQ386)-IF(Tabla1[[#This Row],[BAJAS]]="BAJA",IF(Tabla1[[#This Row],[ALTAS]]="ALTA",VLOOKUP(Tabla1[[#This Row],[MES DE ALTA ]],$AT$6:$AU$17,2,FALSE),12)-VLOOKUP(Tabla1[[#This Row],[MES DE BAJA ]],$AT$6:$AU$17,2,FALSE),0)</f>
        <v>9</v>
      </c>
      <c r="Y386" s="69">
        <f>SUM(Tabla1[[#This Row],[MES ADEUDO DE AÑOS PASADOS ]:[MESES DE ADEUDO DEL AÑO EN CURSO ]])</f>
        <v>9</v>
      </c>
      <c r="Z386" s="15">
        <f>IF(Tabla1[[#This Row],[TIPO DE CONSUMIDOR]]="COMPLETO",W386*$T$2,W386*($T$2/2))</f>
        <v>0</v>
      </c>
      <c r="AA386" s="15">
        <f>IF(Tabla1[[#This Row],[TIPO DE CONSUMIDOR]]="COMPLETO",Tabla1[[#This Row],[MESES DE ADEUDO DEL AÑO EN CURSO ]]*$T$2,Tabla1[[#This Row],[MESES DE ADEUDO DEL AÑO EN CURSO ]]*($T$2/2))</f>
        <v>405</v>
      </c>
      <c r="AB386" s="70">
        <f>SUM(Tabla1[[#This Row],[DEUDA DE LOS MESES PASADOS EN $$]:[DEUDA DEL AÑO 2013 $$ ]])</f>
        <v>405</v>
      </c>
      <c r="AE386" s="103">
        <f>IF(Tabla1[[#This Row],[TIPO DE CONSUMIDOR]]="MEDIO",IF(Tabla1[[#This Row],[ENERO ]]&gt;22.5,Tabla1[[#This Row],[ENERO ]]/22.5-1,0),IF(Tabla1[[#This Row],[ENERO ]]&gt;45,Tabla1[[#This Row],[ENERO ]]/45-1,0))</f>
        <v>0</v>
      </c>
      <c r="AF38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6" s="103">
        <f>IF(Tabla1[[#This Row],[TIPO DE CONSUMIDOR]]="MEDIO",IF(Tabla1[[#This Row],[MARZO]]&gt;22.5,Tabla1[[#This Row],[MARZO]]/22.5-1,0),IF(Tabla1[[#This Row],[MARZO]]&gt;45,Tabla1[[#This Row],[MARZO]]/45-1,0))</f>
        <v>0</v>
      </c>
      <c r="AH386" s="103">
        <f>IF(Tabla1[[#This Row],[TIPO DE CONSUMIDOR]]="MEDIO",IF(Tabla1[[#This Row],[ABRIL]]&gt;22.5,Tabla1[[#This Row],[ABRIL]]/22.5-1,0),IF(Tabla1[[#This Row],[ABRIL]]&gt;45,Tabla1[[#This Row],[ABRIL]]/45-1,0))</f>
        <v>0</v>
      </c>
      <c r="AI386" s="103">
        <f>IF(Tabla1[[#This Row],[TIPO DE CONSUMIDOR]]="MEDIO",IF(Tabla1[[#This Row],[MAYO ]]&gt;22.5,Tabla1[[#This Row],[MAYO ]]/22.5-1,0),IF(Tabla1[[#This Row],[MAYO ]]&gt;45,Tabla1[[#This Row],[MAYO ]]/45-1,0))</f>
        <v>0</v>
      </c>
      <c r="AJ386" s="103">
        <f>IF(Tabla1[[#This Row],[TIPO DE CONSUMIDOR]]="MEDIO",IF(Tabla1[[#This Row],[JUNIO ]]&gt;22.5,Tabla1[[#This Row],[JUNIO ]]/22.5-1,0),IF(Tabla1[[#This Row],[JUNIO ]]&gt;45,Tabla1[[#This Row],[JUNIO ]]/45-1,0))</f>
        <v>0</v>
      </c>
      <c r="AK386" s="103">
        <f>IF(Tabla1[[#This Row],[TIPO DE CONSUMIDOR]]="MEDIO",IF(Tabla1[[#This Row],[JULIO ]]&gt;22.5,Tabla1[[#This Row],[JULIO ]]/22.5-1,0),IF(Tabla1[[#This Row],[JULIO ]]&gt;45,Tabla1[[#This Row],[JULIO ]]/45-1,0))</f>
        <v>0</v>
      </c>
      <c r="AL386" s="103">
        <f>IF(Tabla1[[#This Row],[TIPO DE CONSUMIDOR]]="MEDIO",IF(Tabla1[[#This Row],[AGOSTO]]&gt;22.5,Tabla1[[#This Row],[AGOSTO]]/22.5-1,0),IF(Tabla1[[#This Row],[AGOSTO]]&gt;45,Tabla1[[#This Row],[AGOSTO]]/45-1,0))</f>
        <v>0</v>
      </c>
      <c r="AM38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6" s="104">
        <f t="shared" si="12"/>
        <v>0</v>
      </c>
      <c r="AR386" s="9">
        <f t="shared" si="11"/>
        <v>1</v>
      </c>
      <c r="AS386" s="60">
        <f>IF(Tabla1[[#This Row],[MESES DE ADEUDO DEL AÑO EN CURSO ]]&gt;0,1,0)</f>
        <v>1</v>
      </c>
      <c r="AT386" s="42"/>
      <c r="AU386" s="42"/>
      <c r="AV386" s="42"/>
      <c r="AW386" s="43"/>
    </row>
    <row r="387" spans="1:49" ht="21.75" thickBot="1" x14ac:dyDescent="0.35">
      <c r="A387" s="109">
        <v>381</v>
      </c>
      <c r="B387" s="5" t="s">
        <v>88</v>
      </c>
      <c r="C387" s="2" t="s">
        <v>524</v>
      </c>
      <c r="D387" s="32"/>
      <c r="E387" s="35" t="s">
        <v>455</v>
      </c>
      <c r="F387" s="34">
        <v>45</v>
      </c>
      <c r="G387" s="34">
        <v>45</v>
      </c>
      <c r="H387" s="34">
        <v>45</v>
      </c>
      <c r="I387" s="34">
        <v>0</v>
      </c>
      <c r="J387" s="34">
        <v>0</v>
      </c>
      <c r="K387" s="34">
        <v>0</v>
      </c>
      <c r="L387" s="34">
        <v>0</v>
      </c>
      <c r="M387" s="34">
        <v>0</v>
      </c>
      <c r="N387" s="34">
        <v>0</v>
      </c>
      <c r="O387" s="34">
        <v>0</v>
      </c>
      <c r="P387" s="34">
        <v>0</v>
      </c>
      <c r="Q387" s="34">
        <v>0</v>
      </c>
      <c r="R387" s="24">
        <f>SUM(Tabla1[[#This Row],[ENERO ]:[DICIEMBRE]])</f>
        <v>135</v>
      </c>
      <c r="W387" s="65">
        <v>0</v>
      </c>
      <c r="X387" s="21">
        <f>COUNTIF(Tabla1[[#This Row],[ENERO ]:[DICIEMBRE]],0)-(AQ387)-IF(Tabla1[[#This Row],[BAJAS]]="BAJA",IF(Tabla1[[#This Row],[ALTAS]]="ALTA",VLOOKUP(Tabla1[[#This Row],[MES DE ALTA ]],$AT$6:$AU$17,2,FALSE),12)-VLOOKUP(Tabla1[[#This Row],[MES DE BAJA ]],$AT$6:$AU$17,2,FALSE),0)</f>
        <v>9</v>
      </c>
      <c r="Y387" s="69">
        <f>SUM(Tabla1[[#This Row],[MES ADEUDO DE AÑOS PASADOS ]:[MESES DE ADEUDO DEL AÑO EN CURSO ]])</f>
        <v>9</v>
      </c>
      <c r="Z387" s="15">
        <f>IF(Tabla1[[#This Row],[TIPO DE CONSUMIDOR]]="COMPLETO",W387*$T$2,W387*($T$2/2))</f>
        <v>0</v>
      </c>
      <c r="AA387" s="15">
        <f>IF(Tabla1[[#This Row],[TIPO DE CONSUMIDOR]]="COMPLETO",Tabla1[[#This Row],[MESES DE ADEUDO DEL AÑO EN CURSO ]]*$T$2,Tabla1[[#This Row],[MESES DE ADEUDO DEL AÑO EN CURSO ]]*($T$2/2))</f>
        <v>405</v>
      </c>
      <c r="AB387" s="70">
        <f>SUM(Tabla1[[#This Row],[DEUDA DE LOS MESES PASADOS EN $$]:[DEUDA DEL AÑO 2013 $$ ]])</f>
        <v>405</v>
      </c>
      <c r="AE387" s="103">
        <f>IF(Tabla1[[#This Row],[TIPO DE CONSUMIDOR]]="MEDIO",IF(Tabla1[[#This Row],[ENERO ]]&gt;22.5,Tabla1[[#This Row],[ENERO ]]/22.5-1,0),IF(Tabla1[[#This Row],[ENERO ]]&gt;45,Tabla1[[#This Row],[ENERO ]]/45-1,0))</f>
        <v>0</v>
      </c>
      <c r="AF38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7" s="103">
        <f>IF(Tabla1[[#This Row],[TIPO DE CONSUMIDOR]]="MEDIO",IF(Tabla1[[#This Row],[MARZO]]&gt;22.5,Tabla1[[#This Row],[MARZO]]/22.5-1,0),IF(Tabla1[[#This Row],[MARZO]]&gt;45,Tabla1[[#This Row],[MARZO]]/45-1,0))</f>
        <v>0</v>
      </c>
      <c r="AH387" s="103">
        <f>IF(Tabla1[[#This Row],[TIPO DE CONSUMIDOR]]="MEDIO",IF(Tabla1[[#This Row],[ABRIL]]&gt;22.5,Tabla1[[#This Row],[ABRIL]]/22.5-1,0),IF(Tabla1[[#This Row],[ABRIL]]&gt;45,Tabla1[[#This Row],[ABRIL]]/45-1,0))</f>
        <v>0</v>
      </c>
      <c r="AI387" s="103">
        <f>IF(Tabla1[[#This Row],[TIPO DE CONSUMIDOR]]="MEDIO",IF(Tabla1[[#This Row],[MAYO ]]&gt;22.5,Tabla1[[#This Row],[MAYO ]]/22.5-1,0),IF(Tabla1[[#This Row],[MAYO ]]&gt;45,Tabla1[[#This Row],[MAYO ]]/45-1,0))</f>
        <v>0</v>
      </c>
      <c r="AJ387" s="103">
        <f>IF(Tabla1[[#This Row],[TIPO DE CONSUMIDOR]]="MEDIO",IF(Tabla1[[#This Row],[JUNIO ]]&gt;22.5,Tabla1[[#This Row],[JUNIO ]]/22.5-1,0),IF(Tabla1[[#This Row],[JUNIO ]]&gt;45,Tabla1[[#This Row],[JUNIO ]]/45-1,0))</f>
        <v>0</v>
      </c>
      <c r="AK387" s="103">
        <f>IF(Tabla1[[#This Row],[TIPO DE CONSUMIDOR]]="MEDIO",IF(Tabla1[[#This Row],[JULIO ]]&gt;22.5,Tabla1[[#This Row],[JULIO ]]/22.5-1,0),IF(Tabla1[[#This Row],[JULIO ]]&gt;45,Tabla1[[#This Row],[JULIO ]]/45-1,0))</f>
        <v>0</v>
      </c>
      <c r="AL387" s="103">
        <f>IF(Tabla1[[#This Row],[TIPO DE CONSUMIDOR]]="MEDIO",IF(Tabla1[[#This Row],[AGOSTO]]&gt;22.5,Tabla1[[#This Row],[AGOSTO]]/22.5-1,0),IF(Tabla1[[#This Row],[AGOSTO]]&gt;45,Tabla1[[#This Row],[AGOSTO]]/45-1,0))</f>
        <v>0</v>
      </c>
      <c r="AM38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7" s="104">
        <f t="shared" si="12"/>
        <v>0</v>
      </c>
      <c r="AR387" s="9">
        <f t="shared" si="11"/>
        <v>1</v>
      </c>
      <c r="AS387" s="60">
        <f>IF(Tabla1[[#This Row],[MESES DE ADEUDO DEL AÑO EN CURSO ]]&gt;0,1,0)</f>
        <v>1</v>
      </c>
      <c r="AT387" s="42"/>
      <c r="AU387" s="42"/>
      <c r="AV387" s="42"/>
      <c r="AW387" s="43"/>
    </row>
    <row r="388" spans="1:49" ht="21.75" thickBot="1" x14ac:dyDescent="0.35">
      <c r="A388" s="109">
        <v>382</v>
      </c>
      <c r="B388" s="5" t="s">
        <v>531</v>
      </c>
      <c r="C388" s="2" t="s">
        <v>530</v>
      </c>
      <c r="D388" s="32"/>
      <c r="E388" s="35" t="s">
        <v>455</v>
      </c>
      <c r="F388" s="34">
        <v>45</v>
      </c>
      <c r="G388" s="34">
        <v>45</v>
      </c>
      <c r="H388" s="34">
        <v>45</v>
      </c>
      <c r="I388" s="34">
        <v>0</v>
      </c>
      <c r="J388" s="34">
        <v>0</v>
      </c>
      <c r="K388" s="34">
        <v>0</v>
      </c>
      <c r="L388" s="34">
        <v>0</v>
      </c>
      <c r="M388" s="34">
        <v>0</v>
      </c>
      <c r="N388" s="34">
        <v>0</v>
      </c>
      <c r="O388" s="34">
        <v>0</v>
      </c>
      <c r="P388" s="34">
        <v>0</v>
      </c>
      <c r="Q388" s="34">
        <v>0</v>
      </c>
      <c r="R388" s="24">
        <f>SUM(Tabla1[[#This Row],[ENERO ]:[DICIEMBRE]])</f>
        <v>135</v>
      </c>
      <c r="W388" s="65">
        <v>0</v>
      </c>
      <c r="X388" s="21">
        <f>COUNTIF(Tabla1[[#This Row],[ENERO ]:[DICIEMBRE]],0)-(AQ388)-IF(Tabla1[[#This Row],[BAJAS]]="BAJA",IF(Tabla1[[#This Row],[ALTAS]]="ALTA",VLOOKUP(Tabla1[[#This Row],[MES DE ALTA ]],$AT$6:$AU$17,2,FALSE),12)-VLOOKUP(Tabla1[[#This Row],[MES DE BAJA ]],$AT$6:$AU$17,2,FALSE),0)</f>
        <v>9</v>
      </c>
      <c r="Y388" s="69">
        <f>SUM(Tabla1[[#This Row],[MES ADEUDO DE AÑOS PASADOS ]:[MESES DE ADEUDO DEL AÑO EN CURSO ]])</f>
        <v>9</v>
      </c>
      <c r="Z388" s="15">
        <f>IF(Tabla1[[#This Row],[TIPO DE CONSUMIDOR]]="COMPLETO",W388*$T$2,W388*($T$2/2))</f>
        <v>0</v>
      </c>
      <c r="AA388" s="15">
        <f>IF(Tabla1[[#This Row],[TIPO DE CONSUMIDOR]]="COMPLETO",Tabla1[[#This Row],[MESES DE ADEUDO DEL AÑO EN CURSO ]]*$T$2,Tabla1[[#This Row],[MESES DE ADEUDO DEL AÑO EN CURSO ]]*($T$2/2))</f>
        <v>405</v>
      </c>
      <c r="AB388" s="70">
        <f>SUM(Tabla1[[#This Row],[DEUDA DE LOS MESES PASADOS EN $$]:[DEUDA DEL AÑO 2013 $$ ]])</f>
        <v>405</v>
      </c>
      <c r="AE388" s="103">
        <f>IF(Tabla1[[#This Row],[TIPO DE CONSUMIDOR]]="MEDIO",IF(Tabla1[[#This Row],[ENERO ]]&gt;22.5,Tabla1[[#This Row],[ENERO ]]/22.5-1,0),IF(Tabla1[[#This Row],[ENERO ]]&gt;45,Tabla1[[#This Row],[ENERO ]]/45-1,0))</f>
        <v>0</v>
      </c>
      <c r="AF38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8" s="103">
        <f>IF(Tabla1[[#This Row],[TIPO DE CONSUMIDOR]]="MEDIO",IF(Tabla1[[#This Row],[MARZO]]&gt;22.5,Tabla1[[#This Row],[MARZO]]/22.5-1,0),IF(Tabla1[[#This Row],[MARZO]]&gt;45,Tabla1[[#This Row],[MARZO]]/45-1,0))</f>
        <v>0</v>
      </c>
      <c r="AH388" s="103">
        <f>IF(Tabla1[[#This Row],[TIPO DE CONSUMIDOR]]="MEDIO",IF(Tabla1[[#This Row],[ABRIL]]&gt;22.5,Tabla1[[#This Row],[ABRIL]]/22.5-1,0),IF(Tabla1[[#This Row],[ABRIL]]&gt;45,Tabla1[[#This Row],[ABRIL]]/45-1,0))</f>
        <v>0</v>
      </c>
      <c r="AI388" s="103">
        <f>IF(Tabla1[[#This Row],[TIPO DE CONSUMIDOR]]="MEDIO",IF(Tabla1[[#This Row],[MAYO ]]&gt;22.5,Tabla1[[#This Row],[MAYO ]]/22.5-1,0),IF(Tabla1[[#This Row],[MAYO ]]&gt;45,Tabla1[[#This Row],[MAYO ]]/45-1,0))</f>
        <v>0</v>
      </c>
      <c r="AJ388" s="103">
        <f>IF(Tabla1[[#This Row],[TIPO DE CONSUMIDOR]]="MEDIO",IF(Tabla1[[#This Row],[JUNIO ]]&gt;22.5,Tabla1[[#This Row],[JUNIO ]]/22.5-1,0),IF(Tabla1[[#This Row],[JUNIO ]]&gt;45,Tabla1[[#This Row],[JUNIO ]]/45-1,0))</f>
        <v>0</v>
      </c>
      <c r="AK388" s="103">
        <f>IF(Tabla1[[#This Row],[TIPO DE CONSUMIDOR]]="MEDIO",IF(Tabla1[[#This Row],[JULIO ]]&gt;22.5,Tabla1[[#This Row],[JULIO ]]/22.5-1,0),IF(Tabla1[[#This Row],[JULIO ]]&gt;45,Tabla1[[#This Row],[JULIO ]]/45-1,0))</f>
        <v>0</v>
      </c>
      <c r="AL388" s="103">
        <f>IF(Tabla1[[#This Row],[TIPO DE CONSUMIDOR]]="MEDIO",IF(Tabla1[[#This Row],[AGOSTO]]&gt;22.5,Tabla1[[#This Row],[AGOSTO]]/22.5-1,0),IF(Tabla1[[#This Row],[AGOSTO]]&gt;45,Tabla1[[#This Row],[AGOSTO]]/45-1,0))</f>
        <v>0</v>
      </c>
      <c r="AM38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8" s="104">
        <f t="shared" si="12"/>
        <v>0</v>
      </c>
      <c r="AR388" s="9">
        <f t="shared" si="11"/>
        <v>1</v>
      </c>
      <c r="AS388" s="60">
        <f>IF(Tabla1[[#This Row],[MESES DE ADEUDO DEL AÑO EN CURSO ]]&gt;0,1,0)</f>
        <v>1</v>
      </c>
      <c r="AT388" s="42"/>
      <c r="AU388" s="42"/>
      <c r="AV388" s="42"/>
      <c r="AW388" s="43"/>
    </row>
    <row r="389" spans="1:49" ht="21.75" thickBot="1" x14ac:dyDescent="0.35">
      <c r="A389" s="109">
        <v>383</v>
      </c>
      <c r="B389" s="5" t="s">
        <v>58</v>
      </c>
      <c r="C389" s="2" t="s">
        <v>530</v>
      </c>
      <c r="D389" s="32"/>
      <c r="E389" s="35" t="s">
        <v>455</v>
      </c>
      <c r="F389" s="34">
        <v>45</v>
      </c>
      <c r="G389" s="34">
        <v>45</v>
      </c>
      <c r="H389" s="34">
        <v>45</v>
      </c>
      <c r="I389" s="34">
        <v>0</v>
      </c>
      <c r="J389" s="34">
        <v>0</v>
      </c>
      <c r="K389" s="34">
        <v>0</v>
      </c>
      <c r="L389" s="34">
        <v>0</v>
      </c>
      <c r="M389" s="34">
        <v>0</v>
      </c>
      <c r="N389" s="34">
        <v>0</v>
      </c>
      <c r="O389" s="34">
        <v>0</v>
      </c>
      <c r="P389" s="34">
        <v>0</v>
      </c>
      <c r="Q389" s="34">
        <v>0</v>
      </c>
      <c r="R389" s="24">
        <f>SUM(Tabla1[[#This Row],[ENERO ]:[DICIEMBRE]])</f>
        <v>135</v>
      </c>
      <c r="W389" s="65">
        <v>0</v>
      </c>
      <c r="X389" s="21">
        <f>COUNTIF(Tabla1[[#This Row],[ENERO ]:[DICIEMBRE]],0)-(AQ389)-IF(Tabla1[[#This Row],[BAJAS]]="BAJA",IF(Tabla1[[#This Row],[ALTAS]]="ALTA",VLOOKUP(Tabla1[[#This Row],[MES DE ALTA ]],$AT$6:$AU$17,2,FALSE),12)-VLOOKUP(Tabla1[[#This Row],[MES DE BAJA ]],$AT$6:$AU$17,2,FALSE),0)</f>
        <v>9</v>
      </c>
      <c r="Y389" s="69">
        <f>SUM(Tabla1[[#This Row],[MES ADEUDO DE AÑOS PASADOS ]:[MESES DE ADEUDO DEL AÑO EN CURSO ]])</f>
        <v>9</v>
      </c>
      <c r="Z389" s="15">
        <f>IF(Tabla1[[#This Row],[TIPO DE CONSUMIDOR]]="COMPLETO",W389*$T$2,W389*($T$2/2))</f>
        <v>0</v>
      </c>
      <c r="AA389" s="15">
        <f>IF(Tabla1[[#This Row],[TIPO DE CONSUMIDOR]]="COMPLETO",Tabla1[[#This Row],[MESES DE ADEUDO DEL AÑO EN CURSO ]]*$T$2,Tabla1[[#This Row],[MESES DE ADEUDO DEL AÑO EN CURSO ]]*($T$2/2))</f>
        <v>405</v>
      </c>
      <c r="AB389" s="70">
        <f>SUM(Tabla1[[#This Row],[DEUDA DE LOS MESES PASADOS EN $$]:[DEUDA DEL AÑO 2013 $$ ]])</f>
        <v>405</v>
      </c>
      <c r="AE389" s="103">
        <f>IF(Tabla1[[#This Row],[TIPO DE CONSUMIDOR]]="MEDIO",IF(Tabla1[[#This Row],[ENERO ]]&gt;22.5,Tabla1[[#This Row],[ENERO ]]/22.5-1,0),IF(Tabla1[[#This Row],[ENERO ]]&gt;45,Tabla1[[#This Row],[ENERO ]]/45-1,0))</f>
        <v>0</v>
      </c>
      <c r="AF38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89" s="103">
        <f>IF(Tabla1[[#This Row],[TIPO DE CONSUMIDOR]]="MEDIO",IF(Tabla1[[#This Row],[MARZO]]&gt;22.5,Tabla1[[#This Row],[MARZO]]/22.5-1,0),IF(Tabla1[[#This Row],[MARZO]]&gt;45,Tabla1[[#This Row],[MARZO]]/45-1,0))</f>
        <v>0</v>
      </c>
      <c r="AH389" s="103">
        <f>IF(Tabla1[[#This Row],[TIPO DE CONSUMIDOR]]="MEDIO",IF(Tabla1[[#This Row],[ABRIL]]&gt;22.5,Tabla1[[#This Row],[ABRIL]]/22.5-1,0),IF(Tabla1[[#This Row],[ABRIL]]&gt;45,Tabla1[[#This Row],[ABRIL]]/45-1,0))</f>
        <v>0</v>
      </c>
      <c r="AI389" s="103">
        <f>IF(Tabla1[[#This Row],[TIPO DE CONSUMIDOR]]="MEDIO",IF(Tabla1[[#This Row],[MAYO ]]&gt;22.5,Tabla1[[#This Row],[MAYO ]]/22.5-1,0),IF(Tabla1[[#This Row],[MAYO ]]&gt;45,Tabla1[[#This Row],[MAYO ]]/45-1,0))</f>
        <v>0</v>
      </c>
      <c r="AJ389" s="103">
        <f>IF(Tabla1[[#This Row],[TIPO DE CONSUMIDOR]]="MEDIO",IF(Tabla1[[#This Row],[JUNIO ]]&gt;22.5,Tabla1[[#This Row],[JUNIO ]]/22.5-1,0),IF(Tabla1[[#This Row],[JUNIO ]]&gt;45,Tabla1[[#This Row],[JUNIO ]]/45-1,0))</f>
        <v>0</v>
      </c>
      <c r="AK389" s="103">
        <f>IF(Tabla1[[#This Row],[TIPO DE CONSUMIDOR]]="MEDIO",IF(Tabla1[[#This Row],[JULIO ]]&gt;22.5,Tabla1[[#This Row],[JULIO ]]/22.5-1,0),IF(Tabla1[[#This Row],[JULIO ]]&gt;45,Tabla1[[#This Row],[JULIO ]]/45-1,0))</f>
        <v>0</v>
      </c>
      <c r="AL389" s="103">
        <f>IF(Tabla1[[#This Row],[TIPO DE CONSUMIDOR]]="MEDIO",IF(Tabla1[[#This Row],[AGOSTO]]&gt;22.5,Tabla1[[#This Row],[AGOSTO]]/22.5-1,0),IF(Tabla1[[#This Row],[AGOSTO]]&gt;45,Tabla1[[#This Row],[AGOSTO]]/45-1,0))</f>
        <v>0</v>
      </c>
      <c r="AM38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8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8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8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89" s="104">
        <f t="shared" si="12"/>
        <v>0</v>
      </c>
      <c r="AR389" s="9">
        <f t="shared" si="11"/>
        <v>1</v>
      </c>
      <c r="AS389" s="60">
        <f>IF(Tabla1[[#This Row],[MESES DE ADEUDO DEL AÑO EN CURSO ]]&gt;0,1,0)</f>
        <v>1</v>
      </c>
      <c r="AT389" s="42"/>
      <c r="AU389" s="42"/>
      <c r="AV389" s="42"/>
      <c r="AW389" s="43"/>
    </row>
    <row r="390" spans="1:49" ht="21.75" thickBot="1" x14ac:dyDescent="0.35">
      <c r="A390" s="109">
        <v>384</v>
      </c>
      <c r="B390" s="5" t="s">
        <v>207</v>
      </c>
      <c r="C390" s="2" t="s">
        <v>530</v>
      </c>
      <c r="D390" s="32"/>
      <c r="E390" s="35" t="s">
        <v>455</v>
      </c>
      <c r="F390" s="34">
        <v>45</v>
      </c>
      <c r="G390" s="34">
        <v>45</v>
      </c>
      <c r="H390" s="34">
        <v>45</v>
      </c>
      <c r="I390" s="34">
        <v>0</v>
      </c>
      <c r="J390" s="34">
        <v>0</v>
      </c>
      <c r="K390" s="34">
        <v>0</v>
      </c>
      <c r="L390" s="34">
        <v>0</v>
      </c>
      <c r="M390" s="34">
        <v>0</v>
      </c>
      <c r="N390" s="34">
        <v>0</v>
      </c>
      <c r="O390" s="34">
        <v>0</v>
      </c>
      <c r="P390" s="34">
        <v>0</v>
      </c>
      <c r="Q390" s="34">
        <v>0</v>
      </c>
      <c r="R390" s="24">
        <f>SUM(Tabla1[[#This Row],[ENERO ]:[DICIEMBRE]])</f>
        <v>135</v>
      </c>
      <c r="W390" s="65">
        <v>0</v>
      </c>
      <c r="X390" s="21">
        <f>COUNTIF(Tabla1[[#This Row],[ENERO ]:[DICIEMBRE]],0)-(AQ390)-IF(Tabla1[[#This Row],[BAJAS]]="BAJA",IF(Tabla1[[#This Row],[ALTAS]]="ALTA",VLOOKUP(Tabla1[[#This Row],[MES DE ALTA ]],$AT$6:$AU$17,2,FALSE),12)-VLOOKUP(Tabla1[[#This Row],[MES DE BAJA ]],$AT$6:$AU$17,2,FALSE),0)</f>
        <v>9</v>
      </c>
      <c r="Y390" s="69">
        <f>SUM(Tabla1[[#This Row],[MES ADEUDO DE AÑOS PASADOS ]:[MESES DE ADEUDO DEL AÑO EN CURSO ]])</f>
        <v>9</v>
      </c>
      <c r="Z390" s="15">
        <f>IF(Tabla1[[#This Row],[TIPO DE CONSUMIDOR]]="COMPLETO",W390*$T$2,W390*($T$2/2))</f>
        <v>0</v>
      </c>
      <c r="AA390" s="15">
        <f>IF(Tabla1[[#This Row],[TIPO DE CONSUMIDOR]]="COMPLETO",Tabla1[[#This Row],[MESES DE ADEUDO DEL AÑO EN CURSO ]]*$T$2,Tabla1[[#This Row],[MESES DE ADEUDO DEL AÑO EN CURSO ]]*($T$2/2))</f>
        <v>405</v>
      </c>
      <c r="AB390" s="70">
        <f>SUM(Tabla1[[#This Row],[DEUDA DE LOS MESES PASADOS EN $$]:[DEUDA DEL AÑO 2013 $$ ]])</f>
        <v>405</v>
      </c>
      <c r="AE390" s="103">
        <f>IF(Tabla1[[#This Row],[TIPO DE CONSUMIDOR]]="MEDIO",IF(Tabla1[[#This Row],[ENERO ]]&gt;22.5,Tabla1[[#This Row],[ENERO ]]/22.5-1,0),IF(Tabla1[[#This Row],[ENERO ]]&gt;45,Tabla1[[#This Row],[ENERO ]]/45-1,0))</f>
        <v>0</v>
      </c>
      <c r="AF39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0" s="103">
        <f>IF(Tabla1[[#This Row],[TIPO DE CONSUMIDOR]]="MEDIO",IF(Tabla1[[#This Row],[MARZO]]&gt;22.5,Tabla1[[#This Row],[MARZO]]/22.5-1,0),IF(Tabla1[[#This Row],[MARZO]]&gt;45,Tabla1[[#This Row],[MARZO]]/45-1,0))</f>
        <v>0</v>
      </c>
      <c r="AH390" s="103">
        <f>IF(Tabla1[[#This Row],[TIPO DE CONSUMIDOR]]="MEDIO",IF(Tabla1[[#This Row],[ABRIL]]&gt;22.5,Tabla1[[#This Row],[ABRIL]]/22.5-1,0),IF(Tabla1[[#This Row],[ABRIL]]&gt;45,Tabla1[[#This Row],[ABRIL]]/45-1,0))</f>
        <v>0</v>
      </c>
      <c r="AI390" s="103">
        <f>IF(Tabla1[[#This Row],[TIPO DE CONSUMIDOR]]="MEDIO",IF(Tabla1[[#This Row],[MAYO ]]&gt;22.5,Tabla1[[#This Row],[MAYO ]]/22.5-1,0),IF(Tabla1[[#This Row],[MAYO ]]&gt;45,Tabla1[[#This Row],[MAYO ]]/45-1,0))</f>
        <v>0</v>
      </c>
      <c r="AJ390" s="103">
        <f>IF(Tabla1[[#This Row],[TIPO DE CONSUMIDOR]]="MEDIO",IF(Tabla1[[#This Row],[JUNIO ]]&gt;22.5,Tabla1[[#This Row],[JUNIO ]]/22.5-1,0),IF(Tabla1[[#This Row],[JUNIO ]]&gt;45,Tabla1[[#This Row],[JUNIO ]]/45-1,0))</f>
        <v>0</v>
      </c>
      <c r="AK390" s="103">
        <f>IF(Tabla1[[#This Row],[TIPO DE CONSUMIDOR]]="MEDIO",IF(Tabla1[[#This Row],[JULIO ]]&gt;22.5,Tabla1[[#This Row],[JULIO ]]/22.5-1,0),IF(Tabla1[[#This Row],[JULIO ]]&gt;45,Tabla1[[#This Row],[JULIO ]]/45-1,0))</f>
        <v>0</v>
      </c>
      <c r="AL390" s="103">
        <f>IF(Tabla1[[#This Row],[TIPO DE CONSUMIDOR]]="MEDIO",IF(Tabla1[[#This Row],[AGOSTO]]&gt;22.5,Tabla1[[#This Row],[AGOSTO]]/22.5-1,0),IF(Tabla1[[#This Row],[AGOSTO]]&gt;45,Tabla1[[#This Row],[AGOSTO]]/45-1,0))</f>
        <v>0</v>
      </c>
      <c r="AM39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0" s="104">
        <f t="shared" si="12"/>
        <v>0</v>
      </c>
      <c r="AR390" s="9">
        <f t="shared" si="11"/>
        <v>1</v>
      </c>
      <c r="AS390" s="60">
        <f>IF(Tabla1[[#This Row],[MESES DE ADEUDO DEL AÑO EN CURSO ]]&gt;0,1,0)</f>
        <v>1</v>
      </c>
      <c r="AT390" s="42"/>
      <c r="AU390" s="42"/>
      <c r="AV390" s="42"/>
      <c r="AW390" s="43"/>
    </row>
    <row r="391" spans="1:49" ht="21.75" thickBot="1" x14ac:dyDescent="0.35">
      <c r="A391" s="109">
        <v>385</v>
      </c>
      <c r="B391" s="5" t="s">
        <v>547</v>
      </c>
      <c r="C391" s="2" t="s">
        <v>545</v>
      </c>
      <c r="D391" s="32"/>
      <c r="E391" s="35" t="s">
        <v>455</v>
      </c>
      <c r="F391" s="34">
        <v>45</v>
      </c>
      <c r="G391" s="34">
        <v>45</v>
      </c>
      <c r="H391" s="34">
        <v>45</v>
      </c>
      <c r="I391" s="34">
        <v>0</v>
      </c>
      <c r="J391" s="34">
        <v>0</v>
      </c>
      <c r="K391" s="34">
        <v>0</v>
      </c>
      <c r="L391" s="34">
        <v>0</v>
      </c>
      <c r="M391" s="34">
        <v>0</v>
      </c>
      <c r="N391" s="34">
        <v>0</v>
      </c>
      <c r="O391" s="34">
        <v>0</v>
      </c>
      <c r="P391" s="34">
        <v>0</v>
      </c>
      <c r="Q391" s="34">
        <v>0</v>
      </c>
      <c r="R391" s="24">
        <f>SUM(Tabla1[[#This Row],[ENERO ]:[DICIEMBRE]])</f>
        <v>135</v>
      </c>
      <c r="W391" s="65">
        <v>0</v>
      </c>
      <c r="X391" s="21">
        <f>COUNTIF(Tabla1[[#This Row],[ENERO ]:[DICIEMBRE]],0)-(AQ391)-IF(Tabla1[[#This Row],[BAJAS]]="BAJA",IF(Tabla1[[#This Row],[ALTAS]]="ALTA",VLOOKUP(Tabla1[[#This Row],[MES DE ALTA ]],$AT$6:$AU$17,2,FALSE),12)-VLOOKUP(Tabla1[[#This Row],[MES DE BAJA ]],$AT$6:$AU$17,2,FALSE),0)</f>
        <v>9</v>
      </c>
      <c r="Y391" s="69">
        <f>SUM(Tabla1[[#This Row],[MES ADEUDO DE AÑOS PASADOS ]:[MESES DE ADEUDO DEL AÑO EN CURSO ]])</f>
        <v>9</v>
      </c>
      <c r="Z391" s="15">
        <f>IF(Tabla1[[#This Row],[TIPO DE CONSUMIDOR]]="COMPLETO",W391*$T$2,W391*($T$2/2))</f>
        <v>0</v>
      </c>
      <c r="AA391" s="15">
        <f>IF(Tabla1[[#This Row],[TIPO DE CONSUMIDOR]]="COMPLETO",Tabla1[[#This Row],[MESES DE ADEUDO DEL AÑO EN CURSO ]]*$T$2,Tabla1[[#This Row],[MESES DE ADEUDO DEL AÑO EN CURSO ]]*($T$2/2))</f>
        <v>405</v>
      </c>
      <c r="AB391" s="70">
        <f>SUM(Tabla1[[#This Row],[DEUDA DE LOS MESES PASADOS EN $$]:[DEUDA DEL AÑO 2013 $$ ]])</f>
        <v>405</v>
      </c>
      <c r="AE391" s="103">
        <f>IF(Tabla1[[#This Row],[TIPO DE CONSUMIDOR]]="MEDIO",IF(Tabla1[[#This Row],[ENERO ]]&gt;22.5,Tabla1[[#This Row],[ENERO ]]/22.5-1,0),IF(Tabla1[[#This Row],[ENERO ]]&gt;45,Tabla1[[#This Row],[ENERO ]]/45-1,0))</f>
        <v>0</v>
      </c>
      <c r="AF39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1" s="103">
        <f>IF(Tabla1[[#This Row],[TIPO DE CONSUMIDOR]]="MEDIO",IF(Tabla1[[#This Row],[MARZO]]&gt;22.5,Tabla1[[#This Row],[MARZO]]/22.5-1,0),IF(Tabla1[[#This Row],[MARZO]]&gt;45,Tabla1[[#This Row],[MARZO]]/45-1,0))</f>
        <v>0</v>
      </c>
      <c r="AH391" s="103">
        <f>IF(Tabla1[[#This Row],[TIPO DE CONSUMIDOR]]="MEDIO",IF(Tabla1[[#This Row],[ABRIL]]&gt;22.5,Tabla1[[#This Row],[ABRIL]]/22.5-1,0),IF(Tabla1[[#This Row],[ABRIL]]&gt;45,Tabla1[[#This Row],[ABRIL]]/45-1,0))</f>
        <v>0</v>
      </c>
      <c r="AI391" s="103">
        <f>IF(Tabla1[[#This Row],[TIPO DE CONSUMIDOR]]="MEDIO",IF(Tabla1[[#This Row],[MAYO ]]&gt;22.5,Tabla1[[#This Row],[MAYO ]]/22.5-1,0),IF(Tabla1[[#This Row],[MAYO ]]&gt;45,Tabla1[[#This Row],[MAYO ]]/45-1,0))</f>
        <v>0</v>
      </c>
      <c r="AJ391" s="103">
        <f>IF(Tabla1[[#This Row],[TIPO DE CONSUMIDOR]]="MEDIO",IF(Tabla1[[#This Row],[JUNIO ]]&gt;22.5,Tabla1[[#This Row],[JUNIO ]]/22.5-1,0),IF(Tabla1[[#This Row],[JUNIO ]]&gt;45,Tabla1[[#This Row],[JUNIO ]]/45-1,0))</f>
        <v>0</v>
      </c>
      <c r="AK391" s="103">
        <f>IF(Tabla1[[#This Row],[TIPO DE CONSUMIDOR]]="MEDIO",IF(Tabla1[[#This Row],[JULIO ]]&gt;22.5,Tabla1[[#This Row],[JULIO ]]/22.5-1,0),IF(Tabla1[[#This Row],[JULIO ]]&gt;45,Tabla1[[#This Row],[JULIO ]]/45-1,0))</f>
        <v>0</v>
      </c>
      <c r="AL391" s="103">
        <f>IF(Tabla1[[#This Row],[TIPO DE CONSUMIDOR]]="MEDIO",IF(Tabla1[[#This Row],[AGOSTO]]&gt;22.5,Tabla1[[#This Row],[AGOSTO]]/22.5-1,0),IF(Tabla1[[#This Row],[AGOSTO]]&gt;45,Tabla1[[#This Row],[AGOSTO]]/45-1,0))</f>
        <v>0</v>
      </c>
      <c r="AM39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1" s="104">
        <f t="shared" si="12"/>
        <v>0</v>
      </c>
      <c r="AR391" s="9">
        <f t="shared" ref="AR391:AR454" si="13">IF(Y391&gt;0,1,0)</f>
        <v>1</v>
      </c>
      <c r="AS391" s="60">
        <f>IF(Tabla1[[#This Row],[MESES DE ADEUDO DEL AÑO EN CURSO ]]&gt;0,1,0)</f>
        <v>1</v>
      </c>
      <c r="AT391" s="42"/>
      <c r="AU391" s="42"/>
      <c r="AV391" s="42"/>
      <c r="AW391" s="43"/>
    </row>
    <row r="392" spans="1:49" ht="21.75" thickBot="1" x14ac:dyDescent="0.35">
      <c r="A392" s="109">
        <v>386</v>
      </c>
      <c r="B392" s="5" t="s">
        <v>363</v>
      </c>
      <c r="C392" s="2" t="s">
        <v>549</v>
      </c>
      <c r="D392" s="32"/>
      <c r="E392" s="35" t="s">
        <v>455</v>
      </c>
      <c r="F392" s="34">
        <v>45</v>
      </c>
      <c r="G392" s="34">
        <v>45</v>
      </c>
      <c r="H392" s="34">
        <v>45</v>
      </c>
      <c r="I392" s="34">
        <v>0</v>
      </c>
      <c r="J392" s="34">
        <v>0</v>
      </c>
      <c r="K392" s="34">
        <v>0</v>
      </c>
      <c r="L392" s="34">
        <v>0</v>
      </c>
      <c r="M392" s="34">
        <v>0</v>
      </c>
      <c r="N392" s="34">
        <v>0</v>
      </c>
      <c r="O392" s="34">
        <v>0</v>
      </c>
      <c r="P392" s="34">
        <v>0</v>
      </c>
      <c r="Q392" s="34">
        <v>0</v>
      </c>
      <c r="R392" s="24">
        <f>SUM(Tabla1[[#This Row],[ENERO ]:[DICIEMBRE]])</f>
        <v>135</v>
      </c>
      <c r="W392" s="65">
        <v>0</v>
      </c>
      <c r="X392" s="21">
        <f>COUNTIF(Tabla1[[#This Row],[ENERO ]:[DICIEMBRE]],0)-(AQ392)-IF(Tabla1[[#This Row],[BAJAS]]="BAJA",IF(Tabla1[[#This Row],[ALTAS]]="ALTA",VLOOKUP(Tabla1[[#This Row],[MES DE ALTA ]],$AT$6:$AU$17,2,FALSE),12)-VLOOKUP(Tabla1[[#This Row],[MES DE BAJA ]],$AT$6:$AU$17,2,FALSE),0)</f>
        <v>9</v>
      </c>
      <c r="Y392" s="69">
        <f>SUM(Tabla1[[#This Row],[MES ADEUDO DE AÑOS PASADOS ]:[MESES DE ADEUDO DEL AÑO EN CURSO ]])</f>
        <v>9</v>
      </c>
      <c r="Z392" s="15">
        <f>IF(Tabla1[[#This Row],[TIPO DE CONSUMIDOR]]="COMPLETO",W392*$T$2,W392*($T$2/2))</f>
        <v>0</v>
      </c>
      <c r="AA392" s="15">
        <f>IF(Tabla1[[#This Row],[TIPO DE CONSUMIDOR]]="COMPLETO",Tabla1[[#This Row],[MESES DE ADEUDO DEL AÑO EN CURSO ]]*$T$2,Tabla1[[#This Row],[MESES DE ADEUDO DEL AÑO EN CURSO ]]*($T$2/2))</f>
        <v>405</v>
      </c>
      <c r="AB392" s="70">
        <f>SUM(Tabla1[[#This Row],[DEUDA DE LOS MESES PASADOS EN $$]:[DEUDA DEL AÑO 2013 $$ ]])</f>
        <v>405</v>
      </c>
      <c r="AE392" s="103">
        <f>IF(Tabla1[[#This Row],[TIPO DE CONSUMIDOR]]="MEDIO",IF(Tabla1[[#This Row],[ENERO ]]&gt;22.5,Tabla1[[#This Row],[ENERO ]]/22.5-1,0),IF(Tabla1[[#This Row],[ENERO ]]&gt;45,Tabla1[[#This Row],[ENERO ]]/45-1,0))</f>
        <v>0</v>
      </c>
      <c r="AF39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2" s="103">
        <f>IF(Tabla1[[#This Row],[TIPO DE CONSUMIDOR]]="MEDIO",IF(Tabla1[[#This Row],[MARZO]]&gt;22.5,Tabla1[[#This Row],[MARZO]]/22.5-1,0),IF(Tabla1[[#This Row],[MARZO]]&gt;45,Tabla1[[#This Row],[MARZO]]/45-1,0))</f>
        <v>0</v>
      </c>
      <c r="AH392" s="103">
        <f>IF(Tabla1[[#This Row],[TIPO DE CONSUMIDOR]]="MEDIO",IF(Tabla1[[#This Row],[ABRIL]]&gt;22.5,Tabla1[[#This Row],[ABRIL]]/22.5-1,0),IF(Tabla1[[#This Row],[ABRIL]]&gt;45,Tabla1[[#This Row],[ABRIL]]/45-1,0))</f>
        <v>0</v>
      </c>
      <c r="AI392" s="103">
        <f>IF(Tabla1[[#This Row],[TIPO DE CONSUMIDOR]]="MEDIO",IF(Tabla1[[#This Row],[MAYO ]]&gt;22.5,Tabla1[[#This Row],[MAYO ]]/22.5-1,0),IF(Tabla1[[#This Row],[MAYO ]]&gt;45,Tabla1[[#This Row],[MAYO ]]/45-1,0))</f>
        <v>0</v>
      </c>
      <c r="AJ392" s="103">
        <f>IF(Tabla1[[#This Row],[TIPO DE CONSUMIDOR]]="MEDIO",IF(Tabla1[[#This Row],[JUNIO ]]&gt;22.5,Tabla1[[#This Row],[JUNIO ]]/22.5-1,0),IF(Tabla1[[#This Row],[JUNIO ]]&gt;45,Tabla1[[#This Row],[JUNIO ]]/45-1,0))</f>
        <v>0</v>
      </c>
      <c r="AK392" s="103">
        <f>IF(Tabla1[[#This Row],[TIPO DE CONSUMIDOR]]="MEDIO",IF(Tabla1[[#This Row],[JULIO ]]&gt;22.5,Tabla1[[#This Row],[JULIO ]]/22.5-1,0),IF(Tabla1[[#This Row],[JULIO ]]&gt;45,Tabla1[[#This Row],[JULIO ]]/45-1,0))</f>
        <v>0</v>
      </c>
      <c r="AL392" s="103">
        <f>IF(Tabla1[[#This Row],[TIPO DE CONSUMIDOR]]="MEDIO",IF(Tabla1[[#This Row],[AGOSTO]]&gt;22.5,Tabla1[[#This Row],[AGOSTO]]/22.5-1,0),IF(Tabla1[[#This Row],[AGOSTO]]&gt;45,Tabla1[[#This Row],[AGOSTO]]/45-1,0))</f>
        <v>0</v>
      </c>
      <c r="AM39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2" s="104">
        <f t="shared" ref="AQ392:AQ455" si="14">SUM(AE392:AP392)</f>
        <v>0</v>
      </c>
      <c r="AR392" s="9">
        <f t="shared" si="13"/>
        <v>1</v>
      </c>
      <c r="AS392" s="60">
        <f>IF(Tabla1[[#This Row],[MESES DE ADEUDO DEL AÑO EN CURSO ]]&gt;0,1,0)</f>
        <v>1</v>
      </c>
      <c r="AT392" s="42"/>
      <c r="AU392" s="42"/>
      <c r="AV392" s="42"/>
      <c r="AW392" s="43"/>
    </row>
    <row r="393" spans="1:49" ht="21.75" thickBot="1" x14ac:dyDescent="0.35">
      <c r="A393" s="109">
        <v>387</v>
      </c>
      <c r="B393" s="5" t="s">
        <v>563</v>
      </c>
      <c r="C393" s="2" t="s">
        <v>562</v>
      </c>
      <c r="D393" s="32"/>
      <c r="E393" s="35" t="s">
        <v>455</v>
      </c>
      <c r="F393" s="34">
        <v>45</v>
      </c>
      <c r="G393" s="34">
        <v>45</v>
      </c>
      <c r="H393" s="34">
        <v>45</v>
      </c>
      <c r="I393" s="34">
        <v>0</v>
      </c>
      <c r="J393" s="34">
        <v>0</v>
      </c>
      <c r="K393" s="34">
        <v>0</v>
      </c>
      <c r="L393" s="34">
        <v>0</v>
      </c>
      <c r="M393" s="34">
        <v>0</v>
      </c>
      <c r="N393" s="34">
        <v>0</v>
      </c>
      <c r="O393" s="34">
        <v>0</v>
      </c>
      <c r="P393" s="34">
        <v>0</v>
      </c>
      <c r="Q393" s="34">
        <v>0</v>
      </c>
      <c r="R393" s="24">
        <f>SUM(Tabla1[[#This Row],[ENERO ]:[DICIEMBRE]])</f>
        <v>135</v>
      </c>
      <c r="W393" s="65">
        <v>0</v>
      </c>
      <c r="X393" s="21">
        <f>COUNTIF(Tabla1[[#This Row],[ENERO ]:[DICIEMBRE]],0)-(AQ393)-IF(Tabla1[[#This Row],[BAJAS]]="BAJA",IF(Tabla1[[#This Row],[ALTAS]]="ALTA",VLOOKUP(Tabla1[[#This Row],[MES DE ALTA ]],$AT$6:$AU$17,2,FALSE),12)-VLOOKUP(Tabla1[[#This Row],[MES DE BAJA ]],$AT$6:$AU$17,2,FALSE),0)</f>
        <v>9</v>
      </c>
      <c r="Y393" s="69">
        <f>SUM(Tabla1[[#This Row],[MES ADEUDO DE AÑOS PASADOS ]:[MESES DE ADEUDO DEL AÑO EN CURSO ]])</f>
        <v>9</v>
      </c>
      <c r="Z393" s="15">
        <f>IF(Tabla1[[#This Row],[TIPO DE CONSUMIDOR]]="COMPLETO",W393*$T$2,W393*($T$2/2))</f>
        <v>0</v>
      </c>
      <c r="AA393" s="15">
        <f>IF(Tabla1[[#This Row],[TIPO DE CONSUMIDOR]]="COMPLETO",Tabla1[[#This Row],[MESES DE ADEUDO DEL AÑO EN CURSO ]]*$T$2,Tabla1[[#This Row],[MESES DE ADEUDO DEL AÑO EN CURSO ]]*($T$2/2))</f>
        <v>405</v>
      </c>
      <c r="AB393" s="70">
        <f>SUM(Tabla1[[#This Row],[DEUDA DE LOS MESES PASADOS EN $$]:[DEUDA DEL AÑO 2013 $$ ]])</f>
        <v>405</v>
      </c>
      <c r="AE393" s="103">
        <f>IF(Tabla1[[#This Row],[TIPO DE CONSUMIDOR]]="MEDIO",IF(Tabla1[[#This Row],[ENERO ]]&gt;22.5,Tabla1[[#This Row],[ENERO ]]/22.5-1,0),IF(Tabla1[[#This Row],[ENERO ]]&gt;45,Tabla1[[#This Row],[ENERO ]]/45-1,0))</f>
        <v>0</v>
      </c>
      <c r="AF39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3" s="103">
        <f>IF(Tabla1[[#This Row],[TIPO DE CONSUMIDOR]]="MEDIO",IF(Tabla1[[#This Row],[MARZO]]&gt;22.5,Tabla1[[#This Row],[MARZO]]/22.5-1,0),IF(Tabla1[[#This Row],[MARZO]]&gt;45,Tabla1[[#This Row],[MARZO]]/45-1,0))</f>
        <v>0</v>
      </c>
      <c r="AH393" s="103">
        <f>IF(Tabla1[[#This Row],[TIPO DE CONSUMIDOR]]="MEDIO",IF(Tabla1[[#This Row],[ABRIL]]&gt;22.5,Tabla1[[#This Row],[ABRIL]]/22.5-1,0),IF(Tabla1[[#This Row],[ABRIL]]&gt;45,Tabla1[[#This Row],[ABRIL]]/45-1,0))</f>
        <v>0</v>
      </c>
      <c r="AI393" s="103">
        <f>IF(Tabla1[[#This Row],[TIPO DE CONSUMIDOR]]="MEDIO",IF(Tabla1[[#This Row],[MAYO ]]&gt;22.5,Tabla1[[#This Row],[MAYO ]]/22.5-1,0),IF(Tabla1[[#This Row],[MAYO ]]&gt;45,Tabla1[[#This Row],[MAYO ]]/45-1,0))</f>
        <v>0</v>
      </c>
      <c r="AJ393" s="103">
        <f>IF(Tabla1[[#This Row],[TIPO DE CONSUMIDOR]]="MEDIO",IF(Tabla1[[#This Row],[JUNIO ]]&gt;22.5,Tabla1[[#This Row],[JUNIO ]]/22.5-1,0),IF(Tabla1[[#This Row],[JUNIO ]]&gt;45,Tabla1[[#This Row],[JUNIO ]]/45-1,0))</f>
        <v>0</v>
      </c>
      <c r="AK393" s="103">
        <f>IF(Tabla1[[#This Row],[TIPO DE CONSUMIDOR]]="MEDIO",IF(Tabla1[[#This Row],[JULIO ]]&gt;22.5,Tabla1[[#This Row],[JULIO ]]/22.5-1,0),IF(Tabla1[[#This Row],[JULIO ]]&gt;45,Tabla1[[#This Row],[JULIO ]]/45-1,0))</f>
        <v>0</v>
      </c>
      <c r="AL393" s="103">
        <f>IF(Tabla1[[#This Row],[TIPO DE CONSUMIDOR]]="MEDIO",IF(Tabla1[[#This Row],[AGOSTO]]&gt;22.5,Tabla1[[#This Row],[AGOSTO]]/22.5-1,0),IF(Tabla1[[#This Row],[AGOSTO]]&gt;45,Tabla1[[#This Row],[AGOSTO]]/45-1,0))</f>
        <v>0</v>
      </c>
      <c r="AM39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3" s="104">
        <f t="shared" si="14"/>
        <v>0</v>
      </c>
      <c r="AR393" s="9">
        <f t="shared" si="13"/>
        <v>1</v>
      </c>
      <c r="AS393" s="60">
        <f>IF(Tabla1[[#This Row],[MESES DE ADEUDO DEL AÑO EN CURSO ]]&gt;0,1,0)</f>
        <v>1</v>
      </c>
      <c r="AT393" s="42"/>
      <c r="AU393" s="42"/>
      <c r="AV393" s="42"/>
      <c r="AW393" s="43"/>
    </row>
    <row r="394" spans="1:49" ht="21.75" thickBot="1" x14ac:dyDescent="0.35">
      <c r="A394" s="109">
        <v>388</v>
      </c>
      <c r="B394" s="5" t="s">
        <v>136</v>
      </c>
      <c r="C394" s="2" t="s">
        <v>573</v>
      </c>
      <c r="D394" s="32"/>
      <c r="E394" s="35" t="s">
        <v>455</v>
      </c>
      <c r="F394" s="34">
        <v>45</v>
      </c>
      <c r="G394" s="34">
        <v>45</v>
      </c>
      <c r="H394" s="34">
        <v>45</v>
      </c>
      <c r="I394" s="34">
        <v>0</v>
      </c>
      <c r="J394" s="34">
        <v>0</v>
      </c>
      <c r="K394" s="34">
        <v>0</v>
      </c>
      <c r="L394" s="34">
        <v>0</v>
      </c>
      <c r="M394" s="34">
        <v>0</v>
      </c>
      <c r="N394" s="34">
        <v>0</v>
      </c>
      <c r="O394" s="34">
        <v>0</v>
      </c>
      <c r="P394" s="34">
        <v>0</v>
      </c>
      <c r="Q394" s="34">
        <v>0</v>
      </c>
      <c r="R394" s="24">
        <f>SUM(Tabla1[[#This Row],[ENERO ]:[DICIEMBRE]])</f>
        <v>135</v>
      </c>
      <c r="W394" s="65">
        <v>0</v>
      </c>
      <c r="X394" s="21">
        <f>COUNTIF(Tabla1[[#This Row],[ENERO ]:[DICIEMBRE]],0)-(AQ394)-IF(Tabla1[[#This Row],[BAJAS]]="BAJA",IF(Tabla1[[#This Row],[ALTAS]]="ALTA",VLOOKUP(Tabla1[[#This Row],[MES DE ALTA ]],$AT$6:$AU$17,2,FALSE),12)-VLOOKUP(Tabla1[[#This Row],[MES DE BAJA ]],$AT$6:$AU$17,2,FALSE),0)</f>
        <v>9</v>
      </c>
      <c r="Y394" s="69">
        <f>SUM(Tabla1[[#This Row],[MES ADEUDO DE AÑOS PASADOS ]:[MESES DE ADEUDO DEL AÑO EN CURSO ]])</f>
        <v>9</v>
      </c>
      <c r="Z394" s="15">
        <f>IF(Tabla1[[#This Row],[TIPO DE CONSUMIDOR]]="COMPLETO",W394*$T$2,W394*($T$2/2))</f>
        <v>0</v>
      </c>
      <c r="AA394" s="15">
        <f>IF(Tabla1[[#This Row],[TIPO DE CONSUMIDOR]]="COMPLETO",Tabla1[[#This Row],[MESES DE ADEUDO DEL AÑO EN CURSO ]]*$T$2,Tabla1[[#This Row],[MESES DE ADEUDO DEL AÑO EN CURSO ]]*($T$2/2))</f>
        <v>405</v>
      </c>
      <c r="AB394" s="70">
        <f>SUM(Tabla1[[#This Row],[DEUDA DE LOS MESES PASADOS EN $$]:[DEUDA DEL AÑO 2013 $$ ]])</f>
        <v>405</v>
      </c>
      <c r="AE394" s="103">
        <f>IF(Tabla1[[#This Row],[TIPO DE CONSUMIDOR]]="MEDIO",IF(Tabla1[[#This Row],[ENERO ]]&gt;22.5,Tabla1[[#This Row],[ENERO ]]/22.5-1,0),IF(Tabla1[[#This Row],[ENERO ]]&gt;45,Tabla1[[#This Row],[ENERO ]]/45-1,0))</f>
        <v>0</v>
      </c>
      <c r="AF39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4" s="103">
        <f>IF(Tabla1[[#This Row],[TIPO DE CONSUMIDOR]]="MEDIO",IF(Tabla1[[#This Row],[MARZO]]&gt;22.5,Tabla1[[#This Row],[MARZO]]/22.5-1,0),IF(Tabla1[[#This Row],[MARZO]]&gt;45,Tabla1[[#This Row],[MARZO]]/45-1,0))</f>
        <v>0</v>
      </c>
      <c r="AH394" s="103">
        <f>IF(Tabla1[[#This Row],[TIPO DE CONSUMIDOR]]="MEDIO",IF(Tabla1[[#This Row],[ABRIL]]&gt;22.5,Tabla1[[#This Row],[ABRIL]]/22.5-1,0),IF(Tabla1[[#This Row],[ABRIL]]&gt;45,Tabla1[[#This Row],[ABRIL]]/45-1,0))</f>
        <v>0</v>
      </c>
      <c r="AI394" s="103">
        <f>IF(Tabla1[[#This Row],[TIPO DE CONSUMIDOR]]="MEDIO",IF(Tabla1[[#This Row],[MAYO ]]&gt;22.5,Tabla1[[#This Row],[MAYO ]]/22.5-1,0),IF(Tabla1[[#This Row],[MAYO ]]&gt;45,Tabla1[[#This Row],[MAYO ]]/45-1,0))</f>
        <v>0</v>
      </c>
      <c r="AJ394" s="103">
        <f>IF(Tabla1[[#This Row],[TIPO DE CONSUMIDOR]]="MEDIO",IF(Tabla1[[#This Row],[JUNIO ]]&gt;22.5,Tabla1[[#This Row],[JUNIO ]]/22.5-1,0),IF(Tabla1[[#This Row],[JUNIO ]]&gt;45,Tabla1[[#This Row],[JUNIO ]]/45-1,0))</f>
        <v>0</v>
      </c>
      <c r="AK394" s="103">
        <f>IF(Tabla1[[#This Row],[TIPO DE CONSUMIDOR]]="MEDIO",IF(Tabla1[[#This Row],[JULIO ]]&gt;22.5,Tabla1[[#This Row],[JULIO ]]/22.5-1,0),IF(Tabla1[[#This Row],[JULIO ]]&gt;45,Tabla1[[#This Row],[JULIO ]]/45-1,0))</f>
        <v>0</v>
      </c>
      <c r="AL394" s="103">
        <f>IF(Tabla1[[#This Row],[TIPO DE CONSUMIDOR]]="MEDIO",IF(Tabla1[[#This Row],[AGOSTO]]&gt;22.5,Tabla1[[#This Row],[AGOSTO]]/22.5-1,0),IF(Tabla1[[#This Row],[AGOSTO]]&gt;45,Tabla1[[#This Row],[AGOSTO]]/45-1,0))</f>
        <v>0</v>
      </c>
      <c r="AM39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4" s="104">
        <f t="shared" si="14"/>
        <v>0</v>
      </c>
      <c r="AR394" s="9">
        <f t="shared" si="13"/>
        <v>1</v>
      </c>
      <c r="AS394" s="60">
        <f>IF(Tabla1[[#This Row],[MESES DE ADEUDO DEL AÑO EN CURSO ]]&gt;0,1,0)</f>
        <v>1</v>
      </c>
      <c r="AT394" s="42"/>
      <c r="AU394" s="42"/>
      <c r="AV394" s="42"/>
      <c r="AW394" s="43"/>
    </row>
    <row r="395" spans="1:49" ht="21.75" thickBot="1" x14ac:dyDescent="0.35">
      <c r="A395" s="109">
        <v>389</v>
      </c>
      <c r="B395" s="5" t="s">
        <v>620</v>
      </c>
      <c r="C395" s="2" t="s">
        <v>575</v>
      </c>
      <c r="D395" s="32"/>
      <c r="E395" s="35" t="s">
        <v>455</v>
      </c>
      <c r="F395" s="34">
        <v>45</v>
      </c>
      <c r="G395" s="34">
        <v>45</v>
      </c>
      <c r="H395" s="34">
        <v>45</v>
      </c>
      <c r="I395" s="34">
        <v>0</v>
      </c>
      <c r="J395" s="34">
        <v>0</v>
      </c>
      <c r="K395" s="34">
        <v>0</v>
      </c>
      <c r="L395" s="34">
        <v>0</v>
      </c>
      <c r="M395" s="34">
        <v>0</v>
      </c>
      <c r="N395" s="34">
        <v>0</v>
      </c>
      <c r="O395" s="34">
        <v>0</v>
      </c>
      <c r="P395" s="34">
        <v>0</v>
      </c>
      <c r="Q395" s="34">
        <v>0</v>
      </c>
      <c r="R395" s="24">
        <f>SUM(Tabla1[[#This Row],[ENERO ]:[DICIEMBRE]])</f>
        <v>135</v>
      </c>
      <c r="W395" s="65">
        <v>0</v>
      </c>
      <c r="X395" s="21">
        <f>COUNTIF(Tabla1[[#This Row],[ENERO ]:[DICIEMBRE]],0)-(AQ395)-IF(Tabla1[[#This Row],[BAJAS]]="BAJA",IF(Tabla1[[#This Row],[ALTAS]]="ALTA",VLOOKUP(Tabla1[[#This Row],[MES DE ALTA ]],$AT$6:$AU$17,2,FALSE),12)-VLOOKUP(Tabla1[[#This Row],[MES DE BAJA ]],$AT$6:$AU$17,2,FALSE),0)</f>
        <v>9</v>
      </c>
      <c r="Y395" s="69">
        <f>SUM(Tabla1[[#This Row],[MES ADEUDO DE AÑOS PASADOS ]:[MESES DE ADEUDO DEL AÑO EN CURSO ]])</f>
        <v>9</v>
      </c>
      <c r="Z395" s="15">
        <f>IF(Tabla1[[#This Row],[TIPO DE CONSUMIDOR]]="COMPLETO",W395*$T$2,W395*($T$2/2))</f>
        <v>0</v>
      </c>
      <c r="AA395" s="15">
        <f>IF(Tabla1[[#This Row],[TIPO DE CONSUMIDOR]]="COMPLETO",Tabla1[[#This Row],[MESES DE ADEUDO DEL AÑO EN CURSO ]]*$T$2,Tabla1[[#This Row],[MESES DE ADEUDO DEL AÑO EN CURSO ]]*($T$2/2))</f>
        <v>405</v>
      </c>
      <c r="AB395" s="70">
        <f>SUM(Tabla1[[#This Row],[DEUDA DE LOS MESES PASADOS EN $$]:[DEUDA DEL AÑO 2013 $$ ]])</f>
        <v>405</v>
      </c>
      <c r="AE395" s="103">
        <f>IF(Tabla1[[#This Row],[TIPO DE CONSUMIDOR]]="MEDIO",IF(Tabla1[[#This Row],[ENERO ]]&gt;22.5,Tabla1[[#This Row],[ENERO ]]/22.5-1,0),IF(Tabla1[[#This Row],[ENERO ]]&gt;45,Tabla1[[#This Row],[ENERO ]]/45-1,0))</f>
        <v>0</v>
      </c>
      <c r="AF39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5" s="103">
        <f>IF(Tabla1[[#This Row],[TIPO DE CONSUMIDOR]]="MEDIO",IF(Tabla1[[#This Row],[MARZO]]&gt;22.5,Tabla1[[#This Row],[MARZO]]/22.5-1,0),IF(Tabla1[[#This Row],[MARZO]]&gt;45,Tabla1[[#This Row],[MARZO]]/45-1,0))</f>
        <v>0</v>
      </c>
      <c r="AH395" s="103">
        <f>IF(Tabla1[[#This Row],[TIPO DE CONSUMIDOR]]="MEDIO",IF(Tabla1[[#This Row],[ABRIL]]&gt;22.5,Tabla1[[#This Row],[ABRIL]]/22.5-1,0),IF(Tabla1[[#This Row],[ABRIL]]&gt;45,Tabla1[[#This Row],[ABRIL]]/45-1,0))</f>
        <v>0</v>
      </c>
      <c r="AI395" s="103">
        <f>IF(Tabla1[[#This Row],[TIPO DE CONSUMIDOR]]="MEDIO",IF(Tabla1[[#This Row],[MAYO ]]&gt;22.5,Tabla1[[#This Row],[MAYO ]]/22.5-1,0),IF(Tabla1[[#This Row],[MAYO ]]&gt;45,Tabla1[[#This Row],[MAYO ]]/45-1,0))</f>
        <v>0</v>
      </c>
      <c r="AJ395" s="103">
        <f>IF(Tabla1[[#This Row],[TIPO DE CONSUMIDOR]]="MEDIO",IF(Tabla1[[#This Row],[JUNIO ]]&gt;22.5,Tabla1[[#This Row],[JUNIO ]]/22.5-1,0),IF(Tabla1[[#This Row],[JUNIO ]]&gt;45,Tabla1[[#This Row],[JUNIO ]]/45-1,0))</f>
        <v>0</v>
      </c>
      <c r="AK395" s="103">
        <f>IF(Tabla1[[#This Row],[TIPO DE CONSUMIDOR]]="MEDIO",IF(Tabla1[[#This Row],[JULIO ]]&gt;22.5,Tabla1[[#This Row],[JULIO ]]/22.5-1,0),IF(Tabla1[[#This Row],[JULIO ]]&gt;45,Tabla1[[#This Row],[JULIO ]]/45-1,0))</f>
        <v>0</v>
      </c>
      <c r="AL395" s="103">
        <f>IF(Tabla1[[#This Row],[TIPO DE CONSUMIDOR]]="MEDIO",IF(Tabla1[[#This Row],[AGOSTO]]&gt;22.5,Tabla1[[#This Row],[AGOSTO]]/22.5-1,0),IF(Tabla1[[#This Row],[AGOSTO]]&gt;45,Tabla1[[#This Row],[AGOSTO]]/45-1,0))</f>
        <v>0</v>
      </c>
      <c r="AM39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5" s="104">
        <f t="shared" si="14"/>
        <v>0</v>
      </c>
      <c r="AR395" s="9">
        <f t="shared" si="13"/>
        <v>1</v>
      </c>
      <c r="AS395" s="60">
        <f>IF(Tabla1[[#This Row],[MESES DE ADEUDO DEL AÑO EN CURSO ]]&gt;0,1,0)</f>
        <v>1</v>
      </c>
      <c r="AT395" s="42"/>
      <c r="AU395" s="42"/>
      <c r="AV395" s="42"/>
      <c r="AW395" s="43"/>
    </row>
    <row r="396" spans="1:49" ht="21.75" thickBot="1" x14ac:dyDescent="0.35">
      <c r="A396" s="109">
        <v>390</v>
      </c>
      <c r="B396" s="5" t="s">
        <v>242</v>
      </c>
      <c r="C396" s="2"/>
      <c r="D396" s="46"/>
      <c r="E396" s="36" t="s">
        <v>455</v>
      </c>
      <c r="F396" s="34">
        <v>45</v>
      </c>
      <c r="G396" s="34">
        <v>45</v>
      </c>
      <c r="H396" s="34">
        <v>45</v>
      </c>
      <c r="I396" s="34">
        <v>0</v>
      </c>
      <c r="J396" s="34">
        <v>0</v>
      </c>
      <c r="K396" s="34">
        <v>0</v>
      </c>
      <c r="L396" s="34">
        <v>0</v>
      </c>
      <c r="M396" s="34">
        <v>0</v>
      </c>
      <c r="N396" s="34">
        <v>0</v>
      </c>
      <c r="O396" s="34">
        <v>0</v>
      </c>
      <c r="P396" s="34">
        <v>0</v>
      </c>
      <c r="Q396" s="34">
        <v>0</v>
      </c>
      <c r="R396" s="24">
        <f>SUM(Tabla1[[#This Row],[ENERO ]:[DICIEMBRE]])</f>
        <v>135</v>
      </c>
      <c r="W396" s="65">
        <v>0</v>
      </c>
      <c r="X396" s="21">
        <f>COUNTIF(Tabla1[[#This Row],[ENERO ]:[DICIEMBRE]],0)-(AQ396)-IF(Tabla1[[#This Row],[BAJAS]]="BAJA",IF(Tabla1[[#This Row],[ALTAS]]="ALTA",VLOOKUP(Tabla1[[#This Row],[MES DE ALTA ]],$AT$6:$AU$17,2,FALSE),12)-VLOOKUP(Tabla1[[#This Row],[MES DE BAJA ]],$AT$6:$AU$17,2,FALSE),0)</f>
        <v>9</v>
      </c>
      <c r="Y396" s="69">
        <f>SUM(Tabla1[[#This Row],[MES ADEUDO DE AÑOS PASADOS ]:[MESES DE ADEUDO DEL AÑO EN CURSO ]])</f>
        <v>9</v>
      </c>
      <c r="Z396" s="15">
        <f>IF(Tabla1[[#This Row],[TIPO DE CONSUMIDOR]]="COMPLETO",W396*$T$2,W396*($T$2/2))</f>
        <v>0</v>
      </c>
      <c r="AA396" s="15">
        <f>IF(Tabla1[[#This Row],[TIPO DE CONSUMIDOR]]="COMPLETO",Tabla1[[#This Row],[MESES DE ADEUDO DEL AÑO EN CURSO ]]*$T$2,Tabla1[[#This Row],[MESES DE ADEUDO DEL AÑO EN CURSO ]]*($T$2/2))</f>
        <v>405</v>
      </c>
      <c r="AB396" s="70">
        <f>SUM(Tabla1[[#This Row],[DEUDA DE LOS MESES PASADOS EN $$]:[DEUDA DEL AÑO 2013 $$ ]])</f>
        <v>405</v>
      </c>
      <c r="AE396" s="103">
        <f>IF(Tabla1[[#This Row],[TIPO DE CONSUMIDOR]]="MEDIO",IF(Tabla1[[#This Row],[ENERO ]]&gt;22.5,Tabla1[[#This Row],[ENERO ]]/22.5-1,0),IF(Tabla1[[#This Row],[ENERO ]]&gt;45,Tabla1[[#This Row],[ENERO ]]/45-1,0))</f>
        <v>0</v>
      </c>
      <c r="AF39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6" s="103">
        <f>IF(Tabla1[[#This Row],[TIPO DE CONSUMIDOR]]="MEDIO",IF(Tabla1[[#This Row],[MARZO]]&gt;22.5,Tabla1[[#This Row],[MARZO]]/22.5-1,0),IF(Tabla1[[#This Row],[MARZO]]&gt;45,Tabla1[[#This Row],[MARZO]]/45-1,0))</f>
        <v>0</v>
      </c>
      <c r="AH396" s="103">
        <f>IF(Tabla1[[#This Row],[TIPO DE CONSUMIDOR]]="MEDIO",IF(Tabla1[[#This Row],[ABRIL]]&gt;22.5,Tabla1[[#This Row],[ABRIL]]/22.5-1,0),IF(Tabla1[[#This Row],[ABRIL]]&gt;45,Tabla1[[#This Row],[ABRIL]]/45-1,0))</f>
        <v>0</v>
      </c>
      <c r="AI396" s="103">
        <f>IF(Tabla1[[#This Row],[TIPO DE CONSUMIDOR]]="MEDIO",IF(Tabla1[[#This Row],[MAYO ]]&gt;22.5,Tabla1[[#This Row],[MAYO ]]/22.5-1,0),IF(Tabla1[[#This Row],[MAYO ]]&gt;45,Tabla1[[#This Row],[MAYO ]]/45-1,0))</f>
        <v>0</v>
      </c>
      <c r="AJ396" s="103">
        <f>IF(Tabla1[[#This Row],[TIPO DE CONSUMIDOR]]="MEDIO",IF(Tabla1[[#This Row],[JUNIO ]]&gt;22.5,Tabla1[[#This Row],[JUNIO ]]/22.5-1,0),IF(Tabla1[[#This Row],[JUNIO ]]&gt;45,Tabla1[[#This Row],[JUNIO ]]/45-1,0))</f>
        <v>0</v>
      </c>
      <c r="AK396" s="103">
        <f>IF(Tabla1[[#This Row],[TIPO DE CONSUMIDOR]]="MEDIO",IF(Tabla1[[#This Row],[JULIO ]]&gt;22.5,Tabla1[[#This Row],[JULIO ]]/22.5-1,0),IF(Tabla1[[#This Row],[JULIO ]]&gt;45,Tabla1[[#This Row],[JULIO ]]/45-1,0))</f>
        <v>0</v>
      </c>
      <c r="AL396" s="103">
        <f>IF(Tabla1[[#This Row],[TIPO DE CONSUMIDOR]]="MEDIO",IF(Tabla1[[#This Row],[AGOSTO]]&gt;22.5,Tabla1[[#This Row],[AGOSTO]]/22.5-1,0),IF(Tabla1[[#This Row],[AGOSTO]]&gt;45,Tabla1[[#This Row],[AGOSTO]]/45-1,0))</f>
        <v>0</v>
      </c>
      <c r="AM39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6" s="104">
        <f t="shared" si="14"/>
        <v>0</v>
      </c>
      <c r="AR396" s="9">
        <f t="shared" si="13"/>
        <v>1</v>
      </c>
      <c r="AS396" s="60">
        <f>IF(Tabla1[[#This Row],[MESES DE ADEUDO DEL AÑO EN CURSO ]]&gt;0,1,0)</f>
        <v>1</v>
      </c>
      <c r="AT396" s="42"/>
      <c r="AU396" s="42"/>
      <c r="AV396" s="42"/>
      <c r="AW396" s="43"/>
    </row>
    <row r="397" spans="1:49" ht="21.75" thickBot="1" x14ac:dyDescent="0.35">
      <c r="A397" s="109">
        <v>391</v>
      </c>
      <c r="B397" s="5" t="s">
        <v>297</v>
      </c>
      <c r="C397" s="2"/>
      <c r="D397" s="32"/>
      <c r="E397" s="35" t="s">
        <v>455</v>
      </c>
      <c r="F397" s="34">
        <v>45</v>
      </c>
      <c r="G397" s="34">
        <v>45</v>
      </c>
      <c r="H397" s="34">
        <v>45</v>
      </c>
      <c r="I397" s="34">
        <v>0</v>
      </c>
      <c r="J397" s="34">
        <v>0</v>
      </c>
      <c r="K397" s="34">
        <v>0</v>
      </c>
      <c r="L397" s="34">
        <v>0</v>
      </c>
      <c r="M397" s="34">
        <v>0</v>
      </c>
      <c r="N397" s="34">
        <v>0</v>
      </c>
      <c r="O397" s="34">
        <v>0</v>
      </c>
      <c r="P397" s="34">
        <v>0</v>
      </c>
      <c r="Q397" s="34">
        <v>0</v>
      </c>
      <c r="R397" s="24">
        <f>SUM(Tabla1[[#This Row],[ENERO ]:[DICIEMBRE]])</f>
        <v>135</v>
      </c>
      <c r="W397" s="65">
        <v>0</v>
      </c>
      <c r="X397" s="21">
        <f>COUNTIF(Tabla1[[#This Row],[ENERO ]:[DICIEMBRE]],0)-(AQ397)-IF(Tabla1[[#This Row],[BAJAS]]="BAJA",IF(Tabla1[[#This Row],[ALTAS]]="ALTA",VLOOKUP(Tabla1[[#This Row],[MES DE ALTA ]],$AT$6:$AU$17,2,FALSE),12)-VLOOKUP(Tabla1[[#This Row],[MES DE BAJA ]],$AT$6:$AU$17,2,FALSE),0)</f>
        <v>9</v>
      </c>
      <c r="Y397" s="69">
        <f>SUM(Tabla1[[#This Row],[MES ADEUDO DE AÑOS PASADOS ]:[MESES DE ADEUDO DEL AÑO EN CURSO ]])</f>
        <v>9</v>
      </c>
      <c r="Z397" s="15">
        <f>IF(Tabla1[[#This Row],[TIPO DE CONSUMIDOR]]="COMPLETO",W397*$T$2,W397*($T$2/2))</f>
        <v>0</v>
      </c>
      <c r="AA397" s="15">
        <f>IF(Tabla1[[#This Row],[TIPO DE CONSUMIDOR]]="COMPLETO",Tabla1[[#This Row],[MESES DE ADEUDO DEL AÑO EN CURSO ]]*$T$2,Tabla1[[#This Row],[MESES DE ADEUDO DEL AÑO EN CURSO ]]*($T$2/2))</f>
        <v>405</v>
      </c>
      <c r="AB397" s="70">
        <f>SUM(Tabla1[[#This Row],[DEUDA DE LOS MESES PASADOS EN $$]:[DEUDA DEL AÑO 2013 $$ ]])</f>
        <v>405</v>
      </c>
      <c r="AE397" s="103">
        <f>IF(Tabla1[[#This Row],[TIPO DE CONSUMIDOR]]="MEDIO",IF(Tabla1[[#This Row],[ENERO ]]&gt;22.5,Tabla1[[#This Row],[ENERO ]]/22.5-1,0),IF(Tabla1[[#This Row],[ENERO ]]&gt;45,Tabla1[[#This Row],[ENERO ]]/45-1,0))</f>
        <v>0</v>
      </c>
      <c r="AF39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7" s="103">
        <f>IF(Tabla1[[#This Row],[TIPO DE CONSUMIDOR]]="MEDIO",IF(Tabla1[[#This Row],[MARZO]]&gt;22.5,Tabla1[[#This Row],[MARZO]]/22.5-1,0),IF(Tabla1[[#This Row],[MARZO]]&gt;45,Tabla1[[#This Row],[MARZO]]/45-1,0))</f>
        <v>0</v>
      </c>
      <c r="AH397" s="103">
        <f>IF(Tabla1[[#This Row],[TIPO DE CONSUMIDOR]]="MEDIO",IF(Tabla1[[#This Row],[ABRIL]]&gt;22.5,Tabla1[[#This Row],[ABRIL]]/22.5-1,0),IF(Tabla1[[#This Row],[ABRIL]]&gt;45,Tabla1[[#This Row],[ABRIL]]/45-1,0))</f>
        <v>0</v>
      </c>
      <c r="AI397" s="103">
        <f>IF(Tabla1[[#This Row],[TIPO DE CONSUMIDOR]]="MEDIO",IF(Tabla1[[#This Row],[MAYO ]]&gt;22.5,Tabla1[[#This Row],[MAYO ]]/22.5-1,0),IF(Tabla1[[#This Row],[MAYO ]]&gt;45,Tabla1[[#This Row],[MAYO ]]/45-1,0))</f>
        <v>0</v>
      </c>
      <c r="AJ397" s="103">
        <f>IF(Tabla1[[#This Row],[TIPO DE CONSUMIDOR]]="MEDIO",IF(Tabla1[[#This Row],[JUNIO ]]&gt;22.5,Tabla1[[#This Row],[JUNIO ]]/22.5-1,0),IF(Tabla1[[#This Row],[JUNIO ]]&gt;45,Tabla1[[#This Row],[JUNIO ]]/45-1,0))</f>
        <v>0</v>
      </c>
      <c r="AK397" s="103">
        <f>IF(Tabla1[[#This Row],[TIPO DE CONSUMIDOR]]="MEDIO",IF(Tabla1[[#This Row],[JULIO ]]&gt;22.5,Tabla1[[#This Row],[JULIO ]]/22.5-1,0),IF(Tabla1[[#This Row],[JULIO ]]&gt;45,Tabla1[[#This Row],[JULIO ]]/45-1,0))</f>
        <v>0</v>
      </c>
      <c r="AL397" s="103">
        <f>IF(Tabla1[[#This Row],[TIPO DE CONSUMIDOR]]="MEDIO",IF(Tabla1[[#This Row],[AGOSTO]]&gt;22.5,Tabla1[[#This Row],[AGOSTO]]/22.5-1,0),IF(Tabla1[[#This Row],[AGOSTO]]&gt;45,Tabla1[[#This Row],[AGOSTO]]/45-1,0))</f>
        <v>0</v>
      </c>
      <c r="AM39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7" s="104">
        <f t="shared" si="14"/>
        <v>0</v>
      </c>
      <c r="AR397" s="9">
        <f t="shared" si="13"/>
        <v>1</v>
      </c>
      <c r="AS397" s="60">
        <f>IF(Tabla1[[#This Row],[MESES DE ADEUDO DEL AÑO EN CURSO ]]&gt;0,1,0)</f>
        <v>1</v>
      </c>
      <c r="AT397" s="42"/>
      <c r="AU397" s="42"/>
      <c r="AV397" s="42"/>
      <c r="AW397" s="43"/>
    </row>
    <row r="398" spans="1:49" ht="21.75" thickBot="1" x14ac:dyDescent="0.35">
      <c r="A398" s="109">
        <v>392</v>
      </c>
      <c r="B398" s="5" t="s">
        <v>234</v>
      </c>
      <c r="C398" s="2" t="s">
        <v>493</v>
      </c>
      <c r="D398" s="32"/>
      <c r="E398" s="35" t="s">
        <v>455</v>
      </c>
      <c r="F398" s="34">
        <v>45</v>
      </c>
      <c r="G398" s="56">
        <v>45</v>
      </c>
      <c r="H398" s="56">
        <v>0</v>
      </c>
      <c r="I398" s="56">
        <v>0</v>
      </c>
      <c r="J398" s="56">
        <v>0</v>
      </c>
      <c r="K398" s="56">
        <v>0</v>
      </c>
      <c r="L398" s="56">
        <v>0</v>
      </c>
      <c r="M398" s="56">
        <v>0</v>
      </c>
      <c r="N398" s="56">
        <v>0</v>
      </c>
      <c r="O398" s="56">
        <v>0</v>
      </c>
      <c r="P398" s="56">
        <v>0</v>
      </c>
      <c r="Q398" s="57">
        <v>0</v>
      </c>
      <c r="R398" s="24">
        <f>SUM(Tabla1[[#This Row],[ENERO ]:[DICIEMBRE]])</f>
        <v>90</v>
      </c>
      <c r="W398" s="65">
        <v>0</v>
      </c>
      <c r="X398" s="21">
        <f>COUNTIF(Tabla1[[#This Row],[ENERO ]:[DICIEMBRE]],0)-(AQ398)-IF(Tabla1[[#This Row],[BAJAS]]="BAJA",IF(Tabla1[[#This Row],[ALTAS]]="ALTA",VLOOKUP(Tabla1[[#This Row],[MES DE ALTA ]],$AT$6:$AU$17,2,FALSE),12)-VLOOKUP(Tabla1[[#This Row],[MES DE BAJA ]],$AT$6:$AU$17,2,FALSE),0)</f>
        <v>10</v>
      </c>
      <c r="Y398" s="69">
        <f>SUM(Tabla1[[#This Row],[MES ADEUDO DE AÑOS PASADOS ]:[MESES DE ADEUDO DEL AÑO EN CURSO ]])</f>
        <v>10</v>
      </c>
      <c r="Z398" s="15">
        <f>IF(Tabla1[[#This Row],[TIPO DE CONSUMIDOR]]="COMPLETO",W398*$T$2,W398*($T$2/2))</f>
        <v>0</v>
      </c>
      <c r="AA398" s="15">
        <f>IF(Tabla1[[#This Row],[TIPO DE CONSUMIDOR]]="COMPLETO",Tabla1[[#This Row],[MESES DE ADEUDO DEL AÑO EN CURSO ]]*$T$2,Tabla1[[#This Row],[MESES DE ADEUDO DEL AÑO EN CURSO ]]*($T$2/2))</f>
        <v>450</v>
      </c>
      <c r="AB398" s="70">
        <f>SUM(Tabla1[[#This Row],[DEUDA DE LOS MESES PASADOS EN $$]:[DEUDA DEL AÑO 2013 $$ ]])</f>
        <v>450</v>
      </c>
      <c r="AE398" s="103">
        <f>IF(Tabla1[[#This Row],[TIPO DE CONSUMIDOR]]="MEDIO",IF(Tabla1[[#This Row],[ENERO ]]&gt;22.5,Tabla1[[#This Row],[ENERO ]]/22.5-1,0),IF(Tabla1[[#This Row],[ENERO ]]&gt;45,Tabla1[[#This Row],[ENERO ]]/45-1,0))</f>
        <v>0</v>
      </c>
      <c r="AF39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8" s="103">
        <f>IF(Tabla1[[#This Row],[TIPO DE CONSUMIDOR]]="MEDIO",IF(Tabla1[[#This Row],[MARZO]]&gt;22.5,Tabla1[[#This Row],[MARZO]]/22.5-1,0),IF(Tabla1[[#This Row],[MARZO]]&gt;45,Tabla1[[#This Row],[MARZO]]/45-1,0))</f>
        <v>0</v>
      </c>
      <c r="AH398" s="103">
        <f>IF(Tabla1[[#This Row],[TIPO DE CONSUMIDOR]]="MEDIO",IF(Tabla1[[#This Row],[ABRIL]]&gt;22.5,Tabla1[[#This Row],[ABRIL]]/22.5-1,0),IF(Tabla1[[#This Row],[ABRIL]]&gt;45,Tabla1[[#This Row],[ABRIL]]/45-1,0))</f>
        <v>0</v>
      </c>
      <c r="AI398" s="103">
        <f>IF(Tabla1[[#This Row],[TIPO DE CONSUMIDOR]]="MEDIO",IF(Tabla1[[#This Row],[MAYO ]]&gt;22.5,Tabla1[[#This Row],[MAYO ]]/22.5-1,0),IF(Tabla1[[#This Row],[MAYO ]]&gt;45,Tabla1[[#This Row],[MAYO ]]/45-1,0))</f>
        <v>0</v>
      </c>
      <c r="AJ398" s="103">
        <f>IF(Tabla1[[#This Row],[TIPO DE CONSUMIDOR]]="MEDIO",IF(Tabla1[[#This Row],[JUNIO ]]&gt;22.5,Tabla1[[#This Row],[JUNIO ]]/22.5-1,0),IF(Tabla1[[#This Row],[JUNIO ]]&gt;45,Tabla1[[#This Row],[JUNIO ]]/45-1,0))</f>
        <v>0</v>
      </c>
      <c r="AK398" s="103">
        <f>IF(Tabla1[[#This Row],[TIPO DE CONSUMIDOR]]="MEDIO",IF(Tabla1[[#This Row],[JULIO ]]&gt;22.5,Tabla1[[#This Row],[JULIO ]]/22.5-1,0),IF(Tabla1[[#This Row],[JULIO ]]&gt;45,Tabla1[[#This Row],[JULIO ]]/45-1,0))</f>
        <v>0</v>
      </c>
      <c r="AL398" s="103">
        <f>IF(Tabla1[[#This Row],[TIPO DE CONSUMIDOR]]="MEDIO",IF(Tabla1[[#This Row],[AGOSTO]]&gt;22.5,Tabla1[[#This Row],[AGOSTO]]/22.5-1,0),IF(Tabla1[[#This Row],[AGOSTO]]&gt;45,Tabla1[[#This Row],[AGOSTO]]/45-1,0))</f>
        <v>0</v>
      </c>
      <c r="AM39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8" s="104">
        <f t="shared" si="14"/>
        <v>0</v>
      </c>
      <c r="AR398" s="9">
        <f t="shared" si="13"/>
        <v>1</v>
      </c>
      <c r="AS398" s="60">
        <f>IF(Tabla1[[#This Row],[MESES DE ADEUDO DEL AÑO EN CURSO ]]&gt;0,1,0)</f>
        <v>1</v>
      </c>
      <c r="AT398" s="42"/>
      <c r="AU398" s="42"/>
      <c r="AV398" s="42"/>
      <c r="AW398" s="43"/>
    </row>
    <row r="399" spans="1:49" ht="21.75" thickBot="1" x14ac:dyDescent="0.35">
      <c r="A399" s="109">
        <v>393</v>
      </c>
      <c r="B399" s="5" t="s">
        <v>49</v>
      </c>
      <c r="C399" s="2" t="s">
        <v>501</v>
      </c>
      <c r="D399" s="32"/>
      <c r="E399" s="35" t="s">
        <v>455</v>
      </c>
      <c r="F399" s="34">
        <v>45</v>
      </c>
      <c r="G399" s="34">
        <v>45</v>
      </c>
      <c r="H399" s="34">
        <v>0</v>
      </c>
      <c r="I399" s="34">
        <v>0</v>
      </c>
      <c r="J399" s="34">
        <v>0</v>
      </c>
      <c r="K399" s="34">
        <v>0</v>
      </c>
      <c r="L399" s="34">
        <v>0</v>
      </c>
      <c r="M399" s="34">
        <v>0</v>
      </c>
      <c r="N399" s="34">
        <v>0</v>
      </c>
      <c r="O399" s="34">
        <v>0</v>
      </c>
      <c r="P399" s="34">
        <v>0</v>
      </c>
      <c r="Q399" s="34">
        <v>0</v>
      </c>
      <c r="R399" s="24">
        <f>SUM(Tabla1[[#This Row],[ENERO ]:[DICIEMBRE]])</f>
        <v>90</v>
      </c>
      <c r="W399" s="65">
        <v>0</v>
      </c>
      <c r="X399" s="21">
        <f>COUNTIF(Tabla1[[#This Row],[ENERO ]:[DICIEMBRE]],0)-(AQ399)-IF(Tabla1[[#This Row],[BAJAS]]="BAJA",IF(Tabla1[[#This Row],[ALTAS]]="ALTA",VLOOKUP(Tabla1[[#This Row],[MES DE ALTA ]],$AT$6:$AU$17,2,FALSE),12)-VLOOKUP(Tabla1[[#This Row],[MES DE BAJA ]],$AT$6:$AU$17,2,FALSE),0)</f>
        <v>10</v>
      </c>
      <c r="Y399" s="69">
        <f>SUM(Tabla1[[#This Row],[MES ADEUDO DE AÑOS PASADOS ]:[MESES DE ADEUDO DEL AÑO EN CURSO ]])</f>
        <v>10</v>
      </c>
      <c r="Z399" s="15">
        <f>IF(Tabla1[[#This Row],[TIPO DE CONSUMIDOR]]="COMPLETO",W399*$T$2,W399*($T$2/2))</f>
        <v>0</v>
      </c>
      <c r="AA399" s="15">
        <f>IF(Tabla1[[#This Row],[TIPO DE CONSUMIDOR]]="COMPLETO",Tabla1[[#This Row],[MESES DE ADEUDO DEL AÑO EN CURSO ]]*$T$2,Tabla1[[#This Row],[MESES DE ADEUDO DEL AÑO EN CURSO ]]*($T$2/2))</f>
        <v>450</v>
      </c>
      <c r="AB399" s="70">
        <f>SUM(Tabla1[[#This Row],[DEUDA DE LOS MESES PASADOS EN $$]:[DEUDA DEL AÑO 2013 $$ ]])</f>
        <v>450</v>
      </c>
      <c r="AE399" s="103">
        <f>IF(Tabla1[[#This Row],[TIPO DE CONSUMIDOR]]="MEDIO",IF(Tabla1[[#This Row],[ENERO ]]&gt;22.5,Tabla1[[#This Row],[ENERO ]]/22.5-1,0),IF(Tabla1[[#This Row],[ENERO ]]&gt;45,Tabla1[[#This Row],[ENERO ]]/45-1,0))</f>
        <v>0</v>
      </c>
      <c r="AF39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399" s="103">
        <f>IF(Tabla1[[#This Row],[TIPO DE CONSUMIDOR]]="MEDIO",IF(Tabla1[[#This Row],[MARZO]]&gt;22.5,Tabla1[[#This Row],[MARZO]]/22.5-1,0),IF(Tabla1[[#This Row],[MARZO]]&gt;45,Tabla1[[#This Row],[MARZO]]/45-1,0))</f>
        <v>0</v>
      </c>
      <c r="AH399" s="103">
        <f>IF(Tabla1[[#This Row],[TIPO DE CONSUMIDOR]]="MEDIO",IF(Tabla1[[#This Row],[ABRIL]]&gt;22.5,Tabla1[[#This Row],[ABRIL]]/22.5-1,0),IF(Tabla1[[#This Row],[ABRIL]]&gt;45,Tabla1[[#This Row],[ABRIL]]/45-1,0))</f>
        <v>0</v>
      </c>
      <c r="AI399" s="103">
        <f>IF(Tabla1[[#This Row],[TIPO DE CONSUMIDOR]]="MEDIO",IF(Tabla1[[#This Row],[MAYO ]]&gt;22.5,Tabla1[[#This Row],[MAYO ]]/22.5-1,0),IF(Tabla1[[#This Row],[MAYO ]]&gt;45,Tabla1[[#This Row],[MAYO ]]/45-1,0))</f>
        <v>0</v>
      </c>
      <c r="AJ399" s="103">
        <f>IF(Tabla1[[#This Row],[TIPO DE CONSUMIDOR]]="MEDIO",IF(Tabla1[[#This Row],[JUNIO ]]&gt;22.5,Tabla1[[#This Row],[JUNIO ]]/22.5-1,0),IF(Tabla1[[#This Row],[JUNIO ]]&gt;45,Tabla1[[#This Row],[JUNIO ]]/45-1,0))</f>
        <v>0</v>
      </c>
      <c r="AK399" s="103">
        <f>IF(Tabla1[[#This Row],[TIPO DE CONSUMIDOR]]="MEDIO",IF(Tabla1[[#This Row],[JULIO ]]&gt;22.5,Tabla1[[#This Row],[JULIO ]]/22.5-1,0),IF(Tabla1[[#This Row],[JULIO ]]&gt;45,Tabla1[[#This Row],[JULIO ]]/45-1,0))</f>
        <v>0</v>
      </c>
      <c r="AL399" s="103">
        <f>IF(Tabla1[[#This Row],[TIPO DE CONSUMIDOR]]="MEDIO",IF(Tabla1[[#This Row],[AGOSTO]]&gt;22.5,Tabla1[[#This Row],[AGOSTO]]/22.5-1,0),IF(Tabla1[[#This Row],[AGOSTO]]&gt;45,Tabla1[[#This Row],[AGOSTO]]/45-1,0))</f>
        <v>0</v>
      </c>
      <c r="AM39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39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39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39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399" s="104">
        <f t="shared" si="14"/>
        <v>0</v>
      </c>
      <c r="AR399" s="9">
        <f t="shared" si="13"/>
        <v>1</v>
      </c>
      <c r="AS399" s="60">
        <f>IF(Tabla1[[#This Row],[MESES DE ADEUDO DEL AÑO EN CURSO ]]&gt;0,1,0)</f>
        <v>1</v>
      </c>
      <c r="AT399" s="42"/>
      <c r="AU399" s="42"/>
      <c r="AV399" s="42"/>
      <c r="AW399" s="43"/>
    </row>
    <row r="400" spans="1:49" ht="21.75" thickBot="1" x14ac:dyDescent="0.35">
      <c r="A400" s="109">
        <v>394</v>
      </c>
      <c r="B400" s="5" t="s">
        <v>111</v>
      </c>
      <c r="C400" s="2" t="s">
        <v>504</v>
      </c>
      <c r="D400" s="32"/>
      <c r="E400" s="35" t="s">
        <v>489</v>
      </c>
      <c r="F400" s="34">
        <v>45</v>
      </c>
      <c r="G400" s="34">
        <v>45</v>
      </c>
      <c r="H400" s="34">
        <v>0</v>
      </c>
      <c r="I400" s="34">
        <v>0</v>
      </c>
      <c r="J400" s="34">
        <v>0</v>
      </c>
      <c r="K400" s="34">
        <v>0</v>
      </c>
      <c r="L400" s="34">
        <v>0</v>
      </c>
      <c r="M400" s="34">
        <v>0</v>
      </c>
      <c r="N400" s="34">
        <v>0</v>
      </c>
      <c r="O400" s="34">
        <v>0</v>
      </c>
      <c r="P400" s="34">
        <v>0</v>
      </c>
      <c r="Q400" s="34">
        <v>0</v>
      </c>
      <c r="R400" s="24">
        <f>SUM(Tabla1[[#This Row],[ENERO ]:[DICIEMBRE]])</f>
        <v>90</v>
      </c>
      <c r="W400" s="65">
        <v>0</v>
      </c>
      <c r="X400" s="21">
        <f>COUNTIF(Tabla1[[#This Row],[ENERO ]:[DICIEMBRE]],0)-(AQ400)-IF(Tabla1[[#This Row],[BAJAS]]="BAJA",IF(Tabla1[[#This Row],[ALTAS]]="ALTA",VLOOKUP(Tabla1[[#This Row],[MES DE ALTA ]],$AT$6:$AU$17,2,FALSE),12)-VLOOKUP(Tabla1[[#This Row],[MES DE BAJA ]],$AT$6:$AU$17,2,FALSE),0)</f>
        <v>10</v>
      </c>
      <c r="Y400" s="69">
        <f>SUM(Tabla1[[#This Row],[MES ADEUDO DE AÑOS PASADOS ]:[MESES DE ADEUDO DEL AÑO EN CURSO ]])</f>
        <v>10</v>
      </c>
      <c r="Z400" s="15">
        <f>IF(Tabla1[[#This Row],[TIPO DE CONSUMIDOR]]="COMPLETO",W400*$T$2,W400*($T$2/2))</f>
        <v>0</v>
      </c>
      <c r="AA400" s="15">
        <f>IF(Tabla1[[#This Row],[TIPO DE CONSUMIDOR]]="COMPLETO",Tabla1[[#This Row],[MESES DE ADEUDO DEL AÑO EN CURSO ]]*$T$2,Tabla1[[#This Row],[MESES DE ADEUDO DEL AÑO EN CURSO ]]*($T$2/2))</f>
        <v>225</v>
      </c>
      <c r="AB400" s="70">
        <f>SUM(Tabla1[[#This Row],[DEUDA DE LOS MESES PASADOS EN $$]:[DEUDA DEL AÑO 2013 $$ ]])</f>
        <v>225</v>
      </c>
      <c r="AE400" s="103">
        <f>IF(Tabla1[[#This Row],[TIPO DE CONSUMIDOR]]="MEDIO",IF(Tabla1[[#This Row],[ENERO ]]&gt;22.5,Tabla1[[#This Row],[ENERO ]]/22.5-1,0),IF(Tabla1[[#This Row],[ENERO ]]&gt;45,Tabla1[[#This Row],[ENERO ]]/45-1,0))</f>
        <v>0</v>
      </c>
      <c r="AF40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0" s="103">
        <f>IF(Tabla1[[#This Row],[TIPO DE CONSUMIDOR]]="MEDIO",IF(Tabla1[[#This Row],[MARZO]]&gt;22.5,Tabla1[[#This Row],[MARZO]]/22.5-1,0),IF(Tabla1[[#This Row],[MARZO]]&gt;45,Tabla1[[#This Row],[MARZO]]/45-1,0))</f>
        <v>0</v>
      </c>
      <c r="AH400" s="103">
        <f>IF(Tabla1[[#This Row],[TIPO DE CONSUMIDOR]]="MEDIO",IF(Tabla1[[#This Row],[ABRIL]]&gt;22.5,Tabla1[[#This Row],[ABRIL]]/22.5-1,0),IF(Tabla1[[#This Row],[ABRIL]]&gt;45,Tabla1[[#This Row],[ABRIL]]/45-1,0))</f>
        <v>0</v>
      </c>
      <c r="AI400" s="103">
        <f>IF(Tabla1[[#This Row],[TIPO DE CONSUMIDOR]]="MEDIO",IF(Tabla1[[#This Row],[MAYO ]]&gt;22.5,Tabla1[[#This Row],[MAYO ]]/22.5-1,0),IF(Tabla1[[#This Row],[MAYO ]]&gt;45,Tabla1[[#This Row],[MAYO ]]/45-1,0))</f>
        <v>0</v>
      </c>
      <c r="AJ400" s="103">
        <f>IF(Tabla1[[#This Row],[TIPO DE CONSUMIDOR]]="MEDIO",IF(Tabla1[[#This Row],[JUNIO ]]&gt;22.5,Tabla1[[#This Row],[JUNIO ]]/22.5-1,0),IF(Tabla1[[#This Row],[JUNIO ]]&gt;45,Tabla1[[#This Row],[JUNIO ]]/45-1,0))</f>
        <v>0</v>
      </c>
      <c r="AK400" s="103">
        <f>IF(Tabla1[[#This Row],[TIPO DE CONSUMIDOR]]="MEDIO",IF(Tabla1[[#This Row],[JULIO ]]&gt;22.5,Tabla1[[#This Row],[JULIO ]]/22.5-1,0),IF(Tabla1[[#This Row],[JULIO ]]&gt;45,Tabla1[[#This Row],[JULIO ]]/45-1,0))</f>
        <v>0</v>
      </c>
      <c r="AL400" s="103">
        <f>IF(Tabla1[[#This Row],[TIPO DE CONSUMIDOR]]="MEDIO",IF(Tabla1[[#This Row],[AGOSTO]]&gt;22.5,Tabla1[[#This Row],[AGOSTO]]/22.5-1,0),IF(Tabla1[[#This Row],[AGOSTO]]&gt;45,Tabla1[[#This Row],[AGOSTO]]/45-1,0))</f>
        <v>0</v>
      </c>
      <c r="AM40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0" s="104">
        <f t="shared" si="14"/>
        <v>0</v>
      </c>
      <c r="AR400" s="9">
        <f t="shared" si="13"/>
        <v>1</v>
      </c>
      <c r="AS400" s="60">
        <f>IF(Tabla1[[#This Row],[MESES DE ADEUDO DEL AÑO EN CURSO ]]&gt;0,1,0)</f>
        <v>1</v>
      </c>
      <c r="AT400" s="42"/>
      <c r="AU400" s="42"/>
      <c r="AV400" s="42"/>
      <c r="AW400" s="43"/>
    </row>
    <row r="401" spans="1:49" ht="21.75" thickBot="1" x14ac:dyDescent="0.35">
      <c r="A401" s="109">
        <v>395</v>
      </c>
      <c r="B401" s="5" t="s">
        <v>128</v>
      </c>
      <c r="C401" s="2" t="s">
        <v>504</v>
      </c>
      <c r="D401" s="32"/>
      <c r="E401" s="35" t="s">
        <v>489</v>
      </c>
      <c r="F401" s="34">
        <v>45</v>
      </c>
      <c r="G401" s="34">
        <v>45</v>
      </c>
      <c r="H401" s="34">
        <v>0</v>
      </c>
      <c r="I401" s="34">
        <v>0</v>
      </c>
      <c r="J401" s="34">
        <v>0</v>
      </c>
      <c r="K401" s="34">
        <v>0</v>
      </c>
      <c r="L401" s="34">
        <v>0</v>
      </c>
      <c r="M401" s="34">
        <v>0</v>
      </c>
      <c r="N401" s="34">
        <v>0</v>
      </c>
      <c r="O401" s="34">
        <v>0</v>
      </c>
      <c r="P401" s="34">
        <v>0</v>
      </c>
      <c r="Q401" s="34">
        <v>0</v>
      </c>
      <c r="R401" s="24">
        <f>SUM(Tabla1[[#This Row],[ENERO ]:[DICIEMBRE]])</f>
        <v>90</v>
      </c>
      <c r="W401" s="65">
        <v>0</v>
      </c>
      <c r="X401" s="21">
        <f>COUNTIF(Tabla1[[#This Row],[ENERO ]:[DICIEMBRE]],0)-(AQ401)-IF(Tabla1[[#This Row],[BAJAS]]="BAJA",IF(Tabla1[[#This Row],[ALTAS]]="ALTA",VLOOKUP(Tabla1[[#This Row],[MES DE ALTA ]],$AT$6:$AU$17,2,FALSE),12)-VLOOKUP(Tabla1[[#This Row],[MES DE BAJA ]],$AT$6:$AU$17,2,FALSE),0)</f>
        <v>10</v>
      </c>
      <c r="Y401" s="69">
        <f>SUM(Tabla1[[#This Row],[MES ADEUDO DE AÑOS PASADOS ]:[MESES DE ADEUDO DEL AÑO EN CURSO ]])</f>
        <v>10</v>
      </c>
      <c r="Z401" s="15">
        <f>IF(Tabla1[[#This Row],[TIPO DE CONSUMIDOR]]="COMPLETO",W401*$T$2,W401*($T$2/2))</f>
        <v>0</v>
      </c>
      <c r="AA401" s="15">
        <f>IF(Tabla1[[#This Row],[TIPO DE CONSUMIDOR]]="COMPLETO",Tabla1[[#This Row],[MESES DE ADEUDO DEL AÑO EN CURSO ]]*$T$2,Tabla1[[#This Row],[MESES DE ADEUDO DEL AÑO EN CURSO ]]*($T$2/2))</f>
        <v>225</v>
      </c>
      <c r="AB401" s="70">
        <f>SUM(Tabla1[[#This Row],[DEUDA DE LOS MESES PASADOS EN $$]:[DEUDA DEL AÑO 2013 $$ ]])</f>
        <v>225</v>
      </c>
      <c r="AE401" s="103">
        <f>IF(Tabla1[[#This Row],[TIPO DE CONSUMIDOR]]="MEDIO",IF(Tabla1[[#This Row],[ENERO ]]&gt;22.5,Tabla1[[#This Row],[ENERO ]]/22.5-1,0),IF(Tabla1[[#This Row],[ENERO ]]&gt;45,Tabla1[[#This Row],[ENERO ]]/45-1,0))</f>
        <v>0</v>
      </c>
      <c r="AF40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1" s="103">
        <f>IF(Tabla1[[#This Row],[TIPO DE CONSUMIDOR]]="MEDIO",IF(Tabla1[[#This Row],[MARZO]]&gt;22.5,Tabla1[[#This Row],[MARZO]]/22.5-1,0),IF(Tabla1[[#This Row],[MARZO]]&gt;45,Tabla1[[#This Row],[MARZO]]/45-1,0))</f>
        <v>0</v>
      </c>
      <c r="AH401" s="103">
        <f>IF(Tabla1[[#This Row],[TIPO DE CONSUMIDOR]]="MEDIO",IF(Tabla1[[#This Row],[ABRIL]]&gt;22.5,Tabla1[[#This Row],[ABRIL]]/22.5-1,0),IF(Tabla1[[#This Row],[ABRIL]]&gt;45,Tabla1[[#This Row],[ABRIL]]/45-1,0))</f>
        <v>0</v>
      </c>
      <c r="AI401" s="103">
        <f>IF(Tabla1[[#This Row],[TIPO DE CONSUMIDOR]]="MEDIO",IF(Tabla1[[#This Row],[MAYO ]]&gt;22.5,Tabla1[[#This Row],[MAYO ]]/22.5-1,0),IF(Tabla1[[#This Row],[MAYO ]]&gt;45,Tabla1[[#This Row],[MAYO ]]/45-1,0))</f>
        <v>0</v>
      </c>
      <c r="AJ401" s="103">
        <f>IF(Tabla1[[#This Row],[TIPO DE CONSUMIDOR]]="MEDIO",IF(Tabla1[[#This Row],[JUNIO ]]&gt;22.5,Tabla1[[#This Row],[JUNIO ]]/22.5-1,0),IF(Tabla1[[#This Row],[JUNIO ]]&gt;45,Tabla1[[#This Row],[JUNIO ]]/45-1,0))</f>
        <v>0</v>
      </c>
      <c r="AK401" s="103">
        <f>IF(Tabla1[[#This Row],[TIPO DE CONSUMIDOR]]="MEDIO",IF(Tabla1[[#This Row],[JULIO ]]&gt;22.5,Tabla1[[#This Row],[JULIO ]]/22.5-1,0),IF(Tabla1[[#This Row],[JULIO ]]&gt;45,Tabla1[[#This Row],[JULIO ]]/45-1,0))</f>
        <v>0</v>
      </c>
      <c r="AL401" s="103">
        <f>IF(Tabla1[[#This Row],[TIPO DE CONSUMIDOR]]="MEDIO",IF(Tabla1[[#This Row],[AGOSTO]]&gt;22.5,Tabla1[[#This Row],[AGOSTO]]/22.5-1,0),IF(Tabla1[[#This Row],[AGOSTO]]&gt;45,Tabla1[[#This Row],[AGOSTO]]/45-1,0))</f>
        <v>0</v>
      </c>
      <c r="AM40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1" s="104">
        <f t="shared" si="14"/>
        <v>0</v>
      </c>
      <c r="AR401" s="9">
        <f t="shared" si="13"/>
        <v>1</v>
      </c>
      <c r="AS401" s="60">
        <f>IF(Tabla1[[#This Row],[MESES DE ADEUDO DEL AÑO EN CURSO ]]&gt;0,1,0)</f>
        <v>1</v>
      </c>
      <c r="AT401" s="42"/>
      <c r="AU401" s="42"/>
      <c r="AV401" s="42"/>
      <c r="AW401" s="43"/>
    </row>
    <row r="402" spans="1:49" ht="21.75" thickBot="1" x14ac:dyDescent="0.35">
      <c r="A402" s="109">
        <v>396</v>
      </c>
      <c r="B402" s="5" t="s">
        <v>389</v>
      </c>
      <c r="C402" s="2" t="s">
        <v>504</v>
      </c>
      <c r="D402" s="32"/>
      <c r="E402" s="35" t="s">
        <v>455</v>
      </c>
      <c r="F402" s="34">
        <v>45</v>
      </c>
      <c r="G402" s="34">
        <v>45</v>
      </c>
      <c r="H402" s="34">
        <v>0</v>
      </c>
      <c r="I402" s="34">
        <v>0</v>
      </c>
      <c r="J402" s="34">
        <v>0</v>
      </c>
      <c r="K402" s="34">
        <v>0</v>
      </c>
      <c r="L402" s="34">
        <v>0</v>
      </c>
      <c r="M402" s="34">
        <v>0</v>
      </c>
      <c r="N402" s="34">
        <v>0</v>
      </c>
      <c r="O402" s="34">
        <v>0</v>
      </c>
      <c r="P402" s="34">
        <v>0</v>
      </c>
      <c r="Q402" s="34">
        <v>0</v>
      </c>
      <c r="R402" s="24">
        <f>SUM(Tabla1[[#This Row],[ENERO ]:[DICIEMBRE]])</f>
        <v>90</v>
      </c>
      <c r="W402" s="65">
        <v>0</v>
      </c>
      <c r="X402" s="21">
        <f>COUNTIF(Tabla1[[#This Row],[ENERO ]:[DICIEMBRE]],0)-(AQ402)-IF(Tabla1[[#This Row],[BAJAS]]="BAJA",IF(Tabla1[[#This Row],[ALTAS]]="ALTA",VLOOKUP(Tabla1[[#This Row],[MES DE ALTA ]],$AT$6:$AU$17,2,FALSE),12)-VLOOKUP(Tabla1[[#This Row],[MES DE BAJA ]],$AT$6:$AU$17,2,FALSE),0)</f>
        <v>10</v>
      </c>
      <c r="Y402" s="69">
        <f>SUM(Tabla1[[#This Row],[MES ADEUDO DE AÑOS PASADOS ]:[MESES DE ADEUDO DEL AÑO EN CURSO ]])</f>
        <v>10</v>
      </c>
      <c r="Z402" s="15">
        <f>IF(Tabla1[[#This Row],[TIPO DE CONSUMIDOR]]="COMPLETO",W402*$T$2,W402*($T$2/2))</f>
        <v>0</v>
      </c>
      <c r="AA402" s="15">
        <f>IF(Tabla1[[#This Row],[TIPO DE CONSUMIDOR]]="COMPLETO",Tabla1[[#This Row],[MESES DE ADEUDO DEL AÑO EN CURSO ]]*$T$2,Tabla1[[#This Row],[MESES DE ADEUDO DEL AÑO EN CURSO ]]*($T$2/2))</f>
        <v>450</v>
      </c>
      <c r="AB402" s="70">
        <f>SUM(Tabla1[[#This Row],[DEUDA DE LOS MESES PASADOS EN $$]:[DEUDA DEL AÑO 2013 $$ ]])</f>
        <v>450</v>
      </c>
      <c r="AE402" s="103">
        <f>IF(Tabla1[[#This Row],[TIPO DE CONSUMIDOR]]="MEDIO",IF(Tabla1[[#This Row],[ENERO ]]&gt;22.5,Tabla1[[#This Row],[ENERO ]]/22.5-1,0),IF(Tabla1[[#This Row],[ENERO ]]&gt;45,Tabla1[[#This Row],[ENERO ]]/45-1,0))</f>
        <v>0</v>
      </c>
      <c r="AF40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2" s="103">
        <f>IF(Tabla1[[#This Row],[TIPO DE CONSUMIDOR]]="MEDIO",IF(Tabla1[[#This Row],[MARZO]]&gt;22.5,Tabla1[[#This Row],[MARZO]]/22.5-1,0),IF(Tabla1[[#This Row],[MARZO]]&gt;45,Tabla1[[#This Row],[MARZO]]/45-1,0))</f>
        <v>0</v>
      </c>
      <c r="AH402" s="103">
        <f>IF(Tabla1[[#This Row],[TIPO DE CONSUMIDOR]]="MEDIO",IF(Tabla1[[#This Row],[ABRIL]]&gt;22.5,Tabla1[[#This Row],[ABRIL]]/22.5-1,0),IF(Tabla1[[#This Row],[ABRIL]]&gt;45,Tabla1[[#This Row],[ABRIL]]/45-1,0))</f>
        <v>0</v>
      </c>
      <c r="AI402" s="103">
        <f>IF(Tabla1[[#This Row],[TIPO DE CONSUMIDOR]]="MEDIO",IF(Tabla1[[#This Row],[MAYO ]]&gt;22.5,Tabla1[[#This Row],[MAYO ]]/22.5-1,0),IF(Tabla1[[#This Row],[MAYO ]]&gt;45,Tabla1[[#This Row],[MAYO ]]/45-1,0))</f>
        <v>0</v>
      </c>
      <c r="AJ402" s="103">
        <f>IF(Tabla1[[#This Row],[TIPO DE CONSUMIDOR]]="MEDIO",IF(Tabla1[[#This Row],[JUNIO ]]&gt;22.5,Tabla1[[#This Row],[JUNIO ]]/22.5-1,0),IF(Tabla1[[#This Row],[JUNIO ]]&gt;45,Tabla1[[#This Row],[JUNIO ]]/45-1,0))</f>
        <v>0</v>
      </c>
      <c r="AK402" s="103">
        <f>IF(Tabla1[[#This Row],[TIPO DE CONSUMIDOR]]="MEDIO",IF(Tabla1[[#This Row],[JULIO ]]&gt;22.5,Tabla1[[#This Row],[JULIO ]]/22.5-1,0),IF(Tabla1[[#This Row],[JULIO ]]&gt;45,Tabla1[[#This Row],[JULIO ]]/45-1,0))</f>
        <v>0</v>
      </c>
      <c r="AL402" s="103">
        <f>IF(Tabla1[[#This Row],[TIPO DE CONSUMIDOR]]="MEDIO",IF(Tabla1[[#This Row],[AGOSTO]]&gt;22.5,Tabla1[[#This Row],[AGOSTO]]/22.5-1,0),IF(Tabla1[[#This Row],[AGOSTO]]&gt;45,Tabla1[[#This Row],[AGOSTO]]/45-1,0))</f>
        <v>0</v>
      </c>
      <c r="AM40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2" s="104">
        <f t="shared" si="14"/>
        <v>0</v>
      </c>
      <c r="AR402" s="9">
        <f t="shared" si="13"/>
        <v>1</v>
      </c>
      <c r="AS402" s="60">
        <f>IF(Tabla1[[#This Row],[MESES DE ADEUDO DEL AÑO EN CURSO ]]&gt;0,1,0)</f>
        <v>1</v>
      </c>
      <c r="AT402" s="42"/>
      <c r="AU402" s="42"/>
      <c r="AV402" s="42"/>
      <c r="AW402" s="43"/>
    </row>
    <row r="403" spans="1:49" ht="21.75" thickBot="1" x14ac:dyDescent="0.35">
      <c r="A403" s="109">
        <v>397</v>
      </c>
      <c r="B403" s="5" t="s">
        <v>528</v>
      </c>
      <c r="C403" s="2" t="s">
        <v>524</v>
      </c>
      <c r="D403" s="32"/>
      <c r="E403" s="35" t="s">
        <v>455</v>
      </c>
      <c r="F403" s="34">
        <v>45</v>
      </c>
      <c r="G403" s="34">
        <v>45</v>
      </c>
      <c r="H403" s="34">
        <v>0</v>
      </c>
      <c r="I403" s="34">
        <v>0</v>
      </c>
      <c r="J403" s="34">
        <v>0</v>
      </c>
      <c r="K403" s="34">
        <v>0</v>
      </c>
      <c r="L403" s="34">
        <v>0</v>
      </c>
      <c r="M403" s="34">
        <v>0</v>
      </c>
      <c r="N403" s="34">
        <v>0</v>
      </c>
      <c r="O403" s="34">
        <v>0</v>
      </c>
      <c r="P403" s="34">
        <v>0</v>
      </c>
      <c r="Q403" s="34">
        <v>0</v>
      </c>
      <c r="R403" s="24">
        <f>SUM(Tabla1[[#This Row],[ENERO ]:[DICIEMBRE]])</f>
        <v>90</v>
      </c>
      <c r="W403" s="65">
        <v>0</v>
      </c>
      <c r="X403" s="21">
        <f>COUNTIF(Tabla1[[#This Row],[ENERO ]:[DICIEMBRE]],0)-(AQ403)-IF(Tabla1[[#This Row],[BAJAS]]="BAJA",IF(Tabla1[[#This Row],[ALTAS]]="ALTA",VLOOKUP(Tabla1[[#This Row],[MES DE ALTA ]],$AT$6:$AU$17,2,FALSE),12)-VLOOKUP(Tabla1[[#This Row],[MES DE BAJA ]],$AT$6:$AU$17,2,FALSE),0)</f>
        <v>10</v>
      </c>
      <c r="Y403" s="69">
        <f>SUM(Tabla1[[#This Row],[MES ADEUDO DE AÑOS PASADOS ]:[MESES DE ADEUDO DEL AÑO EN CURSO ]])</f>
        <v>10</v>
      </c>
      <c r="Z403" s="15">
        <f>IF(Tabla1[[#This Row],[TIPO DE CONSUMIDOR]]="COMPLETO",W403*$T$2,W403*($T$2/2))</f>
        <v>0</v>
      </c>
      <c r="AA403" s="15">
        <f>IF(Tabla1[[#This Row],[TIPO DE CONSUMIDOR]]="COMPLETO",Tabla1[[#This Row],[MESES DE ADEUDO DEL AÑO EN CURSO ]]*$T$2,Tabla1[[#This Row],[MESES DE ADEUDO DEL AÑO EN CURSO ]]*($T$2/2))</f>
        <v>450</v>
      </c>
      <c r="AB403" s="70">
        <f>SUM(Tabla1[[#This Row],[DEUDA DE LOS MESES PASADOS EN $$]:[DEUDA DEL AÑO 2013 $$ ]])</f>
        <v>450</v>
      </c>
      <c r="AE403" s="103">
        <f>IF(Tabla1[[#This Row],[TIPO DE CONSUMIDOR]]="MEDIO",IF(Tabla1[[#This Row],[ENERO ]]&gt;22.5,Tabla1[[#This Row],[ENERO ]]/22.5-1,0),IF(Tabla1[[#This Row],[ENERO ]]&gt;45,Tabla1[[#This Row],[ENERO ]]/45-1,0))</f>
        <v>0</v>
      </c>
      <c r="AF40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3" s="103">
        <f>IF(Tabla1[[#This Row],[TIPO DE CONSUMIDOR]]="MEDIO",IF(Tabla1[[#This Row],[MARZO]]&gt;22.5,Tabla1[[#This Row],[MARZO]]/22.5-1,0),IF(Tabla1[[#This Row],[MARZO]]&gt;45,Tabla1[[#This Row],[MARZO]]/45-1,0))</f>
        <v>0</v>
      </c>
      <c r="AH403" s="103">
        <f>IF(Tabla1[[#This Row],[TIPO DE CONSUMIDOR]]="MEDIO",IF(Tabla1[[#This Row],[ABRIL]]&gt;22.5,Tabla1[[#This Row],[ABRIL]]/22.5-1,0),IF(Tabla1[[#This Row],[ABRIL]]&gt;45,Tabla1[[#This Row],[ABRIL]]/45-1,0))</f>
        <v>0</v>
      </c>
      <c r="AI403" s="103">
        <f>IF(Tabla1[[#This Row],[TIPO DE CONSUMIDOR]]="MEDIO",IF(Tabla1[[#This Row],[MAYO ]]&gt;22.5,Tabla1[[#This Row],[MAYO ]]/22.5-1,0),IF(Tabla1[[#This Row],[MAYO ]]&gt;45,Tabla1[[#This Row],[MAYO ]]/45-1,0))</f>
        <v>0</v>
      </c>
      <c r="AJ403" s="103">
        <f>IF(Tabla1[[#This Row],[TIPO DE CONSUMIDOR]]="MEDIO",IF(Tabla1[[#This Row],[JUNIO ]]&gt;22.5,Tabla1[[#This Row],[JUNIO ]]/22.5-1,0),IF(Tabla1[[#This Row],[JUNIO ]]&gt;45,Tabla1[[#This Row],[JUNIO ]]/45-1,0))</f>
        <v>0</v>
      </c>
      <c r="AK403" s="103">
        <f>IF(Tabla1[[#This Row],[TIPO DE CONSUMIDOR]]="MEDIO",IF(Tabla1[[#This Row],[JULIO ]]&gt;22.5,Tabla1[[#This Row],[JULIO ]]/22.5-1,0),IF(Tabla1[[#This Row],[JULIO ]]&gt;45,Tabla1[[#This Row],[JULIO ]]/45-1,0))</f>
        <v>0</v>
      </c>
      <c r="AL403" s="103">
        <f>IF(Tabla1[[#This Row],[TIPO DE CONSUMIDOR]]="MEDIO",IF(Tabla1[[#This Row],[AGOSTO]]&gt;22.5,Tabla1[[#This Row],[AGOSTO]]/22.5-1,0),IF(Tabla1[[#This Row],[AGOSTO]]&gt;45,Tabla1[[#This Row],[AGOSTO]]/45-1,0))</f>
        <v>0</v>
      </c>
      <c r="AM40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3" s="104">
        <f t="shared" si="14"/>
        <v>0</v>
      </c>
      <c r="AR403" s="9">
        <f t="shared" si="13"/>
        <v>1</v>
      </c>
      <c r="AS403" s="60">
        <f>IF(Tabla1[[#This Row],[MESES DE ADEUDO DEL AÑO EN CURSO ]]&gt;0,1,0)</f>
        <v>1</v>
      </c>
      <c r="AT403" s="42"/>
      <c r="AU403" s="42"/>
      <c r="AV403" s="42"/>
      <c r="AW403" s="43"/>
    </row>
    <row r="404" spans="1:49" ht="21.75" thickBot="1" x14ac:dyDescent="0.35">
      <c r="A404" s="109">
        <v>398</v>
      </c>
      <c r="B404" s="5" t="s">
        <v>243</v>
      </c>
      <c r="C404" s="2" t="s">
        <v>530</v>
      </c>
      <c r="D404" s="32"/>
      <c r="E404" s="35" t="s">
        <v>455</v>
      </c>
      <c r="F404" s="34">
        <v>45</v>
      </c>
      <c r="G404" s="34">
        <v>45</v>
      </c>
      <c r="H404" s="34">
        <v>0</v>
      </c>
      <c r="I404" s="34">
        <v>0</v>
      </c>
      <c r="J404" s="34">
        <v>0</v>
      </c>
      <c r="K404" s="34">
        <v>0</v>
      </c>
      <c r="L404" s="34">
        <v>0</v>
      </c>
      <c r="M404" s="34">
        <v>0</v>
      </c>
      <c r="N404" s="34">
        <v>0</v>
      </c>
      <c r="O404" s="34">
        <v>0</v>
      </c>
      <c r="P404" s="34">
        <v>0</v>
      </c>
      <c r="Q404" s="34">
        <v>0</v>
      </c>
      <c r="R404" s="24">
        <f>SUM(Tabla1[[#This Row],[ENERO ]:[DICIEMBRE]])</f>
        <v>90</v>
      </c>
      <c r="W404" s="65">
        <v>0</v>
      </c>
      <c r="X404" s="21">
        <f>COUNTIF(Tabla1[[#This Row],[ENERO ]:[DICIEMBRE]],0)-(AQ404)-IF(Tabla1[[#This Row],[BAJAS]]="BAJA",IF(Tabla1[[#This Row],[ALTAS]]="ALTA",VLOOKUP(Tabla1[[#This Row],[MES DE ALTA ]],$AT$6:$AU$17,2,FALSE),12)-VLOOKUP(Tabla1[[#This Row],[MES DE BAJA ]],$AT$6:$AU$17,2,FALSE),0)</f>
        <v>10</v>
      </c>
      <c r="Y404" s="69">
        <f>SUM(Tabla1[[#This Row],[MES ADEUDO DE AÑOS PASADOS ]:[MESES DE ADEUDO DEL AÑO EN CURSO ]])</f>
        <v>10</v>
      </c>
      <c r="Z404" s="15">
        <f>IF(Tabla1[[#This Row],[TIPO DE CONSUMIDOR]]="COMPLETO",W404*$T$2,W404*($T$2/2))</f>
        <v>0</v>
      </c>
      <c r="AA404" s="15">
        <f>IF(Tabla1[[#This Row],[TIPO DE CONSUMIDOR]]="COMPLETO",Tabla1[[#This Row],[MESES DE ADEUDO DEL AÑO EN CURSO ]]*$T$2,Tabla1[[#This Row],[MESES DE ADEUDO DEL AÑO EN CURSO ]]*($T$2/2))</f>
        <v>450</v>
      </c>
      <c r="AB404" s="70">
        <f>SUM(Tabla1[[#This Row],[DEUDA DE LOS MESES PASADOS EN $$]:[DEUDA DEL AÑO 2013 $$ ]])</f>
        <v>450</v>
      </c>
      <c r="AE404" s="103">
        <f>IF(Tabla1[[#This Row],[TIPO DE CONSUMIDOR]]="MEDIO",IF(Tabla1[[#This Row],[ENERO ]]&gt;22.5,Tabla1[[#This Row],[ENERO ]]/22.5-1,0),IF(Tabla1[[#This Row],[ENERO ]]&gt;45,Tabla1[[#This Row],[ENERO ]]/45-1,0))</f>
        <v>0</v>
      </c>
      <c r="AF40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4" s="103">
        <f>IF(Tabla1[[#This Row],[TIPO DE CONSUMIDOR]]="MEDIO",IF(Tabla1[[#This Row],[MARZO]]&gt;22.5,Tabla1[[#This Row],[MARZO]]/22.5-1,0),IF(Tabla1[[#This Row],[MARZO]]&gt;45,Tabla1[[#This Row],[MARZO]]/45-1,0))</f>
        <v>0</v>
      </c>
      <c r="AH404" s="103">
        <f>IF(Tabla1[[#This Row],[TIPO DE CONSUMIDOR]]="MEDIO",IF(Tabla1[[#This Row],[ABRIL]]&gt;22.5,Tabla1[[#This Row],[ABRIL]]/22.5-1,0),IF(Tabla1[[#This Row],[ABRIL]]&gt;45,Tabla1[[#This Row],[ABRIL]]/45-1,0))</f>
        <v>0</v>
      </c>
      <c r="AI404" s="103">
        <f>IF(Tabla1[[#This Row],[TIPO DE CONSUMIDOR]]="MEDIO",IF(Tabla1[[#This Row],[MAYO ]]&gt;22.5,Tabla1[[#This Row],[MAYO ]]/22.5-1,0),IF(Tabla1[[#This Row],[MAYO ]]&gt;45,Tabla1[[#This Row],[MAYO ]]/45-1,0))</f>
        <v>0</v>
      </c>
      <c r="AJ404" s="103">
        <f>IF(Tabla1[[#This Row],[TIPO DE CONSUMIDOR]]="MEDIO",IF(Tabla1[[#This Row],[JUNIO ]]&gt;22.5,Tabla1[[#This Row],[JUNIO ]]/22.5-1,0),IF(Tabla1[[#This Row],[JUNIO ]]&gt;45,Tabla1[[#This Row],[JUNIO ]]/45-1,0))</f>
        <v>0</v>
      </c>
      <c r="AK404" s="103">
        <f>IF(Tabla1[[#This Row],[TIPO DE CONSUMIDOR]]="MEDIO",IF(Tabla1[[#This Row],[JULIO ]]&gt;22.5,Tabla1[[#This Row],[JULIO ]]/22.5-1,0),IF(Tabla1[[#This Row],[JULIO ]]&gt;45,Tabla1[[#This Row],[JULIO ]]/45-1,0))</f>
        <v>0</v>
      </c>
      <c r="AL404" s="103">
        <f>IF(Tabla1[[#This Row],[TIPO DE CONSUMIDOR]]="MEDIO",IF(Tabla1[[#This Row],[AGOSTO]]&gt;22.5,Tabla1[[#This Row],[AGOSTO]]/22.5-1,0),IF(Tabla1[[#This Row],[AGOSTO]]&gt;45,Tabla1[[#This Row],[AGOSTO]]/45-1,0))</f>
        <v>0</v>
      </c>
      <c r="AM40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4" s="104">
        <f t="shared" si="14"/>
        <v>0</v>
      </c>
      <c r="AR404" s="9">
        <f t="shared" si="13"/>
        <v>1</v>
      </c>
      <c r="AS404" s="60">
        <f>IF(Tabla1[[#This Row],[MESES DE ADEUDO DEL AÑO EN CURSO ]]&gt;0,1,0)</f>
        <v>1</v>
      </c>
      <c r="AT404" s="42"/>
      <c r="AU404" s="42"/>
      <c r="AV404" s="42"/>
      <c r="AW404" s="43"/>
    </row>
    <row r="405" spans="1:49" ht="21.75" thickBot="1" x14ac:dyDescent="0.35">
      <c r="A405" s="109">
        <v>399</v>
      </c>
      <c r="B405" s="5" t="s">
        <v>231</v>
      </c>
      <c r="C405" s="2" t="s">
        <v>549</v>
      </c>
      <c r="D405" s="32"/>
      <c r="E405" s="35" t="s">
        <v>455</v>
      </c>
      <c r="F405" s="34">
        <v>45</v>
      </c>
      <c r="G405" s="34">
        <v>45</v>
      </c>
      <c r="H405" s="34">
        <v>0</v>
      </c>
      <c r="I405" s="34">
        <v>0</v>
      </c>
      <c r="J405" s="34">
        <v>0</v>
      </c>
      <c r="K405" s="34">
        <v>0</v>
      </c>
      <c r="L405" s="34">
        <v>0</v>
      </c>
      <c r="M405" s="34">
        <v>0</v>
      </c>
      <c r="N405" s="34">
        <v>0</v>
      </c>
      <c r="O405" s="34">
        <v>0</v>
      </c>
      <c r="P405" s="34">
        <v>0</v>
      </c>
      <c r="Q405" s="34">
        <v>0</v>
      </c>
      <c r="R405" s="58">
        <f>SUM(Tabla1[[#This Row],[ENERO ]:[DICIEMBRE]])</f>
        <v>90</v>
      </c>
      <c r="W405" s="65">
        <v>0</v>
      </c>
      <c r="X405" s="21">
        <f>COUNTIF(Tabla1[[#This Row],[ENERO ]:[DICIEMBRE]],0)-(AQ405)-IF(Tabla1[[#This Row],[BAJAS]]="BAJA",IF(Tabla1[[#This Row],[ALTAS]]="ALTA",VLOOKUP(Tabla1[[#This Row],[MES DE ALTA ]],$AT$6:$AU$17,2,FALSE),12)-VLOOKUP(Tabla1[[#This Row],[MES DE BAJA ]],$AT$6:$AU$17,2,FALSE),0)</f>
        <v>10</v>
      </c>
      <c r="Y405" s="69">
        <f>SUM(Tabla1[[#This Row],[MES ADEUDO DE AÑOS PASADOS ]:[MESES DE ADEUDO DEL AÑO EN CURSO ]])</f>
        <v>10</v>
      </c>
      <c r="Z405" s="15">
        <f>IF(Tabla1[[#This Row],[TIPO DE CONSUMIDOR]]="COMPLETO",W405*$T$2,W405*($T$2/2))</f>
        <v>0</v>
      </c>
      <c r="AA405" s="15">
        <f>IF(Tabla1[[#This Row],[TIPO DE CONSUMIDOR]]="COMPLETO",Tabla1[[#This Row],[MESES DE ADEUDO DEL AÑO EN CURSO ]]*$T$2,Tabla1[[#This Row],[MESES DE ADEUDO DEL AÑO EN CURSO ]]*($T$2/2))</f>
        <v>450</v>
      </c>
      <c r="AB405" s="70">
        <f>SUM(Tabla1[[#This Row],[DEUDA DE LOS MESES PASADOS EN $$]:[DEUDA DEL AÑO 2013 $$ ]])</f>
        <v>450</v>
      </c>
      <c r="AE405" s="103">
        <f>IF(Tabla1[[#This Row],[TIPO DE CONSUMIDOR]]="MEDIO",IF(Tabla1[[#This Row],[ENERO ]]&gt;22.5,Tabla1[[#This Row],[ENERO ]]/22.5-1,0),IF(Tabla1[[#This Row],[ENERO ]]&gt;45,Tabla1[[#This Row],[ENERO ]]/45-1,0))</f>
        <v>0</v>
      </c>
      <c r="AF40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5" s="103">
        <f>IF(Tabla1[[#This Row],[TIPO DE CONSUMIDOR]]="MEDIO",IF(Tabla1[[#This Row],[MARZO]]&gt;22.5,Tabla1[[#This Row],[MARZO]]/22.5-1,0),IF(Tabla1[[#This Row],[MARZO]]&gt;45,Tabla1[[#This Row],[MARZO]]/45-1,0))</f>
        <v>0</v>
      </c>
      <c r="AH405" s="103">
        <f>IF(Tabla1[[#This Row],[TIPO DE CONSUMIDOR]]="MEDIO",IF(Tabla1[[#This Row],[ABRIL]]&gt;22.5,Tabla1[[#This Row],[ABRIL]]/22.5-1,0),IF(Tabla1[[#This Row],[ABRIL]]&gt;45,Tabla1[[#This Row],[ABRIL]]/45-1,0))</f>
        <v>0</v>
      </c>
      <c r="AI405" s="103">
        <f>IF(Tabla1[[#This Row],[TIPO DE CONSUMIDOR]]="MEDIO",IF(Tabla1[[#This Row],[MAYO ]]&gt;22.5,Tabla1[[#This Row],[MAYO ]]/22.5-1,0),IF(Tabla1[[#This Row],[MAYO ]]&gt;45,Tabla1[[#This Row],[MAYO ]]/45-1,0))</f>
        <v>0</v>
      </c>
      <c r="AJ405" s="103">
        <f>IF(Tabla1[[#This Row],[TIPO DE CONSUMIDOR]]="MEDIO",IF(Tabla1[[#This Row],[JUNIO ]]&gt;22.5,Tabla1[[#This Row],[JUNIO ]]/22.5-1,0),IF(Tabla1[[#This Row],[JUNIO ]]&gt;45,Tabla1[[#This Row],[JUNIO ]]/45-1,0))</f>
        <v>0</v>
      </c>
      <c r="AK405" s="103">
        <f>IF(Tabla1[[#This Row],[TIPO DE CONSUMIDOR]]="MEDIO",IF(Tabla1[[#This Row],[JULIO ]]&gt;22.5,Tabla1[[#This Row],[JULIO ]]/22.5-1,0),IF(Tabla1[[#This Row],[JULIO ]]&gt;45,Tabla1[[#This Row],[JULIO ]]/45-1,0))</f>
        <v>0</v>
      </c>
      <c r="AL405" s="103">
        <f>IF(Tabla1[[#This Row],[TIPO DE CONSUMIDOR]]="MEDIO",IF(Tabla1[[#This Row],[AGOSTO]]&gt;22.5,Tabla1[[#This Row],[AGOSTO]]/22.5-1,0),IF(Tabla1[[#This Row],[AGOSTO]]&gt;45,Tabla1[[#This Row],[AGOSTO]]/45-1,0))</f>
        <v>0</v>
      </c>
      <c r="AM40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5" s="104">
        <f t="shared" si="14"/>
        <v>0</v>
      </c>
      <c r="AR405" s="9">
        <f t="shared" si="13"/>
        <v>1</v>
      </c>
      <c r="AS405" s="60">
        <f>IF(Tabla1[[#This Row],[MESES DE ADEUDO DEL AÑO EN CURSO ]]&gt;0,1,0)</f>
        <v>1</v>
      </c>
      <c r="AT405" s="42"/>
      <c r="AU405" s="42"/>
      <c r="AV405" s="42"/>
      <c r="AW405" s="43"/>
    </row>
    <row r="406" spans="1:49" ht="21.75" thickBot="1" x14ac:dyDescent="0.35">
      <c r="A406" s="109">
        <v>400</v>
      </c>
      <c r="B406" s="5" t="s">
        <v>557</v>
      </c>
      <c r="C406" s="2" t="s">
        <v>556</v>
      </c>
      <c r="D406" s="32"/>
      <c r="E406" s="35" t="s">
        <v>455</v>
      </c>
      <c r="F406" s="34">
        <v>45</v>
      </c>
      <c r="G406" s="34">
        <v>45</v>
      </c>
      <c r="H406" s="34">
        <v>0</v>
      </c>
      <c r="I406" s="34">
        <v>0</v>
      </c>
      <c r="J406" s="34">
        <v>0</v>
      </c>
      <c r="K406" s="34">
        <v>0</v>
      </c>
      <c r="L406" s="34">
        <v>0</v>
      </c>
      <c r="M406" s="34">
        <v>0</v>
      </c>
      <c r="N406" s="34">
        <v>0</v>
      </c>
      <c r="O406" s="34">
        <v>0</v>
      </c>
      <c r="P406" s="34">
        <v>0</v>
      </c>
      <c r="Q406" s="34">
        <v>0</v>
      </c>
      <c r="R406" s="24">
        <f>SUM(Tabla1[[#This Row],[ENERO ]:[DICIEMBRE]])</f>
        <v>90</v>
      </c>
      <c r="W406" s="65">
        <v>0</v>
      </c>
      <c r="X406" s="21">
        <f>COUNTIF(Tabla1[[#This Row],[ENERO ]:[DICIEMBRE]],0)-(AQ406)-IF(Tabla1[[#This Row],[BAJAS]]="BAJA",IF(Tabla1[[#This Row],[ALTAS]]="ALTA",VLOOKUP(Tabla1[[#This Row],[MES DE ALTA ]],$AT$6:$AU$17,2,FALSE),12)-VLOOKUP(Tabla1[[#This Row],[MES DE BAJA ]],$AT$6:$AU$17,2,FALSE),0)</f>
        <v>10</v>
      </c>
      <c r="Y406" s="69">
        <f>SUM(Tabla1[[#This Row],[MES ADEUDO DE AÑOS PASADOS ]:[MESES DE ADEUDO DEL AÑO EN CURSO ]])</f>
        <v>10</v>
      </c>
      <c r="Z406" s="15">
        <f>IF(Tabla1[[#This Row],[TIPO DE CONSUMIDOR]]="COMPLETO",W406*$T$2,W406*($T$2/2))</f>
        <v>0</v>
      </c>
      <c r="AA406" s="15">
        <f>IF(Tabla1[[#This Row],[TIPO DE CONSUMIDOR]]="COMPLETO",Tabla1[[#This Row],[MESES DE ADEUDO DEL AÑO EN CURSO ]]*$T$2,Tabla1[[#This Row],[MESES DE ADEUDO DEL AÑO EN CURSO ]]*($T$2/2))</f>
        <v>450</v>
      </c>
      <c r="AB406" s="70">
        <f>SUM(Tabla1[[#This Row],[DEUDA DE LOS MESES PASADOS EN $$]:[DEUDA DEL AÑO 2013 $$ ]])</f>
        <v>450</v>
      </c>
      <c r="AE406" s="103">
        <f>IF(Tabla1[[#This Row],[TIPO DE CONSUMIDOR]]="MEDIO",IF(Tabla1[[#This Row],[ENERO ]]&gt;22.5,Tabla1[[#This Row],[ENERO ]]/22.5-1,0),IF(Tabla1[[#This Row],[ENERO ]]&gt;45,Tabla1[[#This Row],[ENERO ]]/45-1,0))</f>
        <v>0</v>
      </c>
      <c r="AF40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6" s="103">
        <f>IF(Tabla1[[#This Row],[TIPO DE CONSUMIDOR]]="MEDIO",IF(Tabla1[[#This Row],[MARZO]]&gt;22.5,Tabla1[[#This Row],[MARZO]]/22.5-1,0),IF(Tabla1[[#This Row],[MARZO]]&gt;45,Tabla1[[#This Row],[MARZO]]/45-1,0))</f>
        <v>0</v>
      </c>
      <c r="AH406" s="103">
        <f>IF(Tabla1[[#This Row],[TIPO DE CONSUMIDOR]]="MEDIO",IF(Tabla1[[#This Row],[ABRIL]]&gt;22.5,Tabla1[[#This Row],[ABRIL]]/22.5-1,0),IF(Tabla1[[#This Row],[ABRIL]]&gt;45,Tabla1[[#This Row],[ABRIL]]/45-1,0))</f>
        <v>0</v>
      </c>
      <c r="AI406" s="103">
        <f>IF(Tabla1[[#This Row],[TIPO DE CONSUMIDOR]]="MEDIO",IF(Tabla1[[#This Row],[MAYO ]]&gt;22.5,Tabla1[[#This Row],[MAYO ]]/22.5-1,0),IF(Tabla1[[#This Row],[MAYO ]]&gt;45,Tabla1[[#This Row],[MAYO ]]/45-1,0))</f>
        <v>0</v>
      </c>
      <c r="AJ406" s="103">
        <f>IF(Tabla1[[#This Row],[TIPO DE CONSUMIDOR]]="MEDIO",IF(Tabla1[[#This Row],[JUNIO ]]&gt;22.5,Tabla1[[#This Row],[JUNIO ]]/22.5-1,0),IF(Tabla1[[#This Row],[JUNIO ]]&gt;45,Tabla1[[#This Row],[JUNIO ]]/45-1,0))</f>
        <v>0</v>
      </c>
      <c r="AK406" s="103">
        <f>IF(Tabla1[[#This Row],[TIPO DE CONSUMIDOR]]="MEDIO",IF(Tabla1[[#This Row],[JULIO ]]&gt;22.5,Tabla1[[#This Row],[JULIO ]]/22.5-1,0),IF(Tabla1[[#This Row],[JULIO ]]&gt;45,Tabla1[[#This Row],[JULIO ]]/45-1,0))</f>
        <v>0</v>
      </c>
      <c r="AL406" s="103">
        <f>IF(Tabla1[[#This Row],[TIPO DE CONSUMIDOR]]="MEDIO",IF(Tabla1[[#This Row],[AGOSTO]]&gt;22.5,Tabla1[[#This Row],[AGOSTO]]/22.5-1,0),IF(Tabla1[[#This Row],[AGOSTO]]&gt;45,Tabla1[[#This Row],[AGOSTO]]/45-1,0))</f>
        <v>0</v>
      </c>
      <c r="AM40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6" s="104">
        <f t="shared" si="14"/>
        <v>0</v>
      </c>
      <c r="AR406" s="9">
        <f t="shared" si="13"/>
        <v>1</v>
      </c>
      <c r="AS406" s="60">
        <f>IF(Tabla1[[#This Row],[MESES DE ADEUDO DEL AÑO EN CURSO ]]&gt;0,1,0)</f>
        <v>1</v>
      </c>
      <c r="AT406" s="42"/>
      <c r="AU406" s="42"/>
      <c r="AV406" s="42"/>
      <c r="AW406" s="43"/>
    </row>
    <row r="407" spans="1:49" ht="21.75" thickBot="1" x14ac:dyDescent="0.35">
      <c r="A407" s="109">
        <v>401</v>
      </c>
      <c r="B407" s="5" t="s">
        <v>617</v>
      </c>
      <c r="C407" s="2" t="s">
        <v>556</v>
      </c>
      <c r="D407" s="32"/>
      <c r="E407" s="35" t="s">
        <v>489</v>
      </c>
      <c r="F407" s="34">
        <v>22.5</v>
      </c>
      <c r="G407" s="34">
        <v>22.5</v>
      </c>
      <c r="H407" s="34">
        <v>0</v>
      </c>
      <c r="I407" s="34">
        <v>0</v>
      </c>
      <c r="J407" s="34">
        <v>0</v>
      </c>
      <c r="K407" s="34">
        <v>0</v>
      </c>
      <c r="L407" s="34">
        <v>0</v>
      </c>
      <c r="M407" s="34">
        <v>0</v>
      </c>
      <c r="N407" s="34">
        <v>0</v>
      </c>
      <c r="O407" s="34">
        <v>0</v>
      </c>
      <c r="P407" s="34">
        <v>0</v>
      </c>
      <c r="Q407" s="34">
        <v>0</v>
      </c>
      <c r="R407" s="24">
        <f>SUM(Tabla1[[#This Row],[ENERO ]:[DICIEMBRE]])</f>
        <v>45</v>
      </c>
      <c r="W407" s="65">
        <v>0</v>
      </c>
      <c r="X407" s="21">
        <f>COUNTIF(Tabla1[[#This Row],[ENERO ]:[DICIEMBRE]],0)-(AQ407)-IF(Tabla1[[#This Row],[BAJAS]]="BAJA",IF(Tabla1[[#This Row],[ALTAS]]="ALTA",VLOOKUP(Tabla1[[#This Row],[MES DE ALTA ]],$AT$6:$AU$17,2,FALSE),12)-VLOOKUP(Tabla1[[#This Row],[MES DE BAJA ]],$AT$6:$AU$17,2,FALSE),0)</f>
        <v>10</v>
      </c>
      <c r="Y407" s="69">
        <f>SUM(Tabla1[[#This Row],[MES ADEUDO DE AÑOS PASADOS ]:[MESES DE ADEUDO DEL AÑO EN CURSO ]])</f>
        <v>10</v>
      </c>
      <c r="Z407" s="15">
        <f>IF(Tabla1[[#This Row],[TIPO DE CONSUMIDOR]]="COMPLETO",W407*$T$2,W407*($T$2/2))</f>
        <v>0</v>
      </c>
      <c r="AA407" s="15">
        <f>IF(Tabla1[[#This Row],[TIPO DE CONSUMIDOR]]="COMPLETO",Tabla1[[#This Row],[MESES DE ADEUDO DEL AÑO EN CURSO ]]*$T$2,Tabla1[[#This Row],[MESES DE ADEUDO DEL AÑO EN CURSO ]]*($T$2/2))</f>
        <v>225</v>
      </c>
      <c r="AB407" s="70">
        <f>SUM(Tabla1[[#This Row],[DEUDA DE LOS MESES PASADOS EN $$]:[DEUDA DEL AÑO 2013 $$ ]])</f>
        <v>225</v>
      </c>
      <c r="AE407" s="103">
        <f>IF(Tabla1[[#This Row],[TIPO DE CONSUMIDOR]]="MEDIO",IF(Tabla1[[#This Row],[ENERO ]]&gt;22.5,Tabla1[[#This Row],[ENERO ]]/22.5-1,0),IF(Tabla1[[#This Row],[ENERO ]]&gt;45,Tabla1[[#This Row],[ENERO ]]/45-1,0))</f>
        <v>0</v>
      </c>
      <c r="AF40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7" s="103">
        <f>IF(Tabla1[[#This Row],[TIPO DE CONSUMIDOR]]="MEDIO",IF(Tabla1[[#This Row],[MARZO]]&gt;22.5,Tabla1[[#This Row],[MARZO]]/22.5-1,0),IF(Tabla1[[#This Row],[MARZO]]&gt;45,Tabla1[[#This Row],[MARZO]]/45-1,0))</f>
        <v>0</v>
      </c>
      <c r="AH407" s="103">
        <f>IF(Tabla1[[#This Row],[TIPO DE CONSUMIDOR]]="MEDIO",IF(Tabla1[[#This Row],[ABRIL]]&gt;22.5,Tabla1[[#This Row],[ABRIL]]/22.5-1,0),IF(Tabla1[[#This Row],[ABRIL]]&gt;45,Tabla1[[#This Row],[ABRIL]]/45-1,0))</f>
        <v>0</v>
      </c>
      <c r="AI407" s="103">
        <f>IF(Tabla1[[#This Row],[TIPO DE CONSUMIDOR]]="MEDIO",IF(Tabla1[[#This Row],[MAYO ]]&gt;22.5,Tabla1[[#This Row],[MAYO ]]/22.5-1,0),IF(Tabla1[[#This Row],[MAYO ]]&gt;45,Tabla1[[#This Row],[MAYO ]]/45-1,0))</f>
        <v>0</v>
      </c>
      <c r="AJ407" s="103">
        <f>IF(Tabla1[[#This Row],[TIPO DE CONSUMIDOR]]="MEDIO",IF(Tabla1[[#This Row],[JUNIO ]]&gt;22.5,Tabla1[[#This Row],[JUNIO ]]/22.5-1,0),IF(Tabla1[[#This Row],[JUNIO ]]&gt;45,Tabla1[[#This Row],[JUNIO ]]/45-1,0))</f>
        <v>0</v>
      </c>
      <c r="AK407" s="103">
        <f>IF(Tabla1[[#This Row],[TIPO DE CONSUMIDOR]]="MEDIO",IF(Tabla1[[#This Row],[JULIO ]]&gt;22.5,Tabla1[[#This Row],[JULIO ]]/22.5-1,0),IF(Tabla1[[#This Row],[JULIO ]]&gt;45,Tabla1[[#This Row],[JULIO ]]/45-1,0))</f>
        <v>0</v>
      </c>
      <c r="AL407" s="103">
        <f>IF(Tabla1[[#This Row],[TIPO DE CONSUMIDOR]]="MEDIO",IF(Tabla1[[#This Row],[AGOSTO]]&gt;22.5,Tabla1[[#This Row],[AGOSTO]]/22.5-1,0),IF(Tabla1[[#This Row],[AGOSTO]]&gt;45,Tabla1[[#This Row],[AGOSTO]]/45-1,0))</f>
        <v>0</v>
      </c>
      <c r="AM40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7" s="104">
        <f t="shared" si="14"/>
        <v>0</v>
      </c>
      <c r="AR407" s="9">
        <f t="shared" si="13"/>
        <v>1</v>
      </c>
      <c r="AS407" s="60">
        <f>IF(Tabla1[[#This Row],[MESES DE ADEUDO DEL AÑO EN CURSO ]]&gt;0,1,0)</f>
        <v>1</v>
      </c>
      <c r="AT407" s="42"/>
      <c r="AU407" s="42"/>
      <c r="AV407" s="42"/>
      <c r="AW407" s="43"/>
    </row>
    <row r="408" spans="1:49" ht="21.75" thickBot="1" x14ac:dyDescent="0.35">
      <c r="A408" s="109">
        <v>402</v>
      </c>
      <c r="B408" s="5" t="s">
        <v>113</v>
      </c>
      <c r="C408" s="2" t="s">
        <v>562</v>
      </c>
      <c r="D408" s="32"/>
      <c r="E408" s="35" t="s">
        <v>455</v>
      </c>
      <c r="F408" s="34">
        <v>45</v>
      </c>
      <c r="G408" s="34">
        <v>45</v>
      </c>
      <c r="H408" s="34">
        <v>0</v>
      </c>
      <c r="I408" s="34">
        <v>0</v>
      </c>
      <c r="J408" s="34">
        <v>0</v>
      </c>
      <c r="K408" s="34">
        <v>0</v>
      </c>
      <c r="L408" s="34">
        <v>0</v>
      </c>
      <c r="M408" s="34">
        <v>0</v>
      </c>
      <c r="N408" s="34">
        <v>0</v>
      </c>
      <c r="O408" s="34">
        <v>0</v>
      </c>
      <c r="P408" s="34">
        <v>0</v>
      </c>
      <c r="Q408" s="34">
        <v>0</v>
      </c>
      <c r="R408" s="24">
        <f>SUM(Tabla1[[#This Row],[ENERO ]:[DICIEMBRE]])</f>
        <v>90</v>
      </c>
      <c r="W408" s="65">
        <v>0</v>
      </c>
      <c r="X408" s="21">
        <f>COUNTIF(Tabla1[[#This Row],[ENERO ]:[DICIEMBRE]],0)-(AQ408)-IF(Tabla1[[#This Row],[BAJAS]]="BAJA",IF(Tabla1[[#This Row],[ALTAS]]="ALTA",VLOOKUP(Tabla1[[#This Row],[MES DE ALTA ]],$AT$6:$AU$17,2,FALSE),12)-VLOOKUP(Tabla1[[#This Row],[MES DE BAJA ]],$AT$6:$AU$17,2,FALSE),0)</f>
        <v>10</v>
      </c>
      <c r="Y408" s="69">
        <f>SUM(Tabla1[[#This Row],[MES ADEUDO DE AÑOS PASADOS ]:[MESES DE ADEUDO DEL AÑO EN CURSO ]])</f>
        <v>10</v>
      </c>
      <c r="Z408" s="15">
        <f>IF(Tabla1[[#This Row],[TIPO DE CONSUMIDOR]]="COMPLETO",W408*$T$2,W408*($T$2/2))</f>
        <v>0</v>
      </c>
      <c r="AA408" s="15">
        <f>IF(Tabla1[[#This Row],[TIPO DE CONSUMIDOR]]="COMPLETO",Tabla1[[#This Row],[MESES DE ADEUDO DEL AÑO EN CURSO ]]*$T$2,Tabla1[[#This Row],[MESES DE ADEUDO DEL AÑO EN CURSO ]]*($T$2/2))</f>
        <v>450</v>
      </c>
      <c r="AB408" s="70">
        <f>SUM(Tabla1[[#This Row],[DEUDA DE LOS MESES PASADOS EN $$]:[DEUDA DEL AÑO 2013 $$ ]])</f>
        <v>450</v>
      </c>
      <c r="AE408" s="103">
        <f>IF(Tabla1[[#This Row],[TIPO DE CONSUMIDOR]]="MEDIO",IF(Tabla1[[#This Row],[ENERO ]]&gt;22.5,Tabla1[[#This Row],[ENERO ]]/22.5-1,0),IF(Tabla1[[#This Row],[ENERO ]]&gt;45,Tabla1[[#This Row],[ENERO ]]/45-1,0))</f>
        <v>0</v>
      </c>
      <c r="AF40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8" s="103">
        <f>IF(Tabla1[[#This Row],[TIPO DE CONSUMIDOR]]="MEDIO",IF(Tabla1[[#This Row],[MARZO]]&gt;22.5,Tabla1[[#This Row],[MARZO]]/22.5-1,0),IF(Tabla1[[#This Row],[MARZO]]&gt;45,Tabla1[[#This Row],[MARZO]]/45-1,0))</f>
        <v>0</v>
      </c>
      <c r="AH408" s="103">
        <f>IF(Tabla1[[#This Row],[TIPO DE CONSUMIDOR]]="MEDIO",IF(Tabla1[[#This Row],[ABRIL]]&gt;22.5,Tabla1[[#This Row],[ABRIL]]/22.5-1,0),IF(Tabla1[[#This Row],[ABRIL]]&gt;45,Tabla1[[#This Row],[ABRIL]]/45-1,0))</f>
        <v>0</v>
      </c>
      <c r="AI408" s="103">
        <f>IF(Tabla1[[#This Row],[TIPO DE CONSUMIDOR]]="MEDIO",IF(Tabla1[[#This Row],[MAYO ]]&gt;22.5,Tabla1[[#This Row],[MAYO ]]/22.5-1,0),IF(Tabla1[[#This Row],[MAYO ]]&gt;45,Tabla1[[#This Row],[MAYO ]]/45-1,0))</f>
        <v>0</v>
      </c>
      <c r="AJ408" s="103">
        <f>IF(Tabla1[[#This Row],[TIPO DE CONSUMIDOR]]="MEDIO",IF(Tabla1[[#This Row],[JUNIO ]]&gt;22.5,Tabla1[[#This Row],[JUNIO ]]/22.5-1,0),IF(Tabla1[[#This Row],[JUNIO ]]&gt;45,Tabla1[[#This Row],[JUNIO ]]/45-1,0))</f>
        <v>0</v>
      </c>
      <c r="AK408" s="103">
        <f>IF(Tabla1[[#This Row],[TIPO DE CONSUMIDOR]]="MEDIO",IF(Tabla1[[#This Row],[JULIO ]]&gt;22.5,Tabla1[[#This Row],[JULIO ]]/22.5-1,0),IF(Tabla1[[#This Row],[JULIO ]]&gt;45,Tabla1[[#This Row],[JULIO ]]/45-1,0))</f>
        <v>0</v>
      </c>
      <c r="AL408" s="103">
        <f>IF(Tabla1[[#This Row],[TIPO DE CONSUMIDOR]]="MEDIO",IF(Tabla1[[#This Row],[AGOSTO]]&gt;22.5,Tabla1[[#This Row],[AGOSTO]]/22.5-1,0),IF(Tabla1[[#This Row],[AGOSTO]]&gt;45,Tabla1[[#This Row],[AGOSTO]]/45-1,0))</f>
        <v>0</v>
      </c>
      <c r="AM40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8" s="104">
        <f t="shared" si="14"/>
        <v>0</v>
      </c>
      <c r="AR408" s="9">
        <f t="shared" si="13"/>
        <v>1</v>
      </c>
      <c r="AS408" s="60">
        <f>IF(Tabla1[[#This Row],[MESES DE ADEUDO DEL AÑO EN CURSO ]]&gt;0,1,0)</f>
        <v>1</v>
      </c>
      <c r="AT408" s="42"/>
      <c r="AU408" s="42"/>
      <c r="AV408" s="42"/>
      <c r="AW408" s="43"/>
    </row>
    <row r="409" spans="1:49" ht="21.75" thickBot="1" x14ac:dyDescent="0.35">
      <c r="A409" s="109">
        <v>403</v>
      </c>
      <c r="B409" s="5" t="s">
        <v>571</v>
      </c>
      <c r="C409" s="2" t="s">
        <v>569</v>
      </c>
      <c r="D409" s="32"/>
      <c r="E409" s="35" t="s">
        <v>455</v>
      </c>
      <c r="F409" s="34">
        <v>45</v>
      </c>
      <c r="G409" s="34">
        <v>45</v>
      </c>
      <c r="H409" s="34">
        <v>0</v>
      </c>
      <c r="I409" s="34">
        <v>0</v>
      </c>
      <c r="J409" s="34">
        <v>0</v>
      </c>
      <c r="K409" s="34">
        <v>0</v>
      </c>
      <c r="L409" s="34">
        <v>0</v>
      </c>
      <c r="M409" s="34">
        <v>0</v>
      </c>
      <c r="N409" s="34">
        <v>0</v>
      </c>
      <c r="O409" s="34">
        <v>0</v>
      </c>
      <c r="P409" s="34">
        <v>0</v>
      </c>
      <c r="Q409" s="34">
        <v>0</v>
      </c>
      <c r="R409" s="58">
        <f>SUM(Tabla1[[#This Row],[ENERO ]:[DICIEMBRE]])</f>
        <v>90</v>
      </c>
      <c r="W409" s="65">
        <v>0</v>
      </c>
      <c r="X409" s="21">
        <f>COUNTIF(Tabla1[[#This Row],[ENERO ]:[DICIEMBRE]],0)-(AQ409)-IF(Tabla1[[#This Row],[BAJAS]]="BAJA",IF(Tabla1[[#This Row],[ALTAS]]="ALTA",VLOOKUP(Tabla1[[#This Row],[MES DE ALTA ]],$AT$6:$AU$17,2,FALSE),12)-VLOOKUP(Tabla1[[#This Row],[MES DE BAJA ]],$AT$6:$AU$17,2,FALSE),0)</f>
        <v>10</v>
      </c>
      <c r="Y409" s="69">
        <f>SUM(Tabla1[[#This Row],[MES ADEUDO DE AÑOS PASADOS ]:[MESES DE ADEUDO DEL AÑO EN CURSO ]])</f>
        <v>10</v>
      </c>
      <c r="Z409" s="15">
        <f>IF(Tabla1[[#This Row],[TIPO DE CONSUMIDOR]]="COMPLETO",W409*$T$2,W409*($T$2/2))</f>
        <v>0</v>
      </c>
      <c r="AA409" s="15">
        <f>IF(Tabla1[[#This Row],[TIPO DE CONSUMIDOR]]="COMPLETO",Tabla1[[#This Row],[MESES DE ADEUDO DEL AÑO EN CURSO ]]*$T$2,Tabla1[[#This Row],[MESES DE ADEUDO DEL AÑO EN CURSO ]]*($T$2/2))</f>
        <v>450</v>
      </c>
      <c r="AB409" s="70">
        <f>SUM(Tabla1[[#This Row],[DEUDA DE LOS MESES PASADOS EN $$]:[DEUDA DEL AÑO 2013 $$ ]])</f>
        <v>450</v>
      </c>
      <c r="AE409" s="103">
        <f>IF(Tabla1[[#This Row],[TIPO DE CONSUMIDOR]]="MEDIO",IF(Tabla1[[#This Row],[ENERO ]]&gt;22.5,Tabla1[[#This Row],[ENERO ]]/22.5-1,0),IF(Tabla1[[#This Row],[ENERO ]]&gt;45,Tabla1[[#This Row],[ENERO ]]/45-1,0))</f>
        <v>0</v>
      </c>
      <c r="AF40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09" s="103">
        <f>IF(Tabla1[[#This Row],[TIPO DE CONSUMIDOR]]="MEDIO",IF(Tabla1[[#This Row],[MARZO]]&gt;22.5,Tabla1[[#This Row],[MARZO]]/22.5-1,0),IF(Tabla1[[#This Row],[MARZO]]&gt;45,Tabla1[[#This Row],[MARZO]]/45-1,0))</f>
        <v>0</v>
      </c>
      <c r="AH409" s="103">
        <f>IF(Tabla1[[#This Row],[TIPO DE CONSUMIDOR]]="MEDIO",IF(Tabla1[[#This Row],[ABRIL]]&gt;22.5,Tabla1[[#This Row],[ABRIL]]/22.5-1,0),IF(Tabla1[[#This Row],[ABRIL]]&gt;45,Tabla1[[#This Row],[ABRIL]]/45-1,0))</f>
        <v>0</v>
      </c>
      <c r="AI409" s="103">
        <f>IF(Tabla1[[#This Row],[TIPO DE CONSUMIDOR]]="MEDIO",IF(Tabla1[[#This Row],[MAYO ]]&gt;22.5,Tabla1[[#This Row],[MAYO ]]/22.5-1,0),IF(Tabla1[[#This Row],[MAYO ]]&gt;45,Tabla1[[#This Row],[MAYO ]]/45-1,0))</f>
        <v>0</v>
      </c>
      <c r="AJ409" s="103">
        <f>IF(Tabla1[[#This Row],[TIPO DE CONSUMIDOR]]="MEDIO",IF(Tabla1[[#This Row],[JUNIO ]]&gt;22.5,Tabla1[[#This Row],[JUNIO ]]/22.5-1,0),IF(Tabla1[[#This Row],[JUNIO ]]&gt;45,Tabla1[[#This Row],[JUNIO ]]/45-1,0))</f>
        <v>0</v>
      </c>
      <c r="AK409" s="103">
        <f>IF(Tabla1[[#This Row],[TIPO DE CONSUMIDOR]]="MEDIO",IF(Tabla1[[#This Row],[JULIO ]]&gt;22.5,Tabla1[[#This Row],[JULIO ]]/22.5-1,0),IF(Tabla1[[#This Row],[JULIO ]]&gt;45,Tabla1[[#This Row],[JULIO ]]/45-1,0))</f>
        <v>0</v>
      </c>
      <c r="AL409" s="103">
        <f>IF(Tabla1[[#This Row],[TIPO DE CONSUMIDOR]]="MEDIO",IF(Tabla1[[#This Row],[AGOSTO]]&gt;22.5,Tabla1[[#This Row],[AGOSTO]]/22.5-1,0),IF(Tabla1[[#This Row],[AGOSTO]]&gt;45,Tabla1[[#This Row],[AGOSTO]]/45-1,0))</f>
        <v>0</v>
      </c>
      <c r="AM40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0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0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0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09" s="104">
        <f t="shared" si="14"/>
        <v>0</v>
      </c>
      <c r="AR409" s="9">
        <f t="shared" si="13"/>
        <v>1</v>
      </c>
      <c r="AS409" s="60">
        <f>IF(Tabla1[[#This Row],[MESES DE ADEUDO DEL AÑO EN CURSO ]]&gt;0,1,0)</f>
        <v>1</v>
      </c>
      <c r="AT409" s="42"/>
      <c r="AU409" s="42"/>
      <c r="AV409" s="42"/>
      <c r="AW409" s="43"/>
    </row>
    <row r="410" spans="1:49" ht="21.75" thickBot="1" x14ac:dyDescent="0.35">
      <c r="A410" s="109">
        <v>404</v>
      </c>
      <c r="B410" s="5" t="s">
        <v>572</v>
      </c>
      <c r="C410" s="2" t="s">
        <v>569</v>
      </c>
      <c r="D410" s="32"/>
      <c r="E410" s="35" t="s">
        <v>455</v>
      </c>
      <c r="F410" s="34">
        <v>45</v>
      </c>
      <c r="G410" s="34">
        <v>45</v>
      </c>
      <c r="H410" s="34">
        <v>0</v>
      </c>
      <c r="I410" s="34">
        <v>0</v>
      </c>
      <c r="J410" s="34">
        <v>0</v>
      </c>
      <c r="K410" s="34">
        <v>0</v>
      </c>
      <c r="L410" s="34">
        <v>0</v>
      </c>
      <c r="M410" s="34">
        <v>0</v>
      </c>
      <c r="N410" s="34">
        <v>0</v>
      </c>
      <c r="O410" s="34">
        <v>0</v>
      </c>
      <c r="P410" s="34">
        <v>0</v>
      </c>
      <c r="Q410" s="34">
        <v>0</v>
      </c>
      <c r="R410" s="24">
        <f>SUM(Tabla1[[#This Row],[ENERO ]:[DICIEMBRE]])</f>
        <v>90</v>
      </c>
      <c r="W410" s="65">
        <v>0</v>
      </c>
      <c r="X410" s="21">
        <f>COUNTIF(Tabla1[[#This Row],[ENERO ]:[DICIEMBRE]],0)-(AQ410)-IF(Tabla1[[#This Row],[BAJAS]]="BAJA",IF(Tabla1[[#This Row],[ALTAS]]="ALTA",VLOOKUP(Tabla1[[#This Row],[MES DE ALTA ]],$AT$6:$AU$17,2,FALSE),12)-VLOOKUP(Tabla1[[#This Row],[MES DE BAJA ]],$AT$6:$AU$17,2,FALSE),0)</f>
        <v>10</v>
      </c>
      <c r="Y410" s="69">
        <f>SUM(Tabla1[[#This Row],[MES ADEUDO DE AÑOS PASADOS ]:[MESES DE ADEUDO DEL AÑO EN CURSO ]])</f>
        <v>10</v>
      </c>
      <c r="Z410" s="15">
        <f>IF(Tabla1[[#This Row],[TIPO DE CONSUMIDOR]]="COMPLETO",W410*$T$2,W410*($T$2/2))</f>
        <v>0</v>
      </c>
      <c r="AA410" s="15">
        <f>IF(Tabla1[[#This Row],[TIPO DE CONSUMIDOR]]="COMPLETO",Tabla1[[#This Row],[MESES DE ADEUDO DEL AÑO EN CURSO ]]*$T$2,Tabla1[[#This Row],[MESES DE ADEUDO DEL AÑO EN CURSO ]]*($T$2/2))</f>
        <v>450</v>
      </c>
      <c r="AB410" s="70">
        <f>SUM(Tabla1[[#This Row],[DEUDA DE LOS MESES PASADOS EN $$]:[DEUDA DEL AÑO 2013 $$ ]])</f>
        <v>450</v>
      </c>
      <c r="AE410" s="103">
        <f>IF(Tabla1[[#This Row],[TIPO DE CONSUMIDOR]]="MEDIO",IF(Tabla1[[#This Row],[ENERO ]]&gt;22.5,Tabla1[[#This Row],[ENERO ]]/22.5-1,0),IF(Tabla1[[#This Row],[ENERO ]]&gt;45,Tabla1[[#This Row],[ENERO ]]/45-1,0))</f>
        <v>0</v>
      </c>
      <c r="AF41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0" s="103">
        <f>IF(Tabla1[[#This Row],[TIPO DE CONSUMIDOR]]="MEDIO",IF(Tabla1[[#This Row],[MARZO]]&gt;22.5,Tabla1[[#This Row],[MARZO]]/22.5-1,0),IF(Tabla1[[#This Row],[MARZO]]&gt;45,Tabla1[[#This Row],[MARZO]]/45-1,0))</f>
        <v>0</v>
      </c>
      <c r="AH410" s="103">
        <f>IF(Tabla1[[#This Row],[TIPO DE CONSUMIDOR]]="MEDIO",IF(Tabla1[[#This Row],[ABRIL]]&gt;22.5,Tabla1[[#This Row],[ABRIL]]/22.5-1,0),IF(Tabla1[[#This Row],[ABRIL]]&gt;45,Tabla1[[#This Row],[ABRIL]]/45-1,0))</f>
        <v>0</v>
      </c>
      <c r="AI410" s="103">
        <f>IF(Tabla1[[#This Row],[TIPO DE CONSUMIDOR]]="MEDIO",IF(Tabla1[[#This Row],[MAYO ]]&gt;22.5,Tabla1[[#This Row],[MAYO ]]/22.5-1,0),IF(Tabla1[[#This Row],[MAYO ]]&gt;45,Tabla1[[#This Row],[MAYO ]]/45-1,0))</f>
        <v>0</v>
      </c>
      <c r="AJ410" s="103">
        <f>IF(Tabla1[[#This Row],[TIPO DE CONSUMIDOR]]="MEDIO",IF(Tabla1[[#This Row],[JUNIO ]]&gt;22.5,Tabla1[[#This Row],[JUNIO ]]/22.5-1,0),IF(Tabla1[[#This Row],[JUNIO ]]&gt;45,Tabla1[[#This Row],[JUNIO ]]/45-1,0))</f>
        <v>0</v>
      </c>
      <c r="AK410" s="103">
        <f>IF(Tabla1[[#This Row],[TIPO DE CONSUMIDOR]]="MEDIO",IF(Tabla1[[#This Row],[JULIO ]]&gt;22.5,Tabla1[[#This Row],[JULIO ]]/22.5-1,0),IF(Tabla1[[#This Row],[JULIO ]]&gt;45,Tabla1[[#This Row],[JULIO ]]/45-1,0))</f>
        <v>0</v>
      </c>
      <c r="AL410" s="103">
        <f>IF(Tabla1[[#This Row],[TIPO DE CONSUMIDOR]]="MEDIO",IF(Tabla1[[#This Row],[AGOSTO]]&gt;22.5,Tabla1[[#This Row],[AGOSTO]]/22.5-1,0),IF(Tabla1[[#This Row],[AGOSTO]]&gt;45,Tabla1[[#This Row],[AGOSTO]]/45-1,0))</f>
        <v>0</v>
      </c>
      <c r="AM41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0" s="104">
        <f t="shared" si="14"/>
        <v>0</v>
      </c>
      <c r="AR410" s="9">
        <f t="shared" si="13"/>
        <v>1</v>
      </c>
      <c r="AS410" s="60">
        <f>IF(Tabla1[[#This Row],[MESES DE ADEUDO DEL AÑO EN CURSO ]]&gt;0,1,0)</f>
        <v>1</v>
      </c>
      <c r="AT410" s="42"/>
      <c r="AU410" s="42"/>
      <c r="AV410" s="42"/>
      <c r="AW410" s="43"/>
    </row>
    <row r="411" spans="1:49" ht="21.75" thickBot="1" x14ac:dyDescent="0.35">
      <c r="A411" s="109">
        <v>405</v>
      </c>
      <c r="B411" s="5" t="s">
        <v>263</v>
      </c>
      <c r="C411" s="2" t="s">
        <v>573</v>
      </c>
      <c r="D411" s="32"/>
      <c r="E411" s="35" t="s">
        <v>455</v>
      </c>
      <c r="F411" s="34">
        <v>45</v>
      </c>
      <c r="G411" s="34">
        <v>45</v>
      </c>
      <c r="H411" s="34">
        <v>0</v>
      </c>
      <c r="I411" s="34">
        <v>0</v>
      </c>
      <c r="J411" s="34">
        <v>0</v>
      </c>
      <c r="K411" s="34">
        <v>0</v>
      </c>
      <c r="L411" s="34">
        <v>0</v>
      </c>
      <c r="M411" s="34">
        <v>0</v>
      </c>
      <c r="N411" s="34">
        <v>0</v>
      </c>
      <c r="O411" s="34">
        <v>0</v>
      </c>
      <c r="P411" s="34">
        <v>0</v>
      </c>
      <c r="Q411" s="34">
        <v>0</v>
      </c>
      <c r="R411" s="58">
        <f>SUM(Tabla1[[#This Row],[ENERO ]:[DICIEMBRE]])</f>
        <v>90</v>
      </c>
      <c r="W411" s="65">
        <v>0</v>
      </c>
      <c r="X411" s="21">
        <f>COUNTIF(Tabla1[[#This Row],[ENERO ]:[DICIEMBRE]],0)-(AQ411)-IF(Tabla1[[#This Row],[BAJAS]]="BAJA",IF(Tabla1[[#This Row],[ALTAS]]="ALTA",VLOOKUP(Tabla1[[#This Row],[MES DE ALTA ]],$AT$6:$AU$17,2,FALSE),12)-VLOOKUP(Tabla1[[#This Row],[MES DE BAJA ]],$AT$6:$AU$17,2,FALSE),0)</f>
        <v>10</v>
      </c>
      <c r="Y411" s="69">
        <f>SUM(Tabla1[[#This Row],[MES ADEUDO DE AÑOS PASADOS ]:[MESES DE ADEUDO DEL AÑO EN CURSO ]])</f>
        <v>10</v>
      </c>
      <c r="Z411" s="15">
        <f>IF(Tabla1[[#This Row],[TIPO DE CONSUMIDOR]]="COMPLETO",W411*$T$2,W411*($T$2/2))</f>
        <v>0</v>
      </c>
      <c r="AA411" s="15">
        <f>IF(Tabla1[[#This Row],[TIPO DE CONSUMIDOR]]="COMPLETO",Tabla1[[#This Row],[MESES DE ADEUDO DEL AÑO EN CURSO ]]*$T$2,Tabla1[[#This Row],[MESES DE ADEUDO DEL AÑO EN CURSO ]]*($T$2/2))</f>
        <v>450</v>
      </c>
      <c r="AB411" s="70">
        <f>SUM(Tabla1[[#This Row],[DEUDA DE LOS MESES PASADOS EN $$]:[DEUDA DEL AÑO 2013 $$ ]])</f>
        <v>450</v>
      </c>
      <c r="AE411" s="103">
        <f>IF(Tabla1[[#This Row],[TIPO DE CONSUMIDOR]]="MEDIO",IF(Tabla1[[#This Row],[ENERO ]]&gt;22.5,Tabla1[[#This Row],[ENERO ]]/22.5-1,0),IF(Tabla1[[#This Row],[ENERO ]]&gt;45,Tabla1[[#This Row],[ENERO ]]/45-1,0))</f>
        <v>0</v>
      </c>
      <c r="AF41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1" s="103">
        <f>IF(Tabla1[[#This Row],[TIPO DE CONSUMIDOR]]="MEDIO",IF(Tabla1[[#This Row],[MARZO]]&gt;22.5,Tabla1[[#This Row],[MARZO]]/22.5-1,0),IF(Tabla1[[#This Row],[MARZO]]&gt;45,Tabla1[[#This Row],[MARZO]]/45-1,0))</f>
        <v>0</v>
      </c>
      <c r="AH411" s="103">
        <f>IF(Tabla1[[#This Row],[TIPO DE CONSUMIDOR]]="MEDIO",IF(Tabla1[[#This Row],[ABRIL]]&gt;22.5,Tabla1[[#This Row],[ABRIL]]/22.5-1,0),IF(Tabla1[[#This Row],[ABRIL]]&gt;45,Tabla1[[#This Row],[ABRIL]]/45-1,0))</f>
        <v>0</v>
      </c>
      <c r="AI411" s="103">
        <f>IF(Tabla1[[#This Row],[TIPO DE CONSUMIDOR]]="MEDIO",IF(Tabla1[[#This Row],[MAYO ]]&gt;22.5,Tabla1[[#This Row],[MAYO ]]/22.5-1,0),IF(Tabla1[[#This Row],[MAYO ]]&gt;45,Tabla1[[#This Row],[MAYO ]]/45-1,0))</f>
        <v>0</v>
      </c>
      <c r="AJ411" s="103">
        <f>IF(Tabla1[[#This Row],[TIPO DE CONSUMIDOR]]="MEDIO",IF(Tabla1[[#This Row],[JUNIO ]]&gt;22.5,Tabla1[[#This Row],[JUNIO ]]/22.5-1,0),IF(Tabla1[[#This Row],[JUNIO ]]&gt;45,Tabla1[[#This Row],[JUNIO ]]/45-1,0))</f>
        <v>0</v>
      </c>
      <c r="AK411" s="103">
        <f>IF(Tabla1[[#This Row],[TIPO DE CONSUMIDOR]]="MEDIO",IF(Tabla1[[#This Row],[JULIO ]]&gt;22.5,Tabla1[[#This Row],[JULIO ]]/22.5-1,0),IF(Tabla1[[#This Row],[JULIO ]]&gt;45,Tabla1[[#This Row],[JULIO ]]/45-1,0))</f>
        <v>0</v>
      </c>
      <c r="AL411" s="103">
        <f>IF(Tabla1[[#This Row],[TIPO DE CONSUMIDOR]]="MEDIO",IF(Tabla1[[#This Row],[AGOSTO]]&gt;22.5,Tabla1[[#This Row],[AGOSTO]]/22.5-1,0),IF(Tabla1[[#This Row],[AGOSTO]]&gt;45,Tabla1[[#This Row],[AGOSTO]]/45-1,0))</f>
        <v>0</v>
      </c>
      <c r="AM41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1" s="104">
        <f t="shared" si="14"/>
        <v>0</v>
      </c>
      <c r="AR411" s="9">
        <f t="shared" si="13"/>
        <v>1</v>
      </c>
      <c r="AS411" s="60">
        <f>IF(Tabla1[[#This Row],[MESES DE ADEUDO DEL AÑO EN CURSO ]]&gt;0,1,0)</f>
        <v>1</v>
      </c>
      <c r="AT411" s="42"/>
      <c r="AU411" s="42"/>
      <c r="AV411" s="42"/>
      <c r="AW411" s="43"/>
    </row>
    <row r="412" spans="1:49" ht="21.75" thickBot="1" x14ac:dyDescent="0.35">
      <c r="A412" s="109">
        <v>406</v>
      </c>
      <c r="B412" s="5" t="s">
        <v>282</v>
      </c>
      <c r="C412" s="2"/>
      <c r="D412" s="32"/>
      <c r="E412" s="35" t="s">
        <v>455</v>
      </c>
      <c r="F412" s="34">
        <v>45</v>
      </c>
      <c r="G412" s="34">
        <v>45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24">
        <f>SUM(Tabla1[[#This Row],[ENERO ]:[DICIEMBRE]])</f>
        <v>90</v>
      </c>
      <c r="W412" s="65">
        <v>0</v>
      </c>
      <c r="X412" s="21">
        <f>COUNTIF(Tabla1[[#This Row],[ENERO ]:[DICIEMBRE]],0)-(AQ412)-IF(Tabla1[[#This Row],[BAJAS]]="BAJA",IF(Tabla1[[#This Row],[ALTAS]]="ALTA",VLOOKUP(Tabla1[[#This Row],[MES DE ALTA ]],$AT$6:$AU$17,2,FALSE),12)-VLOOKUP(Tabla1[[#This Row],[MES DE BAJA ]],$AT$6:$AU$17,2,FALSE),0)</f>
        <v>10</v>
      </c>
      <c r="Y412" s="69">
        <f>SUM(Tabla1[[#This Row],[MES ADEUDO DE AÑOS PASADOS ]:[MESES DE ADEUDO DEL AÑO EN CURSO ]])</f>
        <v>10</v>
      </c>
      <c r="Z412" s="15">
        <f>IF(Tabla1[[#This Row],[TIPO DE CONSUMIDOR]]="COMPLETO",W412*$T$2,W412*($T$2/2))</f>
        <v>0</v>
      </c>
      <c r="AA412" s="15">
        <f>IF(Tabla1[[#This Row],[TIPO DE CONSUMIDOR]]="COMPLETO",Tabla1[[#This Row],[MESES DE ADEUDO DEL AÑO EN CURSO ]]*$T$2,Tabla1[[#This Row],[MESES DE ADEUDO DEL AÑO EN CURSO ]]*($T$2/2))</f>
        <v>450</v>
      </c>
      <c r="AB412" s="70">
        <f>SUM(Tabla1[[#This Row],[DEUDA DE LOS MESES PASADOS EN $$]:[DEUDA DEL AÑO 2013 $$ ]])</f>
        <v>450</v>
      </c>
      <c r="AE412" s="103">
        <f>IF(Tabla1[[#This Row],[TIPO DE CONSUMIDOR]]="MEDIO",IF(Tabla1[[#This Row],[ENERO ]]&gt;22.5,Tabla1[[#This Row],[ENERO ]]/22.5-1,0),IF(Tabla1[[#This Row],[ENERO ]]&gt;45,Tabla1[[#This Row],[ENERO ]]/45-1,0))</f>
        <v>0</v>
      </c>
      <c r="AF41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2" s="103">
        <f>IF(Tabla1[[#This Row],[TIPO DE CONSUMIDOR]]="MEDIO",IF(Tabla1[[#This Row],[MARZO]]&gt;22.5,Tabla1[[#This Row],[MARZO]]/22.5-1,0),IF(Tabla1[[#This Row],[MARZO]]&gt;45,Tabla1[[#This Row],[MARZO]]/45-1,0))</f>
        <v>0</v>
      </c>
      <c r="AH412" s="103">
        <f>IF(Tabla1[[#This Row],[TIPO DE CONSUMIDOR]]="MEDIO",IF(Tabla1[[#This Row],[ABRIL]]&gt;22.5,Tabla1[[#This Row],[ABRIL]]/22.5-1,0),IF(Tabla1[[#This Row],[ABRIL]]&gt;45,Tabla1[[#This Row],[ABRIL]]/45-1,0))</f>
        <v>0</v>
      </c>
      <c r="AI412" s="103">
        <f>IF(Tabla1[[#This Row],[TIPO DE CONSUMIDOR]]="MEDIO",IF(Tabla1[[#This Row],[MAYO ]]&gt;22.5,Tabla1[[#This Row],[MAYO ]]/22.5-1,0),IF(Tabla1[[#This Row],[MAYO ]]&gt;45,Tabla1[[#This Row],[MAYO ]]/45-1,0))</f>
        <v>0</v>
      </c>
      <c r="AJ412" s="103">
        <f>IF(Tabla1[[#This Row],[TIPO DE CONSUMIDOR]]="MEDIO",IF(Tabla1[[#This Row],[JUNIO ]]&gt;22.5,Tabla1[[#This Row],[JUNIO ]]/22.5-1,0),IF(Tabla1[[#This Row],[JUNIO ]]&gt;45,Tabla1[[#This Row],[JUNIO ]]/45-1,0))</f>
        <v>0</v>
      </c>
      <c r="AK412" s="103">
        <f>IF(Tabla1[[#This Row],[TIPO DE CONSUMIDOR]]="MEDIO",IF(Tabla1[[#This Row],[JULIO ]]&gt;22.5,Tabla1[[#This Row],[JULIO ]]/22.5-1,0),IF(Tabla1[[#This Row],[JULIO ]]&gt;45,Tabla1[[#This Row],[JULIO ]]/45-1,0))</f>
        <v>0</v>
      </c>
      <c r="AL412" s="103">
        <f>IF(Tabla1[[#This Row],[TIPO DE CONSUMIDOR]]="MEDIO",IF(Tabla1[[#This Row],[AGOSTO]]&gt;22.5,Tabla1[[#This Row],[AGOSTO]]/22.5-1,0),IF(Tabla1[[#This Row],[AGOSTO]]&gt;45,Tabla1[[#This Row],[AGOSTO]]/45-1,0))</f>
        <v>0</v>
      </c>
      <c r="AM41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2" s="104">
        <f t="shared" si="14"/>
        <v>0</v>
      </c>
      <c r="AR412" s="9">
        <f t="shared" si="13"/>
        <v>1</v>
      </c>
      <c r="AS412" s="60">
        <f>IF(Tabla1[[#This Row],[MESES DE ADEUDO DEL AÑO EN CURSO ]]&gt;0,1,0)</f>
        <v>1</v>
      </c>
      <c r="AT412" s="42"/>
      <c r="AU412" s="42"/>
      <c r="AV412" s="42"/>
      <c r="AW412" s="43"/>
    </row>
    <row r="413" spans="1:49" ht="21.75" thickBot="1" x14ac:dyDescent="0.35">
      <c r="A413" s="109">
        <v>407</v>
      </c>
      <c r="B413" s="5" t="s">
        <v>388</v>
      </c>
      <c r="C413" s="2"/>
      <c r="D413" s="32"/>
      <c r="E413" s="35" t="s">
        <v>455</v>
      </c>
      <c r="F413" s="34">
        <v>45</v>
      </c>
      <c r="G413" s="34">
        <v>45</v>
      </c>
      <c r="H413" s="34">
        <v>0</v>
      </c>
      <c r="I413" s="34">
        <v>0</v>
      </c>
      <c r="J413" s="34">
        <v>0</v>
      </c>
      <c r="K413" s="34">
        <v>0</v>
      </c>
      <c r="L413" s="34">
        <v>0</v>
      </c>
      <c r="M413" s="34">
        <v>0</v>
      </c>
      <c r="N413" s="34">
        <v>0</v>
      </c>
      <c r="O413" s="34">
        <v>0</v>
      </c>
      <c r="P413" s="34">
        <v>0</v>
      </c>
      <c r="Q413" s="34">
        <v>0</v>
      </c>
      <c r="R413" s="24">
        <f>SUM(Tabla1[[#This Row],[ENERO ]:[DICIEMBRE]])</f>
        <v>90</v>
      </c>
      <c r="W413" s="65">
        <v>0</v>
      </c>
      <c r="X413" s="21">
        <f>COUNTIF(Tabla1[[#This Row],[ENERO ]:[DICIEMBRE]],0)-(AQ413)-IF(Tabla1[[#This Row],[BAJAS]]="BAJA",IF(Tabla1[[#This Row],[ALTAS]]="ALTA",VLOOKUP(Tabla1[[#This Row],[MES DE ALTA ]],$AT$6:$AU$17,2,FALSE),12)-VLOOKUP(Tabla1[[#This Row],[MES DE BAJA ]],$AT$6:$AU$17,2,FALSE),0)</f>
        <v>10</v>
      </c>
      <c r="Y413" s="69">
        <f>SUM(Tabla1[[#This Row],[MES ADEUDO DE AÑOS PASADOS ]:[MESES DE ADEUDO DEL AÑO EN CURSO ]])</f>
        <v>10</v>
      </c>
      <c r="Z413" s="15">
        <f>IF(Tabla1[[#This Row],[TIPO DE CONSUMIDOR]]="COMPLETO",W413*$T$2,W413*($T$2/2))</f>
        <v>0</v>
      </c>
      <c r="AA413" s="15">
        <f>IF(Tabla1[[#This Row],[TIPO DE CONSUMIDOR]]="COMPLETO",Tabla1[[#This Row],[MESES DE ADEUDO DEL AÑO EN CURSO ]]*$T$2,Tabla1[[#This Row],[MESES DE ADEUDO DEL AÑO EN CURSO ]]*($T$2/2))</f>
        <v>450</v>
      </c>
      <c r="AB413" s="70">
        <f>SUM(Tabla1[[#This Row],[DEUDA DE LOS MESES PASADOS EN $$]:[DEUDA DEL AÑO 2013 $$ ]])</f>
        <v>450</v>
      </c>
      <c r="AE413" s="103">
        <f>IF(Tabla1[[#This Row],[TIPO DE CONSUMIDOR]]="MEDIO",IF(Tabla1[[#This Row],[ENERO ]]&gt;22.5,Tabla1[[#This Row],[ENERO ]]/22.5-1,0),IF(Tabla1[[#This Row],[ENERO ]]&gt;45,Tabla1[[#This Row],[ENERO ]]/45-1,0))</f>
        <v>0</v>
      </c>
      <c r="AF41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3" s="103">
        <f>IF(Tabla1[[#This Row],[TIPO DE CONSUMIDOR]]="MEDIO",IF(Tabla1[[#This Row],[MARZO]]&gt;22.5,Tabla1[[#This Row],[MARZO]]/22.5-1,0),IF(Tabla1[[#This Row],[MARZO]]&gt;45,Tabla1[[#This Row],[MARZO]]/45-1,0))</f>
        <v>0</v>
      </c>
      <c r="AH413" s="103">
        <f>IF(Tabla1[[#This Row],[TIPO DE CONSUMIDOR]]="MEDIO",IF(Tabla1[[#This Row],[ABRIL]]&gt;22.5,Tabla1[[#This Row],[ABRIL]]/22.5-1,0),IF(Tabla1[[#This Row],[ABRIL]]&gt;45,Tabla1[[#This Row],[ABRIL]]/45-1,0))</f>
        <v>0</v>
      </c>
      <c r="AI413" s="103">
        <f>IF(Tabla1[[#This Row],[TIPO DE CONSUMIDOR]]="MEDIO",IF(Tabla1[[#This Row],[MAYO ]]&gt;22.5,Tabla1[[#This Row],[MAYO ]]/22.5-1,0),IF(Tabla1[[#This Row],[MAYO ]]&gt;45,Tabla1[[#This Row],[MAYO ]]/45-1,0))</f>
        <v>0</v>
      </c>
      <c r="AJ413" s="103">
        <f>IF(Tabla1[[#This Row],[TIPO DE CONSUMIDOR]]="MEDIO",IF(Tabla1[[#This Row],[JUNIO ]]&gt;22.5,Tabla1[[#This Row],[JUNIO ]]/22.5-1,0),IF(Tabla1[[#This Row],[JUNIO ]]&gt;45,Tabla1[[#This Row],[JUNIO ]]/45-1,0))</f>
        <v>0</v>
      </c>
      <c r="AK413" s="103">
        <f>IF(Tabla1[[#This Row],[TIPO DE CONSUMIDOR]]="MEDIO",IF(Tabla1[[#This Row],[JULIO ]]&gt;22.5,Tabla1[[#This Row],[JULIO ]]/22.5-1,0),IF(Tabla1[[#This Row],[JULIO ]]&gt;45,Tabla1[[#This Row],[JULIO ]]/45-1,0))</f>
        <v>0</v>
      </c>
      <c r="AL413" s="103">
        <f>IF(Tabla1[[#This Row],[TIPO DE CONSUMIDOR]]="MEDIO",IF(Tabla1[[#This Row],[AGOSTO]]&gt;22.5,Tabla1[[#This Row],[AGOSTO]]/22.5-1,0),IF(Tabla1[[#This Row],[AGOSTO]]&gt;45,Tabla1[[#This Row],[AGOSTO]]/45-1,0))</f>
        <v>0</v>
      </c>
      <c r="AM41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3" s="104">
        <f t="shared" si="14"/>
        <v>0</v>
      </c>
      <c r="AR413" s="9">
        <f t="shared" si="13"/>
        <v>1</v>
      </c>
      <c r="AS413" s="60">
        <f>IF(Tabla1[[#This Row],[MESES DE ADEUDO DEL AÑO EN CURSO ]]&gt;0,1,0)</f>
        <v>1</v>
      </c>
      <c r="AT413" s="42"/>
      <c r="AU413" s="42"/>
      <c r="AV413" s="42"/>
      <c r="AW413" s="43"/>
    </row>
    <row r="414" spans="1:49" ht="21.75" thickBot="1" x14ac:dyDescent="0.35">
      <c r="A414" s="109">
        <v>408</v>
      </c>
      <c r="B414" s="5" t="s">
        <v>359</v>
      </c>
      <c r="C414" s="2" t="s">
        <v>480</v>
      </c>
      <c r="D414" s="32"/>
      <c r="E414" s="35" t="s">
        <v>455</v>
      </c>
      <c r="F414" s="34">
        <v>45</v>
      </c>
      <c r="G414" s="34">
        <v>0</v>
      </c>
      <c r="H414" s="34">
        <v>0</v>
      </c>
      <c r="I414" s="34">
        <v>0</v>
      </c>
      <c r="J414" s="34">
        <v>0</v>
      </c>
      <c r="K414" s="34">
        <v>0</v>
      </c>
      <c r="L414" s="34">
        <v>0</v>
      </c>
      <c r="M414" s="34">
        <v>0</v>
      </c>
      <c r="N414" s="34">
        <v>0</v>
      </c>
      <c r="O414" s="34">
        <v>0</v>
      </c>
      <c r="P414" s="34">
        <v>0</v>
      </c>
      <c r="Q414" s="34">
        <v>0</v>
      </c>
      <c r="R414" s="24">
        <f>SUM(Tabla1[[#This Row],[ENERO ]:[DICIEMBRE]])</f>
        <v>45</v>
      </c>
      <c r="W414" s="65">
        <v>0</v>
      </c>
      <c r="X414" s="21">
        <f>COUNTIF(Tabla1[[#This Row],[ENERO ]:[DICIEMBRE]],0)-(AQ414)-IF(Tabla1[[#This Row],[BAJAS]]="BAJA",IF(Tabla1[[#This Row],[ALTAS]]="ALTA",VLOOKUP(Tabla1[[#This Row],[MES DE ALTA ]],$AT$6:$AU$17,2,FALSE),12)-VLOOKUP(Tabla1[[#This Row],[MES DE BAJA ]],$AT$6:$AU$17,2,FALSE),0)</f>
        <v>11</v>
      </c>
      <c r="Y414" s="69">
        <f>SUM(Tabla1[[#This Row],[MES ADEUDO DE AÑOS PASADOS ]:[MESES DE ADEUDO DEL AÑO EN CURSO ]])</f>
        <v>11</v>
      </c>
      <c r="Z414" s="15">
        <f>IF(Tabla1[[#This Row],[TIPO DE CONSUMIDOR]]="COMPLETO",W414*$T$2,W414*($T$2/2))</f>
        <v>0</v>
      </c>
      <c r="AA414" s="15">
        <f>IF(Tabla1[[#This Row],[TIPO DE CONSUMIDOR]]="COMPLETO",Tabla1[[#This Row],[MESES DE ADEUDO DEL AÑO EN CURSO ]]*$T$2,Tabla1[[#This Row],[MESES DE ADEUDO DEL AÑO EN CURSO ]]*($T$2/2))</f>
        <v>495</v>
      </c>
      <c r="AB414" s="70">
        <f>SUM(Tabla1[[#This Row],[DEUDA DE LOS MESES PASADOS EN $$]:[DEUDA DEL AÑO 2013 $$ ]])</f>
        <v>495</v>
      </c>
      <c r="AE414" s="103">
        <f>IF(Tabla1[[#This Row],[TIPO DE CONSUMIDOR]]="MEDIO",IF(Tabla1[[#This Row],[ENERO ]]&gt;22.5,Tabla1[[#This Row],[ENERO ]]/22.5-1,0),IF(Tabla1[[#This Row],[ENERO ]]&gt;45,Tabla1[[#This Row],[ENERO ]]/45-1,0))</f>
        <v>0</v>
      </c>
      <c r="AF41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4" s="103">
        <f>IF(Tabla1[[#This Row],[TIPO DE CONSUMIDOR]]="MEDIO",IF(Tabla1[[#This Row],[MARZO]]&gt;22.5,Tabla1[[#This Row],[MARZO]]/22.5-1,0),IF(Tabla1[[#This Row],[MARZO]]&gt;45,Tabla1[[#This Row],[MARZO]]/45-1,0))</f>
        <v>0</v>
      </c>
      <c r="AH414" s="103">
        <f>IF(Tabla1[[#This Row],[TIPO DE CONSUMIDOR]]="MEDIO",IF(Tabla1[[#This Row],[ABRIL]]&gt;22.5,Tabla1[[#This Row],[ABRIL]]/22.5-1,0),IF(Tabla1[[#This Row],[ABRIL]]&gt;45,Tabla1[[#This Row],[ABRIL]]/45-1,0))</f>
        <v>0</v>
      </c>
      <c r="AI414" s="103">
        <f>IF(Tabla1[[#This Row],[TIPO DE CONSUMIDOR]]="MEDIO",IF(Tabla1[[#This Row],[MAYO ]]&gt;22.5,Tabla1[[#This Row],[MAYO ]]/22.5-1,0),IF(Tabla1[[#This Row],[MAYO ]]&gt;45,Tabla1[[#This Row],[MAYO ]]/45-1,0))</f>
        <v>0</v>
      </c>
      <c r="AJ414" s="103">
        <f>IF(Tabla1[[#This Row],[TIPO DE CONSUMIDOR]]="MEDIO",IF(Tabla1[[#This Row],[JUNIO ]]&gt;22.5,Tabla1[[#This Row],[JUNIO ]]/22.5-1,0),IF(Tabla1[[#This Row],[JUNIO ]]&gt;45,Tabla1[[#This Row],[JUNIO ]]/45-1,0))</f>
        <v>0</v>
      </c>
      <c r="AK414" s="103">
        <f>IF(Tabla1[[#This Row],[TIPO DE CONSUMIDOR]]="MEDIO",IF(Tabla1[[#This Row],[JULIO ]]&gt;22.5,Tabla1[[#This Row],[JULIO ]]/22.5-1,0),IF(Tabla1[[#This Row],[JULIO ]]&gt;45,Tabla1[[#This Row],[JULIO ]]/45-1,0))</f>
        <v>0</v>
      </c>
      <c r="AL414" s="103">
        <f>IF(Tabla1[[#This Row],[TIPO DE CONSUMIDOR]]="MEDIO",IF(Tabla1[[#This Row],[AGOSTO]]&gt;22.5,Tabla1[[#This Row],[AGOSTO]]/22.5-1,0),IF(Tabla1[[#This Row],[AGOSTO]]&gt;45,Tabla1[[#This Row],[AGOSTO]]/45-1,0))</f>
        <v>0</v>
      </c>
      <c r="AM41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4" s="104">
        <f t="shared" si="14"/>
        <v>0</v>
      </c>
      <c r="AR414" s="9">
        <f t="shared" si="13"/>
        <v>1</v>
      </c>
      <c r="AS414" s="60">
        <f>IF(Tabla1[[#This Row],[MESES DE ADEUDO DEL AÑO EN CURSO ]]&gt;0,1,0)</f>
        <v>1</v>
      </c>
      <c r="AT414" s="42"/>
      <c r="AU414" s="42"/>
      <c r="AV414" s="42"/>
      <c r="AW414" s="43"/>
    </row>
    <row r="415" spans="1:49" ht="21.75" thickBot="1" x14ac:dyDescent="0.35">
      <c r="A415" s="109">
        <v>409</v>
      </c>
      <c r="B415" s="5" t="s">
        <v>156</v>
      </c>
      <c r="C415" s="2" t="s">
        <v>549</v>
      </c>
      <c r="D415" s="32"/>
      <c r="E415" s="35" t="s">
        <v>455</v>
      </c>
      <c r="F415" s="34">
        <v>45</v>
      </c>
      <c r="G415" s="34">
        <v>0</v>
      </c>
      <c r="H415" s="34">
        <v>0</v>
      </c>
      <c r="I415" s="34">
        <v>0</v>
      </c>
      <c r="J415" s="34">
        <v>0</v>
      </c>
      <c r="K415" s="34">
        <v>0</v>
      </c>
      <c r="L415" s="34">
        <v>0</v>
      </c>
      <c r="M415" s="34">
        <v>0</v>
      </c>
      <c r="N415" s="34">
        <v>0</v>
      </c>
      <c r="O415" s="34">
        <v>0</v>
      </c>
      <c r="P415" s="34">
        <v>0</v>
      </c>
      <c r="Q415" s="34">
        <v>0</v>
      </c>
      <c r="R415" s="24">
        <f>SUM(Tabla1[[#This Row],[ENERO ]:[DICIEMBRE]])</f>
        <v>45</v>
      </c>
      <c r="W415" s="65">
        <v>0</v>
      </c>
      <c r="X415" s="21">
        <f>COUNTIF(Tabla1[[#This Row],[ENERO ]:[DICIEMBRE]],0)-(AQ415)-IF(Tabla1[[#This Row],[BAJAS]]="BAJA",IF(Tabla1[[#This Row],[ALTAS]]="ALTA",VLOOKUP(Tabla1[[#This Row],[MES DE ALTA ]],$AT$6:$AU$17,2,FALSE),12)-VLOOKUP(Tabla1[[#This Row],[MES DE BAJA ]],$AT$6:$AU$17,2,FALSE),0)</f>
        <v>11</v>
      </c>
      <c r="Y415" s="69">
        <f>SUM(Tabla1[[#This Row],[MES ADEUDO DE AÑOS PASADOS ]:[MESES DE ADEUDO DEL AÑO EN CURSO ]])</f>
        <v>11</v>
      </c>
      <c r="Z415" s="15">
        <f>IF(Tabla1[[#This Row],[TIPO DE CONSUMIDOR]]="COMPLETO",W415*$T$2,W415*($T$2/2))</f>
        <v>0</v>
      </c>
      <c r="AA415" s="15">
        <f>IF(Tabla1[[#This Row],[TIPO DE CONSUMIDOR]]="COMPLETO",Tabla1[[#This Row],[MESES DE ADEUDO DEL AÑO EN CURSO ]]*$T$2,Tabla1[[#This Row],[MESES DE ADEUDO DEL AÑO EN CURSO ]]*($T$2/2))</f>
        <v>495</v>
      </c>
      <c r="AB415" s="70">
        <f>SUM(Tabla1[[#This Row],[DEUDA DE LOS MESES PASADOS EN $$]:[DEUDA DEL AÑO 2013 $$ ]])</f>
        <v>495</v>
      </c>
      <c r="AE415" s="103">
        <f>IF(Tabla1[[#This Row],[TIPO DE CONSUMIDOR]]="MEDIO",IF(Tabla1[[#This Row],[ENERO ]]&gt;22.5,Tabla1[[#This Row],[ENERO ]]/22.5-1,0),IF(Tabla1[[#This Row],[ENERO ]]&gt;45,Tabla1[[#This Row],[ENERO ]]/45-1,0))</f>
        <v>0</v>
      </c>
      <c r="AF41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5" s="103">
        <f>IF(Tabla1[[#This Row],[TIPO DE CONSUMIDOR]]="MEDIO",IF(Tabla1[[#This Row],[MARZO]]&gt;22.5,Tabla1[[#This Row],[MARZO]]/22.5-1,0),IF(Tabla1[[#This Row],[MARZO]]&gt;45,Tabla1[[#This Row],[MARZO]]/45-1,0))</f>
        <v>0</v>
      </c>
      <c r="AH415" s="103">
        <f>IF(Tabla1[[#This Row],[TIPO DE CONSUMIDOR]]="MEDIO",IF(Tabla1[[#This Row],[ABRIL]]&gt;22.5,Tabla1[[#This Row],[ABRIL]]/22.5-1,0),IF(Tabla1[[#This Row],[ABRIL]]&gt;45,Tabla1[[#This Row],[ABRIL]]/45-1,0))</f>
        <v>0</v>
      </c>
      <c r="AI415" s="103">
        <f>IF(Tabla1[[#This Row],[TIPO DE CONSUMIDOR]]="MEDIO",IF(Tabla1[[#This Row],[MAYO ]]&gt;22.5,Tabla1[[#This Row],[MAYO ]]/22.5-1,0),IF(Tabla1[[#This Row],[MAYO ]]&gt;45,Tabla1[[#This Row],[MAYO ]]/45-1,0))</f>
        <v>0</v>
      </c>
      <c r="AJ415" s="103">
        <f>IF(Tabla1[[#This Row],[TIPO DE CONSUMIDOR]]="MEDIO",IF(Tabla1[[#This Row],[JUNIO ]]&gt;22.5,Tabla1[[#This Row],[JUNIO ]]/22.5-1,0),IF(Tabla1[[#This Row],[JUNIO ]]&gt;45,Tabla1[[#This Row],[JUNIO ]]/45-1,0))</f>
        <v>0</v>
      </c>
      <c r="AK415" s="103">
        <f>IF(Tabla1[[#This Row],[TIPO DE CONSUMIDOR]]="MEDIO",IF(Tabla1[[#This Row],[JULIO ]]&gt;22.5,Tabla1[[#This Row],[JULIO ]]/22.5-1,0),IF(Tabla1[[#This Row],[JULIO ]]&gt;45,Tabla1[[#This Row],[JULIO ]]/45-1,0))</f>
        <v>0</v>
      </c>
      <c r="AL415" s="103">
        <f>IF(Tabla1[[#This Row],[TIPO DE CONSUMIDOR]]="MEDIO",IF(Tabla1[[#This Row],[AGOSTO]]&gt;22.5,Tabla1[[#This Row],[AGOSTO]]/22.5-1,0),IF(Tabla1[[#This Row],[AGOSTO]]&gt;45,Tabla1[[#This Row],[AGOSTO]]/45-1,0))</f>
        <v>0</v>
      </c>
      <c r="AM41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5" s="104">
        <f t="shared" si="14"/>
        <v>0</v>
      </c>
      <c r="AR415" s="9">
        <f t="shared" si="13"/>
        <v>1</v>
      </c>
      <c r="AS415" s="60">
        <f>IF(Tabla1[[#This Row],[MESES DE ADEUDO DEL AÑO EN CURSO ]]&gt;0,1,0)</f>
        <v>1</v>
      </c>
      <c r="AT415" s="42"/>
      <c r="AU415" s="42"/>
      <c r="AV415" s="42"/>
      <c r="AW415" s="43"/>
    </row>
    <row r="416" spans="1:49" ht="21.75" thickBot="1" x14ac:dyDescent="0.35">
      <c r="A416" s="109">
        <v>410</v>
      </c>
      <c r="B416" s="5" t="s">
        <v>314</v>
      </c>
      <c r="C416" s="2" t="s">
        <v>556</v>
      </c>
      <c r="D416" s="32"/>
      <c r="E416" s="35" t="s">
        <v>455</v>
      </c>
      <c r="F416" s="34">
        <v>0</v>
      </c>
      <c r="G416" s="34">
        <v>0</v>
      </c>
      <c r="H416" s="34">
        <v>0</v>
      </c>
      <c r="I416" s="34"/>
      <c r="J416" s="34">
        <v>0</v>
      </c>
      <c r="K416" s="34">
        <v>0</v>
      </c>
      <c r="L416" s="34">
        <v>0</v>
      </c>
      <c r="M416" s="34">
        <v>0</v>
      </c>
      <c r="N416" s="34">
        <v>0</v>
      </c>
      <c r="O416" s="34">
        <v>0</v>
      </c>
      <c r="P416" s="34">
        <v>0</v>
      </c>
      <c r="Q416" s="34">
        <v>0</v>
      </c>
      <c r="R416" s="24">
        <f>SUM(Tabla1[[#This Row],[ENERO ]:[DICIEMBRE]])</f>
        <v>0</v>
      </c>
      <c r="W416" s="65">
        <v>0</v>
      </c>
      <c r="X416" s="21">
        <f>COUNTIF(Tabla1[[#This Row],[ENERO ]:[DICIEMBRE]],0)-(AQ416)-IF(Tabla1[[#This Row],[BAJAS]]="BAJA",IF(Tabla1[[#This Row],[ALTAS]]="ALTA",VLOOKUP(Tabla1[[#This Row],[MES DE ALTA ]],$AT$6:$AU$17,2,FALSE),12)-VLOOKUP(Tabla1[[#This Row],[MES DE BAJA ]],$AT$6:$AU$17,2,FALSE),0)</f>
        <v>11</v>
      </c>
      <c r="Y416" s="69">
        <f>SUM(Tabla1[[#This Row],[MES ADEUDO DE AÑOS PASADOS ]:[MESES DE ADEUDO DEL AÑO EN CURSO ]])</f>
        <v>11</v>
      </c>
      <c r="Z416" s="15">
        <f>IF(Tabla1[[#This Row],[TIPO DE CONSUMIDOR]]="COMPLETO",W416*$T$2,W416*($T$2/2))</f>
        <v>0</v>
      </c>
      <c r="AA416" s="15">
        <f>IF(Tabla1[[#This Row],[TIPO DE CONSUMIDOR]]="COMPLETO",Tabla1[[#This Row],[MESES DE ADEUDO DEL AÑO EN CURSO ]]*$T$2,Tabla1[[#This Row],[MESES DE ADEUDO DEL AÑO EN CURSO ]]*($T$2/2))</f>
        <v>495</v>
      </c>
      <c r="AB416" s="70">
        <f>SUM(Tabla1[[#This Row],[DEUDA DE LOS MESES PASADOS EN $$]:[DEUDA DEL AÑO 2013 $$ ]])</f>
        <v>495</v>
      </c>
      <c r="AE416" s="103">
        <f>IF(Tabla1[[#This Row],[TIPO DE CONSUMIDOR]]="MEDIO",IF(Tabla1[[#This Row],[ENERO ]]&gt;22.5,Tabla1[[#This Row],[ENERO ]]/22.5-1,0),IF(Tabla1[[#This Row],[ENERO ]]&gt;45,Tabla1[[#This Row],[ENERO ]]/45-1,0))</f>
        <v>0</v>
      </c>
      <c r="AF41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6" s="103">
        <f>IF(Tabla1[[#This Row],[TIPO DE CONSUMIDOR]]="MEDIO",IF(Tabla1[[#This Row],[MARZO]]&gt;22.5,Tabla1[[#This Row],[MARZO]]/22.5-1,0),IF(Tabla1[[#This Row],[MARZO]]&gt;45,Tabla1[[#This Row],[MARZO]]/45-1,0))</f>
        <v>0</v>
      </c>
      <c r="AH416" s="103">
        <f>IF(Tabla1[[#This Row],[TIPO DE CONSUMIDOR]]="MEDIO",IF(Tabla1[[#This Row],[ABRIL]]&gt;22.5,Tabla1[[#This Row],[ABRIL]]/22.5-1,0),IF(Tabla1[[#This Row],[ABRIL]]&gt;45,Tabla1[[#This Row],[ABRIL]]/45-1,0))</f>
        <v>0</v>
      </c>
      <c r="AI416" s="103">
        <f>IF(Tabla1[[#This Row],[TIPO DE CONSUMIDOR]]="MEDIO",IF(Tabla1[[#This Row],[MAYO ]]&gt;22.5,Tabla1[[#This Row],[MAYO ]]/22.5-1,0),IF(Tabla1[[#This Row],[MAYO ]]&gt;45,Tabla1[[#This Row],[MAYO ]]/45-1,0))</f>
        <v>0</v>
      </c>
      <c r="AJ416" s="103">
        <f>IF(Tabla1[[#This Row],[TIPO DE CONSUMIDOR]]="MEDIO",IF(Tabla1[[#This Row],[JUNIO ]]&gt;22.5,Tabla1[[#This Row],[JUNIO ]]/22.5-1,0),IF(Tabla1[[#This Row],[JUNIO ]]&gt;45,Tabla1[[#This Row],[JUNIO ]]/45-1,0))</f>
        <v>0</v>
      </c>
      <c r="AK416" s="103">
        <f>IF(Tabla1[[#This Row],[TIPO DE CONSUMIDOR]]="MEDIO",IF(Tabla1[[#This Row],[JULIO ]]&gt;22.5,Tabla1[[#This Row],[JULIO ]]/22.5-1,0),IF(Tabla1[[#This Row],[JULIO ]]&gt;45,Tabla1[[#This Row],[JULIO ]]/45-1,0))</f>
        <v>0</v>
      </c>
      <c r="AL416" s="103">
        <f>IF(Tabla1[[#This Row],[TIPO DE CONSUMIDOR]]="MEDIO",IF(Tabla1[[#This Row],[AGOSTO]]&gt;22.5,Tabla1[[#This Row],[AGOSTO]]/22.5-1,0),IF(Tabla1[[#This Row],[AGOSTO]]&gt;45,Tabla1[[#This Row],[AGOSTO]]/45-1,0))</f>
        <v>0</v>
      </c>
      <c r="AM41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6" s="104">
        <f t="shared" si="14"/>
        <v>0</v>
      </c>
      <c r="AR416" s="9">
        <f t="shared" si="13"/>
        <v>1</v>
      </c>
      <c r="AS416" s="60">
        <f>IF(Tabla1[[#This Row],[MESES DE ADEUDO DEL AÑO EN CURSO ]]&gt;0,1,0)</f>
        <v>1</v>
      </c>
      <c r="AT416" s="42"/>
      <c r="AU416" s="42"/>
      <c r="AV416" s="42"/>
      <c r="AW416" s="43"/>
    </row>
    <row r="417" spans="1:49" ht="21.75" thickBot="1" x14ac:dyDescent="0.35">
      <c r="A417" s="109">
        <v>411</v>
      </c>
      <c r="B417" s="5" t="s">
        <v>110</v>
      </c>
      <c r="C417" s="2" t="s">
        <v>562</v>
      </c>
      <c r="D417" s="32"/>
      <c r="E417" s="35" t="s">
        <v>455</v>
      </c>
      <c r="F417" s="34">
        <v>45</v>
      </c>
      <c r="G417" s="34">
        <v>0</v>
      </c>
      <c r="H417" s="34">
        <v>0</v>
      </c>
      <c r="I417" s="34">
        <v>0</v>
      </c>
      <c r="J417" s="34">
        <v>0</v>
      </c>
      <c r="K417" s="34">
        <v>0</v>
      </c>
      <c r="L417" s="34">
        <v>0</v>
      </c>
      <c r="M417" s="34">
        <v>0</v>
      </c>
      <c r="N417" s="34">
        <v>0</v>
      </c>
      <c r="O417" s="34">
        <v>0</v>
      </c>
      <c r="P417" s="34">
        <v>0</v>
      </c>
      <c r="Q417" s="34">
        <v>0</v>
      </c>
      <c r="R417" s="24">
        <f>SUM(Tabla1[[#This Row],[ENERO ]:[DICIEMBRE]])</f>
        <v>45</v>
      </c>
      <c r="W417" s="65">
        <v>0</v>
      </c>
      <c r="X417" s="21">
        <f>COUNTIF(Tabla1[[#This Row],[ENERO ]:[DICIEMBRE]],0)-(AQ417)-IF(Tabla1[[#This Row],[BAJAS]]="BAJA",IF(Tabla1[[#This Row],[ALTAS]]="ALTA",VLOOKUP(Tabla1[[#This Row],[MES DE ALTA ]],$AT$6:$AU$17,2,FALSE),12)-VLOOKUP(Tabla1[[#This Row],[MES DE BAJA ]],$AT$6:$AU$17,2,FALSE),0)</f>
        <v>11</v>
      </c>
      <c r="Y417" s="69">
        <f>SUM(Tabla1[[#This Row],[MES ADEUDO DE AÑOS PASADOS ]:[MESES DE ADEUDO DEL AÑO EN CURSO ]])</f>
        <v>11</v>
      </c>
      <c r="Z417" s="15">
        <f>IF(Tabla1[[#This Row],[TIPO DE CONSUMIDOR]]="COMPLETO",W417*$T$2,W417*($T$2/2))</f>
        <v>0</v>
      </c>
      <c r="AA417" s="15">
        <f>IF(Tabla1[[#This Row],[TIPO DE CONSUMIDOR]]="COMPLETO",Tabla1[[#This Row],[MESES DE ADEUDO DEL AÑO EN CURSO ]]*$T$2,Tabla1[[#This Row],[MESES DE ADEUDO DEL AÑO EN CURSO ]]*($T$2/2))</f>
        <v>495</v>
      </c>
      <c r="AB417" s="70">
        <f>SUM(Tabla1[[#This Row],[DEUDA DE LOS MESES PASADOS EN $$]:[DEUDA DEL AÑO 2013 $$ ]])</f>
        <v>495</v>
      </c>
      <c r="AE417" s="103">
        <f>IF(Tabla1[[#This Row],[TIPO DE CONSUMIDOR]]="MEDIO",IF(Tabla1[[#This Row],[ENERO ]]&gt;22.5,Tabla1[[#This Row],[ENERO ]]/22.5-1,0),IF(Tabla1[[#This Row],[ENERO ]]&gt;45,Tabla1[[#This Row],[ENERO ]]/45-1,0))</f>
        <v>0</v>
      </c>
      <c r="AF41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7" s="103">
        <f>IF(Tabla1[[#This Row],[TIPO DE CONSUMIDOR]]="MEDIO",IF(Tabla1[[#This Row],[MARZO]]&gt;22.5,Tabla1[[#This Row],[MARZO]]/22.5-1,0),IF(Tabla1[[#This Row],[MARZO]]&gt;45,Tabla1[[#This Row],[MARZO]]/45-1,0))</f>
        <v>0</v>
      </c>
      <c r="AH417" s="103">
        <f>IF(Tabla1[[#This Row],[TIPO DE CONSUMIDOR]]="MEDIO",IF(Tabla1[[#This Row],[ABRIL]]&gt;22.5,Tabla1[[#This Row],[ABRIL]]/22.5-1,0),IF(Tabla1[[#This Row],[ABRIL]]&gt;45,Tabla1[[#This Row],[ABRIL]]/45-1,0))</f>
        <v>0</v>
      </c>
      <c r="AI417" s="103">
        <f>IF(Tabla1[[#This Row],[TIPO DE CONSUMIDOR]]="MEDIO",IF(Tabla1[[#This Row],[MAYO ]]&gt;22.5,Tabla1[[#This Row],[MAYO ]]/22.5-1,0),IF(Tabla1[[#This Row],[MAYO ]]&gt;45,Tabla1[[#This Row],[MAYO ]]/45-1,0))</f>
        <v>0</v>
      </c>
      <c r="AJ417" s="103">
        <f>IF(Tabla1[[#This Row],[TIPO DE CONSUMIDOR]]="MEDIO",IF(Tabla1[[#This Row],[JUNIO ]]&gt;22.5,Tabla1[[#This Row],[JUNIO ]]/22.5-1,0),IF(Tabla1[[#This Row],[JUNIO ]]&gt;45,Tabla1[[#This Row],[JUNIO ]]/45-1,0))</f>
        <v>0</v>
      </c>
      <c r="AK417" s="103">
        <f>IF(Tabla1[[#This Row],[TIPO DE CONSUMIDOR]]="MEDIO",IF(Tabla1[[#This Row],[JULIO ]]&gt;22.5,Tabla1[[#This Row],[JULIO ]]/22.5-1,0),IF(Tabla1[[#This Row],[JULIO ]]&gt;45,Tabla1[[#This Row],[JULIO ]]/45-1,0))</f>
        <v>0</v>
      </c>
      <c r="AL417" s="103">
        <f>IF(Tabla1[[#This Row],[TIPO DE CONSUMIDOR]]="MEDIO",IF(Tabla1[[#This Row],[AGOSTO]]&gt;22.5,Tabla1[[#This Row],[AGOSTO]]/22.5-1,0),IF(Tabla1[[#This Row],[AGOSTO]]&gt;45,Tabla1[[#This Row],[AGOSTO]]/45-1,0))</f>
        <v>0</v>
      </c>
      <c r="AM41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7" s="104">
        <f t="shared" si="14"/>
        <v>0</v>
      </c>
      <c r="AR417" s="9">
        <f t="shared" si="13"/>
        <v>1</v>
      </c>
      <c r="AS417" s="60">
        <f>IF(Tabla1[[#This Row],[MESES DE ADEUDO DEL AÑO EN CURSO ]]&gt;0,1,0)</f>
        <v>1</v>
      </c>
      <c r="AT417" s="42"/>
      <c r="AU417" s="42"/>
      <c r="AV417" s="42"/>
      <c r="AW417" s="43"/>
    </row>
    <row r="418" spans="1:49" ht="21.75" thickBot="1" x14ac:dyDescent="0.35">
      <c r="A418" s="109">
        <v>412</v>
      </c>
      <c r="B418" s="5" t="s">
        <v>200</v>
      </c>
      <c r="C418" s="2" t="s">
        <v>573</v>
      </c>
      <c r="D418" s="32"/>
      <c r="E418" s="35" t="s">
        <v>455</v>
      </c>
      <c r="F418" s="34">
        <v>45</v>
      </c>
      <c r="G418" s="34">
        <v>0</v>
      </c>
      <c r="H418" s="34">
        <v>0</v>
      </c>
      <c r="I418" s="34">
        <v>0</v>
      </c>
      <c r="J418" s="34">
        <v>0</v>
      </c>
      <c r="K418" s="34">
        <v>0</v>
      </c>
      <c r="L418" s="34">
        <v>0</v>
      </c>
      <c r="M418" s="34">
        <v>0</v>
      </c>
      <c r="N418" s="34">
        <v>0</v>
      </c>
      <c r="O418" s="34">
        <v>0</v>
      </c>
      <c r="P418" s="34">
        <v>0</v>
      </c>
      <c r="Q418" s="34">
        <v>0</v>
      </c>
      <c r="R418" s="24">
        <f>SUM(Tabla1[[#This Row],[ENERO ]:[DICIEMBRE]])</f>
        <v>45</v>
      </c>
      <c r="W418" s="65">
        <v>0</v>
      </c>
      <c r="X418" s="21">
        <f>COUNTIF(Tabla1[[#This Row],[ENERO ]:[DICIEMBRE]],0)-(AQ418)-IF(Tabla1[[#This Row],[BAJAS]]="BAJA",IF(Tabla1[[#This Row],[ALTAS]]="ALTA",VLOOKUP(Tabla1[[#This Row],[MES DE ALTA ]],$AT$6:$AU$17,2,FALSE),12)-VLOOKUP(Tabla1[[#This Row],[MES DE BAJA ]],$AT$6:$AU$17,2,FALSE),0)</f>
        <v>11</v>
      </c>
      <c r="Y418" s="69">
        <f>SUM(Tabla1[[#This Row],[MES ADEUDO DE AÑOS PASADOS ]:[MESES DE ADEUDO DEL AÑO EN CURSO ]])</f>
        <v>11</v>
      </c>
      <c r="Z418" s="15">
        <f>IF(Tabla1[[#This Row],[TIPO DE CONSUMIDOR]]="COMPLETO",W418*$T$2,W418*($T$2/2))</f>
        <v>0</v>
      </c>
      <c r="AA418" s="15">
        <f>IF(Tabla1[[#This Row],[TIPO DE CONSUMIDOR]]="COMPLETO",Tabla1[[#This Row],[MESES DE ADEUDO DEL AÑO EN CURSO ]]*$T$2,Tabla1[[#This Row],[MESES DE ADEUDO DEL AÑO EN CURSO ]]*($T$2/2))</f>
        <v>495</v>
      </c>
      <c r="AB418" s="70">
        <f>SUM(Tabla1[[#This Row],[DEUDA DE LOS MESES PASADOS EN $$]:[DEUDA DEL AÑO 2013 $$ ]])</f>
        <v>495</v>
      </c>
      <c r="AE418" s="103">
        <f>IF(Tabla1[[#This Row],[TIPO DE CONSUMIDOR]]="MEDIO",IF(Tabla1[[#This Row],[ENERO ]]&gt;22.5,Tabla1[[#This Row],[ENERO ]]/22.5-1,0),IF(Tabla1[[#This Row],[ENERO ]]&gt;45,Tabla1[[#This Row],[ENERO ]]/45-1,0))</f>
        <v>0</v>
      </c>
      <c r="AF41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8" s="103">
        <f>IF(Tabla1[[#This Row],[TIPO DE CONSUMIDOR]]="MEDIO",IF(Tabla1[[#This Row],[MARZO]]&gt;22.5,Tabla1[[#This Row],[MARZO]]/22.5-1,0),IF(Tabla1[[#This Row],[MARZO]]&gt;45,Tabla1[[#This Row],[MARZO]]/45-1,0))</f>
        <v>0</v>
      </c>
      <c r="AH418" s="103">
        <f>IF(Tabla1[[#This Row],[TIPO DE CONSUMIDOR]]="MEDIO",IF(Tabla1[[#This Row],[ABRIL]]&gt;22.5,Tabla1[[#This Row],[ABRIL]]/22.5-1,0),IF(Tabla1[[#This Row],[ABRIL]]&gt;45,Tabla1[[#This Row],[ABRIL]]/45-1,0))</f>
        <v>0</v>
      </c>
      <c r="AI418" s="103">
        <f>IF(Tabla1[[#This Row],[TIPO DE CONSUMIDOR]]="MEDIO",IF(Tabla1[[#This Row],[MAYO ]]&gt;22.5,Tabla1[[#This Row],[MAYO ]]/22.5-1,0),IF(Tabla1[[#This Row],[MAYO ]]&gt;45,Tabla1[[#This Row],[MAYO ]]/45-1,0))</f>
        <v>0</v>
      </c>
      <c r="AJ418" s="103">
        <f>IF(Tabla1[[#This Row],[TIPO DE CONSUMIDOR]]="MEDIO",IF(Tabla1[[#This Row],[JUNIO ]]&gt;22.5,Tabla1[[#This Row],[JUNIO ]]/22.5-1,0),IF(Tabla1[[#This Row],[JUNIO ]]&gt;45,Tabla1[[#This Row],[JUNIO ]]/45-1,0))</f>
        <v>0</v>
      </c>
      <c r="AK418" s="103">
        <f>IF(Tabla1[[#This Row],[TIPO DE CONSUMIDOR]]="MEDIO",IF(Tabla1[[#This Row],[JULIO ]]&gt;22.5,Tabla1[[#This Row],[JULIO ]]/22.5-1,0),IF(Tabla1[[#This Row],[JULIO ]]&gt;45,Tabla1[[#This Row],[JULIO ]]/45-1,0))</f>
        <v>0</v>
      </c>
      <c r="AL418" s="103">
        <f>IF(Tabla1[[#This Row],[TIPO DE CONSUMIDOR]]="MEDIO",IF(Tabla1[[#This Row],[AGOSTO]]&gt;22.5,Tabla1[[#This Row],[AGOSTO]]/22.5-1,0),IF(Tabla1[[#This Row],[AGOSTO]]&gt;45,Tabla1[[#This Row],[AGOSTO]]/45-1,0))</f>
        <v>0</v>
      </c>
      <c r="AM41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8" s="104">
        <f t="shared" si="14"/>
        <v>0</v>
      </c>
      <c r="AR418" s="9">
        <f t="shared" si="13"/>
        <v>1</v>
      </c>
      <c r="AS418" s="60">
        <f>IF(Tabla1[[#This Row],[MESES DE ADEUDO DEL AÑO EN CURSO ]]&gt;0,1,0)</f>
        <v>1</v>
      </c>
      <c r="AT418" s="42"/>
      <c r="AU418" s="42"/>
      <c r="AV418" s="42"/>
      <c r="AW418" s="43"/>
    </row>
    <row r="419" spans="1:49" ht="21.75" thickBot="1" x14ac:dyDescent="0.35">
      <c r="A419" s="109">
        <v>413</v>
      </c>
      <c r="B419" s="5" t="s">
        <v>38</v>
      </c>
      <c r="C419" s="2" t="s">
        <v>575</v>
      </c>
      <c r="D419" s="32"/>
      <c r="E419" s="35" t="s">
        <v>455</v>
      </c>
      <c r="F419" s="34">
        <v>45</v>
      </c>
      <c r="G419" s="34">
        <v>0</v>
      </c>
      <c r="H419" s="34">
        <v>0</v>
      </c>
      <c r="I419" s="34">
        <v>0</v>
      </c>
      <c r="J419" s="34">
        <v>0</v>
      </c>
      <c r="K419" s="34">
        <v>0</v>
      </c>
      <c r="L419" s="34">
        <v>0</v>
      </c>
      <c r="M419" s="34">
        <v>0</v>
      </c>
      <c r="N419" s="34">
        <v>0</v>
      </c>
      <c r="O419" s="34">
        <v>0</v>
      </c>
      <c r="P419" s="34">
        <v>0</v>
      </c>
      <c r="Q419" s="34">
        <v>0</v>
      </c>
      <c r="R419" s="58">
        <f>SUM(Tabla1[[#This Row],[ENERO ]:[DICIEMBRE]])</f>
        <v>45</v>
      </c>
      <c r="W419" s="65">
        <v>0</v>
      </c>
      <c r="X419" s="21">
        <f>COUNTIF(Tabla1[[#This Row],[ENERO ]:[DICIEMBRE]],0)-(AQ419)-IF(Tabla1[[#This Row],[BAJAS]]="BAJA",IF(Tabla1[[#This Row],[ALTAS]]="ALTA",VLOOKUP(Tabla1[[#This Row],[MES DE ALTA ]],$AT$6:$AU$17,2,FALSE),12)-VLOOKUP(Tabla1[[#This Row],[MES DE BAJA ]],$AT$6:$AU$17,2,FALSE),0)</f>
        <v>11</v>
      </c>
      <c r="Y419" s="69">
        <f>SUM(Tabla1[[#This Row],[MES ADEUDO DE AÑOS PASADOS ]:[MESES DE ADEUDO DEL AÑO EN CURSO ]])</f>
        <v>11</v>
      </c>
      <c r="Z419" s="15">
        <f>IF(Tabla1[[#This Row],[TIPO DE CONSUMIDOR]]="COMPLETO",W419*$T$2,W419*($T$2/2))</f>
        <v>0</v>
      </c>
      <c r="AA419" s="15">
        <f>IF(Tabla1[[#This Row],[TIPO DE CONSUMIDOR]]="COMPLETO",Tabla1[[#This Row],[MESES DE ADEUDO DEL AÑO EN CURSO ]]*$T$2,Tabla1[[#This Row],[MESES DE ADEUDO DEL AÑO EN CURSO ]]*($T$2/2))</f>
        <v>495</v>
      </c>
      <c r="AB419" s="70">
        <f>SUM(Tabla1[[#This Row],[DEUDA DE LOS MESES PASADOS EN $$]:[DEUDA DEL AÑO 2013 $$ ]])</f>
        <v>495</v>
      </c>
      <c r="AE419" s="103">
        <f>IF(Tabla1[[#This Row],[TIPO DE CONSUMIDOR]]="MEDIO",IF(Tabla1[[#This Row],[ENERO ]]&gt;22.5,Tabla1[[#This Row],[ENERO ]]/22.5-1,0),IF(Tabla1[[#This Row],[ENERO ]]&gt;45,Tabla1[[#This Row],[ENERO ]]/45-1,0))</f>
        <v>0</v>
      </c>
      <c r="AF41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19" s="103">
        <f>IF(Tabla1[[#This Row],[TIPO DE CONSUMIDOR]]="MEDIO",IF(Tabla1[[#This Row],[MARZO]]&gt;22.5,Tabla1[[#This Row],[MARZO]]/22.5-1,0),IF(Tabla1[[#This Row],[MARZO]]&gt;45,Tabla1[[#This Row],[MARZO]]/45-1,0))</f>
        <v>0</v>
      </c>
      <c r="AH419" s="103">
        <f>IF(Tabla1[[#This Row],[TIPO DE CONSUMIDOR]]="MEDIO",IF(Tabla1[[#This Row],[ABRIL]]&gt;22.5,Tabla1[[#This Row],[ABRIL]]/22.5-1,0),IF(Tabla1[[#This Row],[ABRIL]]&gt;45,Tabla1[[#This Row],[ABRIL]]/45-1,0))</f>
        <v>0</v>
      </c>
      <c r="AI419" s="103">
        <f>IF(Tabla1[[#This Row],[TIPO DE CONSUMIDOR]]="MEDIO",IF(Tabla1[[#This Row],[MAYO ]]&gt;22.5,Tabla1[[#This Row],[MAYO ]]/22.5-1,0),IF(Tabla1[[#This Row],[MAYO ]]&gt;45,Tabla1[[#This Row],[MAYO ]]/45-1,0))</f>
        <v>0</v>
      </c>
      <c r="AJ419" s="103">
        <f>IF(Tabla1[[#This Row],[TIPO DE CONSUMIDOR]]="MEDIO",IF(Tabla1[[#This Row],[JUNIO ]]&gt;22.5,Tabla1[[#This Row],[JUNIO ]]/22.5-1,0),IF(Tabla1[[#This Row],[JUNIO ]]&gt;45,Tabla1[[#This Row],[JUNIO ]]/45-1,0))</f>
        <v>0</v>
      </c>
      <c r="AK419" s="103">
        <f>IF(Tabla1[[#This Row],[TIPO DE CONSUMIDOR]]="MEDIO",IF(Tabla1[[#This Row],[JULIO ]]&gt;22.5,Tabla1[[#This Row],[JULIO ]]/22.5-1,0),IF(Tabla1[[#This Row],[JULIO ]]&gt;45,Tabla1[[#This Row],[JULIO ]]/45-1,0))</f>
        <v>0</v>
      </c>
      <c r="AL419" s="103">
        <f>IF(Tabla1[[#This Row],[TIPO DE CONSUMIDOR]]="MEDIO",IF(Tabla1[[#This Row],[AGOSTO]]&gt;22.5,Tabla1[[#This Row],[AGOSTO]]/22.5-1,0),IF(Tabla1[[#This Row],[AGOSTO]]&gt;45,Tabla1[[#This Row],[AGOSTO]]/45-1,0))</f>
        <v>0</v>
      </c>
      <c r="AM41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1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1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1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19" s="104">
        <f t="shared" si="14"/>
        <v>0</v>
      </c>
      <c r="AR419" s="9">
        <f t="shared" si="13"/>
        <v>1</v>
      </c>
      <c r="AS419" s="60">
        <f>IF(Tabla1[[#This Row],[MESES DE ADEUDO DEL AÑO EN CURSO ]]&gt;0,1,0)</f>
        <v>1</v>
      </c>
      <c r="AT419" s="42"/>
      <c r="AU419" s="42"/>
      <c r="AV419" s="42"/>
      <c r="AW419" s="43"/>
    </row>
    <row r="420" spans="1:49" ht="21.75" thickBot="1" x14ac:dyDescent="0.35">
      <c r="A420" s="109">
        <v>414</v>
      </c>
      <c r="B420" s="5" t="s">
        <v>224</v>
      </c>
      <c r="C420" s="2"/>
      <c r="D420" s="32"/>
      <c r="E420" s="35" t="s">
        <v>455</v>
      </c>
      <c r="F420" s="34">
        <v>45</v>
      </c>
      <c r="G420" s="34">
        <v>0</v>
      </c>
      <c r="H420" s="34">
        <v>0</v>
      </c>
      <c r="I420" s="34">
        <v>0</v>
      </c>
      <c r="J420" s="34">
        <v>0</v>
      </c>
      <c r="K420" s="34">
        <v>0</v>
      </c>
      <c r="L420" s="34">
        <v>0</v>
      </c>
      <c r="M420" s="34">
        <v>0</v>
      </c>
      <c r="N420" s="34">
        <v>0</v>
      </c>
      <c r="O420" s="34">
        <v>0</v>
      </c>
      <c r="P420" s="34">
        <v>0</v>
      </c>
      <c r="Q420" s="34">
        <v>0</v>
      </c>
      <c r="R420" s="58">
        <f>SUM(Tabla1[[#This Row],[ENERO ]:[DICIEMBRE]])</f>
        <v>45</v>
      </c>
      <c r="W420" s="65">
        <v>0</v>
      </c>
      <c r="X420" s="21">
        <f>COUNTIF(Tabla1[[#This Row],[ENERO ]:[DICIEMBRE]],0)-(AQ420)-IF(Tabla1[[#This Row],[BAJAS]]="BAJA",IF(Tabla1[[#This Row],[ALTAS]]="ALTA",VLOOKUP(Tabla1[[#This Row],[MES DE ALTA ]],$AT$6:$AU$17,2,FALSE),12)-VLOOKUP(Tabla1[[#This Row],[MES DE BAJA ]],$AT$6:$AU$17,2,FALSE),0)</f>
        <v>11</v>
      </c>
      <c r="Y420" s="69">
        <f>SUM(Tabla1[[#This Row],[MES ADEUDO DE AÑOS PASADOS ]:[MESES DE ADEUDO DEL AÑO EN CURSO ]])</f>
        <v>11</v>
      </c>
      <c r="Z420" s="15">
        <f>IF(Tabla1[[#This Row],[TIPO DE CONSUMIDOR]]="COMPLETO",W420*$T$2,W420*($T$2/2))</f>
        <v>0</v>
      </c>
      <c r="AA420" s="15">
        <f>IF(Tabla1[[#This Row],[TIPO DE CONSUMIDOR]]="COMPLETO",Tabla1[[#This Row],[MESES DE ADEUDO DEL AÑO EN CURSO ]]*$T$2,Tabla1[[#This Row],[MESES DE ADEUDO DEL AÑO EN CURSO ]]*($T$2/2))</f>
        <v>495</v>
      </c>
      <c r="AB420" s="70">
        <f>SUM(Tabla1[[#This Row],[DEUDA DE LOS MESES PASADOS EN $$]:[DEUDA DEL AÑO 2013 $$ ]])</f>
        <v>495</v>
      </c>
      <c r="AE420" s="103">
        <f>IF(Tabla1[[#This Row],[TIPO DE CONSUMIDOR]]="MEDIO",IF(Tabla1[[#This Row],[ENERO ]]&gt;22.5,Tabla1[[#This Row],[ENERO ]]/22.5-1,0),IF(Tabla1[[#This Row],[ENERO ]]&gt;45,Tabla1[[#This Row],[ENERO ]]/45-1,0))</f>
        <v>0</v>
      </c>
      <c r="AF42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0" s="103">
        <f>IF(Tabla1[[#This Row],[TIPO DE CONSUMIDOR]]="MEDIO",IF(Tabla1[[#This Row],[MARZO]]&gt;22.5,Tabla1[[#This Row],[MARZO]]/22.5-1,0),IF(Tabla1[[#This Row],[MARZO]]&gt;45,Tabla1[[#This Row],[MARZO]]/45-1,0))</f>
        <v>0</v>
      </c>
      <c r="AH420" s="103">
        <f>IF(Tabla1[[#This Row],[TIPO DE CONSUMIDOR]]="MEDIO",IF(Tabla1[[#This Row],[ABRIL]]&gt;22.5,Tabla1[[#This Row],[ABRIL]]/22.5-1,0),IF(Tabla1[[#This Row],[ABRIL]]&gt;45,Tabla1[[#This Row],[ABRIL]]/45-1,0))</f>
        <v>0</v>
      </c>
      <c r="AI420" s="103">
        <f>IF(Tabla1[[#This Row],[TIPO DE CONSUMIDOR]]="MEDIO",IF(Tabla1[[#This Row],[MAYO ]]&gt;22.5,Tabla1[[#This Row],[MAYO ]]/22.5-1,0),IF(Tabla1[[#This Row],[MAYO ]]&gt;45,Tabla1[[#This Row],[MAYO ]]/45-1,0))</f>
        <v>0</v>
      </c>
      <c r="AJ420" s="103">
        <f>IF(Tabla1[[#This Row],[TIPO DE CONSUMIDOR]]="MEDIO",IF(Tabla1[[#This Row],[JUNIO ]]&gt;22.5,Tabla1[[#This Row],[JUNIO ]]/22.5-1,0),IF(Tabla1[[#This Row],[JUNIO ]]&gt;45,Tabla1[[#This Row],[JUNIO ]]/45-1,0))</f>
        <v>0</v>
      </c>
      <c r="AK420" s="103">
        <f>IF(Tabla1[[#This Row],[TIPO DE CONSUMIDOR]]="MEDIO",IF(Tabla1[[#This Row],[JULIO ]]&gt;22.5,Tabla1[[#This Row],[JULIO ]]/22.5-1,0),IF(Tabla1[[#This Row],[JULIO ]]&gt;45,Tabla1[[#This Row],[JULIO ]]/45-1,0))</f>
        <v>0</v>
      </c>
      <c r="AL420" s="103">
        <f>IF(Tabla1[[#This Row],[TIPO DE CONSUMIDOR]]="MEDIO",IF(Tabla1[[#This Row],[AGOSTO]]&gt;22.5,Tabla1[[#This Row],[AGOSTO]]/22.5-1,0),IF(Tabla1[[#This Row],[AGOSTO]]&gt;45,Tabla1[[#This Row],[AGOSTO]]/45-1,0))</f>
        <v>0</v>
      </c>
      <c r="AM42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0" s="104">
        <f t="shared" si="14"/>
        <v>0</v>
      </c>
      <c r="AR420" s="9">
        <f t="shared" si="13"/>
        <v>1</v>
      </c>
      <c r="AS420" s="60">
        <f>IF(Tabla1[[#This Row],[MESES DE ADEUDO DEL AÑO EN CURSO ]]&gt;0,1,0)</f>
        <v>1</v>
      </c>
      <c r="AT420" s="42"/>
      <c r="AU420" s="42"/>
      <c r="AV420" s="42"/>
      <c r="AW420" s="43"/>
    </row>
    <row r="421" spans="1:49" ht="21.75" thickBot="1" x14ac:dyDescent="0.35">
      <c r="A421" s="109">
        <v>415</v>
      </c>
      <c r="B421" s="5" t="s">
        <v>465</v>
      </c>
      <c r="C421" s="2" t="s">
        <v>461</v>
      </c>
      <c r="D421" s="32"/>
      <c r="E421" s="35" t="s">
        <v>455</v>
      </c>
      <c r="F421" s="34">
        <v>0</v>
      </c>
      <c r="G421" s="34">
        <v>0</v>
      </c>
      <c r="H421" s="34">
        <v>0</v>
      </c>
      <c r="I421" s="34">
        <v>0</v>
      </c>
      <c r="J421" s="34">
        <v>0</v>
      </c>
      <c r="K421" s="34">
        <v>0</v>
      </c>
      <c r="L421" s="34">
        <v>0</v>
      </c>
      <c r="M421" s="34">
        <v>0</v>
      </c>
      <c r="N421" s="34">
        <v>0</v>
      </c>
      <c r="O421" s="34">
        <v>0</v>
      </c>
      <c r="P421" s="34">
        <v>0</v>
      </c>
      <c r="Q421" s="34">
        <v>0</v>
      </c>
      <c r="R421" s="24">
        <f>SUM(Tabla1[[#This Row],[ENERO ]:[DICIEMBRE]])</f>
        <v>0</v>
      </c>
      <c r="W421" s="65">
        <v>0</v>
      </c>
      <c r="X421" s="21">
        <f>COUNTIF(Tabla1[[#This Row],[ENERO ]:[DICIEMBRE]],0)-(AQ421)-IF(Tabla1[[#This Row],[BAJAS]]="BAJA",IF(Tabla1[[#This Row],[ALTAS]]="ALTA",VLOOKUP(Tabla1[[#This Row],[MES DE ALTA ]],$AT$6:$AU$17,2,FALSE),12)-VLOOKUP(Tabla1[[#This Row],[MES DE BAJA ]],$AT$6:$AU$17,2,FALSE),0)</f>
        <v>12</v>
      </c>
      <c r="Y421" s="69">
        <f>SUM(Tabla1[[#This Row],[MES ADEUDO DE AÑOS PASADOS ]:[MESES DE ADEUDO DEL AÑO EN CURSO ]])</f>
        <v>12</v>
      </c>
      <c r="Z421" s="15">
        <f>IF(Tabla1[[#This Row],[TIPO DE CONSUMIDOR]]="COMPLETO",W421*$T$2,W421*($T$2/2))</f>
        <v>0</v>
      </c>
      <c r="AA421" s="15">
        <f>IF(Tabla1[[#This Row],[TIPO DE CONSUMIDOR]]="COMPLETO",Tabla1[[#This Row],[MESES DE ADEUDO DEL AÑO EN CURSO ]]*$T$2,Tabla1[[#This Row],[MESES DE ADEUDO DEL AÑO EN CURSO ]]*($T$2/2))</f>
        <v>540</v>
      </c>
      <c r="AB421" s="70">
        <f>SUM(Tabla1[[#This Row],[DEUDA DE LOS MESES PASADOS EN $$]:[DEUDA DEL AÑO 2013 $$ ]])</f>
        <v>540</v>
      </c>
      <c r="AE421" s="103">
        <f>IF(Tabla1[[#This Row],[TIPO DE CONSUMIDOR]]="MEDIO",IF(Tabla1[[#This Row],[ENERO ]]&gt;22.5,Tabla1[[#This Row],[ENERO ]]/22.5-1,0),IF(Tabla1[[#This Row],[ENERO ]]&gt;45,Tabla1[[#This Row],[ENERO ]]/45-1,0))</f>
        <v>0</v>
      </c>
      <c r="AF42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1" s="103">
        <f>IF(Tabla1[[#This Row],[TIPO DE CONSUMIDOR]]="MEDIO",IF(Tabla1[[#This Row],[MARZO]]&gt;22.5,Tabla1[[#This Row],[MARZO]]/22.5-1,0),IF(Tabla1[[#This Row],[MARZO]]&gt;45,Tabla1[[#This Row],[MARZO]]/45-1,0))</f>
        <v>0</v>
      </c>
      <c r="AH421" s="103">
        <f>IF(Tabla1[[#This Row],[TIPO DE CONSUMIDOR]]="MEDIO",IF(Tabla1[[#This Row],[ABRIL]]&gt;22.5,Tabla1[[#This Row],[ABRIL]]/22.5-1,0),IF(Tabla1[[#This Row],[ABRIL]]&gt;45,Tabla1[[#This Row],[ABRIL]]/45-1,0))</f>
        <v>0</v>
      </c>
      <c r="AI421" s="103">
        <f>IF(Tabla1[[#This Row],[TIPO DE CONSUMIDOR]]="MEDIO",IF(Tabla1[[#This Row],[MAYO ]]&gt;22.5,Tabla1[[#This Row],[MAYO ]]/22.5-1,0),IF(Tabla1[[#This Row],[MAYO ]]&gt;45,Tabla1[[#This Row],[MAYO ]]/45-1,0))</f>
        <v>0</v>
      </c>
      <c r="AJ421" s="103">
        <f>IF(Tabla1[[#This Row],[TIPO DE CONSUMIDOR]]="MEDIO",IF(Tabla1[[#This Row],[JUNIO ]]&gt;22.5,Tabla1[[#This Row],[JUNIO ]]/22.5-1,0),IF(Tabla1[[#This Row],[JUNIO ]]&gt;45,Tabla1[[#This Row],[JUNIO ]]/45-1,0))</f>
        <v>0</v>
      </c>
      <c r="AK421" s="103">
        <f>IF(Tabla1[[#This Row],[TIPO DE CONSUMIDOR]]="MEDIO",IF(Tabla1[[#This Row],[JULIO ]]&gt;22.5,Tabla1[[#This Row],[JULIO ]]/22.5-1,0),IF(Tabla1[[#This Row],[JULIO ]]&gt;45,Tabla1[[#This Row],[JULIO ]]/45-1,0))</f>
        <v>0</v>
      </c>
      <c r="AL421" s="103">
        <f>IF(Tabla1[[#This Row],[TIPO DE CONSUMIDOR]]="MEDIO",IF(Tabla1[[#This Row],[AGOSTO]]&gt;22.5,Tabla1[[#This Row],[AGOSTO]]/22.5-1,0),IF(Tabla1[[#This Row],[AGOSTO]]&gt;45,Tabla1[[#This Row],[AGOSTO]]/45-1,0))</f>
        <v>0</v>
      </c>
      <c r="AM42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1" s="104">
        <f t="shared" si="14"/>
        <v>0</v>
      </c>
      <c r="AR421" s="9">
        <f t="shared" si="13"/>
        <v>1</v>
      </c>
      <c r="AS421" s="60">
        <f>IF(Tabla1[[#This Row],[MESES DE ADEUDO DEL AÑO EN CURSO ]]&gt;0,1,0)</f>
        <v>1</v>
      </c>
      <c r="AT421" s="42"/>
      <c r="AU421" s="42"/>
      <c r="AV421" s="42"/>
      <c r="AW421" s="43"/>
    </row>
    <row r="422" spans="1:49" ht="21.75" thickBot="1" x14ac:dyDescent="0.35">
      <c r="A422" s="109">
        <v>416</v>
      </c>
      <c r="B422" s="5" t="s">
        <v>262</v>
      </c>
      <c r="C422" s="2" t="s">
        <v>480</v>
      </c>
      <c r="D422" s="32"/>
      <c r="E422" s="35" t="s">
        <v>455</v>
      </c>
      <c r="F422" s="34">
        <v>0</v>
      </c>
      <c r="G422" s="34">
        <v>0</v>
      </c>
      <c r="H422" s="34">
        <v>0</v>
      </c>
      <c r="I422" s="34">
        <v>0</v>
      </c>
      <c r="J422" s="34">
        <v>0</v>
      </c>
      <c r="K422" s="34">
        <v>0</v>
      </c>
      <c r="L422" s="34">
        <v>0</v>
      </c>
      <c r="M422" s="34">
        <v>0</v>
      </c>
      <c r="N422" s="34">
        <v>0</v>
      </c>
      <c r="O422" s="34">
        <v>0</v>
      </c>
      <c r="P422" s="34">
        <v>0</v>
      </c>
      <c r="Q422" s="34">
        <v>0</v>
      </c>
      <c r="R422" s="24">
        <f>SUM(Tabla1[[#This Row],[ENERO ]:[DICIEMBRE]])</f>
        <v>0</v>
      </c>
      <c r="W422" s="65">
        <v>0</v>
      </c>
      <c r="X422" s="21">
        <f>COUNTIF(Tabla1[[#This Row],[ENERO ]:[DICIEMBRE]],0)-(AQ422)-IF(Tabla1[[#This Row],[BAJAS]]="BAJA",IF(Tabla1[[#This Row],[ALTAS]]="ALTA",VLOOKUP(Tabla1[[#This Row],[MES DE ALTA ]],$AT$6:$AU$17,2,FALSE),12)-VLOOKUP(Tabla1[[#This Row],[MES DE BAJA ]],$AT$6:$AU$17,2,FALSE),0)</f>
        <v>12</v>
      </c>
      <c r="Y422" s="69">
        <f>SUM(Tabla1[[#This Row],[MES ADEUDO DE AÑOS PASADOS ]:[MESES DE ADEUDO DEL AÑO EN CURSO ]])</f>
        <v>12</v>
      </c>
      <c r="Z422" s="15">
        <f>IF(Tabla1[[#This Row],[TIPO DE CONSUMIDOR]]="COMPLETO",W422*$T$2,W422*($T$2/2))</f>
        <v>0</v>
      </c>
      <c r="AA422" s="15">
        <f>IF(Tabla1[[#This Row],[TIPO DE CONSUMIDOR]]="COMPLETO",Tabla1[[#This Row],[MESES DE ADEUDO DEL AÑO EN CURSO ]]*$T$2,Tabla1[[#This Row],[MESES DE ADEUDO DEL AÑO EN CURSO ]]*($T$2/2))</f>
        <v>540</v>
      </c>
      <c r="AB422" s="70">
        <f>SUM(Tabla1[[#This Row],[DEUDA DE LOS MESES PASADOS EN $$]:[DEUDA DEL AÑO 2013 $$ ]])</f>
        <v>540</v>
      </c>
      <c r="AE422" s="103">
        <f>IF(Tabla1[[#This Row],[TIPO DE CONSUMIDOR]]="MEDIO",IF(Tabla1[[#This Row],[ENERO ]]&gt;22.5,Tabla1[[#This Row],[ENERO ]]/22.5-1,0),IF(Tabla1[[#This Row],[ENERO ]]&gt;45,Tabla1[[#This Row],[ENERO ]]/45-1,0))</f>
        <v>0</v>
      </c>
      <c r="AF42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2" s="103">
        <f>IF(Tabla1[[#This Row],[TIPO DE CONSUMIDOR]]="MEDIO",IF(Tabla1[[#This Row],[MARZO]]&gt;22.5,Tabla1[[#This Row],[MARZO]]/22.5-1,0),IF(Tabla1[[#This Row],[MARZO]]&gt;45,Tabla1[[#This Row],[MARZO]]/45-1,0))</f>
        <v>0</v>
      </c>
      <c r="AH422" s="103">
        <f>IF(Tabla1[[#This Row],[TIPO DE CONSUMIDOR]]="MEDIO",IF(Tabla1[[#This Row],[ABRIL]]&gt;22.5,Tabla1[[#This Row],[ABRIL]]/22.5-1,0),IF(Tabla1[[#This Row],[ABRIL]]&gt;45,Tabla1[[#This Row],[ABRIL]]/45-1,0))</f>
        <v>0</v>
      </c>
      <c r="AI422" s="103">
        <f>IF(Tabla1[[#This Row],[TIPO DE CONSUMIDOR]]="MEDIO",IF(Tabla1[[#This Row],[MAYO ]]&gt;22.5,Tabla1[[#This Row],[MAYO ]]/22.5-1,0),IF(Tabla1[[#This Row],[MAYO ]]&gt;45,Tabla1[[#This Row],[MAYO ]]/45-1,0))</f>
        <v>0</v>
      </c>
      <c r="AJ422" s="103">
        <f>IF(Tabla1[[#This Row],[TIPO DE CONSUMIDOR]]="MEDIO",IF(Tabla1[[#This Row],[JUNIO ]]&gt;22.5,Tabla1[[#This Row],[JUNIO ]]/22.5-1,0),IF(Tabla1[[#This Row],[JUNIO ]]&gt;45,Tabla1[[#This Row],[JUNIO ]]/45-1,0))</f>
        <v>0</v>
      </c>
      <c r="AK422" s="103">
        <f>IF(Tabla1[[#This Row],[TIPO DE CONSUMIDOR]]="MEDIO",IF(Tabla1[[#This Row],[JULIO ]]&gt;22.5,Tabla1[[#This Row],[JULIO ]]/22.5-1,0),IF(Tabla1[[#This Row],[JULIO ]]&gt;45,Tabla1[[#This Row],[JULIO ]]/45-1,0))</f>
        <v>0</v>
      </c>
      <c r="AL422" s="103">
        <f>IF(Tabla1[[#This Row],[TIPO DE CONSUMIDOR]]="MEDIO",IF(Tabla1[[#This Row],[AGOSTO]]&gt;22.5,Tabla1[[#This Row],[AGOSTO]]/22.5-1,0),IF(Tabla1[[#This Row],[AGOSTO]]&gt;45,Tabla1[[#This Row],[AGOSTO]]/45-1,0))</f>
        <v>0</v>
      </c>
      <c r="AM42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2" s="104">
        <f t="shared" si="14"/>
        <v>0</v>
      </c>
      <c r="AR422" s="9">
        <f t="shared" si="13"/>
        <v>1</v>
      </c>
      <c r="AS422" s="60">
        <f>IF(Tabla1[[#This Row],[MESES DE ADEUDO DEL AÑO EN CURSO ]]&gt;0,1,0)</f>
        <v>1</v>
      </c>
      <c r="AT422" s="42"/>
      <c r="AU422" s="42"/>
      <c r="AV422" s="42"/>
      <c r="AW422" s="43"/>
    </row>
    <row r="423" spans="1:49" ht="21.75" thickBot="1" x14ac:dyDescent="0.35">
      <c r="A423" s="109">
        <v>417</v>
      </c>
      <c r="B423" s="5" t="s">
        <v>127</v>
      </c>
      <c r="C423" s="2" t="s">
        <v>488</v>
      </c>
      <c r="D423" s="32"/>
      <c r="E423" s="35" t="s">
        <v>455</v>
      </c>
      <c r="F423" s="34">
        <v>0</v>
      </c>
      <c r="G423" s="34">
        <v>0</v>
      </c>
      <c r="H423" s="34">
        <v>0</v>
      </c>
      <c r="I423" s="34">
        <v>0</v>
      </c>
      <c r="J423" s="34">
        <v>0</v>
      </c>
      <c r="K423" s="34">
        <v>0</v>
      </c>
      <c r="L423" s="34">
        <v>0</v>
      </c>
      <c r="M423" s="34">
        <v>0</v>
      </c>
      <c r="N423" s="34">
        <v>0</v>
      </c>
      <c r="O423" s="34">
        <v>0</v>
      </c>
      <c r="P423" s="34">
        <v>0</v>
      </c>
      <c r="Q423" s="34">
        <v>0</v>
      </c>
      <c r="R423" s="24">
        <f>SUM(Tabla1[[#This Row],[ENERO ]:[DICIEMBRE]])</f>
        <v>0</v>
      </c>
      <c r="W423" s="65">
        <v>0</v>
      </c>
      <c r="X423" s="21">
        <f>COUNTIF(Tabla1[[#This Row],[ENERO ]:[DICIEMBRE]],0)-(AQ423)-IF(Tabla1[[#This Row],[BAJAS]]="BAJA",IF(Tabla1[[#This Row],[ALTAS]]="ALTA",VLOOKUP(Tabla1[[#This Row],[MES DE ALTA ]],$AT$6:$AU$17,2,FALSE),12)-VLOOKUP(Tabla1[[#This Row],[MES DE BAJA ]],$AT$6:$AU$17,2,FALSE),0)</f>
        <v>12</v>
      </c>
      <c r="Y423" s="69">
        <f>SUM(Tabla1[[#This Row],[MES ADEUDO DE AÑOS PASADOS ]:[MESES DE ADEUDO DEL AÑO EN CURSO ]])</f>
        <v>12</v>
      </c>
      <c r="Z423" s="15">
        <f>IF(Tabla1[[#This Row],[TIPO DE CONSUMIDOR]]="COMPLETO",W423*$T$2,W423*($T$2/2))</f>
        <v>0</v>
      </c>
      <c r="AA423" s="15">
        <f>IF(Tabla1[[#This Row],[TIPO DE CONSUMIDOR]]="COMPLETO",Tabla1[[#This Row],[MESES DE ADEUDO DEL AÑO EN CURSO ]]*$T$2,Tabla1[[#This Row],[MESES DE ADEUDO DEL AÑO EN CURSO ]]*($T$2/2))</f>
        <v>540</v>
      </c>
      <c r="AB423" s="70">
        <f>SUM(Tabla1[[#This Row],[DEUDA DE LOS MESES PASADOS EN $$]:[DEUDA DEL AÑO 2013 $$ ]])</f>
        <v>540</v>
      </c>
      <c r="AE423" s="103">
        <f>IF(Tabla1[[#This Row],[TIPO DE CONSUMIDOR]]="MEDIO",IF(Tabla1[[#This Row],[ENERO ]]&gt;22.5,Tabla1[[#This Row],[ENERO ]]/22.5-1,0),IF(Tabla1[[#This Row],[ENERO ]]&gt;45,Tabla1[[#This Row],[ENERO ]]/45-1,0))</f>
        <v>0</v>
      </c>
      <c r="AF42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3" s="103">
        <f>IF(Tabla1[[#This Row],[TIPO DE CONSUMIDOR]]="MEDIO",IF(Tabla1[[#This Row],[MARZO]]&gt;22.5,Tabla1[[#This Row],[MARZO]]/22.5-1,0),IF(Tabla1[[#This Row],[MARZO]]&gt;45,Tabla1[[#This Row],[MARZO]]/45-1,0))</f>
        <v>0</v>
      </c>
      <c r="AH423" s="103">
        <f>IF(Tabla1[[#This Row],[TIPO DE CONSUMIDOR]]="MEDIO",IF(Tabla1[[#This Row],[ABRIL]]&gt;22.5,Tabla1[[#This Row],[ABRIL]]/22.5-1,0),IF(Tabla1[[#This Row],[ABRIL]]&gt;45,Tabla1[[#This Row],[ABRIL]]/45-1,0))</f>
        <v>0</v>
      </c>
      <c r="AI423" s="103">
        <f>IF(Tabla1[[#This Row],[TIPO DE CONSUMIDOR]]="MEDIO",IF(Tabla1[[#This Row],[MAYO ]]&gt;22.5,Tabla1[[#This Row],[MAYO ]]/22.5-1,0),IF(Tabla1[[#This Row],[MAYO ]]&gt;45,Tabla1[[#This Row],[MAYO ]]/45-1,0))</f>
        <v>0</v>
      </c>
      <c r="AJ423" s="103">
        <f>IF(Tabla1[[#This Row],[TIPO DE CONSUMIDOR]]="MEDIO",IF(Tabla1[[#This Row],[JUNIO ]]&gt;22.5,Tabla1[[#This Row],[JUNIO ]]/22.5-1,0),IF(Tabla1[[#This Row],[JUNIO ]]&gt;45,Tabla1[[#This Row],[JUNIO ]]/45-1,0))</f>
        <v>0</v>
      </c>
      <c r="AK423" s="103">
        <f>IF(Tabla1[[#This Row],[TIPO DE CONSUMIDOR]]="MEDIO",IF(Tabla1[[#This Row],[JULIO ]]&gt;22.5,Tabla1[[#This Row],[JULIO ]]/22.5-1,0),IF(Tabla1[[#This Row],[JULIO ]]&gt;45,Tabla1[[#This Row],[JULIO ]]/45-1,0))</f>
        <v>0</v>
      </c>
      <c r="AL423" s="103">
        <f>IF(Tabla1[[#This Row],[TIPO DE CONSUMIDOR]]="MEDIO",IF(Tabla1[[#This Row],[AGOSTO]]&gt;22.5,Tabla1[[#This Row],[AGOSTO]]/22.5-1,0),IF(Tabla1[[#This Row],[AGOSTO]]&gt;45,Tabla1[[#This Row],[AGOSTO]]/45-1,0))</f>
        <v>0</v>
      </c>
      <c r="AM42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3" s="104">
        <f t="shared" si="14"/>
        <v>0</v>
      </c>
      <c r="AR423" s="9">
        <f t="shared" si="13"/>
        <v>1</v>
      </c>
      <c r="AS423" s="60">
        <f>IF(Tabla1[[#This Row],[MESES DE ADEUDO DEL AÑO EN CURSO ]]&gt;0,1,0)</f>
        <v>1</v>
      </c>
      <c r="AT423" s="42"/>
      <c r="AU423" s="42"/>
      <c r="AV423" s="42"/>
      <c r="AW423" s="43"/>
    </row>
    <row r="424" spans="1:49" ht="21.75" thickBot="1" x14ac:dyDescent="0.35">
      <c r="A424" s="109">
        <v>418</v>
      </c>
      <c r="B424" s="5" t="s">
        <v>498</v>
      </c>
      <c r="C424" s="2" t="s">
        <v>493</v>
      </c>
      <c r="D424" s="32"/>
      <c r="E424" s="35" t="s">
        <v>455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0</v>
      </c>
      <c r="O424" s="34">
        <v>0</v>
      </c>
      <c r="P424" s="34">
        <v>0</v>
      </c>
      <c r="Q424" s="34">
        <v>0</v>
      </c>
      <c r="R424" s="24">
        <f>SUM(Tabla1[[#This Row],[ENERO ]:[DICIEMBRE]])</f>
        <v>0</v>
      </c>
      <c r="W424" s="65">
        <v>0</v>
      </c>
      <c r="X424" s="21">
        <f>COUNTIF(Tabla1[[#This Row],[ENERO ]:[DICIEMBRE]],0)-(AQ424)-IF(Tabla1[[#This Row],[BAJAS]]="BAJA",IF(Tabla1[[#This Row],[ALTAS]]="ALTA",VLOOKUP(Tabla1[[#This Row],[MES DE ALTA ]],$AT$6:$AU$17,2,FALSE),12)-VLOOKUP(Tabla1[[#This Row],[MES DE BAJA ]],$AT$6:$AU$17,2,FALSE),0)</f>
        <v>12</v>
      </c>
      <c r="Y424" s="69">
        <f>SUM(Tabla1[[#This Row],[MES ADEUDO DE AÑOS PASADOS ]:[MESES DE ADEUDO DEL AÑO EN CURSO ]])</f>
        <v>12</v>
      </c>
      <c r="Z424" s="15">
        <f>IF(Tabla1[[#This Row],[TIPO DE CONSUMIDOR]]="COMPLETO",W424*$T$2,W424*($T$2/2))</f>
        <v>0</v>
      </c>
      <c r="AA424" s="15">
        <f>IF(Tabla1[[#This Row],[TIPO DE CONSUMIDOR]]="COMPLETO",Tabla1[[#This Row],[MESES DE ADEUDO DEL AÑO EN CURSO ]]*$T$2,Tabla1[[#This Row],[MESES DE ADEUDO DEL AÑO EN CURSO ]]*($T$2/2))</f>
        <v>540</v>
      </c>
      <c r="AB424" s="70">
        <f>SUM(Tabla1[[#This Row],[DEUDA DE LOS MESES PASADOS EN $$]:[DEUDA DEL AÑO 2013 $$ ]])</f>
        <v>540</v>
      </c>
      <c r="AE424" s="103">
        <f>IF(Tabla1[[#This Row],[TIPO DE CONSUMIDOR]]="MEDIO",IF(Tabla1[[#This Row],[ENERO ]]&gt;22.5,Tabla1[[#This Row],[ENERO ]]/22.5-1,0),IF(Tabla1[[#This Row],[ENERO ]]&gt;45,Tabla1[[#This Row],[ENERO ]]/45-1,0))</f>
        <v>0</v>
      </c>
      <c r="AF42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4" s="103">
        <f>IF(Tabla1[[#This Row],[TIPO DE CONSUMIDOR]]="MEDIO",IF(Tabla1[[#This Row],[MARZO]]&gt;22.5,Tabla1[[#This Row],[MARZO]]/22.5-1,0),IF(Tabla1[[#This Row],[MARZO]]&gt;45,Tabla1[[#This Row],[MARZO]]/45-1,0))</f>
        <v>0</v>
      </c>
      <c r="AH424" s="103">
        <f>IF(Tabla1[[#This Row],[TIPO DE CONSUMIDOR]]="MEDIO",IF(Tabla1[[#This Row],[ABRIL]]&gt;22.5,Tabla1[[#This Row],[ABRIL]]/22.5-1,0),IF(Tabla1[[#This Row],[ABRIL]]&gt;45,Tabla1[[#This Row],[ABRIL]]/45-1,0))</f>
        <v>0</v>
      </c>
      <c r="AI424" s="103">
        <f>IF(Tabla1[[#This Row],[TIPO DE CONSUMIDOR]]="MEDIO",IF(Tabla1[[#This Row],[MAYO ]]&gt;22.5,Tabla1[[#This Row],[MAYO ]]/22.5-1,0),IF(Tabla1[[#This Row],[MAYO ]]&gt;45,Tabla1[[#This Row],[MAYO ]]/45-1,0))</f>
        <v>0</v>
      </c>
      <c r="AJ424" s="103">
        <f>IF(Tabla1[[#This Row],[TIPO DE CONSUMIDOR]]="MEDIO",IF(Tabla1[[#This Row],[JUNIO ]]&gt;22.5,Tabla1[[#This Row],[JUNIO ]]/22.5-1,0),IF(Tabla1[[#This Row],[JUNIO ]]&gt;45,Tabla1[[#This Row],[JUNIO ]]/45-1,0))</f>
        <v>0</v>
      </c>
      <c r="AK424" s="103">
        <f>IF(Tabla1[[#This Row],[TIPO DE CONSUMIDOR]]="MEDIO",IF(Tabla1[[#This Row],[JULIO ]]&gt;22.5,Tabla1[[#This Row],[JULIO ]]/22.5-1,0),IF(Tabla1[[#This Row],[JULIO ]]&gt;45,Tabla1[[#This Row],[JULIO ]]/45-1,0))</f>
        <v>0</v>
      </c>
      <c r="AL424" s="103">
        <f>IF(Tabla1[[#This Row],[TIPO DE CONSUMIDOR]]="MEDIO",IF(Tabla1[[#This Row],[AGOSTO]]&gt;22.5,Tabla1[[#This Row],[AGOSTO]]/22.5-1,0),IF(Tabla1[[#This Row],[AGOSTO]]&gt;45,Tabla1[[#This Row],[AGOSTO]]/45-1,0))</f>
        <v>0</v>
      </c>
      <c r="AM42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4" s="104">
        <f t="shared" si="14"/>
        <v>0</v>
      </c>
      <c r="AR424" s="9">
        <f t="shared" si="13"/>
        <v>1</v>
      </c>
      <c r="AS424" s="60">
        <f>IF(Tabla1[[#This Row],[MESES DE ADEUDO DEL AÑO EN CURSO ]]&gt;0,1,0)</f>
        <v>1</v>
      </c>
      <c r="AT424" s="42"/>
      <c r="AU424" s="42"/>
      <c r="AV424" s="42"/>
      <c r="AW424" s="43"/>
    </row>
    <row r="425" spans="1:49" ht="21.75" thickBot="1" x14ac:dyDescent="0.35">
      <c r="A425" s="109">
        <v>419</v>
      </c>
      <c r="B425" s="5" t="s">
        <v>394</v>
      </c>
      <c r="C425" s="2" t="s">
        <v>493</v>
      </c>
      <c r="D425" s="32"/>
      <c r="E425" s="35" t="s">
        <v>455</v>
      </c>
      <c r="F425" s="34">
        <v>0</v>
      </c>
      <c r="G425" s="34">
        <v>0</v>
      </c>
      <c r="H425" s="34">
        <v>0</v>
      </c>
      <c r="I425" s="34">
        <v>0</v>
      </c>
      <c r="J425" s="34">
        <v>0</v>
      </c>
      <c r="K425" s="34">
        <v>0</v>
      </c>
      <c r="L425" s="34">
        <v>0</v>
      </c>
      <c r="M425" s="34">
        <v>0</v>
      </c>
      <c r="N425" s="34">
        <v>0</v>
      </c>
      <c r="O425" s="34">
        <v>0</v>
      </c>
      <c r="P425" s="34">
        <v>0</v>
      </c>
      <c r="Q425" s="34">
        <v>0</v>
      </c>
      <c r="R425" s="24">
        <f>SUM(Tabla1[[#This Row],[ENERO ]:[DICIEMBRE]])</f>
        <v>0</v>
      </c>
      <c r="W425" s="65">
        <v>0</v>
      </c>
      <c r="X425" s="21">
        <f>COUNTIF(Tabla1[[#This Row],[ENERO ]:[DICIEMBRE]],0)-(AQ425)-IF(Tabla1[[#This Row],[BAJAS]]="BAJA",IF(Tabla1[[#This Row],[ALTAS]]="ALTA",VLOOKUP(Tabla1[[#This Row],[MES DE ALTA ]],$AT$6:$AU$17,2,FALSE),12)-VLOOKUP(Tabla1[[#This Row],[MES DE BAJA ]],$AT$6:$AU$17,2,FALSE),0)</f>
        <v>12</v>
      </c>
      <c r="Y425" s="69">
        <f>SUM(Tabla1[[#This Row],[MES ADEUDO DE AÑOS PASADOS ]:[MESES DE ADEUDO DEL AÑO EN CURSO ]])</f>
        <v>12</v>
      </c>
      <c r="Z425" s="15">
        <f>IF(Tabla1[[#This Row],[TIPO DE CONSUMIDOR]]="COMPLETO",W425*$T$2,W425*($T$2/2))</f>
        <v>0</v>
      </c>
      <c r="AA425" s="15">
        <f>IF(Tabla1[[#This Row],[TIPO DE CONSUMIDOR]]="COMPLETO",Tabla1[[#This Row],[MESES DE ADEUDO DEL AÑO EN CURSO ]]*$T$2,Tabla1[[#This Row],[MESES DE ADEUDO DEL AÑO EN CURSO ]]*($T$2/2))</f>
        <v>540</v>
      </c>
      <c r="AB425" s="70">
        <f>SUM(Tabla1[[#This Row],[DEUDA DE LOS MESES PASADOS EN $$]:[DEUDA DEL AÑO 2013 $$ ]])</f>
        <v>540</v>
      </c>
      <c r="AE425" s="103">
        <f>IF(Tabla1[[#This Row],[TIPO DE CONSUMIDOR]]="MEDIO",IF(Tabla1[[#This Row],[ENERO ]]&gt;22.5,Tabla1[[#This Row],[ENERO ]]/22.5-1,0),IF(Tabla1[[#This Row],[ENERO ]]&gt;45,Tabla1[[#This Row],[ENERO ]]/45-1,0))</f>
        <v>0</v>
      </c>
      <c r="AF42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5" s="103">
        <f>IF(Tabla1[[#This Row],[TIPO DE CONSUMIDOR]]="MEDIO",IF(Tabla1[[#This Row],[MARZO]]&gt;22.5,Tabla1[[#This Row],[MARZO]]/22.5-1,0),IF(Tabla1[[#This Row],[MARZO]]&gt;45,Tabla1[[#This Row],[MARZO]]/45-1,0))</f>
        <v>0</v>
      </c>
      <c r="AH425" s="103">
        <f>IF(Tabla1[[#This Row],[TIPO DE CONSUMIDOR]]="MEDIO",IF(Tabla1[[#This Row],[ABRIL]]&gt;22.5,Tabla1[[#This Row],[ABRIL]]/22.5-1,0),IF(Tabla1[[#This Row],[ABRIL]]&gt;45,Tabla1[[#This Row],[ABRIL]]/45-1,0))</f>
        <v>0</v>
      </c>
      <c r="AI425" s="103">
        <f>IF(Tabla1[[#This Row],[TIPO DE CONSUMIDOR]]="MEDIO",IF(Tabla1[[#This Row],[MAYO ]]&gt;22.5,Tabla1[[#This Row],[MAYO ]]/22.5-1,0),IF(Tabla1[[#This Row],[MAYO ]]&gt;45,Tabla1[[#This Row],[MAYO ]]/45-1,0))</f>
        <v>0</v>
      </c>
      <c r="AJ425" s="103">
        <f>IF(Tabla1[[#This Row],[TIPO DE CONSUMIDOR]]="MEDIO",IF(Tabla1[[#This Row],[JUNIO ]]&gt;22.5,Tabla1[[#This Row],[JUNIO ]]/22.5-1,0),IF(Tabla1[[#This Row],[JUNIO ]]&gt;45,Tabla1[[#This Row],[JUNIO ]]/45-1,0))</f>
        <v>0</v>
      </c>
      <c r="AK425" s="103">
        <f>IF(Tabla1[[#This Row],[TIPO DE CONSUMIDOR]]="MEDIO",IF(Tabla1[[#This Row],[JULIO ]]&gt;22.5,Tabla1[[#This Row],[JULIO ]]/22.5-1,0),IF(Tabla1[[#This Row],[JULIO ]]&gt;45,Tabla1[[#This Row],[JULIO ]]/45-1,0))</f>
        <v>0</v>
      </c>
      <c r="AL425" s="103">
        <f>IF(Tabla1[[#This Row],[TIPO DE CONSUMIDOR]]="MEDIO",IF(Tabla1[[#This Row],[AGOSTO]]&gt;22.5,Tabla1[[#This Row],[AGOSTO]]/22.5-1,0),IF(Tabla1[[#This Row],[AGOSTO]]&gt;45,Tabla1[[#This Row],[AGOSTO]]/45-1,0))</f>
        <v>0</v>
      </c>
      <c r="AM42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5" s="104">
        <f t="shared" si="14"/>
        <v>0</v>
      </c>
      <c r="AR425" s="9">
        <f t="shared" si="13"/>
        <v>1</v>
      </c>
      <c r="AS425" s="60">
        <f>IF(Tabla1[[#This Row],[MESES DE ADEUDO DEL AÑO EN CURSO ]]&gt;0,1,0)</f>
        <v>1</v>
      </c>
      <c r="AT425" s="42"/>
      <c r="AU425" s="42"/>
      <c r="AV425" s="42"/>
      <c r="AW425" s="43"/>
    </row>
    <row r="426" spans="1:49" ht="21.75" thickBot="1" x14ac:dyDescent="0.35">
      <c r="A426" s="109">
        <v>420</v>
      </c>
      <c r="B426" s="5" t="s">
        <v>510</v>
      </c>
      <c r="C426" s="2" t="s">
        <v>504</v>
      </c>
      <c r="D426" s="32"/>
      <c r="E426" s="35" t="s">
        <v>455</v>
      </c>
      <c r="F426" s="34">
        <v>0</v>
      </c>
      <c r="G426" s="34">
        <v>0</v>
      </c>
      <c r="H426" s="34">
        <v>0</v>
      </c>
      <c r="I426" s="34">
        <v>0</v>
      </c>
      <c r="J426" s="34">
        <v>0</v>
      </c>
      <c r="K426" s="34">
        <v>0</v>
      </c>
      <c r="L426" s="34">
        <v>0</v>
      </c>
      <c r="M426" s="34">
        <v>0</v>
      </c>
      <c r="N426" s="34">
        <v>0</v>
      </c>
      <c r="O426" s="34">
        <v>0</v>
      </c>
      <c r="P426" s="34">
        <v>0</v>
      </c>
      <c r="Q426" s="34">
        <v>0</v>
      </c>
      <c r="R426" s="24">
        <f>SUM(Tabla1[[#This Row],[ENERO ]:[DICIEMBRE]])</f>
        <v>0</v>
      </c>
      <c r="W426" s="65">
        <v>0</v>
      </c>
      <c r="X426" s="21">
        <f>COUNTIF(Tabla1[[#This Row],[ENERO ]:[DICIEMBRE]],0)-(AQ426)-IF(Tabla1[[#This Row],[BAJAS]]="BAJA",IF(Tabla1[[#This Row],[ALTAS]]="ALTA",VLOOKUP(Tabla1[[#This Row],[MES DE ALTA ]],$AT$6:$AU$17,2,FALSE),12)-VLOOKUP(Tabla1[[#This Row],[MES DE BAJA ]],$AT$6:$AU$17,2,FALSE),0)</f>
        <v>12</v>
      </c>
      <c r="Y426" s="69">
        <f>SUM(Tabla1[[#This Row],[MES ADEUDO DE AÑOS PASADOS ]:[MESES DE ADEUDO DEL AÑO EN CURSO ]])</f>
        <v>12</v>
      </c>
      <c r="Z426" s="15">
        <f>IF(Tabla1[[#This Row],[TIPO DE CONSUMIDOR]]="COMPLETO",W426*$T$2,W426*($T$2/2))</f>
        <v>0</v>
      </c>
      <c r="AA426" s="15">
        <f>IF(Tabla1[[#This Row],[TIPO DE CONSUMIDOR]]="COMPLETO",Tabla1[[#This Row],[MESES DE ADEUDO DEL AÑO EN CURSO ]]*$T$2,Tabla1[[#This Row],[MESES DE ADEUDO DEL AÑO EN CURSO ]]*($T$2/2))</f>
        <v>540</v>
      </c>
      <c r="AB426" s="70">
        <f>SUM(Tabla1[[#This Row],[DEUDA DE LOS MESES PASADOS EN $$]:[DEUDA DEL AÑO 2013 $$ ]])</f>
        <v>540</v>
      </c>
      <c r="AE426" s="103">
        <f>IF(Tabla1[[#This Row],[TIPO DE CONSUMIDOR]]="MEDIO",IF(Tabla1[[#This Row],[ENERO ]]&gt;22.5,Tabla1[[#This Row],[ENERO ]]/22.5-1,0),IF(Tabla1[[#This Row],[ENERO ]]&gt;45,Tabla1[[#This Row],[ENERO ]]/45-1,0))</f>
        <v>0</v>
      </c>
      <c r="AF42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6" s="103">
        <f>IF(Tabla1[[#This Row],[TIPO DE CONSUMIDOR]]="MEDIO",IF(Tabla1[[#This Row],[MARZO]]&gt;22.5,Tabla1[[#This Row],[MARZO]]/22.5-1,0),IF(Tabla1[[#This Row],[MARZO]]&gt;45,Tabla1[[#This Row],[MARZO]]/45-1,0))</f>
        <v>0</v>
      </c>
      <c r="AH426" s="103">
        <f>IF(Tabla1[[#This Row],[TIPO DE CONSUMIDOR]]="MEDIO",IF(Tabla1[[#This Row],[ABRIL]]&gt;22.5,Tabla1[[#This Row],[ABRIL]]/22.5-1,0),IF(Tabla1[[#This Row],[ABRIL]]&gt;45,Tabla1[[#This Row],[ABRIL]]/45-1,0))</f>
        <v>0</v>
      </c>
      <c r="AI426" s="103">
        <f>IF(Tabla1[[#This Row],[TIPO DE CONSUMIDOR]]="MEDIO",IF(Tabla1[[#This Row],[MAYO ]]&gt;22.5,Tabla1[[#This Row],[MAYO ]]/22.5-1,0),IF(Tabla1[[#This Row],[MAYO ]]&gt;45,Tabla1[[#This Row],[MAYO ]]/45-1,0))</f>
        <v>0</v>
      </c>
      <c r="AJ426" s="103">
        <f>IF(Tabla1[[#This Row],[TIPO DE CONSUMIDOR]]="MEDIO",IF(Tabla1[[#This Row],[JUNIO ]]&gt;22.5,Tabla1[[#This Row],[JUNIO ]]/22.5-1,0),IF(Tabla1[[#This Row],[JUNIO ]]&gt;45,Tabla1[[#This Row],[JUNIO ]]/45-1,0))</f>
        <v>0</v>
      </c>
      <c r="AK426" s="103">
        <f>IF(Tabla1[[#This Row],[TIPO DE CONSUMIDOR]]="MEDIO",IF(Tabla1[[#This Row],[JULIO ]]&gt;22.5,Tabla1[[#This Row],[JULIO ]]/22.5-1,0),IF(Tabla1[[#This Row],[JULIO ]]&gt;45,Tabla1[[#This Row],[JULIO ]]/45-1,0))</f>
        <v>0</v>
      </c>
      <c r="AL426" s="103">
        <f>IF(Tabla1[[#This Row],[TIPO DE CONSUMIDOR]]="MEDIO",IF(Tabla1[[#This Row],[AGOSTO]]&gt;22.5,Tabla1[[#This Row],[AGOSTO]]/22.5-1,0),IF(Tabla1[[#This Row],[AGOSTO]]&gt;45,Tabla1[[#This Row],[AGOSTO]]/45-1,0))</f>
        <v>0</v>
      </c>
      <c r="AM42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6" s="104">
        <f t="shared" si="14"/>
        <v>0</v>
      </c>
      <c r="AR426" s="9">
        <f t="shared" si="13"/>
        <v>1</v>
      </c>
      <c r="AS426" s="60">
        <f>IF(Tabla1[[#This Row],[MESES DE ADEUDO DEL AÑO EN CURSO ]]&gt;0,1,0)</f>
        <v>1</v>
      </c>
      <c r="AT426" s="42"/>
      <c r="AU426" s="42"/>
      <c r="AV426" s="42"/>
      <c r="AW426" s="43"/>
    </row>
    <row r="427" spans="1:49" ht="21.75" thickBot="1" x14ac:dyDescent="0.35">
      <c r="A427" s="109">
        <v>421</v>
      </c>
      <c r="B427" s="5" t="s">
        <v>265</v>
      </c>
      <c r="C427" s="2" t="s">
        <v>524</v>
      </c>
      <c r="D427" s="32"/>
      <c r="E427" s="35" t="s">
        <v>455</v>
      </c>
      <c r="F427" s="34">
        <v>0</v>
      </c>
      <c r="G427" s="34">
        <v>0</v>
      </c>
      <c r="H427" s="34">
        <v>0</v>
      </c>
      <c r="I427" s="34">
        <v>0</v>
      </c>
      <c r="J427" s="34">
        <v>0</v>
      </c>
      <c r="K427" s="34">
        <v>0</v>
      </c>
      <c r="L427" s="34">
        <v>0</v>
      </c>
      <c r="M427" s="34">
        <v>0</v>
      </c>
      <c r="N427" s="34">
        <v>0</v>
      </c>
      <c r="O427" s="34">
        <v>0</v>
      </c>
      <c r="P427" s="34">
        <v>0</v>
      </c>
      <c r="Q427" s="34">
        <v>0</v>
      </c>
      <c r="R427" s="24">
        <f>SUM(Tabla1[[#This Row],[ENERO ]:[DICIEMBRE]])</f>
        <v>0</v>
      </c>
      <c r="W427" s="65">
        <v>0</v>
      </c>
      <c r="X427" s="21">
        <f>COUNTIF(Tabla1[[#This Row],[ENERO ]:[DICIEMBRE]],0)-(AQ427)-IF(Tabla1[[#This Row],[BAJAS]]="BAJA",IF(Tabla1[[#This Row],[ALTAS]]="ALTA",VLOOKUP(Tabla1[[#This Row],[MES DE ALTA ]],$AT$6:$AU$17,2,FALSE),12)-VLOOKUP(Tabla1[[#This Row],[MES DE BAJA ]],$AT$6:$AU$17,2,FALSE),0)</f>
        <v>12</v>
      </c>
      <c r="Y427" s="69">
        <f>SUM(Tabla1[[#This Row],[MES ADEUDO DE AÑOS PASADOS ]:[MESES DE ADEUDO DEL AÑO EN CURSO ]])</f>
        <v>12</v>
      </c>
      <c r="Z427" s="15">
        <f>IF(Tabla1[[#This Row],[TIPO DE CONSUMIDOR]]="COMPLETO",W427*$T$2,W427*($T$2/2))</f>
        <v>0</v>
      </c>
      <c r="AA427" s="15">
        <f>IF(Tabla1[[#This Row],[TIPO DE CONSUMIDOR]]="COMPLETO",Tabla1[[#This Row],[MESES DE ADEUDO DEL AÑO EN CURSO ]]*$T$2,Tabla1[[#This Row],[MESES DE ADEUDO DEL AÑO EN CURSO ]]*($T$2/2))</f>
        <v>540</v>
      </c>
      <c r="AB427" s="70">
        <f>SUM(Tabla1[[#This Row],[DEUDA DE LOS MESES PASADOS EN $$]:[DEUDA DEL AÑO 2013 $$ ]])</f>
        <v>540</v>
      </c>
      <c r="AE427" s="103">
        <f>IF(Tabla1[[#This Row],[TIPO DE CONSUMIDOR]]="MEDIO",IF(Tabla1[[#This Row],[ENERO ]]&gt;22.5,Tabla1[[#This Row],[ENERO ]]/22.5-1,0),IF(Tabla1[[#This Row],[ENERO ]]&gt;45,Tabla1[[#This Row],[ENERO ]]/45-1,0))</f>
        <v>0</v>
      </c>
      <c r="AF42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7" s="103">
        <f>IF(Tabla1[[#This Row],[TIPO DE CONSUMIDOR]]="MEDIO",IF(Tabla1[[#This Row],[MARZO]]&gt;22.5,Tabla1[[#This Row],[MARZO]]/22.5-1,0),IF(Tabla1[[#This Row],[MARZO]]&gt;45,Tabla1[[#This Row],[MARZO]]/45-1,0))</f>
        <v>0</v>
      </c>
      <c r="AH427" s="103">
        <f>IF(Tabla1[[#This Row],[TIPO DE CONSUMIDOR]]="MEDIO",IF(Tabla1[[#This Row],[ABRIL]]&gt;22.5,Tabla1[[#This Row],[ABRIL]]/22.5-1,0),IF(Tabla1[[#This Row],[ABRIL]]&gt;45,Tabla1[[#This Row],[ABRIL]]/45-1,0))</f>
        <v>0</v>
      </c>
      <c r="AI427" s="103">
        <f>IF(Tabla1[[#This Row],[TIPO DE CONSUMIDOR]]="MEDIO",IF(Tabla1[[#This Row],[MAYO ]]&gt;22.5,Tabla1[[#This Row],[MAYO ]]/22.5-1,0),IF(Tabla1[[#This Row],[MAYO ]]&gt;45,Tabla1[[#This Row],[MAYO ]]/45-1,0))</f>
        <v>0</v>
      </c>
      <c r="AJ427" s="103">
        <f>IF(Tabla1[[#This Row],[TIPO DE CONSUMIDOR]]="MEDIO",IF(Tabla1[[#This Row],[JUNIO ]]&gt;22.5,Tabla1[[#This Row],[JUNIO ]]/22.5-1,0),IF(Tabla1[[#This Row],[JUNIO ]]&gt;45,Tabla1[[#This Row],[JUNIO ]]/45-1,0))</f>
        <v>0</v>
      </c>
      <c r="AK427" s="103">
        <f>IF(Tabla1[[#This Row],[TIPO DE CONSUMIDOR]]="MEDIO",IF(Tabla1[[#This Row],[JULIO ]]&gt;22.5,Tabla1[[#This Row],[JULIO ]]/22.5-1,0),IF(Tabla1[[#This Row],[JULIO ]]&gt;45,Tabla1[[#This Row],[JULIO ]]/45-1,0))</f>
        <v>0</v>
      </c>
      <c r="AL427" s="103">
        <f>IF(Tabla1[[#This Row],[TIPO DE CONSUMIDOR]]="MEDIO",IF(Tabla1[[#This Row],[AGOSTO]]&gt;22.5,Tabla1[[#This Row],[AGOSTO]]/22.5-1,0),IF(Tabla1[[#This Row],[AGOSTO]]&gt;45,Tabla1[[#This Row],[AGOSTO]]/45-1,0))</f>
        <v>0</v>
      </c>
      <c r="AM42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7" s="104">
        <f t="shared" si="14"/>
        <v>0</v>
      </c>
      <c r="AR427" s="9">
        <f t="shared" si="13"/>
        <v>1</v>
      </c>
      <c r="AS427" s="60">
        <f>IF(Tabla1[[#This Row],[MESES DE ADEUDO DEL AÑO EN CURSO ]]&gt;0,1,0)</f>
        <v>1</v>
      </c>
      <c r="AT427" s="42"/>
      <c r="AU427" s="42"/>
      <c r="AV427" s="42"/>
      <c r="AW427" s="43"/>
    </row>
    <row r="428" spans="1:49" ht="21.75" thickBot="1" x14ac:dyDescent="0.35">
      <c r="A428" s="109">
        <v>422</v>
      </c>
      <c r="B428" s="5" t="s">
        <v>62</v>
      </c>
      <c r="C428" s="2" t="s">
        <v>530</v>
      </c>
      <c r="D428" s="32"/>
      <c r="E428" s="35" t="s">
        <v>455</v>
      </c>
      <c r="F428" s="34">
        <v>0</v>
      </c>
      <c r="G428" s="34">
        <v>0</v>
      </c>
      <c r="H428" s="34">
        <v>0</v>
      </c>
      <c r="I428" s="34">
        <v>0</v>
      </c>
      <c r="J428" s="34">
        <v>0</v>
      </c>
      <c r="K428" s="34">
        <v>0</v>
      </c>
      <c r="L428" s="34">
        <v>0</v>
      </c>
      <c r="M428" s="34">
        <v>0</v>
      </c>
      <c r="N428" s="34">
        <v>0</v>
      </c>
      <c r="O428" s="34">
        <v>0</v>
      </c>
      <c r="P428" s="34">
        <v>0</v>
      </c>
      <c r="Q428" s="34">
        <v>0</v>
      </c>
      <c r="R428" s="24">
        <f>SUM(Tabla1[[#This Row],[ENERO ]:[DICIEMBRE]])</f>
        <v>0</v>
      </c>
      <c r="W428" s="65">
        <v>0</v>
      </c>
      <c r="X428" s="21">
        <f>COUNTIF(Tabla1[[#This Row],[ENERO ]:[DICIEMBRE]],0)-(AQ428)-IF(Tabla1[[#This Row],[BAJAS]]="BAJA",IF(Tabla1[[#This Row],[ALTAS]]="ALTA",VLOOKUP(Tabla1[[#This Row],[MES DE ALTA ]],$AT$6:$AU$17,2,FALSE),12)-VLOOKUP(Tabla1[[#This Row],[MES DE BAJA ]],$AT$6:$AU$17,2,FALSE),0)</f>
        <v>12</v>
      </c>
      <c r="Y428" s="69">
        <f>SUM(Tabla1[[#This Row],[MES ADEUDO DE AÑOS PASADOS ]:[MESES DE ADEUDO DEL AÑO EN CURSO ]])</f>
        <v>12</v>
      </c>
      <c r="Z428" s="15">
        <f>IF(Tabla1[[#This Row],[TIPO DE CONSUMIDOR]]="COMPLETO",W428*$T$2,W428*($T$2/2))</f>
        <v>0</v>
      </c>
      <c r="AA428" s="15">
        <f>IF(Tabla1[[#This Row],[TIPO DE CONSUMIDOR]]="COMPLETO",Tabla1[[#This Row],[MESES DE ADEUDO DEL AÑO EN CURSO ]]*$T$2,Tabla1[[#This Row],[MESES DE ADEUDO DEL AÑO EN CURSO ]]*($T$2/2))</f>
        <v>540</v>
      </c>
      <c r="AB428" s="70">
        <f>SUM(Tabla1[[#This Row],[DEUDA DE LOS MESES PASADOS EN $$]:[DEUDA DEL AÑO 2013 $$ ]])</f>
        <v>540</v>
      </c>
      <c r="AE428" s="103">
        <f>IF(Tabla1[[#This Row],[TIPO DE CONSUMIDOR]]="MEDIO",IF(Tabla1[[#This Row],[ENERO ]]&gt;22.5,Tabla1[[#This Row],[ENERO ]]/22.5-1,0),IF(Tabla1[[#This Row],[ENERO ]]&gt;45,Tabla1[[#This Row],[ENERO ]]/45-1,0))</f>
        <v>0</v>
      </c>
      <c r="AF42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8" s="103">
        <f>IF(Tabla1[[#This Row],[TIPO DE CONSUMIDOR]]="MEDIO",IF(Tabla1[[#This Row],[MARZO]]&gt;22.5,Tabla1[[#This Row],[MARZO]]/22.5-1,0),IF(Tabla1[[#This Row],[MARZO]]&gt;45,Tabla1[[#This Row],[MARZO]]/45-1,0))</f>
        <v>0</v>
      </c>
      <c r="AH428" s="103">
        <f>IF(Tabla1[[#This Row],[TIPO DE CONSUMIDOR]]="MEDIO",IF(Tabla1[[#This Row],[ABRIL]]&gt;22.5,Tabla1[[#This Row],[ABRIL]]/22.5-1,0),IF(Tabla1[[#This Row],[ABRIL]]&gt;45,Tabla1[[#This Row],[ABRIL]]/45-1,0))</f>
        <v>0</v>
      </c>
      <c r="AI428" s="103">
        <f>IF(Tabla1[[#This Row],[TIPO DE CONSUMIDOR]]="MEDIO",IF(Tabla1[[#This Row],[MAYO ]]&gt;22.5,Tabla1[[#This Row],[MAYO ]]/22.5-1,0),IF(Tabla1[[#This Row],[MAYO ]]&gt;45,Tabla1[[#This Row],[MAYO ]]/45-1,0))</f>
        <v>0</v>
      </c>
      <c r="AJ428" s="103">
        <f>IF(Tabla1[[#This Row],[TIPO DE CONSUMIDOR]]="MEDIO",IF(Tabla1[[#This Row],[JUNIO ]]&gt;22.5,Tabla1[[#This Row],[JUNIO ]]/22.5-1,0),IF(Tabla1[[#This Row],[JUNIO ]]&gt;45,Tabla1[[#This Row],[JUNIO ]]/45-1,0))</f>
        <v>0</v>
      </c>
      <c r="AK428" s="103">
        <f>IF(Tabla1[[#This Row],[TIPO DE CONSUMIDOR]]="MEDIO",IF(Tabla1[[#This Row],[JULIO ]]&gt;22.5,Tabla1[[#This Row],[JULIO ]]/22.5-1,0),IF(Tabla1[[#This Row],[JULIO ]]&gt;45,Tabla1[[#This Row],[JULIO ]]/45-1,0))</f>
        <v>0</v>
      </c>
      <c r="AL428" s="103">
        <f>IF(Tabla1[[#This Row],[TIPO DE CONSUMIDOR]]="MEDIO",IF(Tabla1[[#This Row],[AGOSTO]]&gt;22.5,Tabla1[[#This Row],[AGOSTO]]/22.5-1,0),IF(Tabla1[[#This Row],[AGOSTO]]&gt;45,Tabla1[[#This Row],[AGOSTO]]/45-1,0))</f>
        <v>0</v>
      </c>
      <c r="AM42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8" s="104">
        <f t="shared" si="14"/>
        <v>0</v>
      </c>
      <c r="AR428" s="9">
        <f t="shared" si="13"/>
        <v>1</v>
      </c>
      <c r="AS428" s="60">
        <f>IF(Tabla1[[#This Row],[MESES DE ADEUDO DEL AÑO EN CURSO ]]&gt;0,1,0)</f>
        <v>1</v>
      </c>
      <c r="AT428" s="42"/>
      <c r="AU428" s="42"/>
      <c r="AV428" s="42"/>
      <c r="AW428" s="43"/>
    </row>
    <row r="429" spans="1:49" ht="21.75" thickBot="1" x14ac:dyDescent="0.35">
      <c r="A429" s="109">
        <v>423</v>
      </c>
      <c r="B429" s="5" t="s">
        <v>158</v>
      </c>
      <c r="C429" s="2" t="s">
        <v>530</v>
      </c>
      <c r="D429" s="32"/>
      <c r="E429" s="35" t="s">
        <v>455</v>
      </c>
      <c r="F429" s="34">
        <v>0</v>
      </c>
      <c r="G429" s="34">
        <v>0</v>
      </c>
      <c r="H429" s="34">
        <v>0</v>
      </c>
      <c r="I429" s="34">
        <v>0</v>
      </c>
      <c r="J429" s="34">
        <v>0</v>
      </c>
      <c r="K429" s="34">
        <v>0</v>
      </c>
      <c r="L429" s="34">
        <v>0</v>
      </c>
      <c r="M429" s="34">
        <v>0</v>
      </c>
      <c r="N429" s="34">
        <v>0</v>
      </c>
      <c r="O429" s="34">
        <v>0</v>
      </c>
      <c r="P429" s="34">
        <v>0</v>
      </c>
      <c r="Q429" s="34">
        <v>0</v>
      </c>
      <c r="R429" s="24">
        <f>SUM(Tabla1[[#This Row],[ENERO ]:[DICIEMBRE]])</f>
        <v>0</v>
      </c>
      <c r="W429" s="65">
        <v>0</v>
      </c>
      <c r="X429" s="21">
        <f>COUNTIF(Tabla1[[#This Row],[ENERO ]:[DICIEMBRE]],0)-(AQ429)-IF(Tabla1[[#This Row],[BAJAS]]="BAJA",IF(Tabla1[[#This Row],[ALTAS]]="ALTA",VLOOKUP(Tabla1[[#This Row],[MES DE ALTA ]],$AT$6:$AU$17,2,FALSE),12)-VLOOKUP(Tabla1[[#This Row],[MES DE BAJA ]],$AT$6:$AU$17,2,FALSE),0)</f>
        <v>12</v>
      </c>
      <c r="Y429" s="69">
        <f>SUM(Tabla1[[#This Row],[MES ADEUDO DE AÑOS PASADOS ]:[MESES DE ADEUDO DEL AÑO EN CURSO ]])</f>
        <v>12</v>
      </c>
      <c r="Z429" s="15">
        <f>IF(Tabla1[[#This Row],[TIPO DE CONSUMIDOR]]="COMPLETO",W429*$T$2,W429*($T$2/2))</f>
        <v>0</v>
      </c>
      <c r="AA429" s="15">
        <f>IF(Tabla1[[#This Row],[TIPO DE CONSUMIDOR]]="COMPLETO",Tabla1[[#This Row],[MESES DE ADEUDO DEL AÑO EN CURSO ]]*$T$2,Tabla1[[#This Row],[MESES DE ADEUDO DEL AÑO EN CURSO ]]*($T$2/2))</f>
        <v>540</v>
      </c>
      <c r="AB429" s="70">
        <f>SUM(Tabla1[[#This Row],[DEUDA DE LOS MESES PASADOS EN $$]:[DEUDA DEL AÑO 2013 $$ ]])</f>
        <v>540</v>
      </c>
      <c r="AE429" s="103">
        <f>IF(Tabla1[[#This Row],[TIPO DE CONSUMIDOR]]="MEDIO",IF(Tabla1[[#This Row],[ENERO ]]&gt;22.5,Tabla1[[#This Row],[ENERO ]]/22.5-1,0),IF(Tabla1[[#This Row],[ENERO ]]&gt;45,Tabla1[[#This Row],[ENERO ]]/45-1,0))</f>
        <v>0</v>
      </c>
      <c r="AF42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29" s="103">
        <f>IF(Tabla1[[#This Row],[TIPO DE CONSUMIDOR]]="MEDIO",IF(Tabla1[[#This Row],[MARZO]]&gt;22.5,Tabla1[[#This Row],[MARZO]]/22.5-1,0),IF(Tabla1[[#This Row],[MARZO]]&gt;45,Tabla1[[#This Row],[MARZO]]/45-1,0))</f>
        <v>0</v>
      </c>
      <c r="AH429" s="103">
        <f>IF(Tabla1[[#This Row],[TIPO DE CONSUMIDOR]]="MEDIO",IF(Tabla1[[#This Row],[ABRIL]]&gt;22.5,Tabla1[[#This Row],[ABRIL]]/22.5-1,0),IF(Tabla1[[#This Row],[ABRIL]]&gt;45,Tabla1[[#This Row],[ABRIL]]/45-1,0))</f>
        <v>0</v>
      </c>
      <c r="AI429" s="103">
        <f>IF(Tabla1[[#This Row],[TIPO DE CONSUMIDOR]]="MEDIO",IF(Tabla1[[#This Row],[MAYO ]]&gt;22.5,Tabla1[[#This Row],[MAYO ]]/22.5-1,0),IF(Tabla1[[#This Row],[MAYO ]]&gt;45,Tabla1[[#This Row],[MAYO ]]/45-1,0))</f>
        <v>0</v>
      </c>
      <c r="AJ429" s="103">
        <f>IF(Tabla1[[#This Row],[TIPO DE CONSUMIDOR]]="MEDIO",IF(Tabla1[[#This Row],[JUNIO ]]&gt;22.5,Tabla1[[#This Row],[JUNIO ]]/22.5-1,0),IF(Tabla1[[#This Row],[JUNIO ]]&gt;45,Tabla1[[#This Row],[JUNIO ]]/45-1,0))</f>
        <v>0</v>
      </c>
      <c r="AK429" s="103">
        <f>IF(Tabla1[[#This Row],[TIPO DE CONSUMIDOR]]="MEDIO",IF(Tabla1[[#This Row],[JULIO ]]&gt;22.5,Tabla1[[#This Row],[JULIO ]]/22.5-1,0),IF(Tabla1[[#This Row],[JULIO ]]&gt;45,Tabla1[[#This Row],[JULIO ]]/45-1,0))</f>
        <v>0</v>
      </c>
      <c r="AL429" s="103">
        <f>IF(Tabla1[[#This Row],[TIPO DE CONSUMIDOR]]="MEDIO",IF(Tabla1[[#This Row],[AGOSTO]]&gt;22.5,Tabla1[[#This Row],[AGOSTO]]/22.5-1,0),IF(Tabla1[[#This Row],[AGOSTO]]&gt;45,Tabla1[[#This Row],[AGOSTO]]/45-1,0))</f>
        <v>0</v>
      </c>
      <c r="AM42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2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2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2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29" s="104">
        <f t="shared" si="14"/>
        <v>0</v>
      </c>
      <c r="AR429" s="9">
        <f t="shared" si="13"/>
        <v>1</v>
      </c>
      <c r="AS429" s="60">
        <f>IF(Tabla1[[#This Row],[MESES DE ADEUDO DEL AÑO EN CURSO ]]&gt;0,1,0)</f>
        <v>1</v>
      </c>
      <c r="AT429" s="42"/>
      <c r="AU429" s="42"/>
      <c r="AV429" s="42"/>
      <c r="AW429" s="43"/>
    </row>
    <row r="430" spans="1:49" ht="21.75" thickBot="1" x14ac:dyDescent="0.35">
      <c r="A430" s="109">
        <v>424</v>
      </c>
      <c r="B430" s="5" t="s">
        <v>312</v>
      </c>
      <c r="C430" s="2" t="s">
        <v>530</v>
      </c>
      <c r="D430" s="32"/>
      <c r="E430" s="35" t="s">
        <v>455</v>
      </c>
      <c r="F430" s="34">
        <v>0</v>
      </c>
      <c r="G430" s="34">
        <v>0</v>
      </c>
      <c r="H430" s="34">
        <v>0</v>
      </c>
      <c r="I430" s="34">
        <v>0</v>
      </c>
      <c r="J430" s="34">
        <v>0</v>
      </c>
      <c r="K430" s="34">
        <v>0</v>
      </c>
      <c r="L430" s="34">
        <v>0</v>
      </c>
      <c r="M430" s="34">
        <v>0</v>
      </c>
      <c r="N430" s="34">
        <v>0</v>
      </c>
      <c r="O430" s="34">
        <v>0</v>
      </c>
      <c r="P430" s="34">
        <v>0</v>
      </c>
      <c r="Q430" s="34">
        <v>0</v>
      </c>
      <c r="R430" s="58">
        <f>SUM(Tabla1[[#This Row],[ENERO ]:[DICIEMBRE]])</f>
        <v>0</v>
      </c>
      <c r="W430" s="65">
        <v>0</v>
      </c>
      <c r="X430" s="21">
        <f>COUNTIF(Tabla1[[#This Row],[ENERO ]:[DICIEMBRE]],0)-(AQ430)-IF(Tabla1[[#This Row],[BAJAS]]="BAJA",IF(Tabla1[[#This Row],[ALTAS]]="ALTA",VLOOKUP(Tabla1[[#This Row],[MES DE ALTA ]],$AT$6:$AU$17,2,FALSE),12)-VLOOKUP(Tabla1[[#This Row],[MES DE BAJA ]],$AT$6:$AU$17,2,FALSE),0)</f>
        <v>12</v>
      </c>
      <c r="Y430" s="69">
        <f>SUM(Tabla1[[#This Row],[MES ADEUDO DE AÑOS PASADOS ]:[MESES DE ADEUDO DEL AÑO EN CURSO ]])</f>
        <v>12</v>
      </c>
      <c r="Z430" s="15">
        <f>IF(Tabla1[[#This Row],[TIPO DE CONSUMIDOR]]="COMPLETO",W430*$T$2,W430*($T$2/2))</f>
        <v>0</v>
      </c>
      <c r="AA430" s="15">
        <f>IF(Tabla1[[#This Row],[TIPO DE CONSUMIDOR]]="COMPLETO",Tabla1[[#This Row],[MESES DE ADEUDO DEL AÑO EN CURSO ]]*$T$2,Tabla1[[#This Row],[MESES DE ADEUDO DEL AÑO EN CURSO ]]*($T$2/2))</f>
        <v>540</v>
      </c>
      <c r="AB430" s="70">
        <f>SUM(Tabla1[[#This Row],[DEUDA DE LOS MESES PASADOS EN $$]:[DEUDA DEL AÑO 2013 $$ ]])</f>
        <v>540</v>
      </c>
      <c r="AE430" s="103">
        <f>IF(Tabla1[[#This Row],[TIPO DE CONSUMIDOR]]="MEDIO",IF(Tabla1[[#This Row],[ENERO ]]&gt;22.5,Tabla1[[#This Row],[ENERO ]]/22.5-1,0),IF(Tabla1[[#This Row],[ENERO ]]&gt;45,Tabla1[[#This Row],[ENERO ]]/45-1,0))</f>
        <v>0</v>
      </c>
      <c r="AF43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0" s="103">
        <f>IF(Tabla1[[#This Row],[TIPO DE CONSUMIDOR]]="MEDIO",IF(Tabla1[[#This Row],[MARZO]]&gt;22.5,Tabla1[[#This Row],[MARZO]]/22.5-1,0),IF(Tabla1[[#This Row],[MARZO]]&gt;45,Tabla1[[#This Row],[MARZO]]/45-1,0))</f>
        <v>0</v>
      </c>
      <c r="AH430" s="103">
        <f>IF(Tabla1[[#This Row],[TIPO DE CONSUMIDOR]]="MEDIO",IF(Tabla1[[#This Row],[ABRIL]]&gt;22.5,Tabla1[[#This Row],[ABRIL]]/22.5-1,0),IF(Tabla1[[#This Row],[ABRIL]]&gt;45,Tabla1[[#This Row],[ABRIL]]/45-1,0))</f>
        <v>0</v>
      </c>
      <c r="AI430" s="103">
        <f>IF(Tabla1[[#This Row],[TIPO DE CONSUMIDOR]]="MEDIO",IF(Tabla1[[#This Row],[MAYO ]]&gt;22.5,Tabla1[[#This Row],[MAYO ]]/22.5-1,0),IF(Tabla1[[#This Row],[MAYO ]]&gt;45,Tabla1[[#This Row],[MAYO ]]/45-1,0))</f>
        <v>0</v>
      </c>
      <c r="AJ430" s="103">
        <f>IF(Tabla1[[#This Row],[TIPO DE CONSUMIDOR]]="MEDIO",IF(Tabla1[[#This Row],[JUNIO ]]&gt;22.5,Tabla1[[#This Row],[JUNIO ]]/22.5-1,0),IF(Tabla1[[#This Row],[JUNIO ]]&gt;45,Tabla1[[#This Row],[JUNIO ]]/45-1,0))</f>
        <v>0</v>
      </c>
      <c r="AK430" s="103">
        <f>IF(Tabla1[[#This Row],[TIPO DE CONSUMIDOR]]="MEDIO",IF(Tabla1[[#This Row],[JULIO ]]&gt;22.5,Tabla1[[#This Row],[JULIO ]]/22.5-1,0),IF(Tabla1[[#This Row],[JULIO ]]&gt;45,Tabla1[[#This Row],[JULIO ]]/45-1,0))</f>
        <v>0</v>
      </c>
      <c r="AL430" s="103">
        <f>IF(Tabla1[[#This Row],[TIPO DE CONSUMIDOR]]="MEDIO",IF(Tabla1[[#This Row],[AGOSTO]]&gt;22.5,Tabla1[[#This Row],[AGOSTO]]/22.5-1,0),IF(Tabla1[[#This Row],[AGOSTO]]&gt;45,Tabla1[[#This Row],[AGOSTO]]/45-1,0))</f>
        <v>0</v>
      </c>
      <c r="AM43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0" s="104">
        <f t="shared" si="14"/>
        <v>0</v>
      </c>
      <c r="AR430" s="9">
        <f t="shared" si="13"/>
        <v>1</v>
      </c>
      <c r="AS430" s="60">
        <f>IF(Tabla1[[#This Row],[MESES DE ADEUDO DEL AÑO EN CURSO ]]&gt;0,1,0)</f>
        <v>1</v>
      </c>
      <c r="AT430" s="42"/>
      <c r="AU430" s="42"/>
      <c r="AV430" s="42"/>
      <c r="AW430" s="43"/>
    </row>
    <row r="431" spans="1:49" ht="21.75" thickBot="1" x14ac:dyDescent="0.35">
      <c r="A431" s="109">
        <v>425</v>
      </c>
      <c r="B431" s="5" t="s">
        <v>421</v>
      </c>
      <c r="C431" s="2" t="s">
        <v>530</v>
      </c>
      <c r="D431" s="32"/>
      <c r="E431" s="35" t="s">
        <v>455</v>
      </c>
      <c r="F431" s="34">
        <v>0</v>
      </c>
      <c r="G431" s="34">
        <v>0</v>
      </c>
      <c r="H431" s="34">
        <v>0</v>
      </c>
      <c r="I431" s="34">
        <v>0</v>
      </c>
      <c r="J431" s="34">
        <v>0</v>
      </c>
      <c r="K431" s="34">
        <v>0</v>
      </c>
      <c r="L431" s="34">
        <v>0</v>
      </c>
      <c r="M431" s="34">
        <v>0</v>
      </c>
      <c r="N431" s="34">
        <v>0</v>
      </c>
      <c r="O431" s="34">
        <v>0</v>
      </c>
      <c r="P431" s="34">
        <v>0</v>
      </c>
      <c r="Q431" s="34">
        <v>0</v>
      </c>
      <c r="R431" s="24">
        <f>SUM(Tabla1[[#This Row],[ENERO ]:[DICIEMBRE]])</f>
        <v>0</v>
      </c>
      <c r="W431" s="65">
        <v>0</v>
      </c>
      <c r="X431" s="21">
        <f>COUNTIF(Tabla1[[#This Row],[ENERO ]:[DICIEMBRE]],0)-(AQ431)-IF(Tabla1[[#This Row],[BAJAS]]="BAJA",IF(Tabla1[[#This Row],[ALTAS]]="ALTA",VLOOKUP(Tabla1[[#This Row],[MES DE ALTA ]],$AT$6:$AU$17,2,FALSE),12)-VLOOKUP(Tabla1[[#This Row],[MES DE BAJA ]],$AT$6:$AU$17,2,FALSE),0)</f>
        <v>12</v>
      </c>
      <c r="Y431" s="69">
        <f>SUM(Tabla1[[#This Row],[MES ADEUDO DE AÑOS PASADOS ]:[MESES DE ADEUDO DEL AÑO EN CURSO ]])</f>
        <v>12</v>
      </c>
      <c r="Z431" s="15">
        <f>IF(Tabla1[[#This Row],[TIPO DE CONSUMIDOR]]="COMPLETO",W431*$T$2,W431*($T$2/2))</f>
        <v>0</v>
      </c>
      <c r="AA431" s="15">
        <f>IF(Tabla1[[#This Row],[TIPO DE CONSUMIDOR]]="COMPLETO",Tabla1[[#This Row],[MESES DE ADEUDO DEL AÑO EN CURSO ]]*$T$2,Tabla1[[#This Row],[MESES DE ADEUDO DEL AÑO EN CURSO ]]*($T$2/2))</f>
        <v>540</v>
      </c>
      <c r="AB431" s="70">
        <f>SUM(Tabla1[[#This Row],[DEUDA DE LOS MESES PASADOS EN $$]:[DEUDA DEL AÑO 2013 $$ ]])</f>
        <v>540</v>
      </c>
      <c r="AE431" s="103">
        <f>IF(Tabla1[[#This Row],[TIPO DE CONSUMIDOR]]="MEDIO",IF(Tabla1[[#This Row],[ENERO ]]&gt;22.5,Tabla1[[#This Row],[ENERO ]]/22.5-1,0),IF(Tabla1[[#This Row],[ENERO ]]&gt;45,Tabla1[[#This Row],[ENERO ]]/45-1,0))</f>
        <v>0</v>
      </c>
      <c r="AF43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1" s="103">
        <f>IF(Tabla1[[#This Row],[TIPO DE CONSUMIDOR]]="MEDIO",IF(Tabla1[[#This Row],[MARZO]]&gt;22.5,Tabla1[[#This Row],[MARZO]]/22.5-1,0),IF(Tabla1[[#This Row],[MARZO]]&gt;45,Tabla1[[#This Row],[MARZO]]/45-1,0))</f>
        <v>0</v>
      </c>
      <c r="AH431" s="103">
        <f>IF(Tabla1[[#This Row],[TIPO DE CONSUMIDOR]]="MEDIO",IF(Tabla1[[#This Row],[ABRIL]]&gt;22.5,Tabla1[[#This Row],[ABRIL]]/22.5-1,0),IF(Tabla1[[#This Row],[ABRIL]]&gt;45,Tabla1[[#This Row],[ABRIL]]/45-1,0))</f>
        <v>0</v>
      </c>
      <c r="AI431" s="103">
        <f>IF(Tabla1[[#This Row],[TIPO DE CONSUMIDOR]]="MEDIO",IF(Tabla1[[#This Row],[MAYO ]]&gt;22.5,Tabla1[[#This Row],[MAYO ]]/22.5-1,0),IF(Tabla1[[#This Row],[MAYO ]]&gt;45,Tabla1[[#This Row],[MAYO ]]/45-1,0))</f>
        <v>0</v>
      </c>
      <c r="AJ431" s="103">
        <f>IF(Tabla1[[#This Row],[TIPO DE CONSUMIDOR]]="MEDIO",IF(Tabla1[[#This Row],[JUNIO ]]&gt;22.5,Tabla1[[#This Row],[JUNIO ]]/22.5-1,0),IF(Tabla1[[#This Row],[JUNIO ]]&gt;45,Tabla1[[#This Row],[JUNIO ]]/45-1,0))</f>
        <v>0</v>
      </c>
      <c r="AK431" s="103">
        <f>IF(Tabla1[[#This Row],[TIPO DE CONSUMIDOR]]="MEDIO",IF(Tabla1[[#This Row],[JULIO ]]&gt;22.5,Tabla1[[#This Row],[JULIO ]]/22.5-1,0),IF(Tabla1[[#This Row],[JULIO ]]&gt;45,Tabla1[[#This Row],[JULIO ]]/45-1,0))</f>
        <v>0</v>
      </c>
      <c r="AL431" s="103">
        <f>IF(Tabla1[[#This Row],[TIPO DE CONSUMIDOR]]="MEDIO",IF(Tabla1[[#This Row],[AGOSTO]]&gt;22.5,Tabla1[[#This Row],[AGOSTO]]/22.5-1,0),IF(Tabla1[[#This Row],[AGOSTO]]&gt;45,Tabla1[[#This Row],[AGOSTO]]/45-1,0))</f>
        <v>0</v>
      </c>
      <c r="AM43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1" s="104">
        <f t="shared" si="14"/>
        <v>0</v>
      </c>
      <c r="AR431" s="9">
        <f t="shared" si="13"/>
        <v>1</v>
      </c>
      <c r="AS431" s="60">
        <f>IF(Tabla1[[#This Row],[MESES DE ADEUDO DEL AÑO EN CURSO ]]&gt;0,1,0)</f>
        <v>1</v>
      </c>
      <c r="AT431" s="42"/>
      <c r="AU431" s="42"/>
      <c r="AV431" s="42"/>
      <c r="AW431" s="43"/>
    </row>
    <row r="432" spans="1:49" ht="21.75" thickBot="1" x14ac:dyDescent="0.35">
      <c r="A432" s="109">
        <v>426</v>
      </c>
      <c r="B432" s="5" t="s">
        <v>149</v>
      </c>
      <c r="C432" s="2" t="s">
        <v>549</v>
      </c>
      <c r="D432" s="46"/>
      <c r="E432" s="36" t="s">
        <v>455</v>
      </c>
      <c r="F432" s="34">
        <v>0</v>
      </c>
      <c r="G432" s="34">
        <v>0</v>
      </c>
      <c r="H432" s="34">
        <v>0</v>
      </c>
      <c r="I432" s="34">
        <v>0</v>
      </c>
      <c r="J432" s="34">
        <v>0</v>
      </c>
      <c r="K432" s="34">
        <v>0</v>
      </c>
      <c r="L432" s="34">
        <v>0</v>
      </c>
      <c r="M432" s="34">
        <v>0</v>
      </c>
      <c r="N432" s="34">
        <v>0</v>
      </c>
      <c r="O432" s="34">
        <v>0</v>
      </c>
      <c r="P432" s="34">
        <v>0</v>
      </c>
      <c r="Q432" s="34">
        <v>0</v>
      </c>
      <c r="R432" s="24">
        <f>SUM(Tabla1[[#This Row],[ENERO ]:[DICIEMBRE]])</f>
        <v>0</v>
      </c>
      <c r="W432" s="65">
        <v>0</v>
      </c>
      <c r="X432" s="21">
        <f>COUNTIF(Tabla1[[#This Row],[ENERO ]:[DICIEMBRE]],0)-(AQ432)-IF(Tabla1[[#This Row],[BAJAS]]="BAJA",IF(Tabla1[[#This Row],[ALTAS]]="ALTA",VLOOKUP(Tabla1[[#This Row],[MES DE ALTA ]],$AT$6:$AU$17,2,FALSE),12)-VLOOKUP(Tabla1[[#This Row],[MES DE BAJA ]],$AT$6:$AU$17,2,FALSE),0)</f>
        <v>12</v>
      </c>
      <c r="Y432" s="69">
        <f>SUM(Tabla1[[#This Row],[MES ADEUDO DE AÑOS PASADOS ]:[MESES DE ADEUDO DEL AÑO EN CURSO ]])</f>
        <v>12</v>
      </c>
      <c r="Z432" s="15">
        <f>IF(Tabla1[[#This Row],[TIPO DE CONSUMIDOR]]="COMPLETO",W432*$T$2,W432*($T$2/2))</f>
        <v>0</v>
      </c>
      <c r="AA432" s="15">
        <f>IF(Tabla1[[#This Row],[TIPO DE CONSUMIDOR]]="COMPLETO",Tabla1[[#This Row],[MESES DE ADEUDO DEL AÑO EN CURSO ]]*$T$2,Tabla1[[#This Row],[MESES DE ADEUDO DEL AÑO EN CURSO ]]*($T$2/2))</f>
        <v>540</v>
      </c>
      <c r="AB432" s="70">
        <f>SUM(Tabla1[[#This Row],[DEUDA DE LOS MESES PASADOS EN $$]:[DEUDA DEL AÑO 2013 $$ ]])</f>
        <v>540</v>
      </c>
      <c r="AE432" s="103">
        <f>IF(Tabla1[[#This Row],[TIPO DE CONSUMIDOR]]="MEDIO",IF(Tabla1[[#This Row],[ENERO ]]&gt;22.5,Tabla1[[#This Row],[ENERO ]]/22.5-1,0),IF(Tabla1[[#This Row],[ENERO ]]&gt;45,Tabla1[[#This Row],[ENERO ]]/45-1,0))</f>
        <v>0</v>
      </c>
      <c r="AF43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2" s="103">
        <f>IF(Tabla1[[#This Row],[TIPO DE CONSUMIDOR]]="MEDIO",IF(Tabla1[[#This Row],[MARZO]]&gt;22.5,Tabla1[[#This Row],[MARZO]]/22.5-1,0),IF(Tabla1[[#This Row],[MARZO]]&gt;45,Tabla1[[#This Row],[MARZO]]/45-1,0))</f>
        <v>0</v>
      </c>
      <c r="AH432" s="103">
        <f>IF(Tabla1[[#This Row],[TIPO DE CONSUMIDOR]]="MEDIO",IF(Tabla1[[#This Row],[ABRIL]]&gt;22.5,Tabla1[[#This Row],[ABRIL]]/22.5-1,0),IF(Tabla1[[#This Row],[ABRIL]]&gt;45,Tabla1[[#This Row],[ABRIL]]/45-1,0))</f>
        <v>0</v>
      </c>
      <c r="AI432" s="103">
        <f>IF(Tabla1[[#This Row],[TIPO DE CONSUMIDOR]]="MEDIO",IF(Tabla1[[#This Row],[MAYO ]]&gt;22.5,Tabla1[[#This Row],[MAYO ]]/22.5-1,0),IF(Tabla1[[#This Row],[MAYO ]]&gt;45,Tabla1[[#This Row],[MAYO ]]/45-1,0))</f>
        <v>0</v>
      </c>
      <c r="AJ432" s="103">
        <f>IF(Tabla1[[#This Row],[TIPO DE CONSUMIDOR]]="MEDIO",IF(Tabla1[[#This Row],[JUNIO ]]&gt;22.5,Tabla1[[#This Row],[JUNIO ]]/22.5-1,0),IF(Tabla1[[#This Row],[JUNIO ]]&gt;45,Tabla1[[#This Row],[JUNIO ]]/45-1,0))</f>
        <v>0</v>
      </c>
      <c r="AK432" s="103">
        <f>IF(Tabla1[[#This Row],[TIPO DE CONSUMIDOR]]="MEDIO",IF(Tabla1[[#This Row],[JULIO ]]&gt;22.5,Tabla1[[#This Row],[JULIO ]]/22.5-1,0),IF(Tabla1[[#This Row],[JULIO ]]&gt;45,Tabla1[[#This Row],[JULIO ]]/45-1,0))</f>
        <v>0</v>
      </c>
      <c r="AL432" s="103">
        <f>IF(Tabla1[[#This Row],[TIPO DE CONSUMIDOR]]="MEDIO",IF(Tabla1[[#This Row],[AGOSTO]]&gt;22.5,Tabla1[[#This Row],[AGOSTO]]/22.5-1,0),IF(Tabla1[[#This Row],[AGOSTO]]&gt;45,Tabla1[[#This Row],[AGOSTO]]/45-1,0))</f>
        <v>0</v>
      </c>
      <c r="AM43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2" s="104">
        <f t="shared" si="14"/>
        <v>0</v>
      </c>
      <c r="AR432" s="9">
        <f t="shared" si="13"/>
        <v>1</v>
      </c>
      <c r="AS432" s="60">
        <f>IF(Tabla1[[#This Row],[MESES DE ADEUDO DEL AÑO EN CURSO ]]&gt;0,1,0)</f>
        <v>1</v>
      </c>
      <c r="AT432" s="42"/>
      <c r="AU432" s="42"/>
      <c r="AV432" s="42"/>
      <c r="AW432" s="43"/>
    </row>
    <row r="433" spans="1:49" ht="21.75" thickBot="1" x14ac:dyDescent="0.35">
      <c r="A433" s="109">
        <v>427</v>
      </c>
      <c r="B433" s="5" t="s">
        <v>294</v>
      </c>
      <c r="C433" s="2" t="s">
        <v>549</v>
      </c>
      <c r="D433" s="46"/>
      <c r="E433" s="36" t="s">
        <v>455</v>
      </c>
      <c r="F433" s="34">
        <v>0</v>
      </c>
      <c r="G433" s="34">
        <v>0</v>
      </c>
      <c r="H433" s="34">
        <v>0</v>
      </c>
      <c r="I433" s="34">
        <v>0</v>
      </c>
      <c r="J433" s="34">
        <v>0</v>
      </c>
      <c r="K433" s="34">
        <v>0</v>
      </c>
      <c r="L433" s="34">
        <v>0</v>
      </c>
      <c r="M433" s="34">
        <v>0</v>
      </c>
      <c r="N433" s="34">
        <v>0</v>
      </c>
      <c r="O433" s="34">
        <v>0</v>
      </c>
      <c r="P433" s="34">
        <v>0</v>
      </c>
      <c r="Q433" s="34">
        <v>0</v>
      </c>
      <c r="R433" s="58">
        <f>SUM(Tabla1[[#This Row],[ENERO ]:[DICIEMBRE]])</f>
        <v>0</v>
      </c>
      <c r="W433" s="65">
        <v>0</v>
      </c>
      <c r="X433" s="21">
        <f>COUNTIF(Tabla1[[#This Row],[ENERO ]:[DICIEMBRE]],0)-(AQ433)-IF(Tabla1[[#This Row],[BAJAS]]="BAJA",IF(Tabla1[[#This Row],[ALTAS]]="ALTA",VLOOKUP(Tabla1[[#This Row],[MES DE ALTA ]],$AT$6:$AU$17,2,FALSE),12)-VLOOKUP(Tabla1[[#This Row],[MES DE BAJA ]],$AT$6:$AU$17,2,FALSE),0)</f>
        <v>12</v>
      </c>
      <c r="Y433" s="69">
        <f>SUM(Tabla1[[#This Row],[MES ADEUDO DE AÑOS PASADOS ]:[MESES DE ADEUDO DEL AÑO EN CURSO ]])</f>
        <v>12</v>
      </c>
      <c r="Z433" s="15">
        <f>IF(Tabla1[[#This Row],[TIPO DE CONSUMIDOR]]="COMPLETO",W433*$T$2,W433*($T$2/2))</f>
        <v>0</v>
      </c>
      <c r="AA433" s="15">
        <f>IF(Tabla1[[#This Row],[TIPO DE CONSUMIDOR]]="COMPLETO",Tabla1[[#This Row],[MESES DE ADEUDO DEL AÑO EN CURSO ]]*$T$2,Tabla1[[#This Row],[MESES DE ADEUDO DEL AÑO EN CURSO ]]*($T$2/2))</f>
        <v>540</v>
      </c>
      <c r="AB433" s="70">
        <f>SUM(Tabla1[[#This Row],[DEUDA DE LOS MESES PASADOS EN $$]:[DEUDA DEL AÑO 2013 $$ ]])</f>
        <v>540</v>
      </c>
      <c r="AE433" s="103">
        <f>IF(Tabla1[[#This Row],[TIPO DE CONSUMIDOR]]="MEDIO",IF(Tabla1[[#This Row],[ENERO ]]&gt;22.5,Tabla1[[#This Row],[ENERO ]]/22.5-1,0),IF(Tabla1[[#This Row],[ENERO ]]&gt;45,Tabla1[[#This Row],[ENERO ]]/45-1,0))</f>
        <v>0</v>
      </c>
      <c r="AF43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3" s="103">
        <f>IF(Tabla1[[#This Row],[TIPO DE CONSUMIDOR]]="MEDIO",IF(Tabla1[[#This Row],[MARZO]]&gt;22.5,Tabla1[[#This Row],[MARZO]]/22.5-1,0),IF(Tabla1[[#This Row],[MARZO]]&gt;45,Tabla1[[#This Row],[MARZO]]/45-1,0))</f>
        <v>0</v>
      </c>
      <c r="AH433" s="103">
        <f>IF(Tabla1[[#This Row],[TIPO DE CONSUMIDOR]]="MEDIO",IF(Tabla1[[#This Row],[ABRIL]]&gt;22.5,Tabla1[[#This Row],[ABRIL]]/22.5-1,0),IF(Tabla1[[#This Row],[ABRIL]]&gt;45,Tabla1[[#This Row],[ABRIL]]/45-1,0))</f>
        <v>0</v>
      </c>
      <c r="AI433" s="103">
        <f>IF(Tabla1[[#This Row],[TIPO DE CONSUMIDOR]]="MEDIO",IF(Tabla1[[#This Row],[MAYO ]]&gt;22.5,Tabla1[[#This Row],[MAYO ]]/22.5-1,0),IF(Tabla1[[#This Row],[MAYO ]]&gt;45,Tabla1[[#This Row],[MAYO ]]/45-1,0))</f>
        <v>0</v>
      </c>
      <c r="AJ433" s="103">
        <f>IF(Tabla1[[#This Row],[TIPO DE CONSUMIDOR]]="MEDIO",IF(Tabla1[[#This Row],[JUNIO ]]&gt;22.5,Tabla1[[#This Row],[JUNIO ]]/22.5-1,0),IF(Tabla1[[#This Row],[JUNIO ]]&gt;45,Tabla1[[#This Row],[JUNIO ]]/45-1,0))</f>
        <v>0</v>
      </c>
      <c r="AK433" s="103">
        <f>IF(Tabla1[[#This Row],[TIPO DE CONSUMIDOR]]="MEDIO",IF(Tabla1[[#This Row],[JULIO ]]&gt;22.5,Tabla1[[#This Row],[JULIO ]]/22.5-1,0),IF(Tabla1[[#This Row],[JULIO ]]&gt;45,Tabla1[[#This Row],[JULIO ]]/45-1,0))</f>
        <v>0</v>
      </c>
      <c r="AL433" s="103">
        <f>IF(Tabla1[[#This Row],[TIPO DE CONSUMIDOR]]="MEDIO",IF(Tabla1[[#This Row],[AGOSTO]]&gt;22.5,Tabla1[[#This Row],[AGOSTO]]/22.5-1,0),IF(Tabla1[[#This Row],[AGOSTO]]&gt;45,Tabla1[[#This Row],[AGOSTO]]/45-1,0))</f>
        <v>0</v>
      </c>
      <c r="AM43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3" s="104">
        <f t="shared" si="14"/>
        <v>0</v>
      </c>
      <c r="AR433" s="9">
        <f t="shared" si="13"/>
        <v>1</v>
      </c>
      <c r="AS433" s="60">
        <f>IF(Tabla1[[#This Row],[MESES DE ADEUDO DEL AÑO EN CURSO ]]&gt;0,1,0)</f>
        <v>1</v>
      </c>
      <c r="AT433" s="42"/>
      <c r="AU433" s="42"/>
      <c r="AV433" s="42"/>
      <c r="AW433" s="43"/>
    </row>
    <row r="434" spans="1:49" ht="21.75" thickBot="1" x14ac:dyDescent="0.35">
      <c r="A434" s="109">
        <v>428</v>
      </c>
      <c r="B434" s="5" t="s">
        <v>296</v>
      </c>
      <c r="C434" s="2" t="s">
        <v>549</v>
      </c>
      <c r="D434" s="46"/>
      <c r="E434" s="36" t="s">
        <v>455</v>
      </c>
      <c r="F434" s="34">
        <v>0</v>
      </c>
      <c r="G434" s="34">
        <v>0</v>
      </c>
      <c r="H434" s="34">
        <v>0</v>
      </c>
      <c r="I434" s="34">
        <v>0</v>
      </c>
      <c r="J434" s="34">
        <v>0</v>
      </c>
      <c r="K434" s="34">
        <v>0</v>
      </c>
      <c r="L434" s="34">
        <v>0</v>
      </c>
      <c r="M434" s="34">
        <v>0</v>
      </c>
      <c r="N434" s="34">
        <v>0</v>
      </c>
      <c r="O434" s="34">
        <v>0</v>
      </c>
      <c r="P434" s="34">
        <v>0</v>
      </c>
      <c r="Q434" s="34">
        <v>0</v>
      </c>
      <c r="R434" s="58">
        <f>SUM(Tabla1[[#This Row],[ENERO ]:[DICIEMBRE]])</f>
        <v>0</v>
      </c>
      <c r="W434" s="65">
        <v>0</v>
      </c>
      <c r="X434" s="21">
        <f>COUNTIF(Tabla1[[#This Row],[ENERO ]:[DICIEMBRE]],0)-(AQ434)-IF(Tabla1[[#This Row],[BAJAS]]="BAJA",IF(Tabla1[[#This Row],[ALTAS]]="ALTA",VLOOKUP(Tabla1[[#This Row],[MES DE ALTA ]],$AT$6:$AU$17,2,FALSE),12)-VLOOKUP(Tabla1[[#This Row],[MES DE BAJA ]],$AT$6:$AU$17,2,FALSE),0)</f>
        <v>12</v>
      </c>
      <c r="Y434" s="69">
        <f>SUM(Tabla1[[#This Row],[MES ADEUDO DE AÑOS PASADOS ]:[MESES DE ADEUDO DEL AÑO EN CURSO ]])</f>
        <v>12</v>
      </c>
      <c r="Z434" s="15">
        <f>IF(Tabla1[[#This Row],[TIPO DE CONSUMIDOR]]="COMPLETO",W434*$T$2,W434*($T$2/2))</f>
        <v>0</v>
      </c>
      <c r="AA434" s="15">
        <f>IF(Tabla1[[#This Row],[TIPO DE CONSUMIDOR]]="COMPLETO",Tabla1[[#This Row],[MESES DE ADEUDO DEL AÑO EN CURSO ]]*$T$2,Tabla1[[#This Row],[MESES DE ADEUDO DEL AÑO EN CURSO ]]*($T$2/2))</f>
        <v>540</v>
      </c>
      <c r="AB434" s="70">
        <f>SUM(Tabla1[[#This Row],[DEUDA DE LOS MESES PASADOS EN $$]:[DEUDA DEL AÑO 2013 $$ ]])</f>
        <v>540</v>
      </c>
      <c r="AE434" s="103">
        <f>IF(Tabla1[[#This Row],[TIPO DE CONSUMIDOR]]="MEDIO",IF(Tabla1[[#This Row],[ENERO ]]&gt;22.5,Tabla1[[#This Row],[ENERO ]]/22.5-1,0),IF(Tabla1[[#This Row],[ENERO ]]&gt;45,Tabla1[[#This Row],[ENERO ]]/45-1,0))</f>
        <v>0</v>
      </c>
      <c r="AF43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4" s="103">
        <f>IF(Tabla1[[#This Row],[TIPO DE CONSUMIDOR]]="MEDIO",IF(Tabla1[[#This Row],[MARZO]]&gt;22.5,Tabla1[[#This Row],[MARZO]]/22.5-1,0),IF(Tabla1[[#This Row],[MARZO]]&gt;45,Tabla1[[#This Row],[MARZO]]/45-1,0))</f>
        <v>0</v>
      </c>
      <c r="AH434" s="103">
        <f>IF(Tabla1[[#This Row],[TIPO DE CONSUMIDOR]]="MEDIO",IF(Tabla1[[#This Row],[ABRIL]]&gt;22.5,Tabla1[[#This Row],[ABRIL]]/22.5-1,0),IF(Tabla1[[#This Row],[ABRIL]]&gt;45,Tabla1[[#This Row],[ABRIL]]/45-1,0))</f>
        <v>0</v>
      </c>
      <c r="AI434" s="103">
        <f>IF(Tabla1[[#This Row],[TIPO DE CONSUMIDOR]]="MEDIO",IF(Tabla1[[#This Row],[MAYO ]]&gt;22.5,Tabla1[[#This Row],[MAYO ]]/22.5-1,0),IF(Tabla1[[#This Row],[MAYO ]]&gt;45,Tabla1[[#This Row],[MAYO ]]/45-1,0))</f>
        <v>0</v>
      </c>
      <c r="AJ434" s="103">
        <f>IF(Tabla1[[#This Row],[TIPO DE CONSUMIDOR]]="MEDIO",IF(Tabla1[[#This Row],[JUNIO ]]&gt;22.5,Tabla1[[#This Row],[JUNIO ]]/22.5-1,0),IF(Tabla1[[#This Row],[JUNIO ]]&gt;45,Tabla1[[#This Row],[JUNIO ]]/45-1,0))</f>
        <v>0</v>
      </c>
      <c r="AK434" s="103">
        <f>IF(Tabla1[[#This Row],[TIPO DE CONSUMIDOR]]="MEDIO",IF(Tabla1[[#This Row],[JULIO ]]&gt;22.5,Tabla1[[#This Row],[JULIO ]]/22.5-1,0),IF(Tabla1[[#This Row],[JULIO ]]&gt;45,Tabla1[[#This Row],[JULIO ]]/45-1,0))</f>
        <v>0</v>
      </c>
      <c r="AL434" s="103">
        <f>IF(Tabla1[[#This Row],[TIPO DE CONSUMIDOR]]="MEDIO",IF(Tabla1[[#This Row],[AGOSTO]]&gt;22.5,Tabla1[[#This Row],[AGOSTO]]/22.5-1,0),IF(Tabla1[[#This Row],[AGOSTO]]&gt;45,Tabla1[[#This Row],[AGOSTO]]/45-1,0))</f>
        <v>0</v>
      </c>
      <c r="AM43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4" s="104">
        <f t="shared" si="14"/>
        <v>0</v>
      </c>
      <c r="AR434" s="9">
        <f t="shared" si="13"/>
        <v>1</v>
      </c>
      <c r="AS434" s="60">
        <f>IF(Tabla1[[#This Row],[MESES DE ADEUDO DEL AÑO EN CURSO ]]&gt;0,1,0)</f>
        <v>1</v>
      </c>
      <c r="AT434" s="42"/>
      <c r="AU434" s="42"/>
      <c r="AV434" s="42"/>
      <c r="AW434" s="43"/>
    </row>
    <row r="435" spans="1:49" ht="21.75" thickBot="1" x14ac:dyDescent="0.35">
      <c r="A435" s="109">
        <v>429</v>
      </c>
      <c r="B435" s="5" t="s">
        <v>147</v>
      </c>
      <c r="C435" s="2" t="s">
        <v>556</v>
      </c>
      <c r="D435" s="46"/>
      <c r="E435" s="36" t="s">
        <v>455</v>
      </c>
      <c r="F435" s="34">
        <v>0</v>
      </c>
      <c r="G435" s="34">
        <v>0</v>
      </c>
      <c r="H435" s="34">
        <v>0</v>
      </c>
      <c r="I435" s="34">
        <v>0</v>
      </c>
      <c r="J435" s="34">
        <v>0</v>
      </c>
      <c r="K435" s="34">
        <v>0</v>
      </c>
      <c r="L435" s="34">
        <v>0</v>
      </c>
      <c r="M435" s="34">
        <v>0</v>
      </c>
      <c r="N435" s="34">
        <v>0</v>
      </c>
      <c r="O435" s="34">
        <v>0</v>
      </c>
      <c r="P435" s="34">
        <v>0</v>
      </c>
      <c r="Q435" s="34">
        <v>0</v>
      </c>
      <c r="R435" s="58">
        <f>SUM(Tabla1[[#This Row],[ENERO ]:[DICIEMBRE]])</f>
        <v>0</v>
      </c>
      <c r="W435" s="65">
        <v>0</v>
      </c>
      <c r="X435" s="21">
        <f>COUNTIF(Tabla1[[#This Row],[ENERO ]:[DICIEMBRE]],0)-(AQ435)-IF(Tabla1[[#This Row],[BAJAS]]="BAJA",IF(Tabla1[[#This Row],[ALTAS]]="ALTA",VLOOKUP(Tabla1[[#This Row],[MES DE ALTA ]],$AT$6:$AU$17,2,FALSE),12)-VLOOKUP(Tabla1[[#This Row],[MES DE BAJA ]],$AT$6:$AU$17,2,FALSE),0)</f>
        <v>12</v>
      </c>
      <c r="Y435" s="69">
        <f>SUM(Tabla1[[#This Row],[MES ADEUDO DE AÑOS PASADOS ]:[MESES DE ADEUDO DEL AÑO EN CURSO ]])</f>
        <v>12</v>
      </c>
      <c r="Z435" s="15">
        <f>IF(Tabla1[[#This Row],[TIPO DE CONSUMIDOR]]="COMPLETO",W435*$T$2,W435*($T$2/2))</f>
        <v>0</v>
      </c>
      <c r="AA435" s="15">
        <f>IF(Tabla1[[#This Row],[TIPO DE CONSUMIDOR]]="COMPLETO",Tabla1[[#This Row],[MESES DE ADEUDO DEL AÑO EN CURSO ]]*$T$2,Tabla1[[#This Row],[MESES DE ADEUDO DEL AÑO EN CURSO ]]*($T$2/2))</f>
        <v>540</v>
      </c>
      <c r="AB435" s="70">
        <f>SUM(Tabla1[[#This Row],[DEUDA DE LOS MESES PASADOS EN $$]:[DEUDA DEL AÑO 2013 $$ ]])</f>
        <v>540</v>
      </c>
      <c r="AE435" s="103">
        <f>IF(Tabla1[[#This Row],[TIPO DE CONSUMIDOR]]="MEDIO",IF(Tabla1[[#This Row],[ENERO ]]&gt;22.5,Tabla1[[#This Row],[ENERO ]]/22.5-1,0),IF(Tabla1[[#This Row],[ENERO ]]&gt;45,Tabla1[[#This Row],[ENERO ]]/45-1,0))</f>
        <v>0</v>
      </c>
      <c r="AF43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5" s="103">
        <f>IF(Tabla1[[#This Row],[TIPO DE CONSUMIDOR]]="MEDIO",IF(Tabla1[[#This Row],[MARZO]]&gt;22.5,Tabla1[[#This Row],[MARZO]]/22.5-1,0),IF(Tabla1[[#This Row],[MARZO]]&gt;45,Tabla1[[#This Row],[MARZO]]/45-1,0))</f>
        <v>0</v>
      </c>
      <c r="AH435" s="103">
        <f>IF(Tabla1[[#This Row],[TIPO DE CONSUMIDOR]]="MEDIO",IF(Tabla1[[#This Row],[ABRIL]]&gt;22.5,Tabla1[[#This Row],[ABRIL]]/22.5-1,0),IF(Tabla1[[#This Row],[ABRIL]]&gt;45,Tabla1[[#This Row],[ABRIL]]/45-1,0))</f>
        <v>0</v>
      </c>
      <c r="AI435" s="103">
        <f>IF(Tabla1[[#This Row],[TIPO DE CONSUMIDOR]]="MEDIO",IF(Tabla1[[#This Row],[MAYO ]]&gt;22.5,Tabla1[[#This Row],[MAYO ]]/22.5-1,0),IF(Tabla1[[#This Row],[MAYO ]]&gt;45,Tabla1[[#This Row],[MAYO ]]/45-1,0))</f>
        <v>0</v>
      </c>
      <c r="AJ435" s="103">
        <f>IF(Tabla1[[#This Row],[TIPO DE CONSUMIDOR]]="MEDIO",IF(Tabla1[[#This Row],[JUNIO ]]&gt;22.5,Tabla1[[#This Row],[JUNIO ]]/22.5-1,0),IF(Tabla1[[#This Row],[JUNIO ]]&gt;45,Tabla1[[#This Row],[JUNIO ]]/45-1,0))</f>
        <v>0</v>
      </c>
      <c r="AK435" s="103">
        <f>IF(Tabla1[[#This Row],[TIPO DE CONSUMIDOR]]="MEDIO",IF(Tabla1[[#This Row],[JULIO ]]&gt;22.5,Tabla1[[#This Row],[JULIO ]]/22.5-1,0),IF(Tabla1[[#This Row],[JULIO ]]&gt;45,Tabla1[[#This Row],[JULIO ]]/45-1,0))</f>
        <v>0</v>
      </c>
      <c r="AL435" s="103">
        <f>IF(Tabla1[[#This Row],[TIPO DE CONSUMIDOR]]="MEDIO",IF(Tabla1[[#This Row],[AGOSTO]]&gt;22.5,Tabla1[[#This Row],[AGOSTO]]/22.5-1,0),IF(Tabla1[[#This Row],[AGOSTO]]&gt;45,Tabla1[[#This Row],[AGOSTO]]/45-1,0))</f>
        <v>0</v>
      </c>
      <c r="AM43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5" s="104">
        <f t="shared" si="14"/>
        <v>0</v>
      </c>
      <c r="AR435" s="9">
        <f t="shared" si="13"/>
        <v>1</v>
      </c>
      <c r="AS435" s="60">
        <f>IF(Tabla1[[#This Row],[MESES DE ADEUDO DEL AÑO EN CURSO ]]&gt;0,1,0)</f>
        <v>1</v>
      </c>
      <c r="AT435" s="42"/>
      <c r="AU435" s="42"/>
      <c r="AV435" s="42"/>
      <c r="AW435" s="43"/>
    </row>
    <row r="436" spans="1:49" ht="21.75" thickBot="1" x14ac:dyDescent="0.35">
      <c r="A436" s="109">
        <v>430</v>
      </c>
      <c r="B436" s="5" t="s">
        <v>140</v>
      </c>
      <c r="C436" s="2" t="s">
        <v>562</v>
      </c>
      <c r="D436" s="32"/>
      <c r="E436" s="36" t="s">
        <v>455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24">
        <f>SUM(Tabla1[[#This Row],[ENERO ]:[DICIEMBRE]])</f>
        <v>0</v>
      </c>
      <c r="W436" s="65">
        <v>0</v>
      </c>
      <c r="X436" s="21">
        <f>COUNTIF(Tabla1[[#This Row],[ENERO ]:[DICIEMBRE]],0)-(AQ436)-IF(Tabla1[[#This Row],[BAJAS]]="BAJA",IF(Tabla1[[#This Row],[ALTAS]]="ALTA",VLOOKUP(Tabla1[[#This Row],[MES DE ALTA ]],$AT$6:$AU$17,2,FALSE),12)-VLOOKUP(Tabla1[[#This Row],[MES DE BAJA ]],$AT$6:$AU$17,2,FALSE),0)</f>
        <v>12</v>
      </c>
      <c r="Y436" s="69">
        <f>SUM(Tabla1[[#This Row],[MES ADEUDO DE AÑOS PASADOS ]:[MESES DE ADEUDO DEL AÑO EN CURSO ]])</f>
        <v>12</v>
      </c>
      <c r="Z436" s="15">
        <f>IF(Tabla1[[#This Row],[TIPO DE CONSUMIDOR]]="COMPLETO",W436*$T$2,W436*($T$2/2))</f>
        <v>0</v>
      </c>
      <c r="AA436" s="15">
        <f>IF(Tabla1[[#This Row],[TIPO DE CONSUMIDOR]]="COMPLETO",Tabla1[[#This Row],[MESES DE ADEUDO DEL AÑO EN CURSO ]]*$T$2,Tabla1[[#This Row],[MESES DE ADEUDO DEL AÑO EN CURSO ]]*($T$2/2))</f>
        <v>540</v>
      </c>
      <c r="AB436" s="70">
        <f>SUM(Tabla1[[#This Row],[DEUDA DE LOS MESES PASADOS EN $$]:[DEUDA DEL AÑO 2013 $$ ]])</f>
        <v>540</v>
      </c>
      <c r="AE436" s="103">
        <f>IF(Tabla1[[#This Row],[TIPO DE CONSUMIDOR]]="MEDIO",IF(Tabla1[[#This Row],[ENERO ]]&gt;22.5,Tabla1[[#This Row],[ENERO ]]/22.5-1,0),IF(Tabla1[[#This Row],[ENERO ]]&gt;45,Tabla1[[#This Row],[ENERO ]]/45-1,0))</f>
        <v>0</v>
      </c>
      <c r="AF43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6" s="103">
        <f>IF(Tabla1[[#This Row],[TIPO DE CONSUMIDOR]]="MEDIO",IF(Tabla1[[#This Row],[MARZO]]&gt;22.5,Tabla1[[#This Row],[MARZO]]/22.5-1,0),IF(Tabla1[[#This Row],[MARZO]]&gt;45,Tabla1[[#This Row],[MARZO]]/45-1,0))</f>
        <v>0</v>
      </c>
      <c r="AH436" s="103">
        <f>IF(Tabla1[[#This Row],[TIPO DE CONSUMIDOR]]="MEDIO",IF(Tabla1[[#This Row],[ABRIL]]&gt;22.5,Tabla1[[#This Row],[ABRIL]]/22.5-1,0),IF(Tabla1[[#This Row],[ABRIL]]&gt;45,Tabla1[[#This Row],[ABRIL]]/45-1,0))</f>
        <v>0</v>
      </c>
      <c r="AI436" s="103">
        <f>IF(Tabla1[[#This Row],[TIPO DE CONSUMIDOR]]="MEDIO",IF(Tabla1[[#This Row],[MAYO ]]&gt;22.5,Tabla1[[#This Row],[MAYO ]]/22.5-1,0),IF(Tabla1[[#This Row],[MAYO ]]&gt;45,Tabla1[[#This Row],[MAYO ]]/45-1,0))</f>
        <v>0</v>
      </c>
      <c r="AJ436" s="103">
        <f>IF(Tabla1[[#This Row],[TIPO DE CONSUMIDOR]]="MEDIO",IF(Tabla1[[#This Row],[JUNIO ]]&gt;22.5,Tabla1[[#This Row],[JUNIO ]]/22.5-1,0),IF(Tabla1[[#This Row],[JUNIO ]]&gt;45,Tabla1[[#This Row],[JUNIO ]]/45-1,0))</f>
        <v>0</v>
      </c>
      <c r="AK436" s="103">
        <f>IF(Tabla1[[#This Row],[TIPO DE CONSUMIDOR]]="MEDIO",IF(Tabla1[[#This Row],[JULIO ]]&gt;22.5,Tabla1[[#This Row],[JULIO ]]/22.5-1,0),IF(Tabla1[[#This Row],[JULIO ]]&gt;45,Tabla1[[#This Row],[JULIO ]]/45-1,0))</f>
        <v>0</v>
      </c>
      <c r="AL436" s="103">
        <f>IF(Tabla1[[#This Row],[TIPO DE CONSUMIDOR]]="MEDIO",IF(Tabla1[[#This Row],[AGOSTO]]&gt;22.5,Tabla1[[#This Row],[AGOSTO]]/22.5-1,0),IF(Tabla1[[#This Row],[AGOSTO]]&gt;45,Tabla1[[#This Row],[AGOSTO]]/45-1,0))</f>
        <v>0</v>
      </c>
      <c r="AM43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6" s="104">
        <f t="shared" si="14"/>
        <v>0</v>
      </c>
      <c r="AR436" s="9">
        <f t="shared" si="13"/>
        <v>1</v>
      </c>
      <c r="AS436" s="60">
        <f>IF(Tabla1[[#This Row],[MESES DE ADEUDO DEL AÑO EN CURSO ]]&gt;0,1,0)</f>
        <v>1</v>
      </c>
      <c r="AT436" s="42"/>
      <c r="AU436" s="42"/>
      <c r="AV436" s="42"/>
      <c r="AW436" s="43"/>
    </row>
    <row r="437" spans="1:49" ht="21.75" thickBot="1" x14ac:dyDescent="0.35">
      <c r="A437" s="109">
        <v>431</v>
      </c>
      <c r="B437" s="5" t="s">
        <v>249</v>
      </c>
      <c r="C437" s="2" t="s">
        <v>562</v>
      </c>
      <c r="D437" s="32"/>
      <c r="E437" s="36" t="s">
        <v>455</v>
      </c>
      <c r="F437" s="34">
        <v>0</v>
      </c>
      <c r="G437" s="34">
        <v>0</v>
      </c>
      <c r="H437" s="34">
        <v>0</v>
      </c>
      <c r="I437" s="34">
        <v>0</v>
      </c>
      <c r="J437" s="34">
        <v>0</v>
      </c>
      <c r="K437" s="34">
        <v>0</v>
      </c>
      <c r="L437" s="34">
        <v>0</v>
      </c>
      <c r="M437" s="34">
        <v>0</v>
      </c>
      <c r="N437" s="34">
        <v>0</v>
      </c>
      <c r="O437" s="34">
        <v>0</v>
      </c>
      <c r="P437" s="34">
        <v>0</v>
      </c>
      <c r="Q437" s="34">
        <v>0</v>
      </c>
      <c r="R437" s="24">
        <f>SUM(Tabla1[[#This Row],[ENERO ]:[DICIEMBRE]])</f>
        <v>0</v>
      </c>
      <c r="W437" s="65">
        <v>0</v>
      </c>
      <c r="X437" s="21">
        <f>COUNTIF(Tabla1[[#This Row],[ENERO ]:[DICIEMBRE]],0)-(AQ437)-IF(Tabla1[[#This Row],[BAJAS]]="BAJA",IF(Tabla1[[#This Row],[ALTAS]]="ALTA",VLOOKUP(Tabla1[[#This Row],[MES DE ALTA ]],$AT$6:$AU$17,2,FALSE),12)-VLOOKUP(Tabla1[[#This Row],[MES DE BAJA ]],$AT$6:$AU$17,2,FALSE),0)</f>
        <v>12</v>
      </c>
      <c r="Y437" s="69">
        <f>SUM(Tabla1[[#This Row],[MES ADEUDO DE AÑOS PASADOS ]:[MESES DE ADEUDO DEL AÑO EN CURSO ]])</f>
        <v>12</v>
      </c>
      <c r="Z437" s="15">
        <f>IF(Tabla1[[#This Row],[TIPO DE CONSUMIDOR]]="COMPLETO",W437*$T$2,W437*($T$2/2))</f>
        <v>0</v>
      </c>
      <c r="AA437" s="15">
        <f>IF(Tabla1[[#This Row],[TIPO DE CONSUMIDOR]]="COMPLETO",Tabla1[[#This Row],[MESES DE ADEUDO DEL AÑO EN CURSO ]]*$T$2,Tabla1[[#This Row],[MESES DE ADEUDO DEL AÑO EN CURSO ]]*($T$2/2))</f>
        <v>540</v>
      </c>
      <c r="AB437" s="70">
        <f>SUM(Tabla1[[#This Row],[DEUDA DE LOS MESES PASADOS EN $$]:[DEUDA DEL AÑO 2013 $$ ]])</f>
        <v>540</v>
      </c>
      <c r="AE437" s="103">
        <f>IF(Tabla1[[#This Row],[TIPO DE CONSUMIDOR]]="MEDIO",IF(Tabla1[[#This Row],[ENERO ]]&gt;22.5,Tabla1[[#This Row],[ENERO ]]/22.5-1,0),IF(Tabla1[[#This Row],[ENERO ]]&gt;45,Tabla1[[#This Row],[ENERO ]]/45-1,0))</f>
        <v>0</v>
      </c>
      <c r="AF43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7" s="103">
        <f>IF(Tabla1[[#This Row],[TIPO DE CONSUMIDOR]]="MEDIO",IF(Tabla1[[#This Row],[MARZO]]&gt;22.5,Tabla1[[#This Row],[MARZO]]/22.5-1,0),IF(Tabla1[[#This Row],[MARZO]]&gt;45,Tabla1[[#This Row],[MARZO]]/45-1,0))</f>
        <v>0</v>
      </c>
      <c r="AH437" s="103">
        <f>IF(Tabla1[[#This Row],[TIPO DE CONSUMIDOR]]="MEDIO",IF(Tabla1[[#This Row],[ABRIL]]&gt;22.5,Tabla1[[#This Row],[ABRIL]]/22.5-1,0),IF(Tabla1[[#This Row],[ABRIL]]&gt;45,Tabla1[[#This Row],[ABRIL]]/45-1,0))</f>
        <v>0</v>
      </c>
      <c r="AI437" s="103">
        <f>IF(Tabla1[[#This Row],[TIPO DE CONSUMIDOR]]="MEDIO",IF(Tabla1[[#This Row],[MAYO ]]&gt;22.5,Tabla1[[#This Row],[MAYO ]]/22.5-1,0),IF(Tabla1[[#This Row],[MAYO ]]&gt;45,Tabla1[[#This Row],[MAYO ]]/45-1,0))</f>
        <v>0</v>
      </c>
      <c r="AJ437" s="103">
        <f>IF(Tabla1[[#This Row],[TIPO DE CONSUMIDOR]]="MEDIO",IF(Tabla1[[#This Row],[JUNIO ]]&gt;22.5,Tabla1[[#This Row],[JUNIO ]]/22.5-1,0),IF(Tabla1[[#This Row],[JUNIO ]]&gt;45,Tabla1[[#This Row],[JUNIO ]]/45-1,0))</f>
        <v>0</v>
      </c>
      <c r="AK437" s="103">
        <f>IF(Tabla1[[#This Row],[TIPO DE CONSUMIDOR]]="MEDIO",IF(Tabla1[[#This Row],[JULIO ]]&gt;22.5,Tabla1[[#This Row],[JULIO ]]/22.5-1,0),IF(Tabla1[[#This Row],[JULIO ]]&gt;45,Tabla1[[#This Row],[JULIO ]]/45-1,0))</f>
        <v>0</v>
      </c>
      <c r="AL437" s="103">
        <f>IF(Tabla1[[#This Row],[TIPO DE CONSUMIDOR]]="MEDIO",IF(Tabla1[[#This Row],[AGOSTO]]&gt;22.5,Tabla1[[#This Row],[AGOSTO]]/22.5-1,0),IF(Tabla1[[#This Row],[AGOSTO]]&gt;45,Tabla1[[#This Row],[AGOSTO]]/45-1,0))</f>
        <v>0</v>
      </c>
      <c r="AM43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7" s="104">
        <f t="shared" si="14"/>
        <v>0</v>
      </c>
      <c r="AR437" s="9">
        <f t="shared" si="13"/>
        <v>1</v>
      </c>
      <c r="AS437" s="60">
        <f>IF(Tabla1[[#This Row],[MESES DE ADEUDO DEL AÑO EN CURSO ]]&gt;0,1,0)</f>
        <v>1</v>
      </c>
      <c r="AT437" s="42"/>
      <c r="AU437" s="42"/>
      <c r="AV437" s="42"/>
      <c r="AW437" s="43"/>
    </row>
    <row r="438" spans="1:49" ht="21.75" thickBot="1" x14ac:dyDescent="0.35">
      <c r="A438" s="109">
        <v>432</v>
      </c>
      <c r="B438" s="5" t="s">
        <v>324</v>
      </c>
      <c r="C438" s="2" t="s">
        <v>562</v>
      </c>
      <c r="D438" s="32"/>
      <c r="E438" s="36" t="s">
        <v>455</v>
      </c>
      <c r="F438" s="34">
        <v>0</v>
      </c>
      <c r="G438" s="34">
        <v>0</v>
      </c>
      <c r="H438" s="34">
        <v>0</v>
      </c>
      <c r="I438" s="34">
        <v>0</v>
      </c>
      <c r="J438" s="34">
        <v>0</v>
      </c>
      <c r="K438" s="34">
        <v>0</v>
      </c>
      <c r="L438" s="34">
        <v>0</v>
      </c>
      <c r="M438" s="34">
        <v>0</v>
      </c>
      <c r="N438" s="34">
        <v>0</v>
      </c>
      <c r="O438" s="34">
        <v>0</v>
      </c>
      <c r="P438" s="34">
        <v>0</v>
      </c>
      <c r="Q438" s="34">
        <v>0</v>
      </c>
      <c r="R438" s="24">
        <f>SUM(Tabla1[[#This Row],[ENERO ]:[DICIEMBRE]])</f>
        <v>0</v>
      </c>
      <c r="W438" s="65">
        <v>0</v>
      </c>
      <c r="X438" s="21">
        <f>COUNTIF(Tabla1[[#This Row],[ENERO ]:[DICIEMBRE]],0)-(AQ438)-IF(Tabla1[[#This Row],[BAJAS]]="BAJA",IF(Tabla1[[#This Row],[ALTAS]]="ALTA",VLOOKUP(Tabla1[[#This Row],[MES DE ALTA ]],$AT$6:$AU$17,2,FALSE),12)-VLOOKUP(Tabla1[[#This Row],[MES DE BAJA ]],$AT$6:$AU$17,2,FALSE),0)</f>
        <v>12</v>
      </c>
      <c r="Y438" s="69">
        <f>SUM(Tabla1[[#This Row],[MES ADEUDO DE AÑOS PASADOS ]:[MESES DE ADEUDO DEL AÑO EN CURSO ]])</f>
        <v>12</v>
      </c>
      <c r="Z438" s="15">
        <f>IF(Tabla1[[#This Row],[TIPO DE CONSUMIDOR]]="COMPLETO",W438*$T$2,W438*($T$2/2))</f>
        <v>0</v>
      </c>
      <c r="AA438" s="15">
        <f>IF(Tabla1[[#This Row],[TIPO DE CONSUMIDOR]]="COMPLETO",Tabla1[[#This Row],[MESES DE ADEUDO DEL AÑO EN CURSO ]]*$T$2,Tabla1[[#This Row],[MESES DE ADEUDO DEL AÑO EN CURSO ]]*($T$2/2))</f>
        <v>540</v>
      </c>
      <c r="AB438" s="70">
        <f>SUM(Tabla1[[#This Row],[DEUDA DE LOS MESES PASADOS EN $$]:[DEUDA DEL AÑO 2013 $$ ]])</f>
        <v>540</v>
      </c>
      <c r="AE438" s="103">
        <f>IF(Tabla1[[#This Row],[TIPO DE CONSUMIDOR]]="MEDIO",IF(Tabla1[[#This Row],[ENERO ]]&gt;22.5,Tabla1[[#This Row],[ENERO ]]/22.5-1,0),IF(Tabla1[[#This Row],[ENERO ]]&gt;45,Tabla1[[#This Row],[ENERO ]]/45-1,0))</f>
        <v>0</v>
      </c>
      <c r="AF43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8" s="103">
        <f>IF(Tabla1[[#This Row],[TIPO DE CONSUMIDOR]]="MEDIO",IF(Tabla1[[#This Row],[MARZO]]&gt;22.5,Tabla1[[#This Row],[MARZO]]/22.5-1,0),IF(Tabla1[[#This Row],[MARZO]]&gt;45,Tabla1[[#This Row],[MARZO]]/45-1,0))</f>
        <v>0</v>
      </c>
      <c r="AH438" s="103">
        <f>IF(Tabla1[[#This Row],[TIPO DE CONSUMIDOR]]="MEDIO",IF(Tabla1[[#This Row],[ABRIL]]&gt;22.5,Tabla1[[#This Row],[ABRIL]]/22.5-1,0),IF(Tabla1[[#This Row],[ABRIL]]&gt;45,Tabla1[[#This Row],[ABRIL]]/45-1,0))</f>
        <v>0</v>
      </c>
      <c r="AI438" s="103">
        <f>IF(Tabla1[[#This Row],[TIPO DE CONSUMIDOR]]="MEDIO",IF(Tabla1[[#This Row],[MAYO ]]&gt;22.5,Tabla1[[#This Row],[MAYO ]]/22.5-1,0),IF(Tabla1[[#This Row],[MAYO ]]&gt;45,Tabla1[[#This Row],[MAYO ]]/45-1,0))</f>
        <v>0</v>
      </c>
      <c r="AJ438" s="103">
        <f>IF(Tabla1[[#This Row],[TIPO DE CONSUMIDOR]]="MEDIO",IF(Tabla1[[#This Row],[JUNIO ]]&gt;22.5,Tabla1[[#This Row],[JUNIO ]]/22.5-1,0),IF(Tabla1[[#This Row],[JUNIO ]]&gt;45,Tabla1[[#This Row],[JUNIO ]]/45-1,0))</f>
        <v>0</v>
      </c>
      <c r="AK438" s="103">
        <f>IF(Tabla1[[#This Row],[TIPO DE CONSUMIDOR]]="MEDIO",IF(Tabla1[[#This Row],[JULIO ]]&gt;22.5,Tabla1[[#This Row],[JULIO ]]/22.5-1,0),IF(Tabla1[[#This Row],[JULIO ]]&gt;45,Tabla1[[#This Row],[JULIO ]]/45-1,0))</f>
        <v>0</v>
      </c>
      <c r="AL438" s="103">
        <f>IF(Tabla1[[#This Row],[TIPO DE CONSUMIDOR]]="MEDIO",IF(Tabla1[[#This Row],[AGOSTO]]&gt;22.5,Tabla1[[#This Row],[AGOSTO]]/22.5-1,0),IF(Tabla1[[#This Row],[AGOSTO]]&gt;45,Tabla1[[#This Row],[AGOSTO]]/45-1,0))</f>
        <v>0</v>
      </c>
      <c r="AM43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8" s="104">
        <f t="shared" si="14"/>
        <v>0</v>
      </c>
      <c r="AR438" s="9">
        <f t="shared" si="13"/>
        <v>1</v>
      </c>
      <c r="AS438" s="60">
        <f>IF(Tabla1[[#This Row],[MESES DE ADEUDO DEL AÑO EN CURSO ]]&gt;0,1,0)</f>
        <v>1</v>
      </c>
      <c r="AT438" s="42"/>
      <c r="AU438" s="42"/>
      <c r="AV438" s="42"/>
      <c r="AW438" s="43"/>
    </row>
    <row r="439" spans="1:49" ht="21.75" thickBot="1" x14ac:dyDescent="0.35">
      <c r="A439" s="109">
        <v>433</v>
      </c>
      <c r="B439" s="5" t="s">
        <v>52</v>
      </c>
      <c r="C439" s="2" t="s">
        <v>575</v>
      </c>
      <c r="D439" s="32"/>
      <c r="E439" s="36" t="s">
        <v>455</v>
      </c>
      <c r="F439" s="34">
        <v>0</v>
      </c>
      <c r="G439" s="34">
        <v>0</v>
      </c>
      <c r="H439" s="34">
        <v>0</v>
      </c>
      <c r="I439" s="34">
        <v>0</v>
      </c>
      <c r="J439" s="34">
        <v>0</v>
      </c>
      <c r="K439" s="34">
        <v>0</v>
      </c>
      <c r="L439" s="34">
        <v>0</v>
      </c>
      <c r="M439" s="34">
        <v>0</v>
      </c>
      <c r="N439" s="34">
        <v>0</v>
      </c>
      <c r="O439" s="34">
        <v>0</v>
      </c>
      <c r="P439" s="34">
        <v>0</v>
      </c>
      <c r="Q439" s="34">
        <v>0</v>
      </c>
      <c r="R439" s="24">
        <f>SUM(Tabla1[[#This Row],[ENERO ]:[DICIEMBRE]])</f>
        <v>0</v>
      </c>
      <c r="W439" s="65">
        <v>0</v>
      </c>
      <c r="X439" s="21">
        <f>COUNTIF(Tabla1[[#This Row],[ENERO ]:[DICIEMBRE]],0)-(AQ439)-IF(Tabla1[[#This Row],[BAJAS]]="BAJA",IF(Tabla1[[#This Row],[ALTAS]]="ALTA",VLOOKUP(Tabla1[[#This Row],[MES DE ALTA ]],$AT$6:$AU$17,2,FALSE),12)-VLOOKUP(Tabla1[[#This Row],[MES DE BAJA ]],$AT$6:$AU$17,2,FALSE),0)</f>
        <v>12</v>
      </c>
      <c r="Y439" s="69">
        <f>SUM(Tabla1[[#This Row],[MES ADEUDO DE AÑOS PASADOS ]:[MESES DE ADEUDO DEL AÑO EN CURSO ]])</f>
        <v>12</v>
      </c>
      <c r="Z439" s="15">
        <f>IF(Tabla1[[#This Row],[TIPO DE CONSUMIDOR]]="COMPLETO",W439*$T$2,W439*($T$2/2))</f>
        <v>0</v>
      </c>
      <c r="AA439" s="15">
        <f>IF(Tabla1[[#This Row],[TIPO DE CONSUMIDOR]]="COMPLETO",Tabla1[[#This Row],[MESES DE ADEUDO DEL AÑO EN CURSO ]]*$T$2,Tabla1[[#This Row],[MESES DE ADEUDO DEL AÑO EN CURSO ]]*($T$2/2))</f>
        <v>540</v>
      </c>
      <c r="AB439" s="70">
        <f>SUM(Tabla1[[#This Row],[DEUDA DE LOS MESES PASADOS EN $$]:[DEUDA DEL AÑO 2013 $$ ]])</f>
        <v>540</v>
      </c>
      <c r="AE439" s="103">
        <f>IF(Tabla1[[#This Row],[TIPO DE CONSUMIDOR]]="MEDIO",IF(Tabla1[[#This Row],[ENERO ]]&gt;22.5,Tabla1[[#This Row],[ENERO ]]/22.5-1,0),IF(Tabla1[[#This Row],[ENERO ]]&gt;45,Tabla1[[#This Row],[ENERO ]]/45-1,0))</f>
        <v>0</v>
      </c>
      <c r="AF43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39" s="103">
        <f>IF(Tabla1[[#This Row],[TIPO DE CONSUMIDOR]]="MEDIO",IF(Tabla1[[#This Row],[MARZO]]&gt;22.5,Tabla1[[#This Row],[MARZO]]/22.5-1,0),IF(Tabla1[[#This Row],[MARZO]]&gt;45,Tabla1[[#This Row],[MARZO]]/45-1,0))</f>
        <v>0</v>
      </c>
      <c r="AH439" s="103">
        <f>IF(Tabla1[[#This Row],[TIPO DE CONSUMIDOR]]="MEDIO",IF(Tabla1[[#This Row],[ABRIL]]&gt;22.5,Tabla1[[#This Row],[ABRIL]]/22.5-1,0),IF(Tabla1[[#This Row],[ABRIL]]&gt;45,Tabla1[[#This Row],[ABRIL]]/45-1,0))</f>
        <v>0</v>
      </c>
      <c r="AI439" s="103">
        <f>IF(Tabla1[[#This Row],[TIPO DE CONSUMIDOR]]="MEDIO",IF(Tabla1[[#This Row],[MAYO ]]&gt;22.5,Tabla1[[#This Row],[MAYO ]]/22.5-1,0),IF(Tabla1[[#This Row],[MAYO ]]&gt;45,Tabla1[[#This Row],[MAYO ]]/45-1,0))</f>
        <v>0</v>
      </c>
      <c r="AJ439" s="103">
        <f>IF(Tabla1[[#This Row],[TIPO DE CONSUMIDOR]]="MEDIO",IF(Tabla1[[#This Row],[JUNIO ]]&gt;22.5,Tabla1[[#This Row],[JUNIO ]]/22.5-1,0),IF(Tabla1[[#This Row],[JUNIO ]]&gt;45,Tabla1[[#This Row],[JUNIO ]]/45-1,0))</f>
        <v>0</v>
      </c>
      <c r="AK439" s="103">
        <f>IF(Tabla1[[#This Row],[TIPO DE CONSUMIDOR]]="MEDIO",IF(Tabla1[[#This Row],[JULIO ]]&gt;22.5,Tabla1[[#This Row],[JULIO ]]/22.5-1,0),IF(Tabla1[[#This Row],[JULIO ]]&gt;45,Tabla1[[#This Row],[JULIO ]]/45-1,0))</f>
        <v>0</v>
      </c>
      <c r="AL439" s="103">
        <f>IF(Tabla1[[#This Row],[TIPO DE CONSUMIDOR]]="MEDIO",IF(Tabla1[[#This Row],[AGOSTO]]&gt;22.5,Tabla1[[#This Row],[AGOSTO]]/22.5-1,0),IF(Tabla1[[#This Row],[AGOSTO]]&gt;45,Tabla1[[#This Row],[AGOSTO]]/45-1,0))</f>
        <v>0</v>
      </c>
      <c r="AM43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3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3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3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39" s="104">
        <f t="shared" si="14"/>
        <v>0</v>
      </c>
      <c r="AR439" s="9">
        <f t="shared" si="13"/>
        <v>1</v>
      </c>
      <c r="AS439" s="60">
        <f>IF(Tabla1[[#This Row],[MESES DE ADEUDO DEL AÑO EN CURSO ]]&gt;0,1,0)</f>
        <v>1</v>
      </c>
      <c r="AT439" s="42"/>
      <c r="AU439" s="42"/>
      <c r="AV439" s="42"/>
      <c r="AW439" s="43"/>
    </row>
    <row r="440" spans="1:49" ht="21.75" thickBot="1" x14ac:dyDescent="0.35">
      <c r="A440" s="109">
        <v>434</v>
      </c>
      <c r="B440" s="5" t="s">
        <v>197</v>
      </c>
      <c r="C440" s="2" t="s">
        <v>575</v>
      </c>
      <c r="D440" s="32"/>
      <c r="E440" s="36" t="s">
        <v>455</v>
      </c>
      <c r="F440" s="34">
        <v>0</v>
      </c>
      <c r="G440" s="34">
        <v>0</v>
      </c>
      <c r="H440" s="34">
        <v>0</v>
      </c>
      <c r="I440" s="34">
        <v>0</v>
      </c>
      <c r="J440" s="34">
        <v>0</v>
      </c>
      <c r="K440" s="34">
        <v>0</v>
      </c>
      <c r="L440" s="34">
        <v>0</v>
      </c>
      <c r="M440" s="34">
        <v>0</v>
      </c>
      <c r="N440" s="34">
        <v>0</v>
      </c>
      <c r="O440" s="34">
        <v>0</v>
      </c>
      <c r="P440" s="34">
        <v>0</v>
      </c>
      <c r="Q440" s="34">
        <v>0</v>
      </c>
      <c r="R440" s="24">
        <f>SUM(Tabla1[[#This Row],[ENERO ]:[DICIEMBRE]])</f>
        <v>0</v>
      </c>
      <c r="W440" s="65">
        <v>0</v>
      </c>
      <c r="X440" s="21">
        <f>COUNTIF(Tabla1[[#This Row],[ENERO ]:[DICIEMBRE]],0)-(AQ440)-IF(Tabla1[[#This Row],[BAJAS]]="BAJA",IF(Tabla1[[#This Row],[ALTAS]]="ALTA",VLOOKUP(Tabla1[[#This Row],[MES DE ALTA ]],$AT$6:$AU$17,2,FALSE),12)-VLOOKUP(Tabla1[[#This Row],[MES DE BAJA ]],$AT$6:$AU$17,2,FALSE),0)</f>
        <v>12</v>
      </c>
      <c r="Y440" s="69">
        <f>SUM(Tabla1[[#This Row],[MES ADEUDO DE AÑOS PASADOS ]:[MESES DE ADEUDO DEL AÑO EN CURSO ]])</f>
        <v>12</v>
      </c>
      <c r="Z440" s="15">
        <f>IF(Tabla1[[#This Row],[TIPO DE CONSUMIDOR]]="COMPLETO",W440*$T$2,W440*($T$2/2))</f>
        <v>0</v>
      </c>
      <c r="AA440" s="15">
        <f>IF(Tabla1[[#This Row],[TIPO DE CONSUMIDOR]]="COMPLETO",Tabla1[[#This Row],[MESES DE ADEUDO DEL AÑO EN CURSO ]]*$T$2,Tabla1[[#This Row],[MESES DE ADEUDO DEL AÑO EN CURSO ]]*($T$2/2))</f>
        <v>540</v>
      </c>
      <c r="AB440" s="70">
        <f>SUM(Tabla1[[#This Row],[DEUDA DE LOS MESES PASADOS EN $$]:[DEUDA DEL AÑO 2013 $$ ]])</f>
        <v>540</v>
      </c>
      <c r="AE440" s="103">
        <f>IF(Tabla1[[#This Row],[TIPO DE CONSUMIDOR]]="MEDIO",IF(Tabla1[[#This Row],[ENERO ]]&gt;22.5,Tabla1[[#This Row],[ENERO ]]/22.5-1,0),IF(Tabla1[[#This Row],[ENERO ]]&gt;45,Tabla1[[#This Row],[ENERO ]]/45-1,0))</f>
        <v>0</v>
      </c>
      <c r="AF44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0" s="103">
        <f>IF(Tabla1[[#This Row],[TIPO DE CONSUMIDOR]]="MEDIO",IF(Tabla1[[#This Row],[MARZO]]&gt;22.5,Tabla1[[#This Row],[MARZO]]/22.5-1,0),IF(Tabla1[[#This Row],[MARZO]]&gt;45,Tabla1[[#This Row],[MARZO]]/45-1,0))</f>
        <v>0</v>
      </c>
      <c r="AH440" s="103">
        <f>IF(Tabla1[[#This Row],[TIPO DE CONSUMIDOR]]="MEDIO",IF(Tabla1[[#This Row],[ABRIL]]&gt;22.5,Tabla1[[#This Row],[ABRIL]]/22.5-1,0),IF(Tabla1[[#This Row],[ABRIL]]&gt;45,Tabla1[[#This Row],[ABRIL]]/45-1,0))</f>
        <v>0</v>
      </c>
      <c r="AI440" s="103">
        <f>IF(Tabla1[[#This Row],[TIPO DE CONSUMIDOR]]="MEDIO",IF(Tabla1[[#This Row],[MAYO ]]&gt;22.5,Tabla1[[#This Row],[MAYO ]]/22.5-1,0),IF(Tabla1[[#This Row],[MAYO ]]&gt;45,Tabla1[[#This Row],[MAYO ]]/45-1,0))</f>
        <v>0</v>
      </c>
      <c r="AJ440" s="103">
        <f>IF(Tabla1[[#This Row],[TIPO DE CONSUMIDOR]]="MEDIO",IF(Tabla1[[#This Row],[JUNIO ]]&gt;22.5,Tabla1[[#This Row],[JUNIO ]]/22.5-1,0),IF(Tabla1[[#This Row],[JUNIO ]]&gt;45,Tabla1[[#This Row],[JUNIO ]]/45-1,0))</f>
        <v>0</v>
      </c>
      <c r="AK440" s="103">
        <f>IF(Tabla1[[#This Row],[TIPO DE CONSUMIDOR]]="MEDIO",IF(Tabla1[[#This Row],[JULIO ]]&gt;22.5,Tabla1[[#This Row],[JULIO ]]/22.5-1,0),IF(Tabla1[[#This Row],[JULIO ]]&gt;45,Tabla1[[#This Row],[JULIO ]]/45-1,0))</f>
        <v>0</v>
      </c>
      <c r="AL440" s="103">
        <f>IF(Tabla1[[#This Row],[TIPO DE CONSUMIDOR]]="MEDIO",IF(Tabla1[[#This Row],[AGOSTO]]&gt;22.5,Tabla1[[#This Row],[AGOSTO]]/22.5-1,0),IF(Tabla1[[#This Row],[AGOSTO]]&gt;45,Tabla1[[#This Row],[AGOSTO]]/45-1,0))</f>
        <v>0</v>
      </c>
      <c r="AM44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0" s="104">
        <f t="shared" si="14"/>
        <v>0</v>
      </c>
      <c r="AR440" s="9">
        <f t="shared" si="13"/>
        <v>1</v>
      </c>
      <c r="AS440" s="60">
        <f>IF(Tabla1[[#This Row],[MESES DE ADEUDO DEL AÑO EN CURSO ]]&gt;0,1,0)</f>
        <v>1</v>
      </c>
      <c r="AT440" s="42"/>
      <c r="AU440" s="42"/>
      <c r="AV440" s="42"/>
      <c r="AW440" s="43"/>
    </row>
    <row r="441" spans="1:49" ht="21.75" thickBot="1" x14ac:dyDescent="0.35">
      <c r="A441" s="109">
        <v>435</v>
      </c>
      <c r="B441" s="5" t="s">
        <v>295</v>
      </c>
      <c r="C441" s="2" t="s">
        <v>575</v>
      </c>
      <c r="D441" s="32"/>
      <c r="E441" s="35" t="s">
        <v>455</v>
      </c>
      <c r="F441" s="34">
        <v>0</v>
      </c>
      <c r="G441" s="56">
        <v>0</v>
      </c>
      <c r="H441" s="56">
        <v>0</v>
      </c>
      <c r="I441" s="56">
        <v>0</v>
      </c>
      <c r="J441" s="56">
        <v>0</v>
      </c>
      <c r="K441" s="56">
        <v>0</v>
      </c>
      <c r="L441" s="56">
        <v>0</v>
      </c>
      <c r="M441" s="56">
        <v>0</v>
      </c>
      <c r="N441" s="56">
        <v>0</v>
      </c>
      <c r="O441" s="56">
        <v>0</v>
      </c>
      <c r="P441" s="56">
        <v>0</v>
      </c>
      <c r="Q441" s="57">
        <v>0</v>
      </c>
      <c r="R441" s="24">
        <f>SUM(Tabla1[[#This Row],[ENERO ]:[DICIEMBRE]])</f>
        <v>0</v>
      </c>
      <c r="W441" s="65">
        <v>0</v>
      </c>
      <c r="X441" s="21">
        <f>COUNTIF(Tabla1[[#This Row],[ENERO ]:[DICIEMBRE]],0)-(AQ441)-IF(Tabla1[[#This Row],[BAJAS]]="BAJA",IF(Tabla1[[#This Row],[ALTAS]]="ALTA",VLOOKUP(Tabla1[[#This Row],[MES DE ALTA ]],$AT$6:$AU$17,2,FALSE),12)-VLOOKUP(Tabla1[[#This Row],[MES DE BAJA ]],$AT$6:$AU$17,2,FALSE),0)</f>
        <v>12</v>
      </c>
      <c r="Y441" s="69">
        <f>SUM(Tabla1[[#This Row],[MES ADEUDO DE AÑOS PASADOS ]:[MESES DE ADEUDO DEL AÑO EN CURSO ]])</f>
        <v>12</v>
      </c>
      <c r="Z441" s="15">
        <f>IF(Tabla1[[#This Row],[TIPO DE CONSUMIDOR]]="COMPLETO",W441*$T$2,W441*($T$2/2))</f>
        <v>0</v>
      </c>
      <c r="AA441" s="15">
        <f>IF(Tabla1[[#This Row],[TIPO DE CONSUMIDOR]]="COMPLETO",Tabla1[[#This Row],[MESES DE ADEUDO DEL AÑO EN CURSO ]]*$T$2,Tabla1[[#This Row],[MESES DE ADEUDO DEL AÑO EN CURSO ]]*($T$2/2))</f>
        <v>540</v>
      </c>
      <c r="AB441" s="70">
        <f>SUM(Tabla1[[#This Row],[DEUDA DE LOS MESES PASADOS EN $$]:[DEUDA DEL AÑO 2013 $$ ]])</f>
        <v>540</v>
      </c>
      <c r="AE441" s="103">
        <f>IF(Tabla1[[#This Row],[TIPO DE CONSUMIDOR]]="MEDIO",IF(Tabla1[[#This Row],[ENERO ]]&gt;22.5,Tabla1[[#This Row],[ENERO ]]/22.5-1,0),IF(Tabla1[[#This Row],[ENERO ]]&gt;45,Tabla1[[#This Row],[ENERO ]]/45-1,0))</f>
        <v>0</v>
      </c>
      <c r="AF44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1" s="103">
        <f>IF(Tabla1[[#This Row],[TIPO DE CONSUMIDOR]]="MEDIO",IF(Tabla1[[#This Row],[MARZO]]&gt;22.5,Tabla1[[#This Row],[MARZO]]/22.5-1,0),IF(Tabla1[[#This Row],[MARZO]]&gt;45,Tabla1[[#This Row],[MARZO]]/45-1,0))</f>
        <v>0</v>
      </c>
      <c r="AH441" s="103">
        <f>IF(Tabla1[[#This Row],[TIPO DE CONSUMIDOR]]="MEDIO",IF(Tabla1[[#This Row],[ABRIL]]&gt;22.5,Tabla1[[#This Row],[ABRIL]]/22.5-1,0),IF(Tabla1[[#This Row],[ABRIL]]&gt;45,Tabla1[[#This Row],[ABRIL]]/45-1,0))</f>
        <v>0</v>
      </c>
      <c r="AI441" s="103">
        <f>IF(Tabla1[[#This Row],[TIPO DE CONSUMIDOR]]="MEDIO",IF(Tabla1[[#This Row],[MAYO ]]&gt;22.5,Tabla1[[#This Row],[MAYO ]]/22.5-1,0),IF(Tabla1[[#This Row],[MAYO ]]&gt;45,Tabla1[[#This Row],[MAYO ]]/45-1,0))</f>
        <v>0</v>
      </c>
      <c r="AJ441" s="103">
        <f>IF(Tabla1[[#This Row],[TIPO DE CONSUMIDOR]]="MEDIO",IF(Tabla1[[#This Row],[JUNIO ]]&gt;22.5,Tabla1[[#This Row],[JUNIO ]]/22.5-1,0),IF(Tabla1[[#This Row],[JUNIO ]]&gt;45,Tabla1[[#This Row],[JUNIO ]]/45-1,0))</f>
        <v>0</v>
      </c>
      <c r="AK441" s="103">
        <f>IF(Tabla1[[#This Row],[TIPO DE CONSUMIDOR]]="MEDIO",IF(Tabla1[[#This Row],[JULIO ]]&gt;22.5,Tabla1[[#This Row],[JULIO ]]/22.5-1,0),IF(Tabla1[[#This Row],[JULIO ]]&gt;45,Tabla1[[#This Row],[JULIO ]]/45-1,0))</f>
        <v>0</v>
      </c>
      <c r="AL441" s="103">
        <f>IF(Tabla1[[#This Row],[TIPO DE CONSUMIDOR]]="MEDIO",IF(Tabla1[[#This Row],[AGOSTO]]&gt;22.5,Tabla1[[#This Row],[AGOSTO]]/22.5-1,0),IF(Tabla1[[#This Row],[AGOSTO]]&gt;45,Tabla1[[#This Row],[AGOSTO]]/45-1,0))</f>
        <v>0</v>
      </c>
      <c r="AM44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1" s="104">
        <f t="shared" si="14"/>
        <v>0</v>
      </c>
      <c r="AR441" s="9">
        <f t="shared" si="13"/>
        <v>1</v>
      </c>
      <c r="AS441" s="60">
        <f>IF(Tabla1[[#This Row],[MESES DE ADEUDO DEL AÑO EN CURSO ]]&gt;0,1,0)</f>
        <v>1</v>
      </c>
      <c r="AT441" s="42"/>
      <c r="AU441" s="42"/>
      <c r="AV441" s="42"/>
      <c r="AW441" s="43"/>
    </row>
    <row r="442" spans="1:49" ht="21.75" thickBot="1" x14ac:dyDescent="0.35">
      <c r="A442" s="109">
        <v>436</v>
      </c>
      <c r="B442" s="5" t="s">
        <v>392</v>
      </c>
      <c r="C442" s="2" t="s">
        <v>575</v>
      </c>
      <c r="D442" s="32"/>
      <c r="E442" s="36" t="s">
        <v>455</v>
      </c>
      <c r="F442" s="34">
        <v>0</v>
      </c>
      <c r="G442" s="34">
        <v>0</v>
      </c>
      <c r="H442" s="34">
        <v>0</v>
      </c>
      <c r="I442" s="34">
        <v>0</v>
      </c>
      <c r="J442" s="34">
        <v>0</v>
      </c>
      <c r="K442" s="34">
        <v>0</v>
      </c>
      <c r="L442" s="34">
        <v>0</v>
      </c>
      <c r="M442" s="34">
        <v>0</v>
      </c>
      <c r="N442" s="34">
        <v>0</v>
      </c>
      <c r="O442" s="34">
        <v>0</v>
      </c>
      <c r="P442" s="34">
        <v>0</v>
      </c>
      <c r="Q442" s="34">
        <v>0</v>
      </c>
      <c r="R442" s="24">
        <f>SUM(Tabla1[[#This Row],[ENERO ]:[DICIEMBRE]])</f>
        <v>0</v>
      </c>
      <c r="W442" s="65">
        <v>0</v>
      </c>
      <c r="X442" s="21">
        <f>COUNTIF(Tabla1[[#This Row],[ENERO ]:[DICIEMBRE]],0)-(AQ442)-IF(Tabla1[[#This Row],[BAJAS]]="BAJA",IF(Tabla1[[#This Row],[ALTAS]]="ALTA",VLOOKUP(Tabla1[[#This Row],[MES DE ALTA ]],$AT$6:$AU$17,2,FALSE),12)-VLOOKUP(Tabla1[[#This Row],[MES DE BAJA ]],$AT$6:$AU$17,2,FALSE),0)</f>
        <v>12</v>
      </c>
      <c r="Y442" s="69">
        <f>SUM(Tabla1[[#This Row],[MES ADEUDO DE AÑOS PASADOS ]:[MESES DE ADEUDO DEL AÑO EN CURSO ]])</f>
        <v>12</v>
      </c>
      <c r="Z442" s="15">
        <f>IF(Tabla1[[#This Row],[TIPO DE CONSUMIDOR]]="COMPLETO",W442*$T$2,W442*($T$2/2))</f>
        <v>0</v>
      </c>
      <c r="AA442" s="15">
        <f>IF(Tabla1[[#This Row],[TIPO DE CONSUMIDOR]]="COMPLETO",Tabla1[[#This Row],[MESES DE ADEUDO DEL AÑO EN CURSO ]]*$T$2,Tabla1[[#This Row],[MESES DE ADEUDO DEL AÑO EN CURSO ]]*($T$2/2))</f>
        <v>540</v>
      </c>
      <c r="AB442" s="70">
        <f>SUM(Tabla1[[#This Row],[DEUDA DE LOS MESES PASADOS EN $$]:[DEUDA DEL AÑO 2013 $$ ]])</f>
        <v>540</v>
      </c>
      <c r="AE442" s="103">
        <f>IF(Tabla1[[#This Row],[TIPO DE CONSUMIDOR]]="MEDIO",IF(Tabla1[[#This Row],[ENERO ]]&gt;22.5,Tabla1[[#This Row],[ENERO ]]/22.5-1,0),IF(Tabla1[[#This Row],[ENERO ]]&gt;45,Tabla1[[#This Row],[ENERO ]]/45-1,0))</f>
        <v>0</v>
      </c>
      <c r="AF44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2" s="103">
        <f>IF(Tabla1[[#This Row],[TIPO DE CONSUMIDOR]]="MEDIO",IF(Tabla1[[#This Row],[MARZO]]&gt;22.5,Tabla1[[#This Row],[MARZO]]/22.5-1,0),IF(Tabla1[[#This Row],[MARZO]]&gt;45,Tabla1[[#This Row],[MARZO]]/45-1,0))</f>
        <v>0</v>
      </c>
      <c r="AH442" s="103">
        <f>IF(Tabla1[[#This Row],[TIPO DE CONSUMIDOR]]="MEDIO",IF(Tabla1[[#This Row],[ABRIL]]&gt;22.5,Tabla1[[#This Row],[ABRIL]]/22.5-1,0),IF(Tabla1[[#This Row],[ABRIL]]&gt;45,Tabla1[[#This Row],[ABRIL]]/45-1,0))</f>
        <v>0</v>
      </c>
      <c r="AI442" s="103">
        <f>IF(Tabla1[[#This Row],[TIPO DE CONSUMIDOR]]="MEDIO",IF(Tabla1[[#This Row],[MAYO ]]&gt;22.5,Tabla1[[#This Row],[MAYO ]]/22.5-1,0),IF(Tabla1[[#This Row],[MAYO ]]&gt;45,Tabla1[[#This Row],[MAYO ]]/45-1,0))</f>
        <v>0</v>
      </c>
      <c r="AJ442" s="103">
        <f>IF(Tabla1[[#This Row],[TIPO DE CONSUMIDOR]]="MEDIO",IF(Tabla1[[#This Row],[JUNIO ]]&gt;22.5,Tabla1[[#This Row],[JUNIO ]]/22.5-1,0),IF(Tabla1[[#This Row],[JUNIO ]]&gt;45,Tabla1[[#This Row],[JUNIO ]]/45-1,0))</f>
        <v>0</v>
      </c>
      <c r="AK442" s="103">
        <f>IF(Tabla1[[#This Row],[TIPO DE CONSUMIDOR]]="MEDIO",IF(Tabla1[[#This Row],[JULIO ]]&gt;22.5,Tabla1[[#This Row],[JULIO ]]/22.5-1,0),IF(Tabla1[[#This Row],[JULIO ]]&gt;45,Tabla1[[#This Row],[JULIO ]]/45-1,0))</f>
        <v>0</v>
      </c>
      <c r="AL442" s="103">
        <f>IF(Tabla1[[#This Row],[TIPO DE CONSUMIDOR]]="MEDIO",IF(Tabla1[[#This Row],[AGOSTO]]&gt;22.5,Tabla1[[#This Row],[AGOSTO]]/22.5-1,0),IF(Tabla1[[#This Row],[AGOSTO]]&gt;45,Tabla1[[#This Row],[AGOSTO]]/45-1,0))</f>
        <v>0</v>
      </c>
      <c r="AM44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2" s="104">
        <f t="shared" si="14"/>
        <v>0</v>
      </c>
      <c r="AR442" s="9">
        <f t="shared" si="13"/>
        <v>1</v>
      </c>
      <c r="AS442" s="60">
        <f>IF(Tabla1[[#This Row],[MESES DE ADEUDO DEL AÑO EN CURSO ]]&gt;0,1,0)</f>
        <v>1</v>
      </c>
      <c r="AT442" s="42"/>
      <c r="AU442" s="42"/>
      <c r="AV442" s="42"/>
      <c r="AW442" s="43"/>
    </row>
    <row r="443" spans="1:49" ht="21.75" thickBot="1" x14ac:dyDescent="0.35">
      <c r="A443" s="109">
        <v>437</v>
      </c>
      <c r="B443" s="5" t="s">
        <v>422</v>
      </c>
      <c r="C443" s="2" t="s">
        <v>575</v>
      </c>
      <c r="D443" s="32"/>
      <c r="E443" s="36" t="s">
        <v>455</v>
      </c>
      <c r="F443" s="34">
        <v>0</v>
      </c>
      <c r="G443" s="34">
        <v>0</v>
      </c>
      <c r="H443" s="34">
        <v>0</v>
      </c>
      <c r="I443" s="34">
        <v>0</v>
      </c>
      <c r="J443" s="34">
        <v>0</v>
      </c>
      <c r="K443" s="34">
        <v>0</v>
      </c>
      <c r="L443" s="34">
        <v>0</v>
      </c>
      <c r="M443" s="34">
        <v>0</v>
      </c>
      <c r="N443" s="34">
        <v>0</v>
      </c>
      <c r="O443" s="34">
        <v>0</v>
      </c>
      <c r="P443" s="34">
        <v>0</v>
      </c>
      <c r="Q443" s="34">
        <v>0</v>
      </c>
      <c r="R443" s="24">
        <f>SUM(Tabla1[[#This Row],[ENERO ]:[DICIEMBRE]])</f>
        <v>0</v>
      </c>
      <c r="W443" s="65">
        <v>0</v>
      </c>
      <c r="X443" s="21">
        <f>COUNTIF(Tabla1[[#This Row],[ENERO ]:[DICIEMBRE]],0)-(AQ443)-IF(Tabla1[[#This Row],[BAJAS]]="BAJA",IF(Tabla1[[#This Row],[ALTAS]]="ALTA",VLOOKUP(Tabla1[[#This Row],[MES DE ALTA ]],$AT$6:$AU$17,2,FALSE),12)-VLOOKUP(Tabla1[[#This Row],[MES DE BAJA ]],$AT$6:$AU$17,2,FALSE),0)</f>
        <v>12</v>
      </c>
      <c r="Y443" s="69">
        <f>SUM(Tabla1[[#This Row],[MES ADEUDO DE AÑOS PASADOS ]:[MESES DE ADEUDO DEL AÑO EN CURSO ]])</f>
        <v>12</v>
      </c>
      <c r="Z443" s="15">
        <f>IF(Tabla1[[#This Row],[TIPO DE CONSUMIDOR]]="COMPLETO",W443*$T$2,W443*($T$2/2))</f>
        <v>0</v>
      </c>
      <c r="AA443" s="15">
        <f>IF(Tabla1[[#This Row],[TIPO DE CONSUMIDOR]]="COMPLETO",Tabla1[[#This Row],[MESES DE ADEUDO DEL AÑO EN CURSO ]]*$T$2,Tabla1[[#This Row],[MESES DE ADEUDO DEL AÑO EN CURSO ]]*($T$2/2))</f>
        <v>540</v>
      </c>
      <c r="AB443" s="70">
        <f>SUM(Tabla1[[#This Row],[DEUDA DE LOS MESES PASADOS EN $$]:[DEUDA DEL AÑO 2013 $$ ]])</f>
        <v>540</v>
      </c>
      <c r="AE443" s="103">
        <f>IF(Tabla1[[#This Row],[TIPO DE CONSUMIDOR]]="MEDIO",IF(Tabla1[[#This Row],[ENERO ]]&gt;22.5,Tabla1[[#This Row],[ENERO ]]/22.5-1,0),IF(Tabla1[[#This Row],[ENERO ]]&gt;45,Tabla1[[#This Row],[ENERO ]]/45-1,0))</f>
        <v>0</v>
      </c>
      <c r="AF44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3" s="103">
        <f>IF(Tabla1[[#This Row],[TIPO DE CONSUMIDOR]]="MEDIO",IF(Tabla1[[#This Row],[MARZO]]&gt;22.5,Tabla1[[#This Row],[MARZO]]/22.5-1,0),IF(Tabla1[[#This Row],[MARZO]]&gt;45,Tabla1[[#This Row],[MARZO]]/45-1,0))</f>
        <v>0</v>
      </c>
      <c r="AH443" s="103">
        <f>IF(Tabla1[[#This Row],[TIPO DE CONSUMIDOR]]="MEDIO",IF(Tabla1[[#This Row],[ABRIL]]&gt;22.5,Tabla1[[#This Row],[ABRIL]]/22.5-1,0),IF(Tabla1[[#This Row],[ABRIL]]&gt;45,Tabla1[[#This Row],[ABRIL]]/45-1,0))</f>
        <v>0</v>
      </c>
      <c r="AI443" s="103">
        <f>IF(Tabla1[[#This Row],[TIPO DE CONSUMIDOR]]="MEDIO",IF(Tabla1[[#This Row],[MAYO ]]&gt;22.5,Tabla1[[#This Row],[MAYO ]]/22.5-1,0),IF(Tabla1[[#This Row],[MAYO ]]&gt;45,Tabla1[[#This Row],[MAYO ]]/45-1,0))</f>
        <v>0</v>
      </c>
      <c r="AJ443" s="103">
        <f>IF(Tabla1[[#This Row],[TIPO DE CONSUMIDOR]]="MEDIO",IF(Tabla1[[#This Row],[JUNIO ]]&gt;22.5,Tabla1[[#This Row],[JUNIO ]]/22.5-1,0),IF(Tabla1[[#This Row],[JUNIO ]]&gt;45,Tabla1[[#This Row],[JUNIO ]]/45-1,0))</f>
        <v>0</v>
      </c>
      <c r="AK443" s="103">
        <f>IF(Tabla1[[#This Row],[TIPO DE CONSUMIDOR]]="MEDIO",IF(Tabla1[[#This Row],[JULIO ]]&gt;22.5,Tabla1[[#This Row],[JULIO ]]/22.5-1,0),IF(Tabla1[[#This Row],[JULIO ]]&gt;45,Tabla1[[#This Row],[JULIO ]]/45-1,0))</f>
        <v>0</v>
      </c>
      <c r="AL443" s="103">
        <f>IF(Tabla1[[#This Row],[TIPO DE CONSUMIDOR]]="MEDIO",IF(Tabla1[[#This Row],[AGOSTO]]&gt;22.5,Tabla1[[#This Row],[AGOSTO]]/22.5-1,0),IF(Tabla1[[#This Row],[AGOSTO]]&gt;45,Tabla1[[#This Row],[AGOSTO]]/45-1,0))</f>
        <v>0</v>
      </c>
      <c r="AM44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3" s="104">
        <f t="shared" si="14"/>
        <v>0</v>
      </c>
      <c r="AR443" s="9">
        <f t="shared" si="13"/>
        <v>1</v>
      </c>
      <c r="AS443" s="60">
        <f>IF(Tabla1[[#This Row],[MESES DE ADEUDO DEL AÑO EN CURSO ]]&gt;0,1,0)</f>
        <v>1</v>
      </c>
      <c r="AT443" s="42"/>
      <c r="AU443" s="42"/>
      <c r="AV443" s="42"/>
      <c r="AW443" s="43"/>
    </row>
    <row r="444" spans="1:49" ht="21.75" thickBot="1" x14ac:dyDescent="0.35">
      <c r="A444" s="109">
        <v>438</v>
      </c>
      <c r="B444" s="5" t="s">
        <v>236</v>
      </c>
      <c r="C444" s="2"/>
      <c r="D444" s="32"/>
      <c r="E444" s="36" t="s">
        <v>455</v>
      </c>
      <c r="F444" s="34">
        <v>0</v>
      </c>
      <c r="G444" s="34">
        <v>0</v>
      </c>
      <c r="H444" s="34">
        <v>0</v>
      </c>
      <c r="I444" s="34">
        <v>0</v>
      </c>
      <c r="J444" s="34">
        <v>0</v>
      </c>
      <c r="K444" s="34">
        <v>0</v>
      </c>
      <c r="L444" s="34">
        <v>0</v>
      </c>
      <c r="M444" s="34">
        <v>0</v>
      </c>
      <c r="N444" s="34">
        <v>0</v>
      </c>
      <c r="O444" s="34">
        <v>0</v>
      </c>
      <c r="P444" s="34">
        <v>0</v>
      </c>
      <c r="Q444" s="34">
        <v>0</v>
      </c>
      <c r="R444" s="24">
        <f>SUM(Tabla1[[#This Row],[ENERO ]:[DICIEMBRE]])</f>
        <v>0</v>
      </c>
      <c r="W444" s="65">
        <v>0</v>
      </c>
      <c r="X444" s="21">
        <f>COUNTIF(Tabla1[[#This Row],[ENERO ]:[DICIEMBRE]],0)-(AQ444)-IF(Tabla1[[#This Row],[BAJAS]]="BAJA",IF(Tabla1[[#This Row],[ALTAS]]="ALTA",VLOOKUP(Tabla1[[#This Row],[MES DE ALTA ]],$AT$6:$AU$17,2,FALSE),12)-VLOOKUP(Tabla1[[#This Row],[MES DE BAJA ]],$AT$6:$AU$17,2,FALSE),0)</f>
        <v>12</v>
      </c>
      <c r="Y444" s="69">
        <f>SUM(Tabla1[[#This Row],[MES ADEUDO DE AÑOS PASADOS ]:[MESES DE ADEUDO DEL AÑO EN CURSO ]])</f>
        <v>12</v>
      </c>
      <c r="Z444" s="15">
        <f>IF(Tabla1[[#This Row],[TIPO DE CONSUMIDOR]]="COMPLETO",W444*$T$2,W444*($T$2/2))</f>
        <v>0</v>
      </c>
      <c r="AA444" s="15">
        <f>IF(Tabla1[[#This Row],[TIPO DE CONSUMIDOR]]="COMPLETO",Tabla1[[#This Row],[MESES DE ADEUDO DEL AÑO EN CURSO ]]*$T$2,Tabla1[[#This Row],[MESES DE ADEUDO DEL AÑO EN CURSO ]]*($T$2/2))</f>
        <v>540</v>
      </c>
      <c r="AB444" s="70">
        <f>SUM(Tabla1[[#This Row],[DEUDA DE LOS MESES PASADOS EN $$]:[DEUDA DEL AÑO 2013 $$ ]])</f>
        <v>540</v>
      </c>
      <c r="AE444" s="103">
        <f>IF(Tabla1[[#This Row],[TIPO DE CONSUMIDOR]]="MEDIO",IF(Tabla1[[#This Row],[ENERO ]]&gt;22.5,Tabla1[[#This Row],[ENERO ]]/22.5-1,0),IF(Tabla1[[#This Row],[ENERO ]]&gt;45,Tabla1[[#This Row],[ENERO ]]/45-1,0))</f>
        <v>0</v>
      </c>
      <c r="AF44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4" s="103">
        <f>IF(Tabla1[[#This Row],[TIPO DE CONSUMIDOR]]="MEDIO",IF(Tabla1[[#This Row],[MARZO]]&gt;22.5,Tabla1[[#This Row],[MARZO]]/22.5-1,0),IF(Tabla1[[#This Row],[MARZO]]&gt;45,Tabla1[[#This Row],[MARZO]]/45-1,0))</f>
        <v>0</v>
      </c>
      <c r="AH444" s="103">
        <f>IF(Tabla1[[#This Row],[TIPO DE CONSUMIDOR]]="MEDIO",IF(Tabla1[[#This Row],[ABRIL]]&gt;22.5,Tabla1[[#This Row],[ABRIL]]/22.5-1,0),IF(Tabla1[[#This Row],[ABRIL]]&gt;45,Tabla1[[#This Row],[ABRIL]]/45-1,0))</f>
        <v>0</v>
      </c>
      <c r="AI444" s="103">
        <f>IF(Tabla1[[#This Row],[TIPO DE CONSUMIDOR]]="MEDIO",IF(Tabla1[[#This Row],[MAYO ]]&gt;22.5,Tabla1[[#This Row],[MAYO ]]/22.5-1,0),IF(Tabla1[[#This Row],[MAYO ]]&gt;45,Tabla1[[#This Row],[MAYO ]]/45-1,0))</f>
        <v>0</v>
      </c>
      <c r="AJ444" s="103">
        <f>IF(Tabla1[[#This Row],[TIPO DE CONSUMIDOR]]="MEDIO",IF(Tabla1[[#This Row],[JUNIO ]]&gt;22.5,Tabla1[[#This Row],[JUNIO ]]/22.5-1,0),IF(Tabla1[[#This Row],[JUNIO ]]&gt;45,Tabla1[[#This Row],[JUNIO ]]/45-1,0))</f>
        <v>0</v>
      </c>
      <c r="AK444" s="103">
        <f>IF(Tabla1[[#This Row],[TIPO DE CONSUMIDOR]]="MEDIO",IF(Tabla1[[#This Row],[JULIO ]]&gt;22.5,Tabla1[[#This Row],[JULIO ]]/22.5-1,0),IF(Tabla1[[#This Row],[JULIO ]]&gt;45,Tabla1[[#This Row],[JULIO ]]/45-1,0))</f>
        <v>0</v>
      </c>
      <c r="AL444" s="103">
        <f>IF(Tabla1[[#This Row],[TIPO DE CONSUMIDOR]]="MEDIO",IF(Tabla1[[#This Row],[AGOSTO]]&gt;22.5,Tabla1[[#This Row],[AGOSTO]]/22.5-1,0),IF(Tabla1[[#This Row],[AGOSTO]]&gt;45,Tabla1[[#This Row],[AGOSTO]]/45-1,0))</f>
        <v>0</v>
      </c>
      <c r="AM44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4" s="104">
        <f t="shared" si="14"/>
        <v>0</v>
      </c>
      <c r="AR444" s="9">
        <f t="shared" si="13"/>
        <v>1</v>
      </c>
      <c r="AS444" s="60">
        <f>IF(Tabla1[[#This Row],[MESES DE ADEUDO DEL AÑO EN CURSO ]]&gt;0,1,0)</f>
        <v>1</v>
      </c>
      <c r="AT444" s="42"/>
      <c r="AU444" s="42"/>
      <c r="AV444" s="42"/>
      <c r="AW444" s="43"/>
    </row>
    <row r="445" spans="1:49" ht="21.75" thickBot="1" x14ac:dyDescent="0.35">
      <c r="A445" s="109">
        <v>439</v>
      </c>
      <c r="B445" s="5" t="s">
        <v>210</v>
      </c>
      <c r="C445" s="2"/>
      <c r="D445" s="32"/>
      <c r="E445" s="36" t="s">
        <v>455</v>
      </c>
      <c r="F445" s="34">
        <v>0</v>
      </c>
      <c r="G445" s="34">
        <v>0</v>
      </c>
      <c r="H445" s="34">
        <v>0</v>
      </c>
      <c r="I445" s="34">
        <v>0</v>
      </c>
      <c r="J445" s="34">
        <v>0</v>
      </c>
      <c r="K445" s="34">
        <v>0</v>
      </c>
      <c r="L445" s="34">
        <v>0</v>
      </c>
      <c r="M445" s="34">
        <v>0</v>
      </c>
      <c r="N445" s="34">
        <v>0</v>
      </c>
      <c r="O445" s="34">
        <v>0</v>
      </c>
      <c r="P445" s="34">
        <v>0</v>
      </c>
      <c r="Q445" s="34">
        <v>0</v>
      </c>
      <c r="R445" s="24">
        <f>SUM(Tabla1[[#This Row],[ENERO ]:[DICIEMBRE]])</f>
        <v>0</v>
      </c>
      <c r="W445" s="66">
        <v>0</v>
      </c>
      <c r="X445" s="21">
        <f>COUNTIF(Tabla1[[#This Row],[ENERO ]:[DICIEMBRE]],0)-(AQ445)-IF(Tabla1[[#This Row],[BAJAS]]="BAJA",IF(Tabla1[[#This Row],[ALTAS]]="ALTA",VLOOKUP(Tabla1[[#This Row],[MES DE ALTA ]],$AT$6:$AU$17,2,FALSE),12)-VLOOKUP(Tabla1[[#This Row],[MES DE BAJA ]],$AT$6:$AU$17,2,FALSE),0)</f>
        <v>12</v>
      </c>
      <c r="Y445" s="69">
        <f>SUM(Tabla1[[#This Row],[MES ADEUDO DE AÑOS PASADOS ]:[MESES DE ADEUDO DEL AÑO EN CURSO ]])</f>
        <v>12</v>
      </c>
      <c r="Z445" s="15">
        <f>IF(Tabla1[[#This Row],[TIPO DE CONSUMIDOR]]="COMPLETO",W445*$T$2,W445*($T$2/2))</f>
        <v>0</v>
      </c>
      <c r="AA445" s="15">
        <f>IF(Tabla1[[#This Row],[TIPO DE CONSUMIDOR]]="COMPLETO",Tabla1[[#This Row],[MESES DE ADEUDO DEL AÑO EN CURSO ]]*$T$2,Tabla1[[#This Row],[MESES DE ADEUDO DEL AÑO EN CURSO ]]*($T$2/2))</f>
        <v>540</v>
      </c>
      <c r="AB445" s="70">
        <f>SUM(Tabla1[[#This Row],[DEUDA DE LOS MESES PASADOS EN $$]:[DEUDA DEL AÑO 2013 $$ ]])</f>
        <v>540</v>
      </c>
      <c r="AE445" s="103">
        <f>IF(Tabla1[[#This Row],[TIPO DE CONSUMIDOR]]="MEDIO",IF(Tabla1[[#This Row],[ENERO ]]&gt;22.5,Tabla1[[#This Row],[ENERO ]]/22.5-1,0),IF(Tabla1[[#This Row],[ENERO ]]&gt;45,Tabla1[[#This Row],[ENERO ]]/45-1,0))</f>
        <v>0</v>
      </c>
      <c r="AF44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5" s="103">
        <f>IF(Tabla1[[#This Row],[TIPO DE CONSUMIDOR]]="MEDIO",IF(Tabla1[[#This Row],[MARZO]]&gt;22.5,Tabla1[[#This Row],[MARZO]]/22.5-1,0),IF(Tabla1[[#This Row],[MARZO]]&gt;45,Tabla1[[#This Row],[MARZO]]/45-1,0))</f>
        <v>0</v>
      </c>
      <c r="AH445" s="103">
        <f>IF(Tabla1[[#This Row],[TIPO DE CONSUMIDOR]]="MEDIO",IF(Tabla1[[#This Row],[ABRIL]]&gt;22.5,Tabla1[[#This Row],[ABRIL]]/22.5-1,0),IF(Tabla1[[#This Row],[ABRIL]]&gt;45,Tabla1[[#This Row],[ABRIL]]/45-1,0))</f>
        <v>0</v>
      </c>
      <c r="AI445" s="103">
        <f>IF(Tabla1[[#This Row],[TIPO DE CONSUMIDOR]]="MEDIO",IF(Tabla1[[#This Row],[MAYO ]]&gt;22.5,Tabla1[[#This Row],[MAYO ]]/22.5-1,0),IF(Tabla1[[#This Row],[MAYO ]]&gt;45,Tabla1[[#This Row],[MAYO ]]/45-1,0))</f>
        <v>0</v>
      </c>
      <c r="AJ445" s="103">
        <f>IF(Tabla1[[#This Row],[TIPO DE CONSUMIDOR]]="MEDIO",IF(Tabla1[[#This Row],[JUNIO ]]&gt;22.5,Tabla1[[#This Row],[JUNIO ]]/22.5-1,0),IF(Tabla1[[#This Row],[JUNIO ]]&gt;45,Tabla1[[#This Row],[JUNIO ]]/45-1,0))</f>
        <v>0</v>
      </c>
      <c r="AK445" s="103">
        <f>IF(Tabla1[[#This Row],[TIPO DE CONSUMIDOR]]="MEDIO",IF(Tabla1[[#This Row],[JULIO ]]&gt;22.5,Tabla1[[#This Row],[JULIO ]]/22.5-1,0),IF(Tabla1[[#This Row],[JULIO ]]&gt;45,Tabla1[[#This Row],[JULIO ]]/45-1,0))</f>
        <v>0</v>
      </c>
      <c r="AL445" s="103">
        <f>IF(Tabla1[[#This Row],[TIPO DE CONSUMIDOR]]="MEDIO",IF(Tabla1[[#This Row],[AGOSTO]]&gt;22.5,Tabla1[[#This Row],[AGOSTO]]/22.5-1,0),IF(Tabla1[[#This Row],[AGOSTO]]&gt;45,Tabla1[[#This Row],[AGOSTO]]/45-1,0))</f>
        <v>0</v>
      </c>
      <c r="AM44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5" s="104">
        <f t="shared" si="14"/>
        <v>0</v>
      </c>
      <c r="AR445" s="9">
        <f t="shared" si="13"/>
        <v>1</v>
      </c>
      <c r="AS445" s="60">
        <f>IF(Tabla1[[#This Row],[MESES DE ADEUDO DEL AÑO EN CURSO ]]&gt;0,1,0)</f>
        <v>1</v>
      </c>
      <c r="AT445" s="42"/>
      <c r="AU445" s="42"/>
      <c r="AV445" s="42"/>
      <c r="AW445" s="43"/>
    </row>
    <row r="446" spans="1:49" ht="21.75" thickBot="1" x14ac:dyDescent="0.35">
      <c r="A446" s="109">
        <v>440</v>
      </c>
      <c r="B446" s="5" t="s">
        <v>213</v>
      </c>
      <c r="C446" s="2"/>
      <c r="D446" s="32"/>
      <c r="E446" s="36" t="s">
        <v>455</v>
      </c>
      <c r="F446" s="34">
        <v>0</v>
      </c>
      <c r="G446" s="34">
        <v>0</v>
      </c>
      <c r="H446" s="34">
        <v>0</v>
      </c>
      <c r="I446" s="34">
        <v>0</v>
      </c>
      <c r="J446" s="34">
        <v>0</v>
      </c>
      <c r="K446" s="34">
        <v>0</v>
      </c>
      <c r="L446" s="34">
        <v>0</v>
      </c>
      <c r="M446" s="34">
        <v>0</v>
      </c>
      <c r="N446" s="34">
        <v>0</v>
      </c>
      <c r="O446" s="34">
        <v>0</v>
      </c>
      <c r="P446" s="34">
        <v>0</v>
      </c>
      <c r="Q446" s="34">
        <v>0</v>
      </c>
      <c r="R446" s="24">
        <f>SUM(Tabla1[[#This Row],[ENERO ]:[DICIEMBRE]])</f>
        <v>0</v>
      </c>
      <c r="W446" s="65">
        <v>0</v>
      </c>
      <c r="X446" s="21">
        <f>COUNTIF(Tabla1[[#This Row],[ENERO ]:[DICIEMBRE]],0)-(AQ446)-IF(Tabla1[[#This Row],[BAJAS]]="BAJA",IF(Tabla1[[#This Row],[ALTAS]]="ALTA",VLOOKUP(Tabla1[[#This Row],[MES DE ALTA ]],$AT$6:$AU$17,2,FALSE),12)-VLOOKUP(Tabla1[[#This Row],[MES DE BAJA ]],$AT$6:$AU$17,2,FALSE),0)</f>
        <v>12</v>
      </c>
      <c r="Y446" s="69">
        <f>SUM(Tabla1[[#This Row],[MES ADEUDO DE AÑOS PASADOS ]:[MESES DE ADEUDO DEL AÑO EN CURSO ]])</f>
        <v>12</v>
      </c>
      <c r="Z446" s="15">
        <f>IF(Tabla1[[#This Row],[TIPO DE CONSUMIDOR]]="COMPLETO",W446*$T$2,W446*($T$2/2))</f>
        <v>0</v>
      </c>
      <c r="AA446" s="15">
        <f>IF(Tabla1[[#This Row],[TIPO DE CONSUMIDOR]]="COMPLETO",Tabla1[[#This Row],[MESES DE ADEUDO DEL AÑO EN CURSO ]]*$T$2,Tabla1[[#This Row],[MESES DE ADEUDO DEL AÑO EN CURSO ]]*($T$2/2))</f>
        <v>540</v>
      </c>
      <c r="AB446" s="70">
        <f>SUM(Tabla1[[#This Row],[DEUDA DE LOS MESES PASADOS EN $$]:[DEUDA DEL AÑO 2013 $$ ]])</f>
        <v>540</v>
      </c>
      <c r="AE446" s="103">
        <f>IF(Tabla1[[#This Row],[TIPO DE CONSUMIDOR]]="MEDIO",IF(Tabla1[[#This Row],[ENERO ]]&gt;22.5,Tabla1[[#This Row],[ENERO ]]/22.5-1,0),IF(Tabla1[[#This Row],[ENERO ]]&gt;45,Tabla1[[#This Row],[ENERO ]]/45-1,0))</f>
        <v>0</v>
      </c>
      <c r="AF44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6" s="103">
        <f>IF(Tabla1[[#This Row],[TIPO DE CONSUMIDOR]]="MEDIO",IF(Tabla1[[#This Row],[MARZO]]&gt;22.5,Tabla1[[#This Row],[MARZO]]/22.5-1,0),IF(Tabla1[[#This Row],[MARZO]]&gt;45,Tabla1[[#This Row],[MARZO]]/45-1,0))</f>
        <v>0</v>
      </c>
      <c r="AH446" s="103">
        <f>IF(Tabla1[[#This Row],[TIPO DE CONSUMIDOR]]="MEDIO",IF(Tabla1[[#This Row],[ABRIL]]&gt;22.5,Tabla1[[#This Row],[ABRIL]]/22.5-1,0),IF(Tabla1[[#This Row],[ABRIL]]&gt;45,Tabla1[[#This Row],[ABRIL]]/45-1,0))</f>
        <v>0</v>
      </c>
      <c r="AI446" s="103">
        <f>IF(Tabla1[[#This Row],[TIPO DE CONSUMIDOR]]="MEDIO",IF(Tabla1[[#This Row],[MAYO ]]&gt;22.5,Tabla1[[#This Row],[MAYO ]]/22.5-1,0),IF(Tabla1[[#This Row],[MAYO ]]&gt;45,Tabla1[[#This Row],[MAYO ]]/45-1,0))</f>
        <v>0</v>
      </c>
      <c r="AJ446" s="103">
        <f>IF(Tabla1[[#This Row],[TIPO DE CONSUMIDOR]]="MEDIO",IF(Tabla1[[#This Row],[JUNIO ]]&gt;22.5,Tabla1[[#This Row],[JUNIO ]]/22.5-1,0),IF(Tabla1[[#This Row],[JUNIO ]]&gt;45,Tabla1[[#This Row],[JUNIO ]]/45-1,0))</f>
        <v>0</v>
      </c>
      <c r="AK446" s="103">
        <f>IF(Tabla1[[#This Row],[TIPO DE CONSUMIDOR]]="MEDIO",IF(Tabla1[[#This Row],[JULIO ]]&gt;22.5,Tabla1[[#This Row],[JULIO ]]/22.5-1,0),IF(Tabla1[[#This Row],[JULIO ]]&gt;45,Tabla1[[#This Row],[JULIO ]]/45-1,0))</f>
        <v>0</v>
      </c>
      <c r="AL446" s="103">
        <f>IF(Tabla1[[#This Row],[TIPO DE CONSUMIDOR]]="MEDIO",IF(Tabla1[[#This Row],[AGOSTO]]&gt;22.5,Tabla1[[#This Row],[AGOSTO]]/22.5-1,0),IF(Tabla1[[#This Row],[AGOSTO]]&gt;45,Tabla1[[#This Row],[AGOSTO]]/45-1,0))</f>
        <v>0</v>
      </c>
      <c r="AM44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6" s="104">
        <f t="shared" si="14"/>
        <v>0</v>
      </c>
      <c r="AR446" s="9">
        <f t="shared" si="13"/>
        <v>1</v>
      </c>
      <c r="AS446" s="60">
        <f>IF(Tabla1[[#This Row],[MESES DE ADEUDO DEL AÑO EN CURSO ]]&gt;0,1,0)</f>
        <v>1</v>
      </c>
      <c r="AT446" s="42"/>
      <c r="AU446" s="42"/>
      <c r="AV446" s="42"/>
      <c r="AW446" s="43"/>
    </row>
    <row r="447" spans="1:49" ht="21.75" thickBot="1" x14ac:dyDescent="0.35">
      <c r="A447" s="109">
        <v>441</v>
      </c>
      <c r="B447" s="5" t="s">
        <v>259</v>
      </c>
      <c r="C447" s="2"/>
      <c r="D447" s="32"/>
      <c r="E447" s="36" t="s">
        <v>455</v>
      </c>
      <c r="F447" s="34">
        <v>0</v>
      </c>
      <c r="G447" s="34">
        <v>0</v>
      </c>
      <c r="H447" s="34">
        <v>0</v>
      </c>
      <c r="I447" s="34">
        <v>0</v>
      </c>
      <c r="J447" s="34">
        <v>0</v>
      </c>
      <c r="K447" s="34">
        <v>0</v>
      </c>
      <c r="L447" s="34">
        <v>0</v>
      </c>
      <c r="M447" s="34">
        <v>0</v>
      </c>
      <c r="N447" s="34">
        <v>0</v>
      </c>
      <c r="O447" s="34">
        <v>0</v>
      </c>
      <c r="P447" s="34">
        <v>0</v>
      </c>
      <c r="Q447" s="34">
        <v>0</v>
      </c>
      <c r="R447" s="58">
        <f>SUM(Tabla1[[#This Row],[ENERO ]:[DICIEMBRE]])</f>
        <v>0</v>
      </c>
      <c r="W447" s="65">
        <v>0</v>
      </c>
      <c r="X447" s="21">
        <f>COUNTIF(Tabla1[[#This Row],[ENERO ]:[DICIEMBRE]],0)-(AQ447)-IF(Tabla1[[#This Row],[BAJAS]]="BAJA",IF(Tabla1[[#This Row],[ALTAS]]="ALTA",VLOOKUP(Tabla1[[#This Row],[MES DE ALTA ]],$AT$6:$AU$17,2,FALSE),12)-VLOOKUP(Tabla1[[#This Row],[MES DE BAJA ]],$AT$6:$AU$17,2,FALSE),0)</f>
        <v>12</v>
      </c>
      <c r="Y447" s="69">
        <f>SUM(Tabla1[[#This Row],[MES ADEUDO DE AÑOS PASADOS ]:[MESES DE ADEUDO DEL AÑO EN CURSO ]])</f>
        <v>12</v>
      </c>
      <c r="Z447" s="15">
        <f>IF(Tabla1[[#This Row],[TIPO DE CONSUMIDOR]]="COMPLETO",W447*$T$2,W447*($T$2/2))</f>
        <v>0</v>
      </c>
      <c r="AA447" s="15">
        <f>IF(Tabla1[[#This Row],[TIPO DE CONSUMIDOR]]="COMPLETO",Tabla1[[#This Row],[MESES DE ADEUDO DEL AÑO EN CURSO ]]*$T$2,Tabla1[[#This Row],[MESES DE ADEUDO DEL AÑO EN CURSO ]]*($T$2/2))</f>
        <v>540</v>
      </c>
      <c r="AB447" s="70">
        <f>SUM(Tabla1[[#This Row],[DEUDA DE LOS MESES PASADOS EN $$]:[DEUDA DEL AÑO 2013 $$ ]])</f>
        <v>540</v>
      </c>
      <c r="AE447" s="103">
        <f>IF(Tabla1[[#This Row],[TIPO DE CONSUMIDOR]]="MEDIO",IF(Tabla1[[#This Row],[ENERO ]]&gt;22.5,Tabla1[[#This Row],[ENERO ]]/22.5-1,0),IF(Tabla1[[#This Row],[ENERO ]]&gt;45,Tabla1[[#This Row],[ENERO ]]/45-1,0))</f>
        <v>0</v>
      </c>
      <c r="AF44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7" s="103">
        <f>IF(Tabla1[[#This Row],[TIPO DE CONSUMIDOR]]="MEDIO",IF(Tabla1[[#This Row],[MARZO]]&gt;22.5,Tabla1[[#This Row],[MARZO]]/22.5-1,0),IF(Tabla1[[#This Row],[MARZO]]&gt;45,Tabla1[[#This Row],[MARZO]]/45-1,0))</f>
        <v>0</v>
      </c>
      <c r="AH447" s="103">
        <f>IF(Tabla1[[#This Row],[TIPO DE CONSUMIDOR]]="MEDIO",IF(Tabla1[[#This Row],[ABRIL]]&gt;22.5,Tabla1[[#This Row],[ABRIL]]/22.5-1,0),IF(Tabla1[[#This Row],[ABRIL]]&gt;45,Tabla1[[#This Row],[ABRIL]]/45-1,0))</f>
        <v>0</v>
      </c>
      <c r="AI447" s="103">
        <f>IF(Tabla1[[#This Row],[TIPO DE CONSUMIDOR]]="MEDIO",IF(Tabla1[[#This Row],[MAYO ]]&gt;22.5,Tabla1[[#This Row],[MAYO ]]/22.5-1,0),IF(Tabla1[[#This Row],[MAYO ]]&gt;45,Tabla1[[#This Row],[MAYO ]]/45-1,0))</f>
        <v>0</v>
      </c>
      <c r="AJ447" s="103">
        <f>IF(Tabla1[[#This Row],[TIPO DE CONSUMIDOR]]="MEDIO",IF(Tabla1[[#This Row],[JUNIO ]]&gt;22.5,Tabla1[[#This Row],[JUNIO ]]/22.5-1,0),IF(Tabla1[[#This Row],[JUNIO ]]&gt;45,Tabla1[[#This Row],[JUNIO ]]/45-1,0))</f>
        <v>0</v>
      </c>
      <c r="AK447" s="103">
        <f>IF(Tabla1[[#This Row],[TIPO DE CONSUMIDOR]]="MEDIO",IF(Tabla1[[#This Row],[JULIO ]]&gt;22.5,Tabla1[[#This Row],[JULIO ]]/22.5-1,0),IF(Tabla1[[#This Row],[JULIO ]]&gt;45,Tabla1[[#This Row],[JULIO ]]/45-1,0))</f>
        <v>0</v>
      </c>
      <c r="AL447" s="103">
        <f>IF(Tabla1[[#This Row],[TIPO DE CONSUMIDOR]]="MEDIO",IF(Tabla1[[#This Row],[AGOSTO]]&gt;22.5,Tabla1[[#This Row],[AGOSTO]]/22.5-1,0),IF(Tabla1[[#This Row],[AGOSTO]]&gt;45,Tabla1[[#This Row],[AGOSTO]]/45-1,0))</f>
        <v>0</v>
      </c>
      <c r="AM44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7" s="104">
        <f t="shared" si="14"/>
        <v>0</v>
      </c>
      <c r="AR447" s="9">
        <f t="shared" si="13"/>
        <v>1</v>
      </c>
      <c r="AS447" s="60">
        <f>IF(Tabla1[[#This Row],[MESES DE ADEUDO DEL AÑO EN CURSO ]]&gt;0,1,0)</f>
        <v>1</v>
      </c>
      <c r="AT447" s="42"/>
      <c r="AU447" s="42"/>
      <c r="AV447" s="42"/>
      <c r="AW447" s="43"/>
    </row>
    <row r="448" spans="1:49" ht="21.75" thickBot="1" x14ac:dyDescent="0.35">
      <c r="A448" s="109">
        <v>442</v>
      </c>
      <c r="B448" s="5" t="s">
        <v>623</v>
      </c>
      <c r="C448" s="2"/>
      <c r="D448" s="32"/>
      <c r="E448" s="36" t="s">
        <v>489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24">
        <f>SUM(Tabla1[[#This Row],[ENERO ]:[DICIEMBRE]])</f>
        <v>0</v>
      </c>
      <c r="W448" s="65">
        <v>0</v>
      </c>
      <c r="X448" s="21">
        <f>COUNTIF(Tabla1[[#This Row],[ENERO ]:[DICIEMBRE]],0)-(AQ448)-IF(Tabla1[[#This Row],[BAJAS]]="BAJA",IF(Tabla1[[#This Row],[ALTAS]]="ALTA",VLOOKUP(Tabla1[[#This Row],[MES DE ALTA ]],$AT$6:$AU$17,2,FALSE),12)-VLOOKUP(Tabla1[[#This Row],[MES DE BAJA ]],$AT$6:$AU$17,2,FALSE),0)</f>
        <v>12</v>
      </c>
      <c r="Y448" s="69">
        <f>SUM(Tabla1[[#This Row],[MES ADEUDO DE AÑOS PASADOS ]:[MESES DE ADEUDO DEL AÑO EN CURSO ]])</f>
        <v>12</v>
      </c>
      <c r="Z448" s="15">
        <f>IF(Tabla1[[#This Row],[TIPO DE CONSUMIDOR]]="COMPLETO",W448*$T$2,W448*($T$2/2))</f>
        <v>0</v>
      </c>
      <c r="AA448" s="15">
        <f>IF(Tabla1[[#This Row],[TIPO DE CONSUMIDOR]]="COMPLETO",Tabla1[[#This Row],[MESES DE ADEUDO DEL AÑO EN CURSO ]]*$T$2,Tabla1[[#This Row],[MESES DE ADEUDO DEL AÑO EN CURSO ]]*($T$2/2))</f>
        <v>270</v>
      </c>
      <c r="AB448" s="70">
        <f>SUM(Tabla1[[#This Row],[DEUDA DE LOS MESES PASADOS EN $$]:[DEUDA DEL AÑO 2013 $$ ]])</f>
        <v>270</v>
      </c>
      <c r="AE448" s="103">
        <f>IF(Tabla1[[#This Row],[TIPO DE CONSUMIDOR]]="MEDIO",IF(Tabla1[[#This Row],[ENERO ]]&gt;22.5,Tabla1[[#This Row],[ENERO ]]/22.5-1,0),IF(Tabla1[[#This Row],[ENERO ]]&gt;45,Tabla1[[#This Row],[ENERO ]]/45-1,0))</f>
        <v>0</v>
      </c>
      <c r="AF44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8" s="103">
        <f>IF(Tabla1[[#This Row],[TIPO DE CONSUMIDOR]]="MEDIO",IF(Tabla1[[#This Row],[MARZO]]&gt;22.5,Tabla1[[#This Row],[MARZO]]/22.5-1,0),IF(Tabla1[[#This Row],[MARZO]]&gt;45,Tabla1[[#This Row],[MARZO]]/45-1,0))</f>
        <v>0</v>
      </c>
      <c r="AH448" s="103">
        <f>IF(Tabla1[[#This Row],[TIPO DE CONSUMIDOR]]="MEDIO",IF(Tabla1[[#This Row],[ABRIL]]&gt;22.5,Tabla1[[#This Row],[ABRIL]]/22.5-1,0),IF(Tabla1[[#This Row],[ABRIL]]&gt;45,Tabla1[[#This Row],[ABRIL]]/45-1,0))</f>
        <v>0</v>
      </c>
      <c r="AI448" s="103">
        <f>IF(Tabla1[[#This Row],[TIPO DE CONSUMIDOR]]="MEDIO",IF(Tabla1[[#This Row],[MAYO ]]&gt;22.5,Tabla1[[#This Row],[MAYO ]]/22.5-1,0),IF(Tabla1[[#This Row],[MAYO ]]&gt;45,Tabla1[[#This Row],[MAYO ]]/45-1,0))</f>
        <v>0</v>
      </c>
      <c r="AJ448" s="103">
        <f>IF(Tabla1[[#This Row],[TIPO DE CONSUMIDOR]]="MEDIO",IF(Tabla1[[#This Row],[JUNIO ]]&gt;22.5,Tabla1[[#This Row],[JUNIO ]]/22.5-1,0),IF(Tabla1[[#This Row],[JUNIO ]]&gt;45,Tabla1[[#This Row],[JUNIO ]]/45-1,0))</f>
        <v>0</v>
      </c>
      <c r="AK448" s="103">
        <f>IF(Tabla1[[#This Row],[TIPO DE CONSUMIDOR]]="MEDIO",IF(Tabla1[[#This Row],[JULIO ]]&gt;22.5,Tabla1[[#This Row],[JULIO ]]/22.5-1,0),IF(Tabla1[[#This Row],[JULIO ]]&gt;45,Tabla1[[#This Row],[JULIO ]]/45-1,0))</f>
        <v>0</v>
      </c>
      <c r="AL448" s="103">
        <f>IF(Tabla1[[#This Row],[TIPO DE CONSUMIDOR]]="MEDIO",IF(Tabla1[[#This Row],[AGOSTO]]&gt;22.5,Tabla1[[#This Row],[AGOSTO]]/22.5-1,0),IF(Tabla1[[#This Row],[AGOSTO]]&gt;45,Tabla1[[#This Row],[AGOSTO]]/45-1,0))</f>
        <v>0</v>
      </c>
      <c r="AM44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8" s="104">
        <f t="shared" si="14"/>
        <v>0</v>
      </c>
      <c r="AR448" s="9">
        <f t="shared" si="13"/>
        <v>1</v>
      </c>
      <c r="AS448" s="60">
        <f>IF(Tabla1[[#This Row],[MESES DE ADEUDO DEL AÑO EN CURSO ]]&gt;0,1,0)</f>
        <v>1</v>
      </c>
      <c r="AT448" s="42"/>
      <c r="AU448" s="42"/>
      <c r="AV448" s="42"/>
      <c r="AW448" s="43"/>
    </row>
    <row r="449" spans="1:49" ht="21.75" thickBot="1" x14ac:dyDescent="0.35">
      <c r="A449" s="109">
        <v>443</v>
      </c>
      <c r="B449" s="5" t="s">
        <v>588</v>
      </c>
      <c r="C449" s="2"/>
      <c r="D449" s="32"/>
      <c r="E449" s="36" t="s">
        <v>455</v>
      </c>
      <c r="F449" s="34">
        <v>0</v>
      </c>
      <c r="G449" s="34">
        <v>0</v>
      </c>
      <c r="H449" s="34">
        <v>0</v>
      </c>
      <c r="I449" s="34">
        <v>0</v>
      </c>
      <c r="J449" s="34">
        <v>0</v>
      </c>
      <c r="K449" s="34">
        <v>0</v>
      </c>
      <c r="L449" s="34">
        <v>0</v>
      </c>
      <c r="M449" s="34">
        <v>0</v>
      </c>
      <c r="N449" s="34">
        <v>0</v>
      </c>
      <c r="O449" s="34">
        <v>0</v>
      </c>
      <c r="P449" s="34">
        <v>0</v>
      </c>
      <c r="Q449" s="34">
        <v>0</v>
      </c>
      <c r="R449" s="24">
        <f>SUM(Tabla1[[#This Row],[ENERO ]:[DICIEMBRE]])</f>
        <v>0</v>
      </c>
      <c r="W449" s="65">
        <v>0</v>
      </c>
      <c r="X449" s="21">
        <f>COUNTIF(Tabla1[[#This Row],[ENERO ]:[DICIEMBRE]],0)-(AQ449)-IF(Tabla1[[#This Row],[BAJAS]]="BAJA",IF(Tabla1[[#This Row],[ALTAS]]="ALTA",VLOOKUP(Tabla1[[#This Row],[MES DE ALTA ]],$AT$6:$AU$17,2,FALSE),12)-VLOOKUP(Tabla1[[#This Row],[MES DE BAJA ]],$AT$6:$AU$17,2,FALSE),0)</f>
        <v>12</v>
      </c>
      <c r="Y449" s="69">
        <f>SUM(Tabla1[[#This Row],[MES ADEUDO DE AÑOS PASADOS ]:[MESES DE ADEUDO DEL AÑO EN CURSO ]])</f>
        <v>12</v>
      </c>
      <c r="Z449" s="15">
        <f>IF(Tabla1[[#This Row],[TIPO DE CONSUMIDOR]]="COMPLETO",W449*$T$2,W449*($T$2/2))</f>
        <v>0</v>
      </c>
      <c r="AA449" s="15">
        <f>IF(Tabla1[[#This Row],[TIPO DE CONSUMIDOR]]="COMPLETO",Tabla1[[#This Row],[MESES DE ADEUDO DEL AÑO EN CURSO ]]*$T$2,Tabla1[[#This Row],[MESES DE ADEUDO DEL AÑO EN CURSO ]]*($T$2/2))</f>
        <v>540</v>
      </c>
      <c r="AB449" s="70">
        <f>SUM(Tabla1[[#This Row],[DEUDA DE LOS MESES PASADOS EN $$]:[DEUDA DEL AÑO 2013 $$ ]])</f>
        <v>540</v>
      </c>
      <c r="AE449" s="103">
        <f>IF(Tabla1[[#This Row],[TIPO DE CONSUMIDOR]]="MEDIO",IF(Tabla1[[#This Row],[ENERO ]]&gt;22.5,Tabla1[[#This Row],[ENERO ]]/22.5-1,0),IF(Tabla1[[#This Row],[ENERO ]]&gt;45,Tabla1[[#This Row],[ENERO ]]/45-1,0))</f>
        <v>0</v>
      </c>
      <c r="AF44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49" s="103">
        <f>IF(Tabla1[[#This Row],[TIPO DE CONSUMIDOR]]="MEDIO",IF(Tabla1[[#This Row],[MARZO]]&gt;22.5,Tabla1[[#This Row],[MARZO]]/22.5-1,0),IF(Tabla1[[#This Row],[MARZO]]&gt;45,Tabla1[[#This Row],[MARZO]]/45-1,0))</f>
        <v>0</v>
      </c>
      <c r="AH449" s="103">
        <f>IF(Tabla1[[#This Row],[TIPO DE CONSUMIDOR]]="MEDIO",IF(Tabla1[[#This Row],[ABRIL]]&gt;22.5,Tabla1[[#This Row],[ABRIL]]/22.5-1,0),IF(Tabla1[[#This Row],[ABRIL]]&gt;45,Tabla1[[#This Row],[ABRIL]]/45-1,0))</f>
        <v>0</v>
      </c>
      <c r="AI449" s="103">
        <f>IF(Tabla1[[#This Row],[TIPO DE CONSUMIDOR]]="MEDIO",IF(Tabla1[[#This Row],[MAYO ]]&gt;22.5,Tabla1[[#This Row],[MAYO ]]/22.5-1,0),IF(Tabla1[[#This Row],[MAYO ]]&gt;45,Tabla1[[#This Row],[MAYO ]]/45-1,0))</f>
        <v>0</v>
      </c>
      <c r="AJ449" s="103">
        <f>IF(Tabla1[[#This Row],[TIPO DE CONSUMIDOR]]="MEDIO",IF(Tabla1[[#This Row],[JUNIO ]]&gt;22.5,Tabla1[[#This Row],[JUNIO ]]/22.5-1,0),IF(Tabla1[[#This Row],[JUNIO ]]&gt;45,Tabla1[[#This Row],[JUNIO ]]/45-1,0))</f>
        <v>0</v>
      </c>
      <c r="AK449" s="103">
        <f>IF(Tabla1[[#This Row],[TIPO DE CONSUMIDOR]]="MEDIO",IF(Tabla1[[#This Row],[JULIO ]]&gt;22.5,Tabla1[[#This Row],[JULIO ]]/22.5-1,0),IF(Tabla1[[#This Row],[JULIO ]]&gt;45,Tabla1[[#This Row],[JULIO ]]/45-1,0))</f>
        <v>0</v>
      </c>
      <c r="AL449" s="103">
        <f>IF(Tabla1[[#This Row],[TIPO DE CONSUMIDOR]]="MEDIO",IF(Tabla1[[#This Row],[AGOSTO]]&gt;22.5,Tabla1[[#This Row],[AGOSTO]]/22.5-1,0),IF(Tabla1[[#This Row],[AGOSTO]]&gt;45,Tabla1[[#This Row],[AGOSTO]]/45-1,0))</f>
        <v>0</v>
      </c>
      <c r="AM44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4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4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4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49" s="104">
        <f t="shared" si="14"/>
        <v>0</v>
      </c>
      <c r="AR449" s="9">
        <f t="shared" si="13"/>
        <v>1</v>
      </c>
      <c r="AS449" s="60">
        <f>IF(Tabla1[[#This Row],[MESES DE ADEUDO DEL AÑO EN CURSO ]]&gt;0,1,0)</f>
        <v>1</v>
      </c>
      <c r="AT449" s="42"/>
      <c r="AU449" s="42"/>
      <c r="AV449" s="42"/>
      <c r="AW449" s="43"/>
    </row>
    <row r="450" spans="1:49" ht="21.75" thickBot="1" x14ac:dyDescent="0.35">
      <c r="A450" s="109">
        <v>444</v>
      </c>
      <c r="B450" s="5" t="s">
        <v>338</v>
      </c>
      <c r="C450" s="2"/>
      <c r="D450" s="32"/>
      <c r="E450" s="36" t="s">
        <v>455</v>
      </c>
      <c r="F450" s="34">
        <v>0</v>
      </c>
      <c r="G450" s="34">
        <v>0</v>
      </c>
      <c r="H450" s="34">
        <v>0</v>
      </c>
      <c r="I450" s="34">
        <v>0</v>
      </c>
      <c r="J450" s="34">
        <v>0</v>
      </c>
      <c r="K450" s="34">
        <v>0</v>
      </c>
      <c r="L450" s="34">
        <v>0</v>
      </c>
      <c r="M450" s="34">
        <v>0</v>
      </c>
      <c r="N450" s="34">
        <v>0</v>
      </c>
      <c r="O450" s="34">
        <v>0</v>
      </c>
      <c r="P450" s="34">
        <v>0</v>
      </c>
      <c r="Q450" s="34">
        <v>0</v>
      </c>
      <c r="R450" s="24">
        <f>SUM(Tabla1[[#This Row],[ENERO ]:[DICIEMBRE]])</f>
        <v>0</v>
      </c>
      <c r="W450" s="65">
        <v>0</v>
      </c>
      <c r="X450" s="21">
        <f>COUNTIF(Tabla1[[#This Row],[ENERO ]:[DICIEMBRE]],0)-(AQ450)-IF(Tabla1[[#This Row],[BAJAS]]="BAJA",IF(Tabla1[[#This Row],[ALTAS]]="ALTA",VLOOKUP(Tabla1[[#This Row],[MES DE ALTA ]],$AT$6:$AU$17,2,FALSE),12)-VLOOKUP(Tabla1[[#This Row],[MES DE BAJA ]],$AT$6:$AU$17,2,FALSE),0)</f>
        <v>12</v>
      </c>
      <c r="Y450" s="69">
        <f>SUM(Tabla1[[#This Row],[MES ADEUDO DE AÑOS PASADOS ]:[MESES DE ADEUDO DEL AÑO EN CURSO ]])</f>
        <v>12</v>
      </c>
      <c r="Z450" s="15">
        <f>IF(Tabla1[[#This Row],[TIPO DE CONSUMIDOR]]="COMPLETO",W450*$T$2,W450*($T$2/2))</f>
        <v>0</v>
      </c>
      <c r="AA450" s="15">
        <f>IF(Tabla1[[#This Row],[TIPO DE CONSUMIDOR]]="COMPLETO",Tabla1[[#This Row],[MESES DE ADEUDO DEL AÑO EN CURSO ]]*$T$2,Tabla1[[#This Row],[MESES DE ADEUDO DEL AÑO EN CURSO ]]*($T$2/2))</f>
        <v>540</v>
      </c>
      <c r="AB450" s="70">
        <f>SUM(Tabla1[[#This Row],[DEUDA DE LOS MESES PASADOS EN $$]:[DEUDA DEL AÑO 2013 $$ ]])</f>
        <v>540</v>
      </c>
      <c r="AE450" s="103">
        <f>IF(Tabla1[[#This Row],[TIPO DE CONSUMIDOR]]="MEDIO",IF(Tabla1[[#This Row],[ENERO ]]&gt;22.5,Tabla1[[#This Row],[ENERO ]]/22.5-1,0),IF(Tabla1[[#This Row],[ENERO ]]&gt;45,Tabla1[[#This Row],[ENERO ]]/45-1,0))</f>
        <v>0</v>
      </c>
      <c r="AF45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0" s="103">
        <f>IF(Tabla1[[#This Row],[TIPO DE CONSUMIDOR]]="MEDIO",IF(Tabla1[[#This Row],[MARZO]]&gt;22.5,Tabla1[[#This Row],[MARZO]]/22.5-1,0),IF(Tabla1[[#This Row],[MARZO]]&gt;45,Tabla1[[#This Row],[MARZO]]/45-1,0))</f>
        <v>0</v>
      </c>
      <c r="AH450" s="103">
        <f>IF(Tabla1[[#This Row],[TIPO DE CONSUMIDOR]]="MEDIO",IF(Tabla1[[#This Row],[ABRIL]]&gt;22.5,Tabla1[[#This Row],[ABRIL]]/22.5-1,0),IF(Tabla1[[#This Row],[ABRIL]]&gt;45,Tabla1[[#This Row],[ABRIL]]/45-1,0))</f>
        <v>0</v>
      </c>
      <c r="AI450" s="103">
        <f>IF(Tabla1[[#This Row],[TIPO DE CONSUMIDOR]]="MEDIO",IF(Tabla1[[#This Row],[MAYO ]]&gt;22.5,Tabla1[[#This Row],[MAYO ]]/22.5-1,0),IF(Tabla1[[#This Row],[MAYO ]]&gt;45,Tabla1[[#This Row],[MAYO ]]/45-1,0))</f>
        <v>0</v>
      </c>
      <c r="AJ450" s="103">
        <f>IF(Tabla1[[#This Row],[TIPO DE CONSUMIDOR]]="MEDIO",IF(Tabla1[[#This Row],[JUNIO ]]&gt;22.5,Tabla1[[#This Row],[JUNIO ]]/22.5-1,0),IF(Tabla1[[#This Row],[JUNIO ]]&gt;45,Tabla1[[#This Row],[JUNIO ]]/45-1,0))</f>
        <v>0</v>
      </c>
      <c r="AK450" s="103">
        <f>IF(Tabla1[[#This Row],[TIPO DE CONSUMIDOR]]="MEDIO",IF(Tabla1[[#This Row],[JULIO ]]&gt;22.5,Tabla1[[#This Row],[JULIO ]]/22.5-1,0),IF(Tabla1[[#This Row],[JULIO ]]&gt;45,Tabla1[[#This Row],[JULIO ]]/45-1,0))</f>
        <v>0</v>
      </c>
      <c r="AL450" s="103">
        <f>IF(Tabla1[[#This Row],[TIPO DE CONSUMIDOR]]="MEDIO",IF(Tabla1[[#This Row],[AGOSTO]]&gt;22.5,Tabla1[[#This Row],[AGOSTO]]/22.5-1,0),IF(Tabla1[[#This Row],[AGOSTO]]&gt;45,Tabla1[[#This Row],[AGOSTO]]/45-1,0))</f>
        <v>0</v>
      </c>
      <c r="AM45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0" s="104">
        <f t="shared" si="14"/>
        <v>0</v>
      </c>
      <c r="AR450" s="9">
        <f t="shared" si="13"/>
        <v>1</v>
      </c>
      <c r="AS450" s="60">
        <f>IF(Tabla1[[#This Row],[MESES DE ADEUDO DEL AÑO EN CURSO ]]&gt;0,1,0)</f>
        <v>1</v>
      </c>
      <c r="AT450" s="42"/>
      <c r="AU450" s="42"/>
      <c r="AV450" s="42"/>
      <c r="AW450" s="43"/>
    </row>
    <row r="451" spans="1:49" ht="21.75" thickBot="1" x14ac:dyDescent="0.35">
      <c r="A451" s="109">
        <v>445</v>
      </c>
      <c r="B451" s="5" t="s">
        <v>368</v>
      </c>
      <c r="C451" s="2"/>
      <c r="D451" s="32"/>
      <c r="E451" s="36" t="s">
        <v>455</v>
      </c>
      <c r="F451" s="34">
        <v>0</v>
      </c>
      <c r="G451" s="34">
        <v>0</v>
      </c>
      <c r="H451" s="34">
        <v>0</v>
      </c>
      <c r="I451" s="34">
        <v>0</v>
      </c>
      <c r="J451" s="34">
        <v>0</v>
      </c>
      <c r="K451" s="34">
        <v>0</v>
      </c>
      <c r="L451" s="34">
        <v>0</v>
      </c>
      <c r="M451" s="34">
        <v>0</v>
      </c>
      <c r="N451" s="34">
        <v>0</v>
      </c>
      <c r="O451" s="34">
        <v>0</v>
      </c>
      <c r="P451" s="34">
        <v>0</v>
      </c>
      <c r="Q451" s="34">
        <v>0</v>
      </c>
      <c r="R451" s="24">
        <f>SUM(Tabla1[[#This Row],[ENERO ]:[DICIEMBRE]])</f>
        <v>0</v>
      </c>
      <c r="W451" s="65">
        <v>0</v>
      </c>
      <c r="X451" s="21">
        <f>COUNTIF(Tabla1[[#This Row],[ENERO ]:[DICIEMBRE]],0)-(AQ451)-IF(Tabla1[[#This Row],[BAJAS]]="BAJA",IF(Tabla1[[#This Row],[ALTAS]]="ALTA",VLOOKUP(Tabla1[[#This Row],[MES DE ALTA ]],$AT$6:$AU$17,2,FALSE),12)-VLOOKUP(Tabla1[[#This Row],[MES DE BAJA ]],$AT$6:$AU$17,2,FALSE),0)</f>
        <v>12</v>
      </c>
      <c r="Y451" s="69">
        <f>SUM(Tabla1[[#This Row],[MES ADEUDO DE AÑOS PASADOS ]:[MESES DE ADEUDO DEL AÑO EN CURSO ]])</f>
        <v>12</v>
      </c>
      <c r="Z451" s="15">
        <f>IF(Tabla1[[#This Row],[TIPO DE CONSUMIDOR]]="COMPLETO",W451*$T$2,W451*($T$2/2))</f>
        <v>0</v>
      </c>
      <c r="AA451" s="15">
        <f>IF(Tabla1[[#This Row],[TIPO DE CONSUMIDOR]]="COMPLETO",Tabla1[[#This Row],[MESES DE ADEUDO DEL AÑO EN CURSO ]]*$T$2,Tabla1[[#This Row],[MESES DE ADEUDO DEL AÑO EN CURSO ]]*($T$2/2))</f>
        <v>540</v>
      </c>
      <c r="AB451" s="70">
        <f>SUM(Tabla1[[#This Row],[DEUDA DE LOS MESES PASADOS EN $$]:[DEUDA DEL AÑO 2013 $$ ]])</f>
        <v>540</v>
      </c>
      <c r="AE451" s="103">
        <f>IF(Tabla1[[#This Row],[TIPO DE CONSUMIDOR]]="MEDIO",IF(Tabla1[[#This Row],[ENERO ]]&gt;22.5,Tabla1[[#This Row],[ENERO ]]/22.5-1,0),IF(Tabla1[[#This Row],[ENERO ]]&gt;45,Tabla1[[#This Row],[ENERO ]]/45-1,0))</f>
        <v>0</v>
      </c>
      <c r="AF45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1" s="103">
        <f>IF(Tabla1[[#This Row],[TIPO DE CONSUMIDOR]]="MEDIO",IF(Tabla1[[#This Row],[MARZO]]&gt;22.5,Tabla1[[#This Row],[MARZO]]/22.5-1,0),IF(Tabla1[[#This Row],[MARZO]]&gt;45,Tabla1[[#This Row],[MARZO]]/45-1,0))</f>
        <v>0</v>
      </c>
      <c r="AH451" s="103">
        <f>IF(Tabla1[[#This Row],[TIPO DE CONSUMIDOR]]="MEDIO",IF(Tabla1[[#This Row],[ABRIL]]&gt;22.5,Tabla1[[#This Row],[ABRIL]]/22.5-1,0),IF(Tabla1[[#This Row],[ABRIL]]&gt;45,Tabla1[[#This Row],[ABRIL]]/45-1,0))</f>
        <v>0</v>
      </c>
      <c r="AI451" s="103">
        <f>IF(Tabla1[[#This Row],[TIPO DE CONSUMIDOR]]="MEDIO",IF(Tabla1[[#This Row],[MAYO ]]&gt;22.5,Tabla1[[#This Row],[MAYO ]]/22.5-1,0),IF(Tabla1[[#This Row],[MAYO ]]&gt;45,Tabla1[[#This Row],[MAYO ]]/45-1,0))</f>
        <v>0</v>
      </c>
      <c r="AJ451" s="103">
        <f>IF(Tabla1[[#This Row],[TIPO DE CONSUMIDOR]]="MEDIO",IF(Tabla1[[#This Row],[JUNIO ]]&gt;22.5,Tabla1[[#This Row],[JUNIO ]]/22.5-1,0),IF(Tabla1[[#This Row],[JUNIO ]]&gt;45,Tabla1[[#This Row],[JUNIO ]]/45-1,0))</f>
        <v>0</v>
      </c>
      <c r="AK451" s="103">
        <f>IF(Tabla1[[#This Row],[TIPO DE CONSUMIDOR]]="MEDIO",IF(Tabla1[[#This Row],[JULIO ]]&gt;22.5,Tabla1[[#This Row],[JULIO ]]/22.5-1,0),IF(Tabla1[[#This Row],[JULIO ]]&gt;45,Tabla1[[#This Row],[JULIO ]]/45-1,0))</f>
        <v>0</v>
      </c>
      <c r="AL451" s="103">
        <f>IF(Tabla1[[#This Row],[TIPO DE CONSUMIDOR]]="MEDIO",IF(Tabla1[[#This Row],[AGOSTO]]&gt;22.5,Tabla1[[#This Row],[AGOSTO]]/22.5-1,0),IF(Tabla1[[#This Row],[AGOSTO]]&gt;45,Tabla1[[#This Row],[AGOSTO]]/45-1,0))</f>
        <v>0</v>
      </c>
      <c r="AM45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1" s="104">
        <f t="shared" si="14"/>
        <v>0</v>
      </c>
      <c r="AR451" s="9">
        <f t="shared" si="13"/>
        <v>1</v>
      </c>
      <c r="AS451" s="60">
        <f>IF(Tabla1[[#This Row],[MESES DE ADEUDO DEL AÑO EN CURSO ]]&gt;0,1,0)</f>
        <v>1</v>
      </c>
      <c r="AT451" s="42"/>
      <c r="AU451" s="42"/>
      <c r="AV451" s="42"/>
      <c r="AW451" s="43"/>
    </row>
    <row r="452" spans="1:49" ht="21.75" thickBot="1" x14ac:dyDescent="0.35">
      <c r="A452" s="109">
        <v>446</v>
      </c>
      <c r="B452" s="5" t="s">
        <v>398</v>
      </c>
      <c r="C452" s="2"/>
      <c r="D452" s="32"/>
      <c r="E452" s="36" t="s">
        <v>455</v>
      </c>
      <c r="F452" s="34">
        <v>0</v>
      </c>
      <c r="G452" s="34">
        <v>0</v>
      </c>
      <c r="H452" s="34">
        <v>0</v>
      </c>
      <c r="I452" s="34">
        <v>0</v>
      </c>
      <c r="J452" s="34">
        <v>0</v>
      </c>
      <c r="K452" s="34">
        <v>0</v>
      </c>
      <c r="L452" s="34">
        <v>0</v>
      </c>
      <c r="M452" s="34">
        <v>0</v>
      </c>
      <c r="N452" s="34">
        <v>0</v>
      </c>
      <c r="O452" s="34">
        <v>0</v>
      </c>
      <c r="P452" s="34">
        <v>0</v>
      </c>
      <c r="Q452" s="34">
        <v>0</v>
      </c>
      <c r="R452" s="24">
        <f>SUM(Tabla1[[#This Row],[ENERO ]:[DICIEMBRE]])</f>
        <v>0</v>
      </c>
      <c r="W452" s="65">
        <v>0</v>
      </c>
      <c r="X452" s="21">
        <f>COUNTIF(Tabla1[[#This Row],[ENERO ]:[DICIEMBRE]],0)-(AQ452)-IF(Tabla1[[#This Row],[BAJAS]]="BAJA",IF(Tabla1[[#This Row],[ALTAS]]="ALTA",VLOOKUP(Tabla1[[#This Row],[MES DE ALTA ]],$AT$6:$AU$17,2,FALSE),12)-VLOOKUP(Tabla1[[#This Row],[MES DE BAJA ]],$AT$6:$AU$17,2,FALSE),0)</f>
        <v>12</v>
      </c>
      <c r="Y452" s="69">
        <f>SUM(Tabla1[[#This Row],[MES ADEUDO DE AÑOS PASADOS ]:[MESES DE ADEUDO DEL AÑO EN CURSO ]])</f>
        <v>12</v>
      </c>
      <c r="Z452" s="15">
        <f>IF(Tabla1[[#This Row],[TIPO DE CONSUMIDOR]]="COMPLETO",W452*$T$2,W452*($T$2/2))</f>
        <v>0</v>
      </c>
      <c r="AA452" s="15">
        <f>IF(Tabla1[[#This Row],[TIPO DE CONSUMIDOR]]="COMPLETO",Tabla1[[#This Row],[MESES DE ADEUDO DEL AÑO EN CURSO ]]*$T$2,Tabla1[[#This Row],[MESES DE ADEUDO DEL AÑO EN CURSO ]]*($T$2/2))</f>
        <v>540</v>
      </c>
      <c r="AB452" s="70">
        <f>SUM(Tabla1[[#This Row],[DEUDA DE LOS MESES PASADOS EN $$]:[DEUDA DEL AÑO 2013 $$ ]])</f>
        <v>540</v>
      </c>
      <c r="AE452" s="103">
        <f>IF(Tabla1[[#This Row],[TIPO DE CONSUMIDOR]]="MEDIO",IF(Tabla1[[#This Row],[ENERO ]]&gt;22.5,Tabla1[[#This Row],[ENERO ]]/22.5-1,0),IF(Tabla1[[#This Row],[ENERO ]]&gt;45,Tabla1[[#This Row],[ENERO ]]/45-1,0))</f>
        <v>0</v>
      </c>
      <c r="AF45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2" s="103">
        <f>IF(Tabla1[[#This Row],[TIPO DE CONSUMIDOR]]="MEDIO",IF(Tabla1[[#This Row],[MARZO]]&gt;22.5,Tabla1[[#This Row],[MARZO]]/22.5-1,0),IF(Tabla1[[#This Row],[MARZO]]&gt;45,Tabla1[[#This Row],[MARZO]]/45-1,0))</f>
        <v>0</v>
      </c>
      <c r="AH452" s="103">
        <f>IF(Tabla1[[#This Row],[TIPO DE CONSUMIDOR]]="MEDIO",IF(Tabla1[[#This Row],[ABRIL]]&gt;22.5,Tabla1[[#This Row],[ABRIL]]/22.5-1,0),IF(Tabla1[[#This Row],[ABRIL]]&gt;45,Tabla1[[#This Row],[ABRIL]]/45-1,0))</f>
        <v>0</v>
      </c>
      <c r="AI452" s="103">
        <f>IF(Tabla1[[#This Row],[TIPO DE CONSUMIDOR]]="MEDIO",IF(Tabla1[[#This Row],[MAYO ]]&gt;22.5,Tabla1[[#This Row],[MAYO ]]/22.5-1,0),IF(Tabla1[[#This Row],[MAYO ]]&gt;45,Tabla1[[#This Row],[MAYO ]]/45-1,0))</f>
        <v>0</v>
      </c>
      <c r="AJ452" s="103">
        <f>IF(Tabla1[[#This Row],[TIPO DE CONSUMIDOR]]="MEDIO",IF(Tabla1[[#This Row],[JUNIO ]]&gt;22.5,Tabla1[[#This Row],[JUNIO ]]/22.5-1,0),IF(Tabla1[[#This Row],[JUNIO ]]&gt;45,Tabla1[[#This Row],[JUNIO ]]/45-1,0))</f>
        <v>0</v>
      </c>
      <c r="AK452" s="103">
        <f>IF(Tabla1[[#This Row],[TIPO DE CONSUMIDOR]]="MEDIO",IF(Tabla1[[#This Row],[JULIO ]]&gt;22.5,Tabla1[[#This Row],[JULIO ]]/22.5-1,0),IF(Tabla1[[#This Row],[JULIO ]]&gt;45,Tabla1[[#This Row],[JULIO ]]/45-1,0))</f>
        <v>0</v>
      </c>
      <c r="AL452" s="103">
        <f>IF(Tabla1[[#This Row],[TIPO DE CONSUMIDOR]]="MEDIO",IF(Tabla1[[#This Row],[AGOSTO]]&gt;22.5,Tabla1[[#This Row],[AGOSTO]]/22.5-1,0),IF(Tabla1[[#This Row],[AGOSTO]]&gt;45,Tabla1[[#This Row],[AGOSTO]]/45-1,0))</f>
        <v>0</v>
      </c>
      <c r="AM45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2" s="104">
        <f t="shared" si="14"/>
        <v>0</v>
      </c>
      <c r="AR452" s="9">
        <f t="shared" si="13"/>
        <v>1</v>
      </c>
      <c r="AS452" s="60">
        <f>IF(Tabla1[[#This Row],[MESES DE ADEUDO DEL AÑO EN CURSO ]]&gt;0,1,0)</f>
        <v>1</v>
      </c>
      <c r="AT452" s="42"/>
      <c r="AU452" s="42"/>
      <c r="AV452" s="42"/>
      <c r="AW452" s="43"/>
    </row>
    <row r="453" spans="1:49" ht="21.75" thickBot="1" x14ac:dyDescent="0.35">
      <c r="A453" s="109">
        <v>447</v>
      </c>
      <c r="B453" s="5" t="s">
        <v>109</v>
      </c>
      <c r="C453" s="2" t="s">
        <v>461</v>
      </c>
      <c r="D453" s="32"/>
      <c r="E453" s="36" t="s">
        <v>455</v>
      </c>
      <c r="F453" s="34">
        <v>0</v>
      </c>
      <c r="G453" s="34">
        <v>0</v>
      </c>
      <c r="H453" s="34">
        <v>0</v>
      </c>
      <c r="I453" s="34">
        <v>0</v>
      </c>
      <c r="J453" s="34">
        <v>0</v>
      </c>
      <c r="K453" s="34">
        <v>0</v>
      </c>
      <c r="L453" s="34">
        <v>0</v>
      </c>
      <c r="M453" s="34">
        <v>0</v>
      </c>
      <c r="N453" s="34">
        <v>0</v>
      </c>
      <c r="O453" s="34">
        <v>0</v>
      </c>
      <c r="P453" s="34">
        <v>0</v>
      </c>
      <c r="Q453" s="34">
        <v>0</v>
      </c>
      <c r="R453" s="24">
        <f>SUM(Tabla1[[#This Row],[ENERO ]:[DICIEMBRE]])</f>
        <v>0</v>
      </c>
      <c r="W453" s="65">
        <v>1</v>
      </c>
      <c r="X453" s="21">
        <f>COUNTIF(Tabla1[[#This Row],[ENERO ]:[DICIEMBRE]],0)-(AQ453)-IF(Tabla1[[#This Row],[BAJAS]]="BAJA",IF(Tabla1[[#This Row],[ALTAS]]="ALTA",VLOOKUP(Tabla1[[#This Row],[MES DE ALTA ]],$AT$6:$AU$17,2,FALSE),12)-VLOOKUP(Tabla1[[#This Row],[MES DE BAJA ]],$AT$6:$AU$17,2,FALSE),0)</f>
        <v>12</v>
      </c>
      <c r="Y453" s="69">
        <f>SUM(Tabla1[[#This Row],[MES ADEUDO DE AÑOS PASADOS ]:[MESES DE ADEUDO DEL AÑO EN CURSO ]])</f>
        <v>13</v>
      </c>
      <c r="Z453" s="15">
        <f>IF(Tabla1[[#This Row],[TIPO DE CONSUMIDOR]]="COMPLETO",W453*$T$2,W453*($T$2/2))</f>
        <v>45</v>
      </c>
      <c r="AA453" s="15">
        <f>IF(Tabla1[[#This Row],[TIPO DE CONSUMIDOR]]="COMPLETO",Tabla1[[#This Row],[MESES DE ADEUDO DEL AÑO EN CURSO ]]*$T$2,Tabla1[[#This Row],[MESES DE ADEUDO DEL AÑO EN CURSO ]]*($T$2/2))</f>
        <v>540</v>
      </c>
      <c r="AB453" s="70">
        <f>SUM(Tabla1[[#This Row],[DEUDA DE LOS MESES PASADOS EN $$]:[DEUDA DEL AÑO 2013 $$ ]])</f>
        <v>585</v>
      </c>
      <c r="AE453" s="103">
        <f>IF(Tabla1[[#This Row],[TIPO DE CONSUMIDOR]]="MEDIO",IF(Tabla1[[#This Row],[ENERO ]]&gt;22.5,Tabla1[[#This Row],[ENERO ]]/22.5-1,0),IF(Tabla1[[#This Row],[ENERO ]]&gt;45,Tabla1[[#This Row],[ENERO ]]/45-1,0))</f>
        <v>0</v>
      </c>
      <c r="AF45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3" s="103">
        <f>IF(Tabla1[[#This Row],[TIPO DE CONSUMIDOR]]="MEDIO",IF(Tabla1[[#This Row],[MARZO]]&gt;22.5,Tabla1[[#This Row],[MARZO]]/22.5-1,0),IF(Tabla1[[#This Row],[MARZO]]&gt;45,Tabla1[[#This Row],[MARZO]]/45-1,0))</f>
        <v>0</v>
      </c>
      <c r="AH453" s="103">
        <f>IF(Tabla1[[#This Row],[TIPO DE CONSUMIDOR]]="MEDIO",IF(Tabla1[[#This Row],[ABRIL]]&gt;22.5,Tabla1[[#This Row],[ABRIL]]/22.5-1,0),IF(Tabla1[[#This Row],[ABRIL]]&gt;45,Tabla1[[#This Row],[ABRIL]]/45-1,0))</f>
        <v>0</v>
      </c>
      <c r="AI453" s="103">
        <f>IF(Tabla1[[#This Row],[TIPO DE CONSUMIDOR]]="MEDIO",IF(Tabla1[[#This Row],[MAYO ]]&gt;22.5,Tabla1[[#This Row],[MAYO ]]/22.5-1,0),IF(Tabla1[[#This Row],[MAYO ]]&gt;45,Tabla1[[#This Row],[MAYO ]]/45-1,0))</f>
        <v>0</v>
      </c>
      <c r="AJ453" s="103">
        <f>IF(Tabla1[[#This Row],[TIPO DE CONSUMIDOR]]="MEDIO",IF(Tabla1[[#This Row],[JUNIO ]]&gt;22.5,Tabla1[[#This Row],[JUNIO ]]/22.5-1,0),IF(Tabla1[[#This Row],[JUNIO ]]&gt;45,Tabla1[[#This Row],[JUNIO ]]/45-1,0))</f>
        <v>0</v>
      </c>
      <c r="AK453" s="103">
        <f>IF(Tabla1[[#This Row],[TIPO DE CONSUMIDOR]]="MEDIO",IF(Tabla1[[#This Row],[JULIO ]]&gt;22.5,Tabla1[[#This Row],[JULIO ]]/22.5-1,0),IF(Tabla1[[#This Row],[JULIO ]]&gt;45,Tabla1[[#This Row],[JULIO ]]/45-1,0))</f>
        <v>0</v>
      </c>
      <c r="AL453" s="103">
        <f>IF(Tabla1[[#This Row],[TIPO DE CONSUMIDOR]]="MEDIO",IF(Tabla1[[#This Row],[AGOSTO]]&gt;22.5,Tabla1[[#This Row],[AGOSTO]]/22.5-1,0),IF(Tabla1[[#This Row],[AGOSTO]]&gt;45,Tabla1[[#This Row],[AGOSTO]]/45-1,0))</f>
        <v>0</v>
      </c>
      <c r="AM45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3" s="104">
        <f t="shared" si="14"/>
        <v>0</v>
      </c>
      <c r="AR453" s="9">
        <f t="shared" si="13"/>
        <v>1</v>
      </c>
      <c r="AS453" s="60">
        <f>IF(Tabla1[[#This Row],[MESES DE ADEUDO DEL AÑO EN CURSO ]]&gt;0,1,0)</f>
        <v>1</v>
      </c>
      <c r="AT453" s="42"/>
      <c r="AU453" s="42"/>
      <c r="AV453" s="42"/>
      <c r="AW453" s="43"/>
    </row>
    <row r="454" spans="1:49" ht="21.75" thickBot="1" x14ac:dyDescent="0.35">
      <c r="A454" s="109">
        <v>448</v>
      </c>
      <c r="B454" s="5" t="s">
        <v>345</v>
      </c>
      <c r="C454" s="2" t="s">
        <v>504</v>
      </c>
      <c r="D454" s="32"/>
      <c r="E454" s="36" t="s">
        <v>455</v>
      </c>
      <c r="F454" s="34">
        <v>0</v>
      </c>
      <c r="G454" s="34">
        <v>0</v>
      </c>
      <c r="H454" s="34">
        <v>0</v>
      </c>
      <c r="I454" s="34">
        <v>0</v>
      </c>
      <c r="J454" s="34">
        <v>0</v>
      </c>
      <c r="K454" s="34">
        <v>0</v>
      </c>
      <c r="L454" s="34">
        <v>0</v>
      </c>
      <c r="M454" s="34">
        <v>0</v>
      </c>
      <c r="N454" s="34">
        <v>0</v>
      </c>
      <c r="O454" s="34">
        <v>0</v>
      </c>
      <c r="P454" s="34">
        <v>0</v>
      </c>
      <c r="Q454" s="34">
        <v>0</v>
      </c>
      <c r="R454" s="24">
        <f>SUM(Tabla1[[#This Row],[ENERO ]:[DICIEMBRE]])</f>
        <v>0</v>
      </c>
      <c r="W454" s="65">
        <v>1</v>
      </c>
      <c r="X454" s="21">
        <f>COUNTIF(Tabla1[[#This Row],[ENERO ]:[DICIEMBRE]],0)-(AQ454)-IF(Tabla1[[#This Row],[BAJAS]]="BAJA",IF(Tabla1[[#This Row],[ALTAS]]="ALTA",VLOOKUP(Tabla1[[#This Row],[MES DE ALTA ]],$AT$6:$AU$17,2,FALSE),12)-VLOOKUP(Tabla1[[#This Row],[MES DE BAJA ]],$AT$6:$AU$17,2,FALSE),0)</f>
        <v>12</v>
      </c>
      <c r="Y454" s="69">
        <f>SUM(Tabla1[[#This Row],[MES ADEUDO DE AÑOS PASADOS ]:[MESES DE ADEUDO DEL AÑO EN CURSO ]])</f>
        <v>13</v>
      </c>
      <c r="Z454" s="15">
        <f>IF(Tabla1[[#This Row],[TIPO DE CONSUMIDOR]]="COMPLETO",W454*$T$2,W454*($T$2/2))</f>
        <v>45</v>
      </c>
      <c r="AA454" s="15">
        <f>IF(Tabla1[[#This Row],[TIPO DE CONSUMIDOR]]="COMPLETO",Tabla1[[#This Row],[MESES DE ADEUDO DEL AÑO EN CURSO ]]*$T$2,Tabla1[[#This Row],[MESES DE ADEUDO DEL AÑO EN CURSO ]]*($T$2/2))</f>
        <v>540</v>
      </c>
      <c r="AB454" s="70">
        <f>SUM(Tabla1[[#This Row],[DEUDA DE LOS MESES PASADOS EN $$]:[DEUDA DEL AÑO 2013 $$ ]])</f>
        <v>585</v>
      </c>
      <c r="AE454" s="103">
        <f>IF(Tabla1[[#This Row],[TIPO DE CONSUMIDOR]]="MEDIO",IF(Tabla1[[#This Row],[ENERO ]]&gt;22.5,Tabla1[[#This Row],[ENERO ]]/22.5-1,0),IF(Tabla1[[#This Row],[ENERO ]]&gt;45,Tabla1[[#This Row],[ENERO ]]/45-1,0))</f>
        <v>0</v>
      </c>
      <c r="AF45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4" s="103">
        <f>IF(Tabla1[[#This Row],[TIPO DE CONSUMIDOR]]="MEDIO",IF(Tabla1[[#This Row],[MARZO]]&gt;22.5,Tabla1[[#This Row],[MARZO]]/22.5-1,0),IF(Tabla1[[#This Row],[MARZO]]&gt;45,Tabla1[[#This Row],[MARZO]]/45-1,0))</f>
        <v>0</v>
      </c>
      <c r="AH454" s="103">
        <f>IF(Tabla1[[#This Row],[TIPO DE CONSUMIDOR]]="MEDIO",IF(Tabla1[[#This Row],[ABRIL]]&gt;22.5,Tabla1[[#This Row],[ABRIL]]/22.5-1,0),IF(Tabla1[[#This Row],[ABRIL]]&gt;45,Tabla1[[#This Row],[ABRIL]]/45-1,0))</f>
        <v>0</v>
      </c>
      <c r="AI454" s="103">
        <f>IF(Tabla1[[#This Row],[TIPO DE CONSUMIDOR]]="MEDIO",IF(Tabla1[[#This Row],[MAYO ]]&gt;22.5,Tabla1[[#This Row],[MAYO ]]/22.5-1,0),IF(Tabla1[[#This Row],[MAYO ]]&gt;45,Tabla1[[#This Row],[MAYO ]]/45-1,0))</f>
        <v>0</v>
      </c>
      <c r="AJ454" s="103">
        <f>IF(Tabla1[[#This Row],[TIPO DE CONSUMIDOR]]="MEDIO",IF(Tabla1[[#This Row],[JUNIO ]]&gt;22.5,Tabla1[[#This Row],[JUNIO ]]/22.5-1,0),IF(Tabla1[[#This Row],[JUNIO ]]&gt;45,Tabla1[[#This Row],[JUNIO ]]/45-1,0))</f>
        <v>0</v>
      </c>
      <c r="AK454" s="103">
        <f>IF(Tabla1[[#This Row],[TIPO DE CONSUMIDOR]]="MEDIO",IF(Tabla1[[#This Row],[JULIO ]]&gt;22.5,Tabla1[[#This Row],[JULIO ]]/22.5-1,0),IF(Tabla1[[#This Row],[JULIO ]]&gt;45,Tabla1[[#This Row],[JULIO ]]/45-1,0))</f>
        <v>0</v>
      </c>
      <c r="AL454" s="103">
        <f>IF(Tabla1[[#This Row],[TIPO DE CONSUMIDOR]]="MEDIO",IF(Tabla1[[#This Row],[AGOSTO]]&gt;22.5,Tabla1[[#This Row],[AGOSTO]]/22.5-1,0),IF(Tabla1[[#This Row],[AGOSTO]]&gt;45,Tabla1[[#This Row],[AGOSTO]]/45-1,0))</f>
        <v>0</v>
      </c>
      <c r="AM45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4" s="104">
        <f t="shared" si="14"/>
        <v>0</v>
      </c>
      <c r="AR454" s="9">
        <f t="shared" si="13"/>
        <v>1</v>
      </c>
      <c r="AS454" s="60">
        <f>IF(Tabla1[[#This Row],[MESES DE ADEUDO DEL AÑO EN CURSO ]]&gt;0,1,0)</f>
        <v>1</v>
      </c>
      <c r="AT454" s="42"/>
      <c r="AU454" s="42"/>
      <c r="AV454" s="42"/>
      <c r="AW454" s="43"/>
    </row>
    <row r="455" spans="1:49" ht="21.75" thickBot="1" x14ac:dyDescent="0.35">
      <c r="A455" s="109">
        <v>449</v>
      </c>
      <c r="B455" s="5" t="s">
        <v>316</v>
      </c>
      <c r="C455" s="2" t="s">
        <v>530</v>
      </c>
      <c r="D455" s="32"/>
      <c r="E455" s="36" t="s">
        <v>455</v>
      </c>
      <c r="F455" s="34">
        <v>0</v>
      </c>
      <c r="G455" s="34">
        <v>0</v>
      </c>
      <c r="H455" s="34">
        <v>0</v>
      </c>
      <c r="I455" s="34">
        <v>0</v>
      </c>
      <c r="J455" s="34">
        <v>0</v>
      </c>
      <c r="K455" s="34">
        <v>0</v>
      </c>
      <c r="L455" s="34">
        <v>0</v>
      </c>
      <c r="M455" s="34">
        <v>0</v>
      </c>
      <c r="N455" s="34">
        <v>0</v>
      </c>
      <c r="O455" s="34">
        <v>0</v>
      </c>
      <c r="P455" s="34">
        <v>0</v>
      </c>
      <c r="Q455" s="34">
        <v>0</v>
      </c>
      <c r="R455" s="24">
        <f>SUM(Tabla1[[#This Row],[ENERO ]:[DICIEMBRE]])</f>
        <v>0</v>
      </c>
      <c r="W455" s="65">
        <v>1</v>
      </c>
      <c r="X455" s="21">
        <f>COUNTIF(Tabla1[[#This Row],[ENERO ]:[DICIEMBRE]],0)-(AQ455)-IF(Tabla1[[#This Row],[BAJAS]]="BAJA",IF(Tabla1[[#This Row],[ALTAS]]="ALTA",VLOOKUP(Tabla1[[#This Row],[MES DE ALTA ]],$AT$6:$AU$17,2,FALSE),12)-VLOOKUP(Tabla1[[#This Row],[MES DE BAJA ]],$AT$6:$AU$17,2,FALSE),0)</f>
        <v>12</v>
      </c>
      <c r="Y455" s="69">
        <f>SUM(Tabla1[[#This Row],[MES ADEUDO DE AÑOS PASADOS ]:[MESES DE ADEUDO DEL AÑO EN CURSO ]])</f>
        <v>13</v>
      </c>
      <c r="Z455" s="15">
        <f>IF(Tabla1[[#This Row],[TIPO DE CONSUMIDOR]]="COMPLETO",W455*$T$2,W455*($T$2/2))</f>
        <v>45</v>
      </c>
      <c r="AA455" s="15">
        <f>IF(Tabla1[[#This Row],[TIPO DE CONSUMIDOR]]="COMPLETO",Tabla1[[#This Row],[MESES DE ADEUDO DEL AÑO EN CURSO ]]*$T$2,Tabla1[[#This Row],[MESES DE ADEUDO DEL AÑO EN CURSO ]]*($T$2/2))</f>
        <v>540</v>
      </c>
      <c r="AB455" s="70">
        <f>SUM(Tabla1[[#This Row],[DEUDA DE LOS MESES PASADOS EN $$]:[DEUDA DEL AÑO 2013 $$ ]])</f>
        <v>585</v>
      </c>
      <c r="AE455" s="103">
        <f>IF(Tabla1[[#This Row],[TIPO DE CONSUMIDOR]]="MEDIO",IF(Tabla1[[#This Row],[ENERO ]]&gt;22.5,Tabla1[[#This Row],[ENERO ]]/22.5-1,0),IF(Tabla1[[#This Row],[ENERO ]]&gt;45,Tabla1[[#This Row],[ENERO ]]/45-1,0))</f>
        <v>0</v>
      </c>
      <c r="AF45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5" s="103">
        <f>IF(Tabla1[[#This Row],[TIPO DE CONSUMIDOR]]="MEDIO",IF(Tabla1[[#This Row],[MARZO]]&gt;22.5,Tabla1[[#This Row],[MARZO]]/22.5-1,0),IF(Tabla1[[#This Row],[MARZO]]&gt;45,Tabla1[[#This Row],[MARZO]]/45-1,0))</f>
        <v>0</v>
      </c>
      <c r="AH455" s="103">
        <f>IF(Tabla1[[#This Row],[TIPO DE CONSUMIDOR]]="MEDIO",IF(Tabla1[[#This Row],[ABRIL]]&gt;22.5,Tabla1[[#This Row],[ABRIL]]/22.5-1,0),IF(Tabla1[[#This Row],[ABRIL]]&gt;45,Tabla1[[#This Row],[ABRIL]]/45-1,0))</f>
        <v>0</v>
      </c>
      <c r="AI455" s="103">
        <f>IF(Tabla1[[#This Row],[TIPO DE CONSUMIDOR]]="MEDIO",IF(Tabla1[[#This Row],[MAYO ]]&gt;22.5,Tabla1[[#This Row],[MAYO ]]/22.5-1,0),IF(Tabla1[[#This Row],[MAYO ]]&gt;45,Tabla1[[#This Row],[MAYO ]]/45-1,0))</f>
        <v>0</v>
      </c>
      <c r="AJ455" s="103">
        <f>IF(Tabla1[[#This Row],[TIPO DE CONSUMIDOR]]="MEDIO",IF(Tabla1[[#This Row],[JUNIO ]]&gt;22.5,Tabla1[[#This Row],[JUNIO ]]/22.5-1,0),IF(Tabla1[[#This Row],[JUNIO ]]&gt;45,Tabla1[[#This Row],[JUNIO ]]/45-1,0))</f>
        <v>0</v>
      </c>
      <c r="AK455" s="103">
        <f>IF(Tabla1[[#This Row],[TIPO DE CONSUMIDOR]]="MEDIO",IF(Tabla1[[#This Row],[JULIO ]]&gt;22.5,Tabla1[[#This Row],[JULIO ]]/22.5-1,0),IF(Tabla1[[#This Row],[JULIO ]]&gt;45,Tabla1[[#This Row],[JULIO ]]/45-1,0))</f>
        <v>0</v>
      </c>
      <c r="AL455" s="103">
        <f>IF(Tabla1[[#This Row],[TIPO DE CONSUMIDOR]]="MEDIO",IF(Tabla1[[#This Row],[AGOSTO]]&gt;22.5,Tabla1[[#This Row],[AGOSTO]]/22.5-1,0),IF(Tabla1[[#This Row],[AGOSTO]]&gt;45,Tabla1[[#This Row],[AGOSTO]]/45-1,0))</f>
        <v>0</v>
      </c>
      <c r="AM45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5" s="104">
        <f t="shared" si="14"/>
        <v>0</v>
      </c>
      <c r="AR455" s="9">
        <f t="shared" ref="AR455:AR518" si="15">IF(Y455&gt;0,1,0)</f>
        <v>1</v>
      </c>
      <c r="AS455" s="60">
        <f>IF(Tabla1[[#This Row],[MESES DE ADEUDO DEL AÑO EN CURSO ]]&gt;0,1,0)</f>
        <v>1</v>
      </c>
      <c r="AT455" s="42"/>
      <c r="AU455" s="42"/>
      <c r="AV455" s="42"/>
      <c r="AW455" s="43"/>
    </row>
    <row r="456" spans="1:49" ht="21.75" thickBot="1" x14ac:dyDescent="0.35">
      <c r="A456" s="109">
        <v>450</v>
      </c>
      <c r="B456" s="5" t="s">
        <v>189</v>
      </c>
      <c r="C456" s="2" t="s">
        <v>549</v>
      </c>
      <c r="D456" s="32"/>
      <c r="E456" s="36" t="s">
        <v>455</v>
      </c>
      <c r="F456" s="34">
        <v>0</v>
      </c>
      <c r="G456" s="34">
        <v>0</v>
      </c>
      <c r="H456" s="34">
        <v>0</v>
      </c>
      <c r="I456" s="34">
        <v>0</v>
      </c>
      <c r="J456" s="34">
        <v>0</v>
      </c>
      <c r="K456" s="34">
        <v>0</v>
      </c>
      <c r="L456" s="34">
        <v>0</v>
      </c>
      <c r="M456" s="34">
        <v>0</v>
      </c>
      <c r="N456" s="34">
        <v>0</v>
      </c>
      <c r="O456" s="34">
        <v>0</v>
      </c>
      <c r="P456" s="34">
        <v>0</v>
      </c>
      <c r="Q456" s="34">
        <v>0</v>
      </c>
      <c r="R456" s="24">
        <f>SUM(Tabla1[[#This Row],[ENERO ]:[DICIEMBRE]])</f>
        <v>0</v>
      </c>
      <c r="W456" s="65">
        <v>1</v>
      </c>
      <c r="X456" s="21">
        <f>COUNTIF(Tabla1[[#This Row],[ENERO ]:[DICIEMBRE]],0)-(AQ456)-IF(Tabla1[[#This Row],[BAJAS]]="BAJA",IF(Tabla1[[#This Row],[ALTAS]]="ALTA",VLOOKUP(Tabla1[[#This Row],[MES DE ALTA ]],$AT$6:$AU$17,2,FALSE),12)-VLOOKUP(Tabla1[[#This Row],[MES DE BAJA ]],$AT$6:$AU$17,2,FALSE),0)</f>
        <v>12</v>
      </c>
      <c r="Y456" s="69">
        <f>SUM(Tabla1[[#This Row],[MES ADEUDO DE AÑOS PASADOS ]:[MESES DE ADEUDO DEL AÑO EN CURSO ]])</f>
        <v>13</v>
      </c>
      <c r="Z456" s="15">
        <f>IF(Tabla1[[#This Row],[TIPO DE CONSUMIDOR]]="COMPLETO",W456*$T$2,W456*($T$2/2))</f>
        <v>45</v>
      </c>
      <c r="AA456" s="15">
        <f>IF(Tabla1[[#This Row],[TIPO DE CONSUMIDOR]]="COMPLETO",Tabla1[[#This Row],[MESES DE ADEUDO DEL AÑO EN CURSO ]]*$T$2,Tabla1[[#This Row],[MESES DE ADEUDO DEL AÑO EN CURSO ]]*($T$2/2))</f>
        <v>540</v>
      </c>
      <c r="AB456" s="70">
        <f>SUM(Tabla1[[#This Row],[DEUDA DE LOS MESES PASADOS EN $$]:[DEUDA DEL AÑO 2013 $$ ]])</f>
        <v>585</v>
      </c>
      <c r="AE456" s="103">
        <f>IF(Tabla1[[#This Row],[TIPO DE CONSUMIDOR]]="MEDIO",IF(Tabla1[[#This Row],[ENERO ]]&gt;22.5,Tabla1[[#This Row],[ENERO ]]/22.5-1,0),IF(Tabla1[[#This Row],[ENERO ]]&gt;45,Tabla1[[#This Row],[ENERO ]]/45-1,0))</f>
        <v>0</v>
      </c>
      <c r="AF45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6" s="103">
        <f>IF(Tabla1[[#This Row],[TIPO DE CONSUMIDOR]]="MEDIO",IF(Tabla1[[#This Row],[MARZO]]&gt;22.5,Tabla1[[#This Row],[MARZO]]/22.5-1,0),IF(Tabla1[[#This Row],[MARZO]]&gt;45,Tabla1[[#This Row],[MARZO]]/45-1,0))</f>
        <v>0</v>
      </c>
      <c r="AH456" s="103">
        <f>IF(Tabla1[[#This Row],[TIPO DE CONSUMIDOR]]="MEDIO",IF(Tabla1[[#This Row],[ABRIL]]&gt;22.5,Tabla1[[#This Row],[ABRIL]]/22.5-1,0),IF(Tabla1[[#This Row],[ABRIL]]&gt;45,Tabla1[[#This Row],[ABRIL]]/45-1,0))</f>
        <v>0</v>
      </c>
      <c r="AI456" s="103">
        <f>IF(Tabla1[[#This Row],[TIPO DE CONSUMIDOR]]="MEDIO",IF(Tabla1[[#This Row],[MAYO ]]&gt;22.5,Tabla1[[#This Row],[MAYO ]]/22.5-1,0),IF(Tabla1[[#This Row],[MAYO ]]&gt;45,Tabla1[[#This Row],[MAYO ]]/45-1,0))</f>
        <v>0</v>
      </c>
      <c r="AJ456" s="103">
        <f>IF(Tabla1[[#This Row],[TIPO DE CONSUMIDOR]]="MEDIO",IF(Tabla1[[#This Row],[JUNIO ]]&gt;22.5,Tabla1[[#This Row],[JUNIO ]]/22.5-1,0),IF(Tabla1[[#This Row],[JUNIO ]]&gt;45,Tabla1[[#This Row],[JUNIO ]]/45-1,0))</f>
        <v>0</v>
      </c>
      <c r="AK456" s="103">
        <f>IF(Tabla1[[#This Row],[TIPO DE CONSUMIDOR]]="MEDIO",IF(Tabla1[[#This Row],[JULIO ]]&gt;22.5,Tabla1[[#This Row],[JULIO ]]/22.5-1,0),IF(Tabla1[[#This Row],[JULIO ]]&gt;45,Tabla1[[#This Row],[JULIO ]]/45-1,0))</f>
        <v>0</v>
      </c>
      <c r="AL456" s="103">
        <f>IF(Tabla1[[#This Row],[TIPO DE CONSUMIDOR]]="MEDIO",IF(Tabla1[[#This Row],[AGOSTO]]&gt;22.5,Tabla1[[#This Row],[AGOSTO]]/22.5-1,0),IF(Tabla1[[#This Row],[AGOSTO]]&gt;45,Tabla1[[#This Row],[AGOSTO]]/45-1,0))</f>
        <v>0</v>
      </c>
      <c r="AM45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6" s="104">
        <f t="shared" ref="AQ456:AQ519" si="16">SUM(AE456:AP456)</f>
        <v>0</v>
      </c>
      <c r="AR456" s="9">
        <f t="shared" si="15"/>
        <v>1</v>
      </c>
      <c r="AS456" s="60">
        <f>IF(Tabla1[[#This Row],[MESES DE ADEUDO DEL AÑO EN CURSO ]]&gt;0,1,0)</f>
        <v>1</v>
      </c>
      <c r="AT456" s="42"/>
      <c r="AU456" s="42"/>
      <c r="AV456" s="42"/>
      <c r="AW456" s="43"/>
    </row>
    <row r="457" spans="1:49" ht="21.75" thickBot="1" x14ac:dyDescent="0.35">
      <c r="A457" s="109">
        <v>451</v>
      </c>
      <c r="B457" s="5" t="s">
        <v>22</v>
      </c>
      <c r="C457" s="2" t="s">
        <v>562</v>
      </c>
      <c r="D457" s="32"/>
      <c r="E457" s="35" t="s">
        <v>455</v>
      </c>
      <c r="F457" s="34">
        <v>0</v>
      </c>
      <c r="G457" s="34">
        <v>0</v>
      </c>
      <c r="H457" s="34">
        <v>0</v>
      </c>
      <c r="I457" s="34">
        <v>0</v>
      </c>
      <c r="J457" s="34">
        <v>0</v>
      </c>
      <c r="K457" s="34">
        <v>0</v>
      </c>
      <c r="L457" s="34">
        <v>0</v>
      </c>
      <c r="M457" s="34">
        <v>0</v>
      </c>
      <c r="N457" s="34">
        <v>0</v>
      </c>
      <c r="O457" s="34">
        <v>0</v>
      </c>
      <c r="P457" s="34">
        <v>0</v>
      </c>
      <c r="Q457" s="34">
        <v>0</v>
      </c>
      <c r="R457" s="24">
        <f>SUM(Tabla1[[#This Row],[ENERO ]:[DICIEMBRE]])</f>
        <v>0</v>
      </c>
      <c r="W457" s="65">
        <v>1</v>
      </c>
      <c r="X457" s="21">
        <f>COUNTIF(Tabla1[[#This Row],[ENERO ]:[DICIEMBRE]],0)-(AQ457)-IF(Tabla1[[#This Row],[BAJAS]]="BAJA",IF(Tabla1[[#This Row],[ALTAS]]="ALTA",VLOOKUP(Tabla1[[#This Row],[MES DE ALTA ]],$AT$6:$AU$17,2,FALSE),12)-VLOOKUP(Tabla1[[#This Row],[MES DE BAJA ]],$AT$6:$AU$17,2,FALSE),0)</f>
        <v>12</v>
      </c>
      <c r="Y457" s="69">
        <f>SUM(Tabla1[[#This Row],[MES ADEUDO DE AÑOS PASADOS ]:[MESES DE ADEUDO DEL AÑO EN CURSO ]])</f>
        <v>13</v>
      </c>
      <c r="Z457" s="15">
        <f>IF(Tabla1[[#This Row],[TIPO DE CONSUMIDOR]]="COMPLETO",W457*$T$2,W457*($T$2/2))</f>
        <v>45</v>
      </c>
      <c r="AA457" s="15">
        <f>IF(Tabla1[[#This Row],[TIPO DE CONSUMIDOR]]="COMPLETO",Tabla1[[#This Row],[MESES DE ADEUDO DEL AÑO EN CURSO ]]*$T$2,Tabla1[[#This Row],[MESES DE ADEUDO DEL AÑO EN CURSO ]]*($T$2/2))</f>
        <v>540</v>
      </c>
      <c r="AB457" s="70">
        <f>SUM(Tabla1[[#This Row],[DEUDA DE LOS MESES PASADOS EN $$]:[DEUDA DEL AÑO 2013 $$ ]])</f>
        <v>585</v>
      </c>
      <c r="AE457" s="103">
        <f>IF(Tabla1[[#This Row],[TIPO DE CONSUMIDOR]]="MEDIO",IF(Tabla1[[#This Row],[ENERO ]]&gt;22.5,Tabla1[[#This Row],[ENERO ]]/22.5-1,0),IF(Tabla1[[#This Row],[ENERO ]]&gt;45,Tabla1[[#This Row],[ENERO ]]/45-1,0))</f>
        <v>0</v>
      </c>
      <c r="AF45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7" s="103">
        <f>IF(Tabla1[[#This Row],[TIPO DE CONSUMIDOR]]="MEDIO",IF(Tabla1[[#This Row],[MARZO]]&gt;22.5,Tabla1[[#This Row],[MARZO]]/22.5-1,0),IF(Tabla1[[#This Row],[MARZO]]&gt;45,Tabla1[[#This Row],[MARZO]]/45-1,0))</f>
        <v>0</v>
      </c>
      <c r="AH457" s="103">
        <f>IF(Tabla1[[#This Row],[TIPO DE CONSUMIDOR]]="MEDIO",IF(Tabla1[[#This Row],[ABRIL]]&gt;22.5,Tabla1[[#This Row],[ABRIL]]/22.5-1,0),IF(Tabla1[[#This Row],[ABRIL]]&gt;45,Tabla1[[#This Row],[ABRIL]]/45-1,0))</f>
        <v>0</v>
      </c>
      <c r="AI457" s="103">
        <f>IF(Tabla1[[#This Row],[TIPO DE CONSUMIDOR]]="MEDIO",IF(Tabla1[[#This Row],[MAYO ]]&gt;22.5,Tabla1[[#This Row],[MAYO ]]/22.5-1,0),IF(Tabla1[[#This Row],[MAYO ]]&gt;45,Tabla1[[#This Row],[MAYO ]]/45-1,0))</f>
        <v>0</v>
      </c>
      <c r="AJ457" s="103">
        <f>IF(Tabla1[[#This Row],[TIPO DE CONSUMIDOR]]="MEDIO",IF(Tabla1[[#This Row],[JUNIO ]]&gt;22.5,Tabla1[[#This Row],[JUNIO ]]/22.5-1,0),IF(Tabla1[[#This Row],[JUNIO ]]&gt;45,Tabla1[[#This Row],[JUNIO ]]/45-1,0))</f>
        <v>0</v>
      </c>
      <c r="AK457" s="103">
        <f>IF(Tabla1[[#This Row],[TIPO DE CONSUMIDOR]]="MEDIO",IF(Tabla1[[#This Row],[JULIO ]]&gt;22.5,Tabla1[[#This Row],[JULIO ]]/22.5-1,0),IF(Tabla1[[#This Row],[JULIO ]]&gt;45,Tabla1[[#This Row],[JULIO ]]/45-1,0))</f>
        <v>0</v>
      </c>
      <c r="AL457" s="103">
        <f>IF(Tabla1[[#This Row],[TIPO DE CONSUMIDOR]]="MEDIO",IF(Tabla1[[#This Row],[AGOSTO]]&gt;22.5,Tabla1[[#This Row],[AGOSTO]]/22.5-1,0),IF(Tabla1[[#This Row],[AGOSTO]]&gt;45,Tabla1[[#This Row],[AGOSTO]]/45-1,0))</f>
        <v>0</v>
      </c>
      <c r="AM45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7" s="104">
        <f t="shared" si="16"/>
        <v>0</v>
      </c>
      <c r="AR457" s="9">
        <f t="shared" si="15"/>
        <v>1</v>
      </c>
      <c r="AS457" s="60">
        <f>IF(Tabla1[[#This Row],[MESES DE ADEUDO DEL AÑO EN CURSO ]]&gt;0,1,0)</f>
        <v>1</v>
      </c>
      <c r="AT457" s="42"/>
      <c r="AU457" s="42"/>
      <c r="AV457" s="42"/>
      <c r="AW457" s="43"/>
    </row>
    <row r="458" spans="1:49" ht="21.75" thickBot="1" x14ac:dyDescent="0.35">
      <c r="A458" s="109">
        <v>452</v>
      </c>
      <c r="B458" s="5" t="s">
        <v>577</v>
      </c>
      <c r="C458" s="2" t="s">
        <v>575</v>
      </c>
      <c r="D458" s="32"/>
      <c r="E458" s="35" t="s">
        <v>455</v>
      </c>
      <c r="F458" s="34">
        <v>0</v>
      </c>
      <c r="G458" s="34">
        <v>0</v>
      </c>
      <c r="H458" s="34">
        <v>0</v>
      </c>
      <c r="I458" s="34">
        <v>0</v>
      </c>
      <c r="J458" s="34">
        <v>0</v>
      </c>
      <c r="K458" s="34">
        <v>0</v>
      </c>
      <c r="L458" s="34">
        <v>0</v>
      </c>
      <c r="M458" s="34">
        <v>0</v>
      </c>
      <c r="N458" s="34">
        <v>0</v>
      </c>
      <c r="O458" s="34">
        <v>0</v>
      </c>
      <c r="P458" s="34">
        <v>0</v>
      </c>
      <c r="Q458" s="34">
        <v>0</v>
      </c>
      <c r="R458" s="24">
        <f>SUM(Tabla1[[#This Row],[ENERO ]:[DICIEMBRE]])</f>
        <v>0</v>
      </c>
      <c r="W458" s="65">
        <v>1</v>
      </c>
      <c r="X458" s="21">
        <f>COUNTIF(Tabla1[[#This Row],[ENERO ]:[DICIEMBRE]],0)-(AQ458)-IF(Tabla1[[#This Row],[BAJAS]]="BAJA",IF(Tabla1[[#This Row],[ALTAS]]="ALTA",VLOOKUP(Tabla1[[#This Row],[MES DE ALTA ]],$AT$6:$AU$17,2,FALSE),12)-VLOOKUP(Tabla1[[#This Row],[MES DE BAJA ]],$AT$6:$AU$17,2,FALSE),0)</f>
        <v>12</v>
      </c>
      <c r="Y458" s="69">
        <f>SUM(Tabla1[[#This Row],[MES ADEUDO DE AÑOS PASADOS ]:[MESES DE ADEUDO DEL AÑO EN CURSO ]])</f>
        <v>13</v>
      </c>
      <c r="Z458" s="15">
        <f>IF(Tabla1[[#This Row],[TIPO DE CONSUMIDOR]]="COMPLETO",W458*$T$2,W458*($T$2/2))</f>
        <v>45</v>
      </c>
      <c r="AA458" s="15">
        <f>IF(Tabla1[[#This Row],[TIPO DE CONSUMIDOR]]="COMPLETO",Tabla1[[#This Row],[MESES DE ADEUDO DEL AÑO EN CURSO ]]*$T$2,Tabla1[[#This Row],[MESES DE ADEUDO DEL AÑO EN CURSO ]]*($T$2/2))</f>
        <v>540</v>
      </c>
      <c r="AB458" s="70">
        <f>SUM(Tabla1[[#This Row],[DEUDA DE LOS MESES PASADOS EN $$]:[DEUDA DEL AÑO 2013 $$ ]])</f>
        <v>585</v>
      </c>
      <c r="AE458" s="103">
        <f>IF(Tabla1[[#This Row],[TIPO DE CONSUMIDOR]]="MEDIO",IF(Tabla1[[#This Row],[ENERO ]]&gt;22.5,Tabla1[[#This Row],[ENERO ]]/22.5-1,0),IF(Tabla1[[#This Row],[ENERO ]]&gt;45,Tabla1[[#This Row],[ENERO ]]/45-1,0))</f>
        <v>0</v>
      </c>
      <c r="AF45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8" s="103">
        <f>IF(Tabla1[[#This Row],[TIPO DE CONSUMIDOR]]="MEDIO",IF(Tabla1[[#This Row],[MARZO]]&gt;22.5,Tabla1[[#This Row],[MARZO]]/22.5-1,0),IF(Tabla1[[#This Row],[MARZO]]&gt;45,Tabla1[[#This Row],[MARZO]]/45-1,0))</f>
        <v>0</v>
      </c>
      <c r="AH458" s="103">
        <f>IF(Tabla1[[#This Row],[TIPO DE CONSUMIDOR]]="MEDIO",IF(Tabla1[[#This Row],[ABRIL]]&gt;22.5,Tabla1[[#This Row],[ABRIL]]/22.5-1,0),IF(Tabla1[[#This Row],[ABRIL]]&gt;45,Tabla1[[#This Row],[ABRIL]]/45-1,0))</f>
        <v>0</v>
      </c>
      <c r="AI458" s="103">
        <f>IF(Tabla1[[#This Row],[TIPO DE CONSUMIDOR]]="MEDIO",IF(Tabla1[[#This Row],[MAYO ]]&gt;22.5,Tabla1[[#This Row],[MAYO ]]/22.5-1,0),IF(Tabla1[[#This Row],[MAYO ]]&gt;45,Tabla1[[#This Row],[MAYO ]]/45-1,0))</f>
        <v>0</v>
      </c>
      <c r="AJ458" s="103">
        <f>IF(Tabla1[[#This Row],[TIPO DE CONSUMIDOR]]="MEDIO",IF(Tabla1[[#This Row],[JUNIO ]]&gt;22.5,Tabla1[[#This Row],[JUNIO ]]/22.5-1,0),IF(Tabla1[[#This Row],[JUNIO ]]&gt;45,Tabla1[[#This Row],[JUNIO ]]/45-1,0))</f>
        <v>0</v>
      </c>
      <c r="AK458" s="103">
        <f>IF(Tabla1[[#This Row],[TIPO DE CONSUMIDOR]]="MEDIO",IF(Tabla1[[#This Row],[JULIO ]]&gt;22.5,Tabla1[[#This Row],[JULIO ]]/22.5-1,0),IF(Tabla1[[#This Row],[JULIO ]]&gt;45,Tabla1[[#This Row],[JULIO ]]/45-1,0))</f>
        <v>0</v>
      </c>
      <c r="AL458" s="103">
        <f>IF(Tabla1[[#This Row],[TIPO DE CONSUMIDOR]]="MEDIO",IF(Tabla1[[#This Row],[AGOSTO]]&gt;22.5,Tabla1[[#This Row],[AGOSTO]]/22.5-1,0),IF(Tabla1[[#This Row],[AGOSTO]]&gt;45,Tabla1[[#This Row],[AGOSTO]]/45-1,0))</f>
        <v>0</v>
      </c>
      <c r="AM45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8" s="104">
        <f t="shared" si="16"/>
        <v>0</v>
      </c>
      <c r="AR458" s="9">
        <f t="shared" si="15"/>
        <v>1</v>
      </c>
      <c r="AS458" s="60">
        <f>IF(Tabla1[[#This Row],[MESES DE ADEUDO DEL AÑO EN CURSO ]]&gt;0,1,0)</f>
        <v>1</v>
      </c>
      <c r="AT458" s="42"/>
      <c r="AU458" s="42"/>
      <c r="AV458" s="42"/>
      <c r="AW458" s="43"/>
    </row>
    <row r="459" spans="1:49" ht="21.75" thickBot="1" x14ac:dyDescent="0.35">
      <c r="A459" s="109">
        <v>453</v>
      </c>
      <c r="B459" s="5" t="s">
        <v>133</v>
      </c>
      <c r="C459" s="2"/>
      <c r="D459" s="32"/>
      <c r="E459" s="35" t="s">
        <v>455</v>
      </c>
      <c r="F459" s="34">
        <v>0</v>
      </c>
      <c r="G459" s="34">
        <v>0</v>
      </c>
      <c r="H459" s="34">
        <v>0</v>
      </c>
      <c r="I459" s="34">
        <v>0</v>
      </c>
      <c r="J459" s="34">
        <v>0</v>
      </c>
      <c r="K459" s="34">
        <v>0</v>
      </c>
      <c r="L459" s="34">
        <v>0</v>
      </c>
      <c r="M459" s="34">
        <v>0</v>
      </c>
      <c r="N459" s="34">
        <v>0</v>
      </c>
      <c r="O459" s="34">
        <v>0</v>
      </c>
      <c r="P459" s="34">
        <v>0</v>
      </c>
      <c r="Q459" s="34">
        <v>0</v>
      </c>
      <c r="R459" s="24">
        <f>SUM(Tabla1[[#This Row],[ENERO ]:[DICIEMBRE]])</f>
        <v>0</v>
      </c>
      <c r="W459" s="65">
        <v>1</v>
      </c>
      <c r="X459" s="21">
        <f>COUNTIF(Tabla1[[#This Row],[ENERO ]:[DICIEMBRE]],0)-(AQ459)-IF(Tabla1[[#This Row],[BAJAS]]="BAJA",IF(Tabla1[[#This Row],[ALTAS]]="ALTA",VLOOKUP(Tabla1[[#This Row],[MES DE ALTA ]],$AT$6:$AU$17,2,FALSE),12)-VLOOKUP(Tabla1[[#This Row],[MES DE BAJA ]],$AT$6:$AU$17,2,FALSE),0)</f>
        <v>12</v>
      </c>
      <c r="Y459" s="69">
        <f>SUM(Tabla1[[#This Row],[MES ADEUDO DE AÑOS PASADOS ]:[MESES DE ADEUDO DEL AÑO EN CURSO ]])</f>
        <v>13</v>
      </c>
      <c r="Z459" s="15">
        <f>IF(Tabla1[[#This Row],[TIPO DE CONSUMIDOR]]="COMPLETO",W459*$T$2,W459*($T$2/2))</f>
        <v>45</v>
      </c>
      <c r="AA459" s="15">
        <f>IF(Tabla1[[#This Row],[TIPO DE CONSUMIDOR]]="COMPLETO",Tabla1[[#This Row],[MESES DE ADEUDO DEL AÑO EN CURSO ]]*$T$2,Tabla1[[#This Row],[MESES DE ADEUDO DEL AÑO EN CURSO ]]*($T$2/2))</f>
        <v>540</v>
      </c>
      <c r="AB459" s="70">
        <f>SUM(Tabla1[[#This Row],[DEUDA DE LOS MESES PASADOS EN $$]:[DEUDA DEL AÑO 2013 $$ ]])</f>
        <v>585</v>
      </c>
      <c r="AE459" s="103">
        <f>IF(Tabla1[[#This Row],[TIPO DE CONSUMIDOR]]="MEDIO",IF(Tabla1[[#This Row],[ENERO ]]&gt;22.5,Tabla1[[#This Row],[ENERO ]]/22.5-1,0),IF(Tabla1[[#This Row],[ENERO ]]&gt;45,Tabla1[[#This Row],[ENERO ]]/45-1,0))</f>
        <v>0</v>
      </c>
      <c r="AF45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59" s="103">
        <f>IF(Tabla1[[#This Row],[TIPO DE CONSUMIDOR]]="MEDIO",IF(Tabla1[[#This Row],[MARZO]]&gt;22.5,Tabla1[[#This Row],[MARZO]]/22.5-1,0),IF(Tabla1[[#This Row],[MARZO]]&gt;45,Tabla1[[#This Row],[MARZO]]/45-1,0))</f>
        <v>0</v>
      </c>
      <c r="AH459" s="103">
        <f>IF(Tabla1[[#This Row],[TIPO DE CONSUMIDOR]]="MEDIO",IF(Tabla1[[#This Row],[ABRIL]]&gt;22.5,Tabla1[[#This Row],[ABRIL]]/22.5-1,0),IF(Tabla1[[#This Row],[ABRIL]]&gt;45,Tabla1[[#This Row],[ABRIL]]/45-1,0))</f>
        <v>0</v>
      </c>
      <c r="AI459" s="103">
        <f>IF(Tabla1[[#This Row],[TIPO DE CONSUMIDOR]]="MEDIO",IF(Tabla1[[#This Row],[MAYO ]]&gt;22.5,Tabla1[[#This Row],[MAYO ]]/22.5-1,0),IF(Tabla1[[#This Row],[MAYO ]]&gt;45,Tabla1[[#This Row],[MAYO ]]/45-1,0))</f>
        <v>0</v>
      </c>
      <c r="AJ459" s="103">
        <f>IF(Tabla1[[#This Row],[TIPO DE CONSUMIDOR]]="MEDIO",IF(Tabla1[[#This Row],[JUNIO ]]&gt;22.5,Tabla1[[#This Row],[JUNIO ]]/22.5-1,0),IF(Tabla1[[#This Row],[JUNIO ]]&gt;45,Tabla1[[#This Row],[JUNIO ]]/45-1,0))</f>
        <v>0</v>
      </c>
      <c r="AK459" s="103">
        <f>IF(Tabla1[[#This Row],[TIPO DE CONSUMIDOR]]="MEDIO",IF(Tabla1[[#This Row],[JULIO ]]&gt;22.5,Tabla1[[#This Row],[JULIO ]]/22.5-1,0),IF(Tabla1[[#This Row],[JULIO ]]&gt;45,Tabla1[[#This Row],[JULIO ]]/45-1,0))</f>
        <v>0</v>
      </c>
      <c r="AL459" s="103">
        <f>IF(Tabla1[[#This Row],[TIPO DE CONSUMIDOR]]="MEDIO",IF(Tabla1[[#This Row],[AGOSTO]]&gt;22.5,Tabla1[[#This Row],[AGOSTO]]/22.5-1,0),IF(Tabla1[[#This Row],[AGOSTO]]&gt;45,Tabla1[[#This Row],[AGOSTO]]/45-1,0))</f>
        <v>0</v>
      </c>
      <c r="AM45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5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5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5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59" s="104">
        <f t="shared" si="16"/>
        <v>0</v>
      </c>
      <c r="AR459" s="9">
        <f t="shared" si="15"/>
        <v>1</v>
      </c>
      <c r="AS459" s="60">
        <f>IF(Tabla1[[#This Row],[MESES DE ADEUDO DEL AÑO EN CURSO ]]&gt;0,1,0)</f>
        <v>1</v>
      </c>
      <c r="AT459" s="42"/>
      <c r="AU459" s="42"/>
      <c r="AV459" s="42"/>
      <c r="AW459" s="43"/>
    </row>
    <row r="460" spans="1:49" ht="21.75" thickBot="1" x14ac:dyDescent="0.35">
      <c r="A460" s="109">
        <v>454</v>
      </c>
      <c r="B460" s="5" t="s">
        <v>462</v>
      </c>
      <c r="C460" s="2" t="s">
        <v>461</v>
      </c>
      <c r="D460" s="32"/>
      <c r="E460" s="35" t="s">
        <v>455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24">
        <f>SUM(Tabla1[[#This Row],[ENERO ]:[DICIEMBRE]])</f>
        <v>0</v>
      </c>
      <c r="S460" t="s">
        <v>626</v>
      </c>
      <c r="T460" t="s">
        <v>437</v>
      </c>
      <c r="W460" s="65">
        <v>10</v>
      </c>
      <c r="X460" s="21">
        <f>COUNTIF(Tabla1[[#This Row],[ENERO ]:[DICIEMBRE]],0)-(AQ460)-IF(Tabla1[[#This Row],[BAJAS]]="BAJA",IF(Tabla1[[#This Row],[ALTAS]]="ALTA",VLOOKUP(Tabla1[[#This Row],[MES DE ALTA ]],$AT$6:$AU$17,2,FALSE),12)-VLOOKUP(Tabla1[[#This Row],[MES DE BAJA ]],$AT$6:$AU$17,2,FALSE),0)</f>
        <v>4</v>
      </c>
      <c r="Y460" s="69">
        <f>SUM(Tabla1[[#This Row],[MES ADEUDO DE AÑOS PASADOS ]:[MESES DE ADEUDO DEL AÑO EN CURSO ]])</f>
        <v>14</v>
      </c>
      <c r="Z460" s="15">
        <f>IF(Tabla1[[#This Row],[TIPO DE CONSUMIDOR]]="COMPLETO",W460*$T$2,W460*($T$2/2))</f>
        <v>450</v>
      </c>
      <c r="AA460" s="15">
        <f>IF(Tabla1[[#This Row],[TIPO DE CONSUMIDOR]]="COMPLETO",Tabla1[[#This Row],[MESES DE ADEUDO DEL AÑO EN CURSO ]]*$T$2,Tabla1[[#This Row],[MESES DE ADEUDO DEL AÑO EN CURSO ]]*($T$2/2))</f>
        <v>180</v>
      </c>
      <c r="AB460" s="70">
        <f>SUM(Tabla1[[#This Row],[DEUDA DE LOS MESES PASADOS EN $$]:[DEUDA DEL AÑO 2013 $$ ]])</f>
        <v>630</v>
      </c>
      <c r="AE460" s="103">
        <f>IF(Tabla1[[#This Row],[TIPO DE CONSUMIDOR]]="MEDIO",IF(Tabla1[[#This Row],[ENERO ]]&gt;22.5,Tabla1[[#This Row],[ENERO ]]/22.5-1,0),IF(Tabla1[[#This Row],[ENERO ]]&gt;45,Tabla1[[#This Row],[ENERO ]]/45-1,0))</f>
        <v>0</v>
      </c>
      <c r="AF46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0" s="103">
        <f>IF(Tabla1[[#This Row],[TIPO DE CONSUMIDOR]]="MEDIO",IF(Tabla1[[#This Row],[MARZO]]&gt;22.5,Tabla1[[#This Row],[MARZO]]/22.5-1,0),IF(Tabla1[[#This Row],[MARZO]]&gt;45,Tabla1[[#This Row],[MARZO]]/45-1,0))</f>
        <v>0</v>
      </c>
      <c r="AH460" s="103">
        <f>IF(Tabla1[[#This Row],[TIPO DE CONSUMIDOR]]="MEDIO",IF(Tabla1[[#This Row],[ABRIL]]&gt;22.5,Tabla1[[#This Row],[ABRIL]]/22.5-1,0),IF(Tabla1[[#This Row],[ABRIL]]&gt;45,Tabla1[[#This Row],[ABRIL]]/45-1,0))</f>
        <v>0</v>
      </c>
      <c r="AI460" s="103">
        <f>IF(Tabla1[[#This Row],[TIPO DE CONSUMIDOR]]="MEDIO",IF(Tabla1[[#This Row],[MAYO ]]&gt;22.5,Tabla1[[#This Row],[MAYO ]]/22.5-1,0),IF(Tabla1[[#This Row],[MAYO ]]&gt;45,Tabla1[[#This Row],[MAYO ]]/45-1,0))</f>
        <v>0</v>
      </c>
      <c r="AJ460" s="103">
        <f>IF(Tabla1[[#This Row],[TIPO DE CONSUMIDOR]]="MEDIO",IF(Tabla1[[#This Row],[JUNIO ]]&gt;22.5,Tabla1[[#This Row],[JUNIO ]]/22.5-1,0),IF(Tabla1[[#This Row],[JUNIO ]]&gt;45,Tabla1[[#This Row],[JUNIO ]]/45-1,0))</f>
        <v>0</v>
      </c>
      <c r="AK460" s="103">
        <f>IF(Tabla1[[#This Row],[TIPO DE CONSUMIDOR]]="MEDIO",IF(Tabla1[[#This Row],[JULIO ]]&gt;22.5,Tabla1[[#This Row],[JULIO ]]/22.5-1,0),IF(Tabla1[[#This Row],[JULIO ]]&gt;45,Tabla1[[#This Row],[JULIO ]]/45-1,0))</f>
        <v>0</v>
      </c>
      <c r="AL460" s="103">
        <f>IF(Tabla1[[#This Row],[TIPO DE CONSUMIDOR]]="MEDIO",IF(Tabla1[[#This Row],[AGOSTO]]&gt;22.5,Tabla1[[#This Row],[AGOSTO]]/22.5-1,0),IF(Tabla1[[#This Row],[AGOSTO]]&gt;45,Tabla1[[#This Row],[AGOSTO]]/45-1,0))</f>
        <v>0</v>
      </c>
      <c r="AM46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0" s="104">
        <f t="shared" si="16"/>
        <v>0</v>
      </c>
      <c r="AR460" s="9">
        <f t="shared" si="15"/>
        <v>1</v>
      </c>
      <c r="AS460" s="60">
        <f>IF(Tabla1[[#This Row],[MESES DE ADEUDO DEL AÑO EN CURSO ]]&gt;0,1,0)</f>
        <v>1</v>
      </c>
      <c r="AT460" s="42"/>
      <c r="AU460" s="42"/>
      <c r="AV460" s="42"/>
      <c r="AW460" s="43"/>
    </row>
    <row r="461" spans="1:49" ht="21.75" thickBot="1" x14ac:dyDescent="0.35">
      <c r="A461" s="109">
        <v>455</v>
      </c>
      <c r="B461" s="5" t="s">
        <v>237</v>
      </c>
      <c r="C461" s="2" t="s">
        <v>461</v>
      </c>
      <c r="D461" s="32"/>
      <c r="E461" s="35" t="s">
        <v>455</v>
      </c>
      <c r="F461" s="34">
        <v>0</v>
      </c>
      <c r="G461" s="34">
        <v>0</v>
      </c>
      <c r="H461" s="34">
        <v>0</v>
      </c>
      <c r="I461" s="34"/>
      <c r="J461" s="34">
        <v>0</v>
      </c>
      <c r="K461" s="34">
        <v>0</v>
      </c>
      <c r="L461" s="34">
        <v>0</v>
      </c>
      <c r="M461" s="34">
        <v>0</v>
      </c>
      <c r="N461" s="34">
        <v>0</v>
      </c>
      <c r="O461" s="34">
        <v>0</v>
      </c>
      <c r="P461" s="34">
        <v>0</v>
      </c>
      <c r="Q461" s="34">
        <v>0</v>
      </c>
      <c r="R461" s="24">
        <f>SUM(Tabla1[[#This Row],[ENERO ]:[DICIEMBRE]])</f>
        <v>0</v>
      </c>
      <c r="W461" s="65">
        <v>3</v>
      </c>
      <c r="X461" s="21">
        <f>COUNTIF(Tabla1[[#This Row],[ENERO ]:[DICIEMBRE]],0)-(AQ461)-IF(Tabla1[[#This Row],[BAJAS]]="BAJA",IF(Tabla1[[#This Row],[ALTAS]]="ALTA",VLOOKUP(Tabla1[[#This Row],[MES DE ALTA ]],$AT$6:$AU$17,2,FALSE),12)-VLOOKUP(Tabla1[[#This Row],[MES DE BAJA ]],$AT$6:$AU$17,2,FALSE),0)</f>
        <v>11</v>
      </c>
      <c r="Y461" s="69">
        <f>SUM(Tabla1[[#This Row],[MES ADEUDO DE AÑOS PASADOS ]:[MESES DE ADEUDO DEL AÑO EN CURSO ]])</f>
        <v>14</v>
      </c>
      <c r="Z461" s="15">
        <f>IF(Tabla1[[#This Row],[TIPO DE CONSUMIDOR]]="COMPLETO",W461*$T$2,W461*($T$2/2))</f>
        <v>135</v>
      </c>
      <c r="AA461" s="15">
        <f>IF(Tabla1[[#This Row],[TIPO DE CONSUMIDOR]]="COMPLETO",Tabla1[[#This Row],[MESES DE ADEUDO DEL AÑO EN CURSO ]]*$T$2,Tabla1[[#This Row],[MESES DE ADEUDO DEL AÑO EN CURSO ]]*($T$2/2))</f>
        <v>495</v>
      </c>
      <c r="AB461" s="70">
        <f>SUM(Tabla1[[#This Row],[DEUDA DE LOS MESES PASADOS EN $$]:[DEUDA DEL AÑO 2013 $$ ]])</f>
        <v>630</v>
      </c>
      <c r="AE461" s="103">
        <f>IF(Tabla1[[#This Row],[TIPO DE CONSUMIDOR]]="MEDIO",IF(Tabla1[[#This Row],[ENERO ]]&gt;22.5,Tabla1[[#This Row],[ENERO ]]/22.5-1,0),IF(Tabla1[[#This Row],[ENERO ]]&gt;45,Tabla1[[#This Row],[ENERO ]]/45-1,0))</f>
        <v>0</v>
      </c>
      <c r="AF46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1" s="103">
        <f>IF(Tabla1[[#This Row],[TIPO DE CONSUMIDOR]]="MEDIO",IF(Tabla1[[#This Row],[MARZO]]&gt;22.5,Tabla1[[#This Row],[MARZO]]/22.5-1,0),IF(Tabla1[[#This Row],[MARZO]]&gt;45,Tabla1[[#This Row],[MARZO]]/45-1,0))</f>
        <v>0</v>
      </c>
      <c r="AH461" s="103">
        <f>IF(Tabla1[[#This Row],[TIPO DE CONSUMIDOR]]="MEDIO",IF(Tabla1[[#This Row],[ABRIL]]&gt;22.5,Tabla1[[#This Row],[ABRIL]]/22.5-1,0),IF(Tabla1[[#This Row],[ABRIL]]&gt;45,Tabla1[[#This Row],[ABRIL]]/45-1,0))</f>
        <v>0</v>
      </c>
      <c r="AI461" s="103">
        <f>IF(Tabla1[[#This Row],[TIPO DE CONSUMIDOR]]="MEDIO",IF(Tabla1[[#This Row],[MAYO ]]&gt;22.5,Tabla1[[#This Row],[MAYO ]]/22.5-1,0),IF(Tabla1[[#This Row],[MAYO ]]&gt;45,Tabla1[[#This Row],[MAYO ]]/45-1,0))</f>
        <v>0</v>
      </c>
      <c r="AJ461" s="103">
        <f>IF(Tabla1[[#This Row],[TIPO DE CONSUMIDOR]]="MEDIO",IF(Tabla1[[#This Row],[JUNIO ]]&gt;22.5,Tabla1[[#This Row],[JUNIO ]]/22.5-1,0),IF(Tabla1[[#This Row],[JUNIO ]]&gt;45,Tabla1[[#This Row],[JUNIO ]]/45-1,0))</f>
        <v>0</v>
      </c>
      <c r="AK461" s="103">
        <f>IF(Tabla1[[#This Row],[TIPO DE CONSUMIDOR]]="MEDIO",IF(Tabla1[[#This Row],[JULIO ]]&gt;22.5,Tabla1[[#This Row],[JULIO ]]/22.5-1,0),IF(Tabla1[[#This Row],[JULIO ]]&gt;45,Tabla1[[#This Row],[JULIO ]]/45-1,0))</f>
        <v>0</v>
      </c>
      <c r="AL461" s="103">
        <f>IF(Tabla1[[#This Row],[TIPO DE CONSUMIDOR]]="MEDIO",IF(Tabla1[[#This Row],[AGOSTO]]&gt;22.5,Tabla1[[#This Row],[AGOSTO]]/22.5-1,0),IF(Tabla1[[#This Row],[AGOSTO]]&gt;45,Tabla1[[#This Row],[AGOSTO]]/45-1,0))</f>
        <v>0</v>
      </c>
      <c r="AM46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1" s="104">
        <f t="shared" si="16"/>
        <v>0</v>
      </c>
      <c r="AR461" s="9">
        <f t="shared" si="15"/>
        <v>1</v>
      </c>
      <c r="AS461" s="60">
        <f>IF(Tabla1[[#This Row],[MESES DE ADEUDO DEL AÑO EN CURSO ]]&gt;0,1,0)</f>
        <v>1</v>
      </c>
      <c r="AT461" s="42"/>
      <c r="AU461" s="42"/>
      <c r="AV461" s="42"/>
      <c r="AW461" s="43"/>
    </row>
    <row r="462" spans="1:49" ht="21.75" thickBot="1" x14ac:dyDescent="0.35">
      <c r="A462" s="109">
        <v>456</v>
      </c>
      <c r="B462" s="5" t="s">
        <v>26</v>
      </c>
      <c r="C462" s="2" t="s">
        <v>493</v>
      </c>
      <c r="D462" s="32"/>
      <c r="E462" s="35" t="s">
        <v>455</v>
      </c>
      <c r="F462" s="34">
        <v>0</v>
      </c>
      <c r="G462" s="34">
        <v>0</v>
      </c>
      <c r="H462" s="34">
        <v>0</v>
      </c>
      <c r="I462" s="34">
        <v>0</v>
      </c>
      <c r="J462" s="34">
        <v>0</v>
      </c>
      <c r="K462" s="34">
        <v>0</v>
      </c>
      <c r="L462" s="34">
        <v>0</v>
      </c>
      <c r="M462" s="34">
        <v>0</v>
      </c>
      <c r="N462" s="34">
        <v>0</v>
      </c>
      <c r="O462" s="34">
        <v>0</v>
      </c>
      <c r="P462" s="34">
        <v>0</v>
      </c>
      <c r="Q462" s="34">
        <v>0</v>
      </c>
      <c r="R462" s="24">
        <f>SUM(Tabla1[[#This Row],[ENERO ]:[DICIEMBRE]])</f>
        <v>0</v>
      </c>
      <c r="W462" s="65">
        <v>2</v>
      </c>
      <c r="X462" s="21">
        <f>COUNTIF(Tabla1[[#This Row],[ENERO ]:[DICIEMBRE]],0)-(AQ462)-IF(Tabla1[[#This Row],[BAJAS]]="BAJA",IF(Tabla1[[#This Row],[ALTAS]]="ALTA",VLOOKUP(Tabla1[[#This Row],[MES DE ALTA ]],$AT$6:$AU$17,2,FALSE),12)-VLOOKUP(Tabla1[[#This Row],[MES DE BAJA ]],$AT$6:$AU$17,2,FALSE),0)</f>
        <v>12</v>
      </c>
      <c r="Y462" s="69">
        <f>SUM(Tabla1[[#This Row],[MES ADEUDO DE AÑOS PASADOS ]:[MESES DE ADEUDO DEL AÑO EN CURSO ]])</f>
        <v>14</v>
      </c>
      <c r="Z462" s="15">
        <f>IF(Tabla1[[#This Row],[TIPO DE CONSUMIDOR]]="COMPLETO",W462*$T$2,W462*($T$2/2))</f>
        <v>90</v>
      </c>
      <c r="AA462" s="15">
        <f>IF(Tabla1[[#This Row],[TIPO DE CONSUMIDOR]]="COMPLETO",Tabla1[[#This Row],[MESES DE ADEUDO DEL AÑO EN CURSO ]]*$T$2,Tabla1[[#This Row],[MESES DE ADEUDO DEL AÑO EN CURSO ]]*($T$2/2))</f>
        <v>540</v>
      </c>
      <c r="AB462" s="70">
        <f>SUM(Tabla1[[#This Row],[DEUDA DE LOS MESES PASADOS EN $$]:[DEUDA DEL AÑO 2013 $$ ]])</f>
        <v>630</v>
      </c>
      <c r="AE462" s="103">
        <f>IF(Tabla1[[#This Row],[TIPO DE CONSUMIDOR]]="MEDIO",IF(Tabla1[[#This Row],[ENERO ]]&gt;22.5,Tabla1[[#This Row],[ENERO ]]/22.5-1,0),IF(Tabla1[[#This Row],[ENERO ]]&gt;45,Tabla1[[#This Row],[ENERO ]]/45-1,0))</f>
        <v>0</v>
      </c>
      <c r="AF46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2" s="103">
        <f>IF(Tabla1[[#This Row],[TIPO DE CONSUMIDOR]]="MEDIO",IF(Tabla1[[#This Row],[MARZO]]&gt;22.5,Tabla1[[#This Row],[MARZO]]/22.5-1,0),IF(Tabla1[[#This Row],[MARZO]]&gt;45,Tabla1[[#This Row],[MARZO]]/45-1,0))</f>
        <v>0</v>
      </c>
      <c r="AH462" s="103">
        <f>IF(Tabla1[[#This Row],[TIPO DE CONSUMIDOR]]="MEDIO",IF(Tabla1[[#This Row],[ABRIL]]&gt;22.5,Tabla1[[#This Row],[ABRIL]]/22.5-1,0),IF(Tabla1[[#This Row],[ABRIL]]&gt;45,Tabla1[[#This Row],[ABRIL]]/45-1,0))</f>
        <v>0</v>
      </c>
      <c r="AI462" s="103">
        <f>IF(Tabla1[[#This Row],[TIPO DE CONSUMIDOR]]="MEDIO",IF(Tabla1[[#This Row],[MAYO ]]&gt;22.5,Tabla1[[#This Row],[MAYO ]]/22.5-1,0),IF(Tabla1[[#This Row],[MAYO ]]&gt;45,Tabla1[[#This Row],[MAYO ]]/45-1,0))</f>
        <v>0</v>
      </c>
      <c r="AJ462" s="103">
        <f>IF(Tabla1[[#This Row],[TIPO DE CONSUMIDOR]]="MEDIO",IF(Tabla1[[#This Row],[JUNIO ]]&gt;22.5,Tabla1[[#This Row],[JUNIO ]]/22.5-1,0),IF(Tabla1[[#This Row],[JUNIO ]]&gt;45,Tabla1[[#This Row],[JUNIO ]]/45-1,0))</f>
        <v>0</v>
      </c>
      <c r="AK462" s="103">
        <f>IF(Tabla1[[#This Row],[TIPO DE CONSUMIDOR]]="MEDIO",IF(Tabla1[[#This Row],[JULIO ]]&gt;22.5,Tabla1[[#This Row],[JULIO ]]/22.5-1,0),IF(Tabla1[[#This Row],[JULIO ]]&gt;45,Tabla1[[#This Row],[JULIO ]]/45-1,0))</f>
        <v>0</v>
      </c>
      <c r="AL462" s="103">
        <f>IF(Tabla1[[#This Row],[TIPO DE CONSUMIDOR]]="MEDIO",IF(Tabla1[[#This Row],[AGOSTO]]&gt;22.5,Tabla1[[#This Row],[AGOSTO]]/22.5-1,0),IF(Tabla1[[#This Row],[AGOSTO]]&gt;45,Tabla1[[#This Row],[AGOSTO]]/45-1,0))</f>
        <v>0</v>
      </c>
      <c r="AM46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2" s="104">
        <f t="shared" si="16"/>
        <v>0</v>
      </c>
      <c r="AR462" s="9">
        <f t="shared" si="15"/>
        <v>1</v>
      </c>
      <c r="AS462" s="60">
        <f>IF(Tabla1[[#This Row],[MESES DE ADEUDO DEL AÑO EN CURSO ]]&gt;0,1,0)</f>
        <v>1</v>
      </c>
      <c r="AT462" s="42"/>
      <c r="AU462" s="42"/>
      <c r="AV462" s="42"/>
      <c r="AW462" s="43"/>
    </row>
    <row r="463" spans="1:49" ht="21.75" thickBot="1" x14ac:dyDescent="0.35">
      <c r="A463" s="109">
        <v>457</v>
      </c>
      <c r="B463" s="5" t="s">
        <v>380</v>
      </c>
      <c r="C463" s="2" t="s">
        <v>504</v>
      </c>
      <c r="D463" s="32"/>
      <c r="E463" s="35" t="s">
        <v>455</v>
      </c>
      <c r="F463" s="34">
        <v>0</v>
      </c>
      <c r="G463" s="34">
        <v>0</v>
      </c>
      <c r="H463" s="34">
        <v>0</v>
      </c>
      <c r="I463" s="34">
        <v>0</v>
      </c>
      <c r="J463" s="34">
        <v>0</v>
      </c>
      <c r="K463" s="34">
        <v>0</v>
      </c>
      <c r="L463" s="34">
        <v>0</v>
      </c>
      <c r="M463" s="34">
        <v>0</v>
      </c>
      <c r="N463" s="34">
        <v>0</v>
      </c>
      <c r="O463" s="34">
        <v>0</v>
      </c>
      <c r="P463" s="34">
        <v>0</v>
      </c>
      <c r="Q463" s="34">
        <v>0</v>
      </c>
      <c r="R463" s="24">
        <f>SUM(Tabla1[[#This Row],[ENERO ]:[DICIEMBRE]])</f>
        <v>0</v>
      </c>
      <c r="W463" s="65">
        <v>2</v>
      </c>
      <c r="X463" s="21">
        <f>COUNTIF(Tabla1[[#This Row],[ENERO ]:[DICIEMBRE]],0)-(AQ463)-IF(Tabla1[[#This Row],[BAJAS]]="BAJA",IF(Tabla1[[#This Row],[ALTAS]]="ALTA",VLOOKUP(Tabla1[[#This Row],[MES DE ALTA ]],$AT$6:$AU$17,2,FALSE),12)-VLOOKUP(Tabla1[[#This Row],[MES DE BAJA ]],$AT$6:$AU$17,2,FALSE),0)</f>
        <v>12</v>
      </c>
      <c r="Y463" s="69">
        <f>SUM(Tabla1[[#This Row],[MES ADEUDO DE AÑOS PASADOS ]:[MESES DE ADEUDO DEL AÑO EN CURSO ]])</f>
        <v>14</v>
      </c>
      <c r="Z463" s="15">
        <f>IF(Tabla1[[#This Row],[TIPO DE CONSUMIDOR]]="COMPLETO",W463*$T$2,W463*($T$2/2))</f>
        <v>90</v>
      </c>
      <c r="AA463" s="15">
        <f>IF(Tabla1[[#This Row],[TIPO DE CONSUMIDOR]]="COMPLETO",Tabla1[[#This Row],[MESES DE ADEUDO DEL AÑO EN CURSO ]]*$T$2,Tabla1[[#This Row],[MESES DE ADEUDO DEL AÑO EN CURSO ]]*($T$2/2))</f>
        <v>540</v>
      </c>
      <c r="AB463" s="70">
        <f>SUM(Tabla1[[#This Row],[DEUDA DE LOS MESES PASADOS EN $$]:[DEUDA DEL AÑO 2013 $$ ]])</f>
        <v>630</v>
      </c>
      <c r="AE463" s="103">
        <f>IF(Tabla1[[#This Row],[TIPO DE CONSUMIDOR]]="MEDIO",IF(Tabla1[[#This Row],[ENERO ]]&gt;22.5,Tabla1[[#This Row],[ENERO ]]/22.5-1,0),IF(Tabla1[[#This Row],[ENERO ]]&gt;45,Tabla1[[#This Row],[ENERO ]]/45-1,0))</f>
        <v>0</v>
      </c>
      <c r="AF46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3" s="103">
        <f>IF(Tabla1[[#This Row],[TIPO DE CONSUMIDOR]]="MEDIO",IF(Tabla1[[#This Row],[MARZO]]&gt;22.5,Tabla1[[#This Row],[MARZO]]/22.5-1,0),IF(Tabla1[[#This Row],[MARZO]]&gt;45,Tabla1[[#This Row],[MARZO]]/45-1,0))</f>
        <v>0</v>
      </c>
      <c r="AH463" s="103">
        <f>IF(Tabla1[[#This Row],[TIPO DE CONSUMIDOR]]="MEDIO",IF(Tabla1[[#This Row],[ABRIL]]&gt;22.5,Tabla1[[#This Row],[ABRIL]]/22.5-1,0),IF(Tabla1[[#This Row],[ABRIL]]&gt;45,Tabla1[[#This Row],[ABRIL]]/45-1,0))</f>
        <v>0</v>
      </c>
      <c r="AI463" s="103">
        <f>IF(Tabla1[[#This Row],[TIPO DE CONSUMIDOR]]="MEDIO",IF(Tabla1[[#This Row],[MAYO ]]&gt;22.5,Tabla1[[#This Row],[MAYO ]]/22.5-1,0),IF(Tabla1[[#This Row],[MAYO ]]&gt;45,Tabla1[[#This Row],[MAYO ]]/45-1,0))</f>
        <v>0</v>
      </c>
      <c r="AJ463" s="103">
        <f>IF(Tabla1[[#This Row],[TIPO DE CONSUMIDOR]]="MEDIO",IF(Tabla1[[#This Row],[JUNIO ]]&gt;22.5,Tabla1[[#This Row],[JUNIO ]]/22.5-1,0),IF(Tabla1[[#This Row],[JUNIO ]]&gt;45,Tabla1[[#This Row],[JUNIO ]]/45-1,0))</f>
        <v>0</v>
      </c>
      <c r="AK463" s="103">
        <f>IF(Tabla1[[#This Row],[TIPO DE CONSUMIDOR]]="MEDIO",IF(Tabla1[[#This Row],[JULIO ]]&gt;22.5,Tabla1[[#This Row],[JULIO ]]/22.5-1,0),IF(Tabla1[[#This Row],[JULIO ]]&gt;45,Tabla1[[#This Row],[JULIO ]]/45-1,0))</f>
        <v>0</v>
      </c>
      <c r="AL463" s="103">
        <f>IF(Tabla1[[#This Row],[TIPO DE CONSUMIDOR]]="MEDIO",IF(Tabla1[[#This Row],[AGOSTO]]&gt;22.5,Tabla1[[#This Row],[AGOSTO]]/22.5-1,0),IF(Tabla1[[#This Row],[AGOSTO]]&gt;45,Tabla1[[#This Row],[AGOSTO]]/45-1,0))</f>
        <v>0</v>
      </c>
      <c r="AM46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3" s="104">
        <f t="shared" si="16"/>
        <v>0</v>
      </c>
      <c r="AR463" s="9">
        <f t="shared" si="15"/>
        <v>1</v>
      </c>
      <c r="AS463" s="60">
        <f>IF(Tabla1[[#This Row],[MESES DE ADEUDO DEL AÑO EN CURSO ]]&gt;0,1,0)</f>
        <v>1</v>
      </c>
      <c r="AT463" s="42"/>
      <c r="AU463" s="42"/>
      <c r="AV463" s="42"/>
      <c r="AW463" s="43"/>
    </row>
    <row r="464" spans="1:49" ht="21.75" thickBot="1" x14ac:dyDescent="0.35">
      <c r="A464" s="109">
        <v>458</v>
      </c>
      <c r="B464" s="5" t="s">
        <v>395</v>
      </c>
      <c r="C464" s="2" t="s">
        <v>562</v>
      </c>
      <c r="D464" s="32"/>
      <c r="E464" s="35" t="s">
        <v>455</v>
      </c>
      <c r="F464" s="34">
        <v>0</v>
      </c>
      <c r="G464" s="34">
        <v>0</v>
      </c>
      <c r="H464" s="34">
        <v>0</v>
      </c>
      <c r="I464" s="34">
        <v>0</v>
      </c>
      <c r="J464" s="34">
        <v>0</v>
      </c>
      <c r="K464" s="34">
        <v>0</v>
      </c>
      <c r="L464" s="34">
        <v>0</v>
      </c>
      <c r="M464" s="34">
        <v>0</v>
      </c>
      <c r="N464" s="34">
        <v>0</v>
      </c>
      <c r="O464" s="34">
        <v>0</v>
      </c>
      <c r="P464" s="34">
        <v>0</v>
      </c>
      <c r="Q464" s="34">
        <v>0</v>
      </c>
      <c r="R464" s="24">
        <f>SUM(Tabla1[[#This Row],[ENERO ]:[DICIEMBRE]])</f>
        <v>0</v>
      </c>
      <c r="W464" s="65">
        <v>2</v>
      </c>
      <c r="X464" s="21">
        <f>COUNTIF(Tabla1[[#This Row],[ENERO ]:[DICIEMBRE]],0)-(AQ464)-IF(Tabla1[[#This Row],[BAJAS]]="BAJA",IF(Tabla1[[#This Row],[ALTAS]]="ALTA",VLOOKUP(Tabla1[[#This Row],[MES DE ALTA ]],$AT$6:$AU$17,2,FALSE),12)-VLOOKUP(Tabla1[[#This Row],[MES DE BAJA ]],$AT$6:$AU$17,2,FALSE),0)</f>
        <v>12</v>
      </c>
      <c r="Y464" s="69">
        <f>SUM(Tabla1[[#This Row],[MES ADEUDO DE AÑOS PASADOS ]:[MESES DE ADEUDO DEL AÑO EN CURSO ]])</f>
        <v>14</v>
      </c>
      <c r="Z464" s="15">
        <f>IF(Tabla1[[#This Row],[TIPO DE CONSUMIDOR]]="COMPLETO",W464*$T$2,W464*($T$2/2))</f>
        <v>90</v>
      </c>
      <c r="AA464" s="15">
        <f>IF(Tabla1[[#This Row],[TIPO DE CONSUMIDOR]]="COMPLETO",Tabla1[[#This Row],[MESES DE ADEUDO DEL AÑO EN CURSO ]]*$T$2,Tabla1[[#This Row],[MESES DE ADEUDO DEL AÑO EN CURSO ]]*($T$2/2))</f>
        <v>540</v>
      </c>
      <c r="AB464" s="70">
        <f>SUM(Tabla1[[#This Row],[DEUDA DE LOS MESES PASADOS EN $$]:[DEUDA DEL AÑO 2013 $$ ]])</f>
        <v>630</v>
      </c>
      <c r="AE464" s="103">
        <f>IF(Tabla1[[#This Row],[TIPO DE CONSUMIDOR]]="MEDIO",IF(Tabla1[[#This Row],[ENERO ]]&gt;22.5,Tabla1[[#This Row],[ENERO ]]/22.5-1,0),IF(Tabla1[[#This Row],[ENERO ]]&gt;45,Tabla1[[#This Row],[ENERO ]]/45-1,0))</f>
        <v>0</v>
      </c>
      <c r="AF46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4" s="103">
        <f>IF(Tabla1[[#This Row],[TIPO DE CONSUMIDOR]]="MEDIO",IF(Tabla1[[#This Row],[MARZO]]&gt;22.5,Tabla1[[#This Row],[MARZO]]/22.5-1,0),IF(Tabla1[[#This Row],[MARZO]]&gt;45,Tabla1[[#This Row],[MARZO]]/45-1,0))</f>
        <v>0</v>
      </c>
      <c r="AH464" s="103">
        <f>IF(Tabla1[[#This Row],[TIPO DE CONSUMIDOR]]="MEDIO",IF(Tabla1[[#This Row],[ABRIL]]&gt;22.5,Tabla1[[#This Row],[ABRIL]]/22.5-1,0),IF(Tabla1[[#This Row],[ABRIL]]&gt;45,Tabla1[[#This Row],[ABRIL]]/45-1,0))</f>
        <v>0</v>
      </c>
      <c r="AI464" s="103">
        <f>IF(Tabla1[[#This Row],[TIPO DE CONSUMIDOR]]="MEDIO",IF(Tabla1[[#This Row],[MAYO ]]&gt;22.5,Tabla1[[#This Row],[MAYO ]]/22.5-1,0),IF(Tabla1[[#This Row],[MAYO ]]&gt;45,Tabla1[[#This Row],[MAYO ]]/45-1,0))</f>
        <v>0</v>
      </c>
      <c r="AJ464" s="103">
        <f>IF(Tabla1[[#This Row],[TIPO DE CONSUMIDOR]]="MEDIO",IF(Tabla1[[#This Row],[JUNIO ]]&gt;22.5,Tabla1[[#This Row],[JUNIO ]]/22.5-1,0),IF(Tabla1[[#This Row],[JUNIO ]]&gt;45,Tabla1[[#This Row],[JUNIO ]]/45-1,0))</f>
        <v>0</v>
      </c>
      <c r="AK464" s="103">
        <f>IF(Tabla1[[#This Row],[TIPO DE CONSUMIDOR]]="MEDIO",IF(Tabla1[[#This Row],[JULIO ]]&gt;22.5,Tabla1[[#This Row],[JULIO ]]/22.5-1,0),IF(Tabla1[[#This Row],[JULIO ]]&gt;45,Tabla1[[#This Row],[JULIO ]]/45-1,0))</f>
        <v>0</v>
      </c>
      <c r="AL464" s="103">
        <f>IF(Tabla1[[#This Row],[TIPO DE CONSUMIDOR]]="MEDIO",IF(Tabla1[[#This Row],[AGOSTO]]&gt;22.5,Tabla1[[#This Row],[AGOSTO]]/22.5-1,0),IF(Tabla1[[#This Row],[AGOSTO]]&gt;45,Tabla1[[#This Row],[AGOSTO]]/45-1,0))</f>
        <v>0</v>
      </c>
      <c r="AM46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4" s="104">
        <f t="shared" si="16"/>
        <v>0</v>
      </c>
      <c r="AR464" s="9">
        <f t="shared" si="15"/>
        <v>1</v>
      </c>
      <c r="AS464" s="60">
        <f>IF(Tabla1[[#This Row],[MESES DE ADEUDO DEL AÑO EN CURSO ]]&gt;0,1,0)</f>
        <v>1</v>
      </c>
      <c r="AT464" s="42"/>
      <c r="AU464" s="42"/>
      <c r="AV464" s="42"/>
      <c r="AW464" s="43"/>
    </row>
    <row r="465" spans="1:49" ht="21.75" thickBot="1" x14ac:dyDescent="0.35">
      <c r="A465" s="109">
        <v>459</v>
      </c>
      <c r="B465" s="5" t="s">
        <v>405</v>
      </c>
      <c r="C465" s="2"/>
      <c r="D465" s="32"/>
      <c r="E465" s="35" t="s">
        <v>455</v>
      </c>
      <c r="F465" s="34">
        <v>0</v>
      </c>
      <c r="G465" s="34">
        <v>0</v>
      </c>
      <c r="H465" s="34">
        <v>0</v>
      </c>
      <c r="I465" s="34">
        <v>0</v>
      </c>
      <c r="J465" s="34">
        <v>0</v>
      </c>
      <c r="K465" s="34">
        <v>0</v>
      </c>
      <c r="L465" s="34">
        <v>0</v>
      </c>
      <c r="M465" s="34">
        <v>0</v>
      </c>
      <c r="N465" s="34">
        <v>0</v>
      </c>
      <c r="O465" s="34">
        <v>0</v>
      </c>
      <c r="P465" s="34">
        <v>0</v>
      </c>
      <c r="Q465" s="34">
        <v>0</v>
      </c>
      <c r="R465" s="24">
        <f>SUM(Tabla1[[#This Row],[ENERO ]:[DICIEMBRE]])</f>
        <v>0</v>
      </c>
      <c r="W465" s="65">
        <v>2</v>
      </c>
      <c r="X465" s="21">
        <f>COUNTIF(Tabla1[[#This Row],[ENERO ]:[DICIEMBRE]],0)-(AQ465)-IF(Tabla1[[#This Row],[BAJAS]]="BAJA",IF(Tabla1[[#This Row],[ALTAS]]="ALTA",VLOOKUP(Tabla1[[#This Row],[MES DE ALTA ]],$AT$6:$AU$17,2,FALSE),12)-VLOOKUP(Tabla1[[#This Row],[MES DE BAJA ]],$AT$6:$AU$17,2,FALSE),0)</f>
        <v>12</v>
      </c>
      <c r="Y465" s="69">
        <f>SUM(Tabla1[[#This Row],[MES ADEUDO DE AÑOS PASADOS ]:[MESES DE ADEUDO DEL AÑO EN CURSO ]])</f>
        <v>14</v>
      </c>
      <c r="Z465" s="15">
        <f>IF(Tabla1[[#This Row],[TIPO DE CONSUMIDOR]]="COMPLETO",W465*$T$2,W465*($T$2/2))</f>
        <v>90</v>
      </c>
      <c r="AA465" s="15">
        <f>IF(Tabla1[[#This Row],[TIPO DE CONSUMIDOR]]="COMPLETO",Tabla1[[#This Row],[MESES DE ADEUDO DEL AÑO EN CURSO ]]*$T$2,Tabla1[[#This Row],[MESES DE ADEUDO DEL AÑO EN CURSO ]]*($T$2/2))</f>
        <v>540</v>
      </c>
      <c r="AB465" s="70">
        <f>SUM(Tabla1[[#This Row],[DEUDA DE LOS MESES PASADOS EN $$]:[DEUDA DEL AÑO 2013 $$ ]])</f>
        <v>630</v>
      </c>
      <c r="AE465" s="103">
        <f>IF(Tabla1[[#This Row],[TIPO DE CONSUMIDOR]]="MEDIO",IF(Tabla1[[#This Row],[ENERO ]]&gt;22.5,Tabla1[[#This Row],[ENERO ]]/22.5-1,0),IF(Tabla1[[#This Row],[ENERO ]]&gt;45,Tabla1[[#This Row],[ENERO ]]/45-1,0))</f>
        <v>0</v>
      </c>
      <c r="AF46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5" s="103">
        <f>IF(Tabla1[[#This Row],[TIPO DE CONSUMIDOR]]="MEDIO",IF(Tabla1[[#This Row],[MARZO]]&gt;22.5,Tabla1[[#This Row],[MARZO]]/22.5-1,0),IF(Tabla1[[#This Row],[MARZO]]&gt;45,Tabla1[[#This Row],[MARZO]]/45-1,0))</f>
        <v>0</v>
      </c>
      <c r="AH465" s="103">
        <f>IF(Tabla1[[#This Row],[TIPO DE CONSUMIDOR]]="MEDIO",IF(Tabla1[[#This Row],[ABRIL]]&gt;22.5,Tabla1[[#This Row],[ABRIL]]/22.5-1,0),IF(Tabla1[[#This Row],[ABRIL]]&gt;45,Tabla1[[#This Row],[ABRIL]]/45-1,0))</f>
        <v>0</v>
      </c>
      <c r="AI465" s="103">
        <f>IF(Tabla1[[#This Row],[TIPO DE CONSUMIDOR]]="MEDIO",IF(Tabla1[[#This Row],[MAYO ]]&gt;22.5,Tabla1[[#This Row],[MAYO ]]/22.5-1,0),IF(Tabla1[[#This Row],[MAYO ]]&gt;45,Tabla1[[#This Row],[MAYO ]]/45-1,0))</f>
        <v>0</v>
      </c>
      <c r="AJ465" s="103">
        <f>IF(Tabla1[[#This Row],[TIPO DE CONSUMIDOR]]="MEDIO",IF(Tabla1[[#This Row],[JUNIO ]]&gt;22.5,Tabla1[[#This Row],[JUNIO ]]/22.5-1,0),IF(Tabla1[[#This Row],[JUNIO ]]&gt;45,Tabla1[[#This Row],[JUNIO ]]/45-1,0))</f>
        <v>0</v>
      </c>
      <c r="AK465" s="103">
        <f>IF(Tabla1[[#This Row],[TIPO DE CONSUMIDOR]]="MEDIO",IF(Tabla1[[#This Row],[JULIO ]]&gt;22.5,Tabla1[[#This Row],[JULIO ]]/22.5-1,0),IF(Tabla1[[#This Row],[JULIO ]]&gt;45,Tabla1[[#This Row],[JULIO ]]/45-1,0))</f>
        <v>0</v>
      </c>
      <c r="AL465" s="103">
        <f>IF(Tabla1[[#This Row],[TIPO DE CONSUMIDOR]]="MEDIO",IF(Tabla1[[#This Row],[AGOSTO]]&gt;22.5,Tabla1[[#This Row],[AGOSTO]]/22.5-1,0),IF(Tabla1[[#This Row],[AGOSTO]]&gt;45,Tabla1[[#This Row],[AGOSTO]]/45-1,0))</f>
        <v>0</v>
      </c>
      <c r="AM46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5" s="104">
        <f t="shared" si="16"/>
        <v>0</v>
      </c>
      <c r="AR465" s="9">
        <f t="shared" si="15"/>
        <v>1</v>
      </c>
      <c r="AS465" s="60">
        <f>IF(Tabla1[[#This Row],[MESES DE ADEUDO DEL AÑO EN CURSO ]]&gt;0,1,0)</f>
        <v>1</v>
      </c>
      <c r="AT465" s="42"/>
      <c r="AU465" s="42"/>
      <c r="AV465" s="42"/>
      <c r="AW465" s="43"/>
    </row>
    <row r="466" spans="1:49" ht="21.75" thickBot="1" x14ac:dyDescent="0.35">
      <c r="A466" s="109">
        <v>460</v>
      </c>
      <c r="B466" s="5" t="s">
        <v>209</v>
      </c>
      <c r="C466" s="2" t="s">
        <v>456</v>
      </c>
      <c r="D466" s="32"/>
      <c r="E466" s="35" t="s">
        <v>455</v>
      </c>
      <c r="F466" s="34">
        <v>0</v>
      </c>
      <c r="G466" s="34">
        <v>0</v>
      </c>
      <c r="H466" s="34">
        <v>0</v>
      </c>
      <c r="I466" s="34">
        <v>0</v>
      </c>
      <c r="J466" s="34">
        <v>0</v>
      </c>
      <c r="K466" s="34">
        <v>0</v>
      </c>
      <c r="L466" s="34">
        <v>0</v>
      </c>
      <c r="M466" s="34">
        <v>0</v>
      </c>
      <c r="N466" s="34">
        <v>0</v>
      </c>
      <c r="O466" s="34">
        <v>0</v>
      </c>
      <c r="P466" s="34">
        <v>0</v>
      </c>
      <c r="Q466" s="34">
        <v>0</v>
      </c>
      <c r="R466" s="24">
        <f>SUM(Tabla1[[#This Row],[ENERO ]:[DICIEMBRE]])</f>
        <v>0</v>
      </c>
      <c r="W466" s="65">
        <v>3</v>
      </c>
      <c r="X466" s="21">
        <f>COUNTIF(Tabla1[[#This Row],[ENERO ]:[DICIEMBRE]],0)-(AQ466)-IF(Tabla1[[#This Row],[BAJAS]]="BAJA",IF(Tabla1[[#This Row],[ALTAS]]="ALTA",VLOOKUP(Tabla1[[#This Row],[MES DE ALTA ]],$AT$6:$AU$17,2,FALSE),12)-VLOOKUP(Tabla1[[#This Row],[MES DE BAJA ]],$AT$6:$AU$17,2,FALSE),0)</f>
        <v>12</v>
      </c>
      <c r="Y466" s="69">
        <f>SUM(Tabla1[[#This Row],[MES ADEUDO DE AÑOS PASADOS ]:[MESES DE ADEUDO DEL AÑO EN CURSO ]])</f>
        <v>15</v>
      </c>
      <c r="Z466" s="15">
        <f>IF(Tabla1[[#This Row],[TIPO DE CONSUMIDOR]]="COMPLETO",W466*$T$2,W466*($T$2/2))</f>
        <v>135</v>
      </c>
      <c r="AA466" s="15">
        <f>IF(Tabla1[[#This Row],[TIPO DE CONSUMIDOR]]="COMPLETO",Tabla1[[#This Row],[MESES DE ADEUDO DEL AÑO EN CURSO ]]*$T$2,Tabla1[[#This Row],[MESES DE ADEUDO DEL AÑO EN CURSO ]]*($T$2/2))</f>
        <v>540</v>
      </c>
      <c r="AB466" s="70">
        <f>SUM(Tabla1[[#This Row],[DEUDA DE LOS MESES PASADOS EN $$]:[DEUDA DEL AÑO 2013 $$ ]])</f>
        <v>675</v>
      </c>
      <c r="AE466" s="103">
        <f>IF(Tabla1[[#This Row],[TIPO DE CONSUMIDOR]]="MEDIO",IF(Tabla1[[#This Row],[ENERO ]]&gt;22.5,Tabla1[[#This Row],[ENERO ]]/22.5-1,0),IF(Tabla1[[#This Row],[ENERO ]]&gt;45,Tabla1[[#This Row],[ENERO ]]/45-1,0))</f>
        <v>0</v>
      </c>
      <c r="AF46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6" s="103">
        <f>IF(Tabla1[[#This Row],[TIPO DE CONSUMIDOR]]="MEDIO",IF(Tabla1[[#This Row],[MARZO]]&gt;22.5,Tabla1[[#This Row],[MARZO]]/22.5-1,0),IF(Tabla1[[#This Row],[MARZO]]&gt;45,Tabla1[[#This Row],[MARZO]]/45-1,0))</f>
        <v>0</v>
      </c>
      <c r="AH466" s="103">
        <f>IF(Tabla1[[#This Row],[TIPO DE CONSUMIDOR]]="MEDIO",IF(Tabla1[[#This Row],[ABRIL]]&gt;22.5,Tabla1[[#This Row],[ABRIL]]/22.5-1,0),IF(Tabla1[[#This Row],[ABRIL]]&gt;45,Tabla1[[#This Row],[ABRIL]]/45-1,0))</f>
        <v>0</v>
      </c>
      <c r="AI466" s="103">
        <f>IF(Tabla1[[#This Row],[TIPO DE CONSUMIDOR]]="MEDIO",IF(Tabla1[[#This Row],[MAYO ]]&gt;22.5,Tabla1[[#This Row],[MAYO ]]/22.5-1,0),IF(Tabla1[[#This Row],[MAYO ]]&gt;45,Tabla1[[#This Row],[MAYO ]]/45-1,0))</f>
        <v>0</v>
      </c>
      <c r="AJ466" s="103">
        <f>IF(Tabla1[[#This Row],[TIPO DE CONSUMIDOR]]="MEDIO",IF(Tabla1[[#This Row],[JUNIO ]]&gt;22.5,Tabla1[[#This Row],[JUNIO ]]/22.5-1,0),IF(Tabla1[[#This Row],[JUNIO ]]&gt;45,Tabla1[[#This Row],[JUNIO ]]/45-1,0))</f>
        <v>0</v>
      </c>
      <c r="AK466" s="103">
        <f>IF(Tabla1[[#This Row],[TIPO DE CONSUMIDOR]]="MEDIO",IF(Tabla1[[#This Row],[JULIO ]]&gt;22.5,Tabla1[[#This Row],[JULIO ]]/22.5-1,0),IF(Tabla1[[#This Row],[JULIO ]]&gt;45,Tabla1[[#This Row],[JULIO ]]/45-1,0))</f>
        <v>0</v>
      </c>
      <c r="AL466" s="103">
        <f>IF(Tabla1[[#This Row],[TIPO DE CONSUMIDOR]]="MEDIO",IF(Tabla1[[#This Row],[AGOSTO]]&gt;22.5,Tabla1[[#This Row],[AGOSTO]]/22.5-1,0),IF(Tabla1[[#This Row],[AGOSTO]]&gt;45,Tabla1[[#This Row],[AGOSTO]]/45-1,0))</f>
        <v>0</v>
      </c>
      <c r="AM46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6" s="104">
        <f t="shared" si="16"/>
        <v>0</v>
      </c>
      <c r="AR466" s="9">
        <f t="shared" si="15"/>
        <v>1</v>
      </c>
      <c r="AS466" s="60">
        <f>IF(Tabla1[[#This Row],[MESES DE ADEUDO DEL AÑO EN CURSO ]]&gt;0,1,0)</f>
        <v>1</v>
      </c>
      <c r="AT466" s="42"/>
      <c r="AU466" s="42"/>
      <c r="AV466" s="42"/>
      <c r="AW466" s="43"/>
    </row>
    <row r="467" spans="1:49" ht="21.75" thickBot="1" x14ac:dyDescent="0.35">
      <c r="A467" s="109">
        <v>461</v>
      </c>
      <c r="B467" s="5" t="s">
        <v>171</v>
      </c>
      <c r="C467" s="2" t="s">
        <v>461</v>
      </c>
      <c r="D467" s="46"/>
      <c r="E467" s="36" t="s">
        <v>455</v>
      </c>
      <c r="F467" s="34">
        <v>0</v>
      </c>
      <c r="G467" s="34">
        <v>0</v>
      </c>
      <c r="H467" s="34">
        <v>0</v>
      </c>
      <c r="I467" s="34">
        <v>0</v>
      </c>
      <c r="J467" s="34">
        <v>0</v>
      </c>
      <c r="K467" s="34">
        <v>0</v>
      </c>
      <c r="L467" s="34">
        <v>0</v>
      </c>
      <c r="M467" s="34">
        <v>0</v>
      </c>
      <c r="N467" s="34">
        <v>0</v>
      </c>
      <c r="O467" s="34">
        <v>0</v>
      </c>
      <c r="P467" s="34">
        <v>0</v>
      </c>
      <c r="Q467" s="34">
        <v>0</v>
      </c>
      <c r="R467" s="24">
        <f>SUM(Tabla1[[#This Row],[ENERO ]:[DICIEMBRE]])</f>
        <v>0</v>
      </c>
      <c r="W467" s="65">
        <v>3</v>
      </c>
      <c r="X467" s="21">
        <f>COUNTIF(Tabla1[[#This Row],[ENERO ]:[DICIEMBRE]],0)-(AQ467)-IF(Tabla1[[#This Row],[BAJAS]]="BAJA",IF(Tabla1[[#This Row],[ALTAS]]="ALTA",VLOOKUP(Tabla1[[#This Row],[MES DE ALTA ]],$AT$6:$AU$17,2,FALSE),12)-VLOOKUP(Tabla1[[#This Row],[MES DE BAJA ]],$AT$6:$AU$17,2,FALSE),0)</f>
        <v>12</v>
      </c>
      <c r="Y467" s="69">
        <f>SUM(Tabla1[[#This Row],[MES ADEUDO DE AÑOS PASADOS ]:[MESES DE ADEUDO DEL AÑO EN CURSO ]])</f>
        <v>15</v>
      </c>
      <c r="Z467" s="15">
        <f>IF(Tabla1[[#This Row],[TIPO DE CONSUMIDOR]]="COMPLETO",W467*$T$2,W467*($T$2/2))</f>
        <v>135</v>
      </c>
      <c r="AA467" s="15">
        <f>IF(Tabla1[[#This Row],[TIPO DE CONSUMIDOR]]="COMPLETO",Tabla1[[#This Row],[MESES DE ADEUDO DEL AÑO EN CURSO ]]*$T$2,Tabla1[[#This Row],[MESES DE ADEUDO DEL AÑO EN CURSO ]]*($T$2/2))</f>
        <v>540</v>
      </c>
      <c r="AB467" s="70">
        <f>SUM(Tabla1[[#This Row],[DEUDA DE LOS MESES PASADOS EN $$]:[DEUDA DEL AÑO 2013 $$ ]])</f>
        <v>675</v>
      </c>
      <c r="AE467" s="103">
        <f>IF(Tabla1[[#This Row],[TIPO DE CONSUMIDOR]]="MEDIO",IF(Tabla1[[#This Row],[ENERO ]]&gt;22.5,Tabla1[[#This Row],[ENERO ]]/22.5-1,0),IF(Tabla1[[#This Row],[ENERO ]]&gt;45,Tabla1[[#This Row],[ENERO ]]/45-1,0))</f>
        <v>0</v>
      </c>
      <c r="AF46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7" s="103">
        <f>IF(Tabla1[[#This Row],[TIPO DE CONSUMIDOR]]="MEDIO",IF(Tabla1[[#This Row],[MARZO]]&gt;22.5,Tabla1[[#This Row],[MARZO]]/22.5-1,0),IF(Tabla1[[#This Row],[MARZO]]&gt;45,Tabla1[[#This Row],[MARZO]]/45-1,0))</f>
        <v>0</v>
      </c>
      <c r="AH467" s="103">
        <f>IF(Tabla1[[#This Row],[TIPO DE CONSUMIDOR]]="MEDIO",IF(Tabla1[[#This Row],[ABRIL]]&gt;22.5,Tabla1[[#This Row],[ABRIL]]/22.5-1,0),IF(Tabla1[[#This Row],[ABRIL]]&gt;45,Tabla1[[#This Row],[ABRIL]]/45-1,0))</f>
        <v>0</v>
      </c>
      <c r="AI467" s="103">
        <f>IF(Tabla1[[#This Row],[TIPO DE CONSUMIDOR]]="MEDIO",IF(Tabla1[[#This Row],[MAYO ]]&gt;22.5,Tabla1[[#This Row],[MAYO ]]/22.5-1,0),IF(Tabla1[[#This Row],[MAYO ]]&gt;45,Tabla1[[#This Row],[MAYO ]]/45-1,0))</f>
        <v>0</v>
      </c>
      <c r="AJ467" s="103">
        <f>IF(Tabla1[[#This Row],[TIPO DE CONSUMIDOR]]="MEDIO",IF(Tabla1[[#This Row],[JUNIO ]]&gt;22.5,Tabla1[[#This Row],[JUNIO ]]/22.5-1,0),IF(Tabla1[[#This Row],[JUNIO ]]&gt;45,Tabla1[[#This Row],[JUNIO ]]/45-1,0))</f>
        <v>0</v>
      </c>
      <c r="AK467" s="103">
        <f>IF(Tabla1[[#This Row],[TIPO DE CONSUMIDOR]]="MEDIO",IF(Tabla1[[#This Row],[JULIO ]]&gt;22.5,Tabla1[[#This Row],[JULIO ]]/22.5-1,0),IF(Tabla1[[#This Row],[JULIO ]]&gt;45,Tabla1[[#This Row],[JULIO ]]/45-1,0))</f>
        <v>0</v>
      </c>
      <c r="AL467" s="103">
        <f>IF(Tabla1[[#This Row],[TIPO DE CONSUMIDOR]]="MEDIO",IF(Tabla1[[#This Row],[AGOSTO]]&gt;22.5,Tabla1[[#This Row],[AGOSTO]]/22.5-1,0),IF(Tabla1[[#This Row],[AGOSTO]]&gt;45,Tabla1[[#This Row],[AGOSTO]]/45-1,0))</f>
        <v>0</v>
      </c>
      <c r="AM46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7" s="104">
        <f t="shared" si="16"/>
        <v>0</v>
      </c>
      <c r="AR467" s="9">
        <f t="shared" si="15"/>
        <v>1</v>
      </c>
      <c r="AS467" s="60">
        <f>IF(Tabla1[[#This Row],[MESES DE ADEUDO DEL AÑO EN CURSO ]]&gt;0,1,0)</f>
        <v>1</v>
      </c>
      <c r="AT467" s="42"/>
      <c r="AU467" s="42"/>
      <c r="AV467" s="42"/>
      <c r="AW467" s="43"/>
    </row>
    <row r="468" spans="1:49" ht="21.75" thickBot="1" x14ac:dyDescent="0.35">
      <c r="A468" s="109">
        <v>462</v>
      </c>
      <c r="B468" s="5" t="s">
        <v>391</v>
      </c>
      <c r="C468" s="2" t="s">
        <v>461</v>
      </c>
      <c r="D468" s="32"/>
      <c r="E468" s="35" t="s">
        <v>455</v>
      </c>
      <c r="F468" s="34">
        <v>0</v>
      </c>
      <c r="G468" s="34">
        <v>0</v>
      </c>
      <c r="H468" s="34">
        <v>0</v>
      </c>
      <c r="I468" s="34">
        <v>0</v>
      </c>
      <c r="J468" s="34">
        <v>0</v>
      </c>
      <c r="K468" s="34">
        <v>0</v>
      </c>
      <c r="L468" s="34">
        <v>0</v>
      </c>
      <c r="M468" s="34">
        <v>0</v>
      </c>
      <c r="N468" s="34">
        <v>0</v>
      </c>
      <c r="O468" s="34">
        <v>0</v>
      </c>
      <c r="P468" s="34">
        <v>0</v>
      </c>
      <c r="Q468" s="34">
        <v>0</v>
      </c>
      <c r="R468" s="24">
        <f>SUM(Tabla1[[#This Row],[ENERO ]:[DICIEMBRE]])</f>
        <v>0</v>
      </c>
      <c r="W468" s="65">
        <v>3</v>
      </c>
      <c r="X468" s="21">
        <f>COUNTIF(Tabla1[[#This Row],[ENERO ]:[DICIEMBRE]],0)-(AQ468)-IF(Tabla1[[#This Row],[BAJAS]]="BAJA",IF(Tabla1[[#This Row],[ALTAS]]="ALTA",VLOOKUP(Tabla1[[#This Row],[MES DE ALTA ]],$AT$6:$AU$17,2,FALSE),12)-VLOOKUP(Tabla1[[#This Row],[MES DE BAJA ]],$AT$6:$AU$17,2,FALSE),0)</f>
        <v>12</v>
      </c>
      <c r="Y468" s="69">
        <f>SUM(Tabla1[[#This Row],[MES ADEUDO DE AÑOS PASADOS ]:[MESES DE ADEUDO DEL AÑO EN CURSO ]])</f>
        <v>15</v>
      </c>
      <c r="Z468" s="15">
        <f>IF(Tabla1[[#This Row],[TIPO DE CONSUMIDOR]]="COMPLETO",W468*$T$2,W468*($T$2/2))</f>
        <v>135</v>
      </c>
      <c r="AA468" s="15">
        <f>IF(Tabla1[[#This Row],[TIPO DE CONSUMIDOR]]="COMPLETO",Tabla1[[#This Row],[MESES DE ADEUDO DEL AÑO EN CURSO ]]*$T$2,Tabla1[[#This Row],[MESES DE ADEUDO DEL AÑO EN CURSO ]]*($T$2/2))</f>
        <v>540</v>
      </c>
      <c r="AB468" s="70">
        <f>SUM(Tabla1[[#This Row],[DEUDA DE LOS MESES PASADOS EN $$]:[DEUDA DEL AÑO 2013 $$ ]])</f>
        <v>675</v>
      </c>
      <c r="AE468" s="103">
        <f>IF(Tabla1[[#This Row],[TIPO DE CONSUMIDOR]]="MEDIO",IF(Tabla1[[#This Row],[ENERO ]]&gt;22.5,Tabla1[[#This Row],[ENERO ]]/22.5-1,0),IF(Tabla1[[#This Row],[ENERO ]]&gt;45,Tabla1[[#This Row],[ENERO ]]/45-1,0))</f>
        <v>0</v>
      </c>
      <c r="AF46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8" s="103">
        <f>IF(Tabla1[[#This Row],[TIPO DE CONSUMIDOR]]="MEDIO",IF(Tabla1[[#This Row],[MARZO]]&gt;22.5,Tabla1[[#This Row],[MARZO]]/22.5-1,0),IF(Tabla1[[#This Row],[MARZO]]&gt;45,Tabla1[[#This Row],[MARZO]]/45-1,0))</f>
        <v>0</v>
      </c>
      <c r="AH468" s="103">
        <f>IF(Tabla1[[#This Row],[TIPO DE CONSUMIDOR]]="MEDIO",IF(Tabla1[[#This Row],[ABRIL]]&gt;22.5,Tabla1[[#This Row],[ABRIL]]/22.5-1,0),IF(Tabla1[[#This Row],[ABRIL]]&gt;45,Tabla1[[#This Row],[ABRIL]]/45-1,0))</f>
        <v>0</v>
      </c>
      <c r="AI468" s="103">
        <f>IF(Tabla1[[#This Row],[TIPO DE CONSUMIDOR]]="MEDIO",IF(Tabla1[[#This Row],[MAYO ]]&gt;22.5,Tabla1[[#This Row],[MAYO ]]/22.5-1,0),IF(Tabla1[[#This Row],[MAYO ]]&gt;45,Tabla1[[#This Row],[MAYO ]]/45-1,0))</f>
        <v>0</v>
      </c>
      <c r="AJ468" s="103">
        <f>IF(Tabla1[[#This Row],[TIPO DE CONSUMIDOR]]="MEDIO",IF(Tabla1[[#This Row],[JUNIO ]]&gt;22.5,Tabla1[[#This Row],[JUNIO ]]/22.5-1,0),IF(Tabla1[[#This Row],[JUNIO ]]&gt;45,Tabla1[[#This Row],[JUNIO ]]/45-1,0))</f>
        <v>0</v>
      </c>
      <c r="AK468" s="103">
        <f>IF(Tabla1[[#This Row],[TIPO DE CONSUMIDOR]]="MEDIO",IF(Tabla1[[#This Row],[JULIO ]]&gt;22.5,Tabla1[[#This Row],[JULIO ]]/22.5-1,0),IF(Tabla1[[#This Row],[JULIO ]]&gt;45,Tabla1[[#This Row],[JULIO ]]/45-1,0))</f>
        <v>0</v>
      </c>
      <c r="AL468" s="103">
        <f>IF(Tabla1[[#This Row],[TIPO DE CONSUMIDOR]]="MEDIO",IF(Tabla1[[#This Row],[AGOSTO]]&gt;22.5,Tabla1[[#This Row],[AGOSTO]]/22.5-1,0),IF(Tabla1[[#This Row],[AGOSTO]]&gt;45,Tabla1[[#This Row],[AGOSTO]]/45-1,0))</f>
        <v>0</v>
      </c>
      <c r="AM46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8" s="104">
        <f t="shared" si="16"/>
        <v>0</v>
      </c>
      <c r="AR468" s="9">
        <f t="shared" si="15"/>
        <v>1</v>
      </c>
      <c r="AS468" s="60">
        <f>IF(Tabla1[[#This Row],[MESES DE ADEUDO DEL AÑO EN CURSO ]]&gt;0,1,0)</f>
        <v>1</v>
      </c>
      <c r="AT468" s="42"/>
      <c r="AU468" s="42"/>
      <c r="AV468" s="42"/>
      <c r="AW468" s="43"/>
    </row>
    <row r="469" spans="1:49" ht="21.75" thickBot="1" x14ac:dyDescent="0.35">
      <c r="A469" s="109">
        <v>463</v>
      </c>
      <c r="B469" s="5" t="s">
        <v>125</v>
      </c>
      <c r="C469" s="2" t="s">
        <v>478</v>
      </c>
      <c r="D469" s="32"/>
      <c r="E469" s="35" t="s">
        <v>455</v>
      </c>
      <c r="F469" s="34">
        <v>0</v>
      </c>
      <c r="G469" s="34">
        <v>0</v>
      </c>
      <c r="H469" s="34">
        <v>0</v>
      </c>
      <c r="I469" s="34">
        <v>0</v>
      </c>
      <c r="J469" s="34">
        <v>0</v>
      </c>
      <c r="K469" s="34">
        <v>0</v>
      </c>
      <c r="L469" s="34">
        <v>0</v>
      </c>
      <c r="M469" s="34">
        <v>0</v>
      </c>
      <c r="N469" s="34">
        <v>0</v>
      </c>
      <c r="O469" s="34">
        <v>0</v>
      </c>
      <c r="P469" s="34">
        <v>0</v>
      </c>
      <c r="Q469" s="34">
        <v>0</v>
      </c>
      <c r="R469" s="24">
        <f>SUM(Tabla1[[#This Row],[ENERO ]:[DICIEMBRE]])</f>
        <v>0</v>
      </c>
      <c r="W469" s="65">
        <v>3</v>
      </c>
      <c r="X469" s="21">
        <f>COUNTIF(Tabla1[[#This Row],[ENERO ]:[DICIEMBRE]],0)-(AQ469)-IF(Tabla1[[#This Row],[BAJAS]]="BAJA",IF(Tabla1[[#This Row],[ALTAS]]="ALTA",VLOOKUP(Tabla1[[#This Row],[MES DE ALTA ]],$AT$6:$AU$17,2,FALSE),12)-VLOOKUP(Tabla1[[#This Row],[MES DE BAJA ]],$AT$6:$AU$17,2,FALSE),0)</f>
        <v>12</v>
      </c>
      <c r="Y469" s="69">
        <f>SUM(Tabla1[[#This Row],[MES ADEUDO DE AÑOS PASADOS ]:[MESES DE ADEUDO DEL AÑO EN CURSO ]])</f>
        <v>15</v>
      </c>
      <c r="Z469" s="15">
        <f>IF(Tabla1[[#This Row],[TIPO DE CONSUMIDOR]]="COMPLETO",W469*$T$2,W469*($T$2/2))</f>
        <v>135</v>
      </c>
      <c r="AA469" s="15">
        <f>IF(Tabla1[[#This Row],[TIPO DE CONSUMIDOR]]="COMPLETO",Tabla1[[#This Row],[MESES DE ADEUDO DEL AÑO EN CURSO ]]*$T$2,Tabla1[[#This Row],[MESES DE ADEUDO DEL AÑO EN CURSO ]]*($T$2/2))</f>
        <v>540</v>
      </c>
      <c r="AB469" s="70">
        <f>SUM(Tabla1[[#This Row],[DEUDA DE LOS MESES PASADOS EN $$]:[DEUDA DEL AÑO 2013 $$ ]])</f>
        <v>675</v>
      </c>
      <c r="AE469" s="103">
        <f>IF(Tabla1[[#This Row],[TIPO DE CONSUMIDOR]]="MEDIO",IF(Tabla1[[#This Row],[ENERO ]]&gt;22.5,Tabla1[[#This Row],[ENERO ]]/22.5-1,0),IF(Tabla1[[#This Row],[ENERO ]]&gt;45,Tabla1[[#This Row],[ENERO ]]/45-1,0))</f>
        <v>0</v>
      </c>
      <c r="AF46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69" s="103">
        <f>IF(Tabla1[[#This Row],[TIPO DE CONSUMIDOR]]="MEDIO",IF(Tabla1[[#This Row],[MARZO]]&gt;22.5,Tabla1[[#This Row],[MARZO]]/22.5-1,0),IF(Tabla1[[#This Row],[MARZO]]&gt;45,Tabla1[[#This Row],[MARZO]]/45-1,0))</f>
        <v>0</v>
      </c>
      <c r="AH469" s="103">
        <f>IF(Tabla1[[#This Row],[TIPO DE CONSUMIDOR]]="MEDIO",IF(Tabla1[[#This Row],[ABRIL]]&gt;22.5,Tabla1[[#This Row],[ABRIL]]/22.5-1,0),IF(Tabla1[[#This Row],[ABRIL]]&gt;45,Tabla1[[#This Row],[ABRIL]]/45-1,0))</f>
        <v>0</v>
      </c>
      <c r="AI469" s="103">
        <f>IF(Tabla1[[#This Row],[TIPO DE CONSUMIDOR]]="MEDIO",IF(Tabla1[[#This Row],[MAYO ]]&gt;22.5,Tabla1[[#This Row],[MAYO ]]/22.5-1,0),IF(Tabla1[[#This Row],[MAYO ]]&gt;45,Tabla1[[#This Row],[MAYO ]]/45-1,0))</f>
        <v>0</v>
      </c>
      <c r="AJ469" s="103">
        <f>IF(Tabla1[[#This Row],[TIPO DE CONSUMIDOR]]="MEDIO",IF(Tabla1[[#This Row],[JUNIO ]]&gt;22.5,Tabla1[[#This Row],[JUNIO ]]/22.5-1,0),IF(Tabla1[[#This Row],[JUNIO ]]&gt;45,Tabla1[[#This Row],[JUNIO ]]/45-1,0))</f>
        <v>0</v>
      </c>
      <c r="AK469" s="103">
        <f>IF(Tabla1[[#This Row],[TIPO DE CONSUMIDOR]]="MEDIO",IF(Tabla1[[#This Row],[JULIO ]]&gt;22.5,Tabla1[[#This Row],[JULIO ]]/22.5-1,0),IF(Tabla1[[#This Row],[JULIO ]]&gt;45,Tabla1[[#This Row],[JULIO ]]/45-1,0))</f>
        <v>0</v>
      </c>
      <c r="AL469" s="103">
        <f>IF(Tabla1[[#This Row],[TIPO DE CONSUMIDOR]]="MEDIO",IF(Tabla1[[#This Row],[AGOSTO]]&gt;22.5,Tabla1[[#This Row],[AGOSTO]]/22.5-1,0),IF(Tabla1[[#This Row],[AGOSTO]]&gt;45,Tabla1[[#This Row],[AGOSTO]]/45-1,0))</f>
        <v>0</v>
      </c>
      <c r="AM46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6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6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6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69" s="104">
        <f t="shared" si="16"/>
        <v>0</v>
      </c>
      <c r="AR469" s="9">
        <f t="shared" si="15"/>
        <v>1</v>
      </c>
      <c r="AS469" s="60">
        <f>IF(Tabla1[[#This Row],[MESES DE ADEUDO DEL AÑO EN CURSO ]]&gt;0,1,0)</f>
        <v>1</v>
      </c>
      <c r="AT469" s="42"/>
      <c r="AU469" s="42"/>
      <c r="AV469" s="42"/>
      <c r="AW469" s="43"/>
    </row>
    <row r="470" spans="1:49" ht="21.75" thickBot="1" x14ac:dyDescent="0.35">
      <c r="A470" s="109">
        <v>464</v>
      </c>
      <c r="B470" s="5" t="s">
        <v>75</v>
      </c>
      <c r="C470" s="2" t="s">
        <v>480</v>
      </c>
      <c r="D470" s="32"/>
      <c r="E470" s="35" t="s">
        <v>455</v>
      </c>
      <c r="F470" s="34">
        <v>0</v>
      </c>
      <c r="G470" s="34">
        <v>0</v>
      </c>
      <c r="H470" s="34">
        <v>0</v>
      </c>
      <c r="I470" s="34">
        <v>0</v>
      </c>
      <c r="J470" s="34">
        <v>0</v>
      </c>
      <c r="K470" s="34">
        <v>0</v>
      </c>
      <c r="L470" s="34">
        <v>0</v>
      </c>
      <c r="M470" s="34">
        <v>0</v>
      </c>
      <c r="N470" s="34">
        <v>0</v>
      </c>
      <c r="O470" s="34">
        <v>0</v>
      </c>
      <c r="P470" s="34">
        <v>0</v>
      </c>
      <c r="Q470" s="34">
        <v>0</v>
      </c>
      <c r="R470" s="24">
        <f>SUM(Tabla1[[#This Row],[ENERO ]:[DICIEMBRE]])</f>
        <v>0</v>
      </c>
      <c r="W470" s="65">
        <v>3</v>
      </c>
      <c r="X470" s="21">
        <f>COUNTIF(Tabla1[[#This Row],[ENERO ]:[DICIEMBRE]],0)-(AQ470)-IF(Tabla1[[#This Row],[BAJAS]]="BAJA",IF(Tabla1[[#This Row],[ALTAS]]="ALTA",VLOOKUP(Tabla1[[#This Row],[MES DE ALTA ]],$AT$6:$AU$17,2,FALSE),12)-VLOOKUP(Tabla1[[#This Row],[MES DE BAJA ]],$AT$6:$AU$17,2,FALSE),0)</f>
        <v>12</v>
      </c>
      <c r="Y470" s="69">
        <f>SUM(Tabla1[[#This Row],[MES ADEUDO DE AÑOS PASADOS ]:[MESES DE ADEUDO DEL AÑO EN CURSO ]])</f>
        <v>15</v>
      </c>
      <c r="Z470" s="15">
        <f>IF(Tabla1[[#This Row],[TIPO DE CONSUMIDOR]]="COMPLETO",W470*$T$2,W470*($T$2/2))</f>
        <v>135</v>
      </c>
      <c r="AA470" s="15">
        <f>IF(Tabla1[[#This Row],[TIPO DE CONSUMIDOR]]="COMPLETO",Tabla1[[#This Row],[MESES DE ADEUDO DEL AÑO EN CURSO ]]*$T$2,Tabla1[[#This Row],[MESES DE ADEUDO DEL AÑO EN CURSO ]]*($T$2/2))</f>
        <v>540</v>
      </c>
      <c r="AB470" s="70">
        <f>SUM(Tabla1[[#This Row],[DEUDA DE LOS MESES PASADOS EN $$]:[DEUDA DEL AÑO 2013 $$ ]])</f>
        <v>675</v>
      </c>
      <c r="AE470" s="103">
        <f>IF(Tabla1[[#This Row],[TIPO DE CONSUMIDOR]]="MEDIO",IF(Tabla1[[#This Row],[ENERO ]]&gt;22.5,Tabla1[[#This Row],[ENERO ]]/22.5-1,0),IF(Tabla1[[#This Row],[ENERO ]]&gt;45,Tabla1[[#This Row],[ENERO ]]/45-1,0))</f>
        <v>0</v>
      </c>
      <c r="AF47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0" s="103">
        <f>IF(Tabla1[[#This Row],[TIPO DE CONSUMIDOR]]="MEDIO",IF(Tabla1[[#This Row],[MARZO]]&gt;22.5,Tabla1[[#This Row],[MARZO]]/22.5-1,0),IF(Tabla1[[#This Row],[MARZO]]&gt;45,Tabla1[[#This Row],[MARZO]]/45-1,0))</f>
        <v>0</v>
      </c>
      <c r="AH470" s="103">
        <f>IF(Tabla1[[#This Row],[TIPO DE CONSUMIDOR]]="MEDIO",IF(Tabla1[[#This Row],[ABRIL]]&gt;22.5,Tabla1[[#This Row],[ABRIL]]/22.5-1,0),IF(Tabla1[[#This Row],[ABRIL]]&gt;45,Tabla1[[#This Row],[ABRIL]]/45-1,0))</f>
        <v>0</v>
      </c>
      <c r="AI470" s="103">
        <f>IF(Tabla1[[#This Row],[TIPO DE CONSUMIDOR]]="MEDIO",IF(Tabla1[[#This Row],[MAYO ]]&gt;22.5,Tabla1[[#This Row],[MAYO ]]/22.5-1,0),IF(Tabla1[[#This Row],[MAYO ]]&gt;45,Tabla1[[#This Row],[MAYO ]]/45-1,0))</f>
        <v>0</v>
      </c>
      <c r="AJ470" s="103">
        <f>IF(Tabla1[[#This Row],[TIPO DE CONSUMIDOR]]="MEDIO",IF(Tabla1[[#This Row],[JUNIO ]]&gt;22.5,Tabla1[[#This Row],[JUNIO ]]/22.5-1,0),IF(Tabla1[[#This Row],[JUNIO ]]&gt;45,Tabla1[[#This Row],[JUNIO ]]/45-1,0))</f>
        <v>0</v>
      </c>
      <c r="AK470" s="103">
        <f>IF(Tabla1[[#This Row],[TIPO DE CONSUMIDOR]]="MEDIO",IF(Tabla1[[#This Row],[JULIO ]]&gt;22.5,Tabla1[[#This Row],[JULIO ]]/22.5-1,0),IF(Tabla1[[#This Row],[JULIO ]]&gt;45,Tabla1[[#This Row],[JULIO ]]/45-1,0))</f>
        <v>0</v>
      </c>
      <c r="AL470" s="103">
        <f>IF(Tabla1[[#This Row],[TIPO DE CONSUMIDOR]]="MEDIO",IF(Tabla1[[#This Row],[AGOSTO]]&gt;22.5,Tabla1[[#This Row],[AGOSTO]]/22.5-1,0),IF(Tabla1[[#This Row],[AGOSTO]]&gt;45,Tabla1[[#This Row],[AGOSTO]]/45-1,0))</f>
        <v>0</v>
      </c>
      <c r="AM47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0" s="104">
        <f t="shared" si="16"/>
        <v>0</v>
      </c>
      <c r="AR470" s="9">
        <f t="shared" si="15"/>
        <v>1</v>
      </c>
      <c r="AS470" s="60">
        <f>IF(Tabla1[[#This Row],[MESES DE ADEUDO DEL AÑO EN CURSO ]]&gt;0,1,0)</f>
        <v>1</v>
      </c>
      <c r="AT470" s="42"/>
      <c r="AU470" s="42"/>
      <c r="AV470" s="42"/>
      <c r="AW470" s="43"/>
    </row>
    <row r="471" spans="1:49" ht="21.75" thickBot="1" x14ac:dyDescent="0.35">
      <c r="A471" s="109">
        <v>465</v>
      </c>
      <c r="B471" s="5" t="s">
        <v>344</v>
      </c>
      <c r="C471" s="2" t="s">
        <v>504</v>
      </c>
      <c r="D471" s="32"/>
      <c r="E471" s="35" t="s">
        <v>455</v>
      </c>
      <c r="F471" s="34">
        <v>0</v>
      </c>
      <c r="G471" s="34">
        <v>0</v>
      </c>
      <c r="H471" s="34">
        <v>0</v>
      </c>
      <c r="I471" s="34">
        <v>0</v>
      </c>
      <c r="J471" s="34">
        <v>0</v>
      </c>
      <c r="K471" s="34">
        <v>0</v>
      </c>
      <c r="L471" s="34">
        <v>0</v>
      </c>
      <c r="M471" s="34">
        <v>0</v>
      </c>
      <c r="N471" s="34">
        <v>0</v>
      </c>
      <c r="O471" s="34">
        <v>0</v>
      </c>
      <c r="P471" s="34">
        <v>0</v>
      </c>
      <c r="Q471" s="34">
        <v>0</v>
      </c>
      <c r="R471" s="24">
        <f>SUM(Tabla1[[#This Row],[ENERO ]:[DICIEMBRE]])</f>
        <v>0</v>
      </c>
      <c r="W471" s="65">
        <v>3</v>
      </c>
      <c r="X471" s="21">
        <f>COUNTIF(Tabla1[[#This Row],[ENERO ]:[DICIEMBRE]],0)-(AQ471)-IF(Tabla1[[#This Row],[BAJAS]]="BAJA",IF(Tabla1[[#This Row],[ALTAS]]="ALTA",VLOOKUP(Tabla1[[#This Row],[MES DE ALTA ]],$AT$6:$AU$17,2,FALSE),12)-VLOOKUP(Tabla1[[#This Row],[MES DE BAJA ]],$AT$6:$AU$17,2,FALSE),0)</f>
        <v>12</v>
      </c>
      <c r="Y471" s="69">
        <f>SUM(Tabla1[[#This Row],[MES ADEUDO DE AÑOS PASADOS ]:[MESES DE ADEUDO DEL AÑO EN CURSO ]])</f>
        <v>15</v>
      </c>
      <c r="Z471" s="15">
        <f>IF(Tabla1[[#This Row],[TIPO DE CONSUMIDOR]]="COMPLETO",W471*$T$2,W471*($T$2/2))</f>
        <v>135</v>
      </c>
      <c r="AA471" s="15">
        <f>IF(Tabla1[[#This Row],[TIPO DE CONSUMIDOR]]="COMPLETO",Tabla1[[#This Row],[MESES DE ADEUDO DEL AÑO EN CURSO ]]*$T$2,Tabla1[[#This Row],[MESES DE ADEUDO DEL AÑO EN CURSO ]]*($T$2/2))</f>
        <v>540</v>
      </c>
      <c r="AB471" s="70">
        <f>SUM(Tabla1[[#This Row],[DEUDA DE LOS MESES PASADOS EN $$]:[DEUDA DEL AÑO 2013 $$ ]])</f>
        <v>675</v>
      </c>
      <c r="AE471" s="103">
        <f>IF(Tabla1[[#This Row],[TIPO DE CONSUMIDOR]]="MEDIO",IF(Tabla1[[#This Row],[ENERO ]]&gt;22.5,Tabla1[[#This Row],[ENERO ]]/22.5-1,0),IF(Tabla1[[#This Row],[ENERO ]]&gt;45,Tabla1[[#This Row],[ENERO ]]/45-1,0))</f>
        <v>0</v>
      </c>
      <c r="AF47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1" s="103">
        <f>IF(Tabla1[[#This Row],[TIPO DE CONSUMIDOR]]="MEDIO",IF(Tabla1[[#This Row],[MARZO]]&gt;22.5,Tabla1[[#This Row],[MARZO]]/22.5-1,0),IF(Tabla1[[#This Row],[MARZO]]&gt;45,Tabla1[[#This Row],[MARZO]]/45-1,0))</f>
        <v>0</v>
      </c>
      <c r="AH471" s="103">
        <f>IF(Tabla1[[#This Row],[TIPO DE CONSUMIDOR]]="MEDIO",IF(Tabla1[[#This Row],[ABRIL]]&gt;22.5,Tabla1[[#This Row],[ABRIL]]/22.5-1,0),IF(Tabla1[[#This Row],[ABRIL]]&gt;45,Tabla1[[#This Row],[ABRIL]]/45-1,0))</f>
        <v>0</v>
      </c>
      <c r="AI471" s="103">
        <f>IF(Tabla1[[#This Row],[TIPO DE CONSUMIDOR]]="MEDIO",IF(Tabla1[[#This Row],[MAYO ]]&gt;22.5,Tabla1[[#This Row],[MAYO ]]/22.5-1,0),IF(Tabla1[[#This Row],[MAYO ]]&gt;45,Tabla1[[#This Row],[MAYO ]]/45-1,0))</f>
        <v>0</v>
      </c>
      <c r="AJ471" s="103">
        <f>IF(Tabla1[[#This Row],[TIPO DE CONSUMIDOR]]="MEDIO",IF(Tabla1[[#This Row],[JUNIO ]]&gt;22.5,Tabla1[[#This Row],[JUNIO ]]/22.5-1,0),IF(Tabla1[[#This Row],[JUNIO ]]&gt;45,Tabla1[[#This Row],[JUNIO ]]/45-1,0))</f>
        <v>0</v>
      </c>
      <c r="AK471" s="103">
        <f>IF(Tabla1[[#This Row],[TIPO DE CONSUMIDOR]]="MEDIO",IF(Tabla1[[#This Row],[JULIO ]]&gt;22.5,Tabla1[[#This Row],[JULIO ]]/22.5-1,0),IF(Tabla1[[#This Row],[JULIO ]]&gt;45,Tabla1[[#This Row],[JULIO ]]/45-1,0))</f>
        <v>0</v>
      </c>
      <c r="AL471" s="103">
        <f>IF(Tabla1[[#This Row],[TIPO DE CONSUMIDOR]]="MEDIO",IF(Tabla1[[#This Row],[AGOSTO]]&gt;22.5,Tabla1[[#This Row],[AGOSTO]]/22.5-1,0),IF(Tabla1[[#This Row],[AGOSTO]]&gt;45,Tabla1[[#This Row],[AGOSTO]]/45-1,0))</f>
        <v>0</v>
      </c>
      <c r="AM47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1" s="104">
        <f t="shared" si="16"/>
        <v>0</v>
      </c>
      <c r="AR471" s="9">
        <f t="shared" si="15"/>
        <v>1</v>
      </c>
      <c r="AS471" s="60">
        <f>IF(Tabla1[[#This Row],[MESES DE ADEUDO DEL AÑO EN CURSO ]]&gt;0,1,0)</f>
        <v>1</v>
      </c>
      <c r="AT471" s="42"/>
      <c r="AU471" s="42"/>
      <c r="AV471" s="42"/>
      <c r="AW471" s="43"/>
    </row>
    <row r="472" spans="1:49" ht="21.75" thickBot="1" x14ac:dyDescent="0.35">
      <c r="A472" s="109">
        <v>466</v>
      </c>
      <c r="B472" s="13" t="s">
        <v>206</v>
      </c>
      <c r="C472" s="2" t="s">
        <v>530</v>
      </c>
      <c r="D472" s="32"/>
      <c r="E472" s="35" t="s">
        <v>489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24">
        <f>SUM(Tabla1[[#This Row],[ENERO ]:[DICIEMBRE]])</f>
        <v>0</v>
      </c>
      <c r="W472" s="65">
        <v>3</v>
      </c>
      <c r="X472" s="21">
        <f>COUNTIF(Tabla1[[#This Row],[ENERO ]:[DICIEMBRE]],0)-(AQ472)-IF(Tabla1[[#This Row],[BAJAS]]="BAJA",IF(Tabla1[[#This Row],[ALTAS]]="ALTA",VLOOKUP(Tabla1[[#This Row],[MES DE ALTA ]],$AT$6:$AU$17,2,FALSE),12)-VLOOKUP(Tabla1[[#This Row],[MES DE BAJA ]],$AT$6:$AU$17,2,FALSE),0)</f>
        <v>12</v>
      </c>
      <c r="Y472" s="69">
        <f>SUM(Tabla1[[#This Row],[MES ADEUDO DE AÑOS PASADOS ]:[MESES DE ADEUDO DEL AÑO EN CURSO ]])</f>
        <v>15</v>
      </c>
      <c r="Z472" s="15">
        <f>IF(Tabla1[[#This Row],[TIPO DE CONSUMIDOR]]="COMPLETO",W472*$T$2,W472*($T$2/2))</f>
        <v>67.5</v>
      </c>
      <c r="AA472" s="15">
        <f>IF(Tabla1[[#This Row],[TIPO DE CONSUMIDOR]]="COMPLETO",Tabla1[[#This Row],[MESES DE ADEUDO DEL AÑO EN CURSO ]]*$T$2,Tabla1[[#This Row],[MESES DE ADEUDO DEL AÑO EN CURSO ]]*($T$2/2))</f>
        <v>270</v>
      </c>
      <c r="AB472" s="70">
        <f>SUM(Tabla1[[#This Row],[DEUDA DE LOS MESES PASADOS EN $$]:[DEUDA DEL AÑO 2013 $$ ]])</f>
        <v>337.5</v>
      </c>
      <c r="AE472" s="103">
        <f>IF(Tabla1[[#This Row],[TIPO DE CONSUMIDOR]]="MEDIO",IF(Tabla1[[#This Row],[ENERO ]]&gt;22.5,Tabla1[[#This Row],[ENERO ]]/22.5-1,0),IF(Tabla1[[#This Row],[ENERO ]]&gt;45,Tabla1[[#This Row],[ENERO ]]/45-1,0))</f>
        <v>0</v>
      </c>
      <c r="AF47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2" s="103">
        <f>IF(Tabla1[[#This Row],[TIPO DE CONSUMIDOR]]="MEDIO",IF(Tabla1[[#This Row],[MARZO]]&gt;22.5,Tabla1[[#This Row],[MARZO]]/22.5-1,0),IF(Tabla1[[#This Row],[MARZO]]&gt;45,Tabla1[[#This Row],[MARZO]]/45-1,0))</f>
        <v>0</v>
      </c>
      <c r="AH472" s="103">
        <f>IF(Tabla1[[#This Row],[TIPO DE CONSUMIDOR]]="MEDIO",IF(Tabla1[[#This Row],[ABRIL]]&gt;22.5,Tabla1[[#This Row],[ABRIL]]/22.5-1,0),IF(Tabla1[[#This Row],[ABRIL]]&gt;45,Tabla1[[#This Row],[ABRIL]]/45-1,0))</f>
        <v>0</v>
      </c>
      <c r="AI472" s="103">
        <f>IF(Tabla1[[#This Row],[TIPO DE CONSUMIDOR]]="MEDIO",IF(Tabla1[[#This Row],[MAYO ]]&gt;22.5,Tabla1[[#This Row],[MAYO ]]/22.5-1,0),IF(Tabla1[[#This Row],[MAYO ]]&gt;45,Tabla1[[#This Row],[MAYO ]]/45-1,0))</f>
        <v>0</v>
      </c>
      <c r="AJ472" s="103">
        <f>IF(Tabla1[[#This Row],[TIPO DE CONSUMIDOR]]="MEDIO",IF(Tabla1[[#This Row],[JUNIO ]]&gt;22.5,Tabla1[[#This Row],[JUNIO ]]/22.5-1,0),IF(Tabla1[[#This Row],[JUNIO ]]&gt;45,Tabla1[[#This Row],[JUNIO ]]/45-1,0))</f>
        <v>0</v>
      </c>
      <c r="AK472" s="103">
        <f>IF(Tabla1[[#This Row],[TIPO DE CONSUMIDOR]]="MEDIO",IF(Tabla1[[#This Row],[JULIO ]]&gt;22.5,Tabla1[[#This Row],[JULIO ]]/22.5-1,0),IF(Tabla1[[#This Row],[JULIO ]]&gt;45,Tabla1[[#This Row],[JULIO ]]/45-1,0))</f>
        <v>0</v>
      </c>
      <c r="AL472" s="103">
        <f>IF(Tabla1[[#This Row],[TIPO DE CONSUMIDOR]]="MEDIO",IF(Tabla1[[#This Row],[AGOSTO]]&gt;22.5,Tabla1[[#This Row],[AGOSTO]]/22.5-1,0),IF(Tabla1[[#This Row],[AGOSTO]]&gt;45,Tabla1[[#This Row],[AGOSTO]]/45-1,0))</f>
        <v>0</v>
      </c>
      <c r="AM47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2" s="104">
        <f t="shared" si="16"/>
        <v>0</v>
      </c>
      <c r="AR472" s="9">
        <f t="shared" si="15"/>
        <v>1</v>
      </c>
      <c r="AS472" s="60">
        <f>IF(Tabla1[[#This Row],[MESES DE ADEUDO DEL AÑO EN CURSO ]]&gt;0,1,0)</f>
        <v>1</v>
      </c>
      <c r="AT472" s="42"/>
      <c r="AU472" s="42"/>
      <c r="AV472" s="42"/>
      <c r="AW472" s="43"/>
    </row>
    <row r="473" spans="1:49" ht="21.75" thickBot="1" x14ac:dyDescent="0.35">
      <c r="A473" s="109">
        <v>467</v>
      </c>
      <c r="B473" s="5" t="s">
        <v>278</v>
      </c>
      <c r="C473" s="2" t="s">
        <v>530</v>
      </c>
      <c r="D473" s="32"/>
      <c r="E473" s="35" t="s">
        <v>455</v>
      </c>
      <c r="F473" s="34">
        <v>0</v>
      </c>
      <c r="G473" s="34">
        <v>0</v>
      </c>
      <c r="H473" s="34">
        <v>0</v>
      </c>
      <c r="I473" s="34">
        <v>0</v>
      </c>
      <c r="J473" s="34">
        <v>0</v>
      </c>
      <c r="K473" s="34">
        <v>0</v>
      </c>
      <c r="L473" s="34">
        <v>0</v>
      </c>
      <c r="M473" s="34">
        <v>0</v>
      </c>
      <c r="N473" s="34">
        <v>0</v>
      </c>
      <c r="O473" s="34">
        <v>0</v>
      </c>
      <c r="P473" s="34">
        <v>0</v>
      </c>
      <c r="Q473" s="34">
        <v>0</v>
      </c>
      <c r="R473" s="24">
        <f>SUM(Tabla1[[#This Row],[ENERO ]:[DICIEMBRE]])</f>
        <v>0</v>
      </c>
      <c r="W473" s="65">
        <v>3</v>
      </c>
      <c r="X473" s="21">
        <f>COUNTIF(Tabla1[[#This Row],[ENERO ]:[DICIEMBRE]],0)-(AQ473)-IF(Tabla1[[#This Row],[BAJAS]]="BAJA",IF(Tabla1[[#This Row],[ALTAS]]="ALTA",VLOOKUP(Tabla1[[#This Row],[MES DE ALTA ]],$AT$6:$AU$17,2,FALSE),12)-VLOOKUP(Tabla1[[#This Row],[MES DE BAJA ]],$AT$6:$AU$17,2,FALSE),0)</f>
        <v>12</v>
      </c>
      <c r="Y473" s="69">
        <f>SUM(Tabla1[[#This Row],[MES ADEUDO DE AÑOS PASADOS ]:[MESES DE ADEUDO DEL AÑO EN CURSO ]])</f>
        <v>15</v>
      </c>
      <c r="Z473" s="15">
        <f>IF(Tabla1[[#This Row],[TIPO DE CONSUMIDOR]]="COMPLETO",W473*$T$2,W473*($T$2/2))</f>
        <v>135</v>
      </c>
      <c r="AA473" s="15">
        <f>IF(Tabla1[[#This Row],[TIPO DE CONSUMIDOR]]="COMPLETO",Tabla1[[#This Row],[MESES DE ADEUDO DEL AÑO EN CURSO ]]*$T$2,Tabla1[[#This Row],[MESES DE ADEUDO DEL AÑO EN CURSO ]]*($T$2/2))</f>
        <v>540</v>
      </c>
      <c r="AB473" s="70">
        <f>SUM(Tabla1[[#This Row],[DEUDA DE LOS MESES PASADOS EN $$]:[DEUDA DEL AÑO 2013 $$ ]])</f>
        <v>675</v>
      </c>
      <c r="AE473" s="103">
        <f>IF(Tabla1[[#This Row],[TIPO DE CONSUMIDOR]]="MEDIO",IF(Tabla1[[#This Row],[ENERO ]]&gt;22.5,Tabla1[[#This Row],[ENERO ]]/22.5-1,0),IF(Tabla1[[#This Row],[ENERO ]]&gt;45,Tabla1[[#This Row],[ENERO ]]/45-1,0))</f>
        <v>0</v>
      </c>
      <c r="AF47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3" s="103">
        <f>IF(Tabla1[[#This Row],[TIPO DE CONSUMIDOR]]="MEDIO",IF(Tabla1[[#This Row],[MARZO]]&gt;22.5,Tabla1[[#This Row],[MARZO]]/22.5-1,0),IF(Tabla1[[#This Row],[MARZO]]&gt;45,Tabla1[[#This Row],[MARZO]]/45-1,0))</f>
        <v>0</v>
      </c>
      <c r="AH473" s="103">
        <f>IF(Tabla1[[#This Row],[TIPO DE CONSUMIDOR]]="MEDIO",IF(Tabla1[[#This Row],[ABRIL]]&gt;22.5,Tabla1[[#This Row],[ABRIL]]/22.5-1,0),IF(Tabla1[[#This Row],[ABRIL]]&gt;45,Tabla1[[#This Row],[ABRIL]]/45-1,0))</f>
        <v>0</v>
      </c>
      <c r="AI473" s="103">
        <f>IF(Tabla1[[#This Row],[TIPO DE CONSUMIDOR]]="MEDIO",IF(Tabla1[[#This Row],[MAYO ]]&gt;22.5,Tabla1[[#This Row],[MAYO ]]/22.5-1,0),IF(Tabla1[[#This Row],[MAYO ]]&gt;45,Tabla1[[#This Row],[MAYO ]]/45-1,0))</f>
        <v>0</v>
      </c>
      <c r="AJ473" s="103">
        <f>IF(Tabla1[[#This Row],[TIPO DE CONSUMIDOR]]="MEDIO",IF(Tabla1[[#This Row],[JUNIO ]]&gt;22.5,Tabla1[[#This Row],[JUNIO ]]/22.5-1,0),IF(Tabla1[[#This Row],[JUNIO ]]&gt;45,Tabla1[[#This Row],[JUNIO ]]/45-1,0))</f>
        <v>0</v>
      </c>
      <c r="AK473" s="103">
        <f>IF(Tabla1[[#This Row],[TIPO DE CONSUMIDOR]]="MEDIO",IF(Tabla1[[#This Row],[JULIO ]]&gt;22.5,Tabla1[[#This Row],[JULIO ]]/22.5-1,0),IF(Tabla1[[#This Row],[JULIO ]]&gt;45,Tabla1[[#This Row],[JULIO ]]/45-1,0))</f>
        <v>0</v>
      </c>
      <c r="AL473" s="103">
        <f>IF(Tabla1[[#This Row],[TIPO DE CONSUMIDOR]]="MEDIO",IF(Tabla1[[#This Row],[AGOSTO]]&gt;22.5,Tabla1[[#This Row],[AGOSTO]]/22.5-1,0),IF(Tabla1[[#This Row],[AGOSTO]]&gt;45,Tabla1[[#This Row],[AGOSTO]]/45-1,0))</f>
        <v>0</v>
      </c>
      <c r="AM47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3" s="104">
        <f t="shared" si="16"/>
        <v>0</v>
      </c>
      <c r="AR473" s="9">
        <f t="shared" si="15"/>
        <v>1</v>
      </c>
      <c r="AS473" s="60">
        <f>IF(Tabla1[[#This Row],[MESES DE ADEUDO DEL AÑO EN CURSO ]]&gt;0,1,0)</f>
        <v>1</v>
      </c>
      <c r="AT473" s="42"/>
      <c r="AU473" s="42"/>
      <c r="AV473" s="42"/>
      <c r="AW473" s="43"/>
    </row>
    <row r="474" spans="1:49" ht="21.75" thickBot="1" x14ac:dyDescent="0.35">
      <c r="A474" s="109">
        <v>468</v>
      </c>
      <c r="B474" s="5" t="s">
        <v>581</v>
      </c>
      <c r="C474" s="2" t="s">
        <v>569</v>
      </c>
      <c r="D474" s="32"/>
      <c r="E474" s="35" t="s">
        <v>455</v>
      </c>
      <c r="F474" s="34">
        <v>0</v>
      </c>
      <c r="G474" s="34">
        <v>0</v>
      </c>
      <c r="H474" s="34">
        <v>0</v>
      </c>
      <c r="I474" s="34">
        <v>0</v>
      </c>
      <c r="J474" s="34">
        <v>0</v>
      </c>
      <c r="K474" s="34">
        <v>0</v>
      </c>
      <c r="L474" s="34">
        <v>0</v>
      </c>
      <c r="M474" s="34">
        <v>0</v>
      </c>
      <c r="N474" s="34">
        <v>0</v>
      </c>
      <c r="O474" s="34">
        <v>0</v>
      </c>
      <c r="P474" s="34">
        <v>0</v>
      </c>
      <c r="Q474" s="34">
        <v>0</v>
      </c>
      <c r="R474" s="24">
        <f>SUM(Tabla1[[#This Row],[ENERO ]:[DICIEMBRE]])</f>
        <v>0</v>
      </c>
      <c r="W474" s="65">
        <v>3</v>
      </c>
      <c r="X474" s="21">
        <f>COUNTIF(Tabla1[[#This Row],[ENERO ]:[DICIEMBRE]],0)-(AQ474)-IF(Tabla1[[#This Row],[BAJAS]]="BAJA",IF(Tabla1[[#This Row],[ALTAS]]="ALTA",VLOOKUP(Tabla1[[#This Row],[MES DE ALTA ]],$AT$6:$AU$17,2,FALSE),12)-VLOOKUP(Tabla1[[#This Row],[MES DE BAJA ]],$AT$6:$AU$17,2,FALSE),0)</f>
        <v>12</v>
      </c>
      <c r="Y474" s="69">
        <f>SUM(Tabla1[[#This Row],[MES ADEUDO DE AÑOS PASADOS ]:[MESES DE ADEUDO DEL AÑO EN CURSO ]])</f>
        <v>15</v>
      </c>
      <c r="Z474" s="15">
        <f>IF(Tabla1[[#This Row],[TIPO DE CONSUMIDOR]]="COMPLETO",W474*$T$2,W474*($T$2/2))</f>
        <v>135</v>
      </c>
      <c r="AA474" s="15">
        <f>IF(Tabla1[[#This Row],[TIPO DE CONSUMIDOR]]="COMPLETO",Tabla1[[#This Row],[MESES DE ADEUDO DEL AÑO EN CURSO ]]*$T$2,Tabla1[[#This Row],[MESES DE ADEUDO DEL AÑO EN CURSO ]]*($T$2/2))</f>
        <v>540</v>
      </c>
      <c r="AB474" s="70">
        <f>SUM(Tabla1[[#This Row],[DEUDA DE LOS MESES PASADOS EN $$]:[DEUDA DEL AÑO 2013 $$ ]])</f>
        <v>675</v>
      </c>
      <c r="AE474" s="103">
        <f>IF(Tabla1[[#This Row],[TIPO DE CONSUMIDOR]]="MEDIO",IF(Tabla1[[#This Row],[ENERO ]]&gt;22.5,Tabla1[[#This Row],[ENERO ]]/22.5-1,0),IF(Tabla1[[#This Row],[ENERO ]]&gt;45,Tabla1[[#This Row],[ENERO ]]/45-1,0))</f>
        <v>0</v>
      </c>
      <c r="AF47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4" s="103">
        <f>IF(Tabla1[[#This Row],[TIPO DE CONSUMIDOR]]="MEDIO",IF(Tabla1[[#This Row],[MARZO]]&gt;22.5,Tabla1[[#This Row],[MARZO]]/22.5-1,0),IF(Tabla1[[#This Row],[MARZO]]&gt;45,Tabla1[[#This Row],[MARZO]]/45-1,0))</f>
        <v>0</v>
      </c>
      <c r="AH474" s="103">
        <f>IF(Tabla1[[#This Row],[TIPO DE CONSUMIDOR]]="MEDIO",IF(Tabla1[[#This Row],[ABRIL]]&gt;22.5,Tabla1[[#This Row],[ABRIL]]/22.5-1,0),IF(Tabla1[[#This Row],[ABRIL]]&gt;45,Tabla1[[#This Row],[ABRIL]]/45-1,0))</f>
        <v>0</v>
      </c>
      <c r="AI474" s="103">
        <f>IF(Tabla1[[#This Row],[TIPO DE CONSUMIDOR]]="MEDIO",IF(Tabla1[[#This Row],[MAYO ]]&gt;22.5,Tabla1[[#This Row],[MAYO ]]/22.5-1,0),IF(Tabla1[[#This Row],[MAYO ]]&gt;45,Tabla1[[#This Row],[MAYO ]]/45-1,0))</f>
        <v>0</v>
      </c>
      <c r="AJ474" s="103">
        <f>IF(Tabla1[[#This Row],[TIPO DE CONSUMIDOR]]="MEDIO",IF(Tabla1[[#This Row],[JUNIO ]]&gt;22.5,Tabla1[[#This Row],[JUNIO ]]/22.5-1,0),IF(Tabla1[[#This Row],[JUNIO ]]&gt;45,Tabla1[[#This Row],[JUNIO ]]/45-1,0))</f>
        <v>0</v>
      </c>
      <c r="AK474" s="103">
        <f>IF(Tabla1[[#This Row],[TIPO DE CONSUMIDOR]]="MEDIO",IF(Tabla1[[#This Row],[JULIO ]]&gt;22.5,Tabla1[[#This Row],[JULIO ]]/22.5-1,0),IF(Tabla1[[#This Row],[JULIO ]]&gt;45,Tabla1[[#This Row],[JULIO ]]/45-1,0))</f>
        <v>0</v>
      </c>
      <c r="AL474" s="103">
        <f>IF(Tabla1[[#This Row],[TIPO DE CONSUMIDOR]]="MEDIO",IF(Tabla1[[#This Row],[AGOSTO]]&gt;22.5,Tabla1[[#This Row],[AGOSTO]]/22.5-1,0),IF(Tabla1[[#This Row],[AGOSTO]]&gt;45,Tabla1[[#This Row],[AGOSTO]]/45-1,0))</f>
        <v>0</v>
      </c>
      <c r="AM47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4" s="104">
        <f t="shared" si="16"/>
        <v>0</v>
      </c>
      <c r="AR474" s="9">
        <f t="shared" si="15"/>
        <v>1</v>
      </c>
      <c r="AS474" s="60">
        <f>IF(Tabla1[[#This Row],[MESES DE ADEUDO DEL AÑO EN CURSO ]]&gt;0,1,0)</f>
        <v>1</v>
      </c>
      <c r="AT474" s="42"/>
      <c r="AU474" s="42"/>
      <c r="AV474" s="42"/>
      <c r="AW474" s="43"/>
    </row>
    <row r="475" spans="1:49" ht="21.75" thickBot="1" x14ac:dyDescent="0.35">
      <c r="A475" s="109">
        <v>469</v>
      </c>
      <c r="B475" s="5" t="s">
        <v>384</v>
      </c>
      <c r="C475" s="2" t="s">
        <v>575</v>
      </c>
      <c r="D475" s="32"/>
      <c r="E475" s="35" t="s">
        <v>455</v>
      </c>
      <c r="F475" s="34">
        <v>0</v>
      </c>
      <c r="G475" s="34">
        <v>0</v>
      </c>
      <c r="H475" s="34">
        <v>0</v>
      </c>
      <c r="I475" s="34">
        <v>0</v>
      </c>
      <c r="J475" s="34">
        <v>0</v>
      </c>
      <c r="K475" s="34">
        <v>0</v>
      </c>
      <c r="L475" s="34">
        <v>0</v>
      </c>
      <c r="M475" s="34">
        <v>0</v>
      </c>
      <c r="N475" s="34">
        <v>0</v>
      </c>
      <c r="O475" s="34">
        <v>0</v>
      </c>
      <c r="P475" s="34">
        <v>0</v>
      </c>
      <c r="Q475" s="34">
        <v>0</v>
      </c>
      <c r="R475" s="24">
        <f>SUM(Tabla1[[#This Row],[ENERO ]:[DICIEMBRE]])</f>
        <v>0</v>
      </c>
      <c r="W475" s="65">
        <v>3</v>
      </c>
      <c r="X475" s="21">
        <f>COUNTIF(Tabla1[[#This Row],[ENERO ]:[DICIEMBRE]],0)-(AQ475)-IF(Tabla1[[#This Row],[BAJAS]]="BAJA",IF(Tabla1[[#This Row],[ALTAS]]="ALTA",VLOOKUP(Tabla1[[#This Row],[MES DE ALTA ]],$AT$6:$AU$17,2,FALSE),12)-VLOOKUP(Tabla1[[#This Row],[MES DE BAJA ]],$AT$6:$AU$17,2,FALSE),0)</f>
        <v>12</v>
      </c>
      <c r="Y475" s="69">
        <f>SUM(Tabla1[[#This Row],[MES ADEUDO DE AÑOS PASADOS ]:[MESES DE ADEUDO DEL AÑO EN CURSO ]])</f>
        <v>15</v>
      </c>
      <c r="Z475" s="15">
        <f>IF(Tabla1[[#This Row],[TIPO DE CONSUMIDOR]]="COMPLETO",W475*$T$2,W475*($T$2/2))</f>
        <v>135</v>
      </c>
      <c r="AA475" s="15">
        <f>IF(Tabla1[[#This Row],[TIPO DE CONSUMIDOR]]="COMPLETO",Tabla1[[#This Row],[MESES DE ADEUDO DEL AÑO EN CURSO ]]*$T$2,Tabla1[[#This Row],[MESES DE ADEUDO DEL AÑO EN CURSO ]]*($T$2/2))</f>
        <v>540</v>
      </c>
      <c r="AB475" s="70">
        <f>SUM(Tabla1[[#This Row],[DEUDA DE LOS MESES PASADOS EN $$]:[DEUDA DEL AÑO 2013 $$ ]])</f>
        <v>675</v>
      </c>
      <c r="AE475" s="103">
        <f>IF(Tabla1[[#This Row],[TIPO DE CONSUMIDOR]]="MEDIO",IF(Tabla1[[#This Row],[ENERO ]]&gt;22.5,Tabla1[[#This Row],[ENERO ]]/22.5-1,0),IF(Tabla1[[#This Row],[ENERO ]]&gt;45,Tabla1[[#This Row],[ENERO ]]/45-1,0))</f>
        <v>0</v>
      </c>
      <c r="AF47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5" s="103">
        <f>IF(Tabla1[[#This Row],[TIPO DE CONSUMIDOR]]="MEDIO",IF(Tabla1[[#This Row],[MARZO]]&gt;22.5,Tabla1[[#This Row],[MARZO]]/22.5-1,0),IF(Tabla1[[#This Row],[MARZO]]&gt;45,Tabla1[[#This Row],[MARZO]]/45-1,0))</f>
        <v>0</v>
      </c>
      <c r="AH475" s="103">
        <f>IF(Tabla1[[#This Row],[TIPO DE CONSUMIDOR]]="MEDIO",IF(Tabla1[[#This Row],[ABRIL]]&gt;22.5,Tabla1[[#This Row],[ABRIL]]/22.5-1,0),IF(Tabla1[[#This Row],[ABRIL]]&gt;45,Tabla1[[#This Row],[ABRIL]]/45-1,0))</f>
        <v>0</v>
      </c>
      <c r="AI475" s="103">
        <f>IF(Tabla1[[#This Row],[TIPO DE CONSUMIDOR]]="MEDIO",IF(Tabla1[[#This Row],[MAYO ]]&gt;22.5,Tabla1[[#This Row],[MAYO ]]/22.5-1,0),IF(Tabla1[[#This Row],[MAYO ]]&gt;45,Tabla1[[#This Row],[MAYO ]]/45-1,0))</f>
        <v>0</v>
      </c>
      <c r="AJ475" s="103">
        <f>IF(Tabla1[[#This Row],[TIPO DE CONSUMIDOR]]="MEDIO",IF(Tabla1[[#This Row],[JUNIO ]]&gt;22.5,Tabla1[[#This Row],[JUNIO ]]/22.5-1,0),IF(Tabla1[[#This Row],[JUNIO ]]&gt;45,Tabla1[[#This Row],[JUNIO ]]/45-1,0))</f>
        <v>0</v>
      </c>
      <c r="AK475" s="103">
        <f>IF(Tabla1[[#This Row],[TIPO DE CONSUMIDOR]]="MEDIO",IF(Tabla1[[#This Row],[JULIO ]]&gt;22.5,Tabla1[[#This Row],[JULIO ]]/22.5-1,0),IF(Tabla1[[#This Row],[JULIO ]]&gt;45,Tabla1[[#This Row],[JULIO ]]/45-1,0))</f>
        <v>0</v>
      </c>
      <c r="AL475" s="103">
        <f>IF(Tabla1[[#This Row],[TIPO DE CONSUMIDOR]]="MEDIO",IF(Tabla1[[#This Row],[AGOSTO]]&gt;22.5,Tabla1[[#This Row],[AGOSTO]]/22.5-1,0),IF(Tabla1[[#This Row],[AGOSTO]]&gt;45,Tabla1[[#This Row],[AGOSTO]]/45-1,0))</f>
        <v>0</v>
      </c>
      <c r="AM47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5" s="104">
        <f t="shared" si="16"/>
        <v>0</v>
      </c>
      <c r="AR475" s="9">
        <f t="shared" si="15"/>
        <v>1</v>
      </c>
      <c r="AS475" s="60">
        <f>IF(Tabla1[[#This Row],[MESES DE ADEUDO DEL AÑO EN CURSO ]]&gt;0,1,0)</f>
        <v>1</v>
      </c>
      <c r="AT475" s="42"/>
      <c r="AU475" s="42"/>
      <c r="AV475" s="42"/>
      <c r="AW475" s="43"/>
    </row>
    <row r="476" spans="1:49" ht="21.75" thickBot="1" x14ac:dyDescent="0.35">
      <c r="A476" s="109">
        <v>470</v>
      </c>
      <c r="B476" s="5" t="s">
        <v>583</v>
      </c>
      <c r="C476" s="2"/>
      <c r="D476" s="32"/>
      <c r="E476" s="35" t="s">
        <v>455</v>
      </c>
      <c r="F476" s="34">
        <v>0</v>
      </c>
      <c r="G476" s="34">
        <v>0</v>
      </c>
      <c r="H476" s="34">
        <v>0</v>
      </c>
      <c r="I476" s="34">
        <v>0</v>
      </c>
      <c r="J476" s="34">
        <v>0</v>
      </c>
      <c r="K476" s="34">
        <v>0</v>
      </c>
      <c r="L476" s="34">
        <v>0</v>
      </c>
      <c r="M476" s="34">
        <v>0</v>
      </c>
      <c r="N476" s="34">
        <v>0</v>
      </c>
      <c r="O476" s="34">
        <v>0</v>
      </c>
      <c r="P476" s="34">
        <v>0</v>
      </c>
      <c r="Q476" s="34">
        <v>0</v>
      </c>
      <c r="R476" s="24">
        <f>SUM(Tabla1[[#This Row],[ENERO ]:[DICIEMBRE]])</f>
        <v>0</v>
      </c>
      <c r="W476" s="65">
        <v>3</v>
      </c>
      <c r="X476" s="21">
        <f>COUNTIF(Tabla1[[#This Row],[ENERO ]:[DICIEMBRE]],0)-(AQ476)-IF(Tabla1[[#This Row],[BAJAS]]="BAJA",IF(Tabla1[[#This Row],[ALTAS]]="ALTA",VLOOKUP(Tabla1[[#This Row],[MES DE ALTA ]],$AT$6:$AU$17,2,FALSE),12)-VLOOKUP(Tabla1[[#This Row],[MES DE BAJA ]],$AT$6:$AU$17,2,FALSE),0)</f>
        <v>12</v>
      </c>
      <c r="Y476" s="69">
        <f>SUM(Tabla1[[#This Row],[MES ADEUDO DE AÑOS PASADOS ]:[MESES DE ADEUDO DEL AÑO EN CURSO ]])</f>
        <v>15</v>
      </c>
      <c r="Z476" s="15">
        <f>IF(Tabla1[[#This Row],[TIPO DE CONSUMIDOR]]="COMPLETO",W476*$T$2,W476*($T$2/2))</f>
        <v>135</v>
      </c>
      <c r="AA476" s="15">
        <f>IF(Tabla1[[#This Row],[TIPO DE CONSUMIDOR]]="COMPLETO",Tabla1[[#This Row],[MESES DE ADEUDO DEL AÑO EN CURSO ]]*$T$2,Tabla1[[#This Row],[MESES DE ADEUDO DEL AÑO EN CURSO ]]*($T$2/2))</f>
        <v>540</v>
      </c>
      <c r="AB476" s="70">
        <f>SUM(Tabla1[[#This Row],[DEUDA DE LOS MESES PASADOS EN $$]:[DEUDA DEL AÑO 2013 $$ ]])</f>
        <v>675</v>
      </c>
      <c r="AE476" s="103">
        <f>IF(Tabla1[[#This Row],[TIPO DE CONSUMIDOR]]="MEDIO",IF(Tabla1[[#This Row],[ENERO ]]&gt;22.5,Tabla1[[#This Row],[ENERO ]]/22.5-1,0),IF(Tabla1[[#This Row],[ENERO ]]&gt;45,Tabla1[[#This Row],[ENERO ]]/45-1,0))</f>
        <v>0</v>
      </c>
      <c r="AF47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6" s="103">
        <f>IF(Tabla1[[#This Row],[TIPO DE CONSUMIDOR]]="MEDIO",IF(Tabla1[[#This Row],[MARZO]]&gt;22.5,Tabla1[[#This Row],[MARZO]]/22.5-1,0),IF(Tabla1[[#This Row],[MARZO]]&gt;45,Tabla1[[#This Row],[MARZO]]/45-1,0))</f>
        <v>0</v>
      </c>
      <c r="AH476" s="103">
        <f>IF(Tabla1[[#This Row],[TIPO DE CONSUMIDOR]]="MEDIO",IF(Tabla1[[#This Row],[ABRIL]]&gt;22.5,Tabla1[[#This Row],[ABRIL]]/22.5-1,0),IF(Tabla1[[#This Row],[ABRIL]]&gt;45,Tabla1[[#This Row],[ABRIL]]/45-1,0))</f>
        <v>0</v>
      </c>
      <c r="AI476" s="103">
        <f>IF(Tabla1[[#This Row],[TIPO DE CONSUMIDOR]]="MEDIO",IF(Tabla1[[#This Row],[MAYO ]]&gt;22.5,Tabla1[[#This Row],[MAYO ]]/22.5-1,0),IF(Tabla1[[#This Row],[MAYO ]]&gt;45,Tabla1[[#This Row],[MAYO ]]/45-1,0))</f>
        <v>0</v>
      </c>
      <c r="AJ476" s="103">
        <f>IF(Tabla1[[#This Row],[TIPO DE CONSUMIDOR]]="MEDIO",IF(Tabla1[[#This Row],[JUNIO ]]&gt;22.5,Tabla1[[#This Row],[JUNIO ]]/22.5-1,0),IF(Tabla1[[#This Row],[JUNIO ]]&gt;45,Tabla1[[#This Row],[JUNIO ]]/45-1,0))</f>
        <v>0</v>
      </c>
      <c r="AK476" s="103">
        <f>IF(Tabla1[[#This Row],[TIPO DE CONSUMIDOR]]="MEDIO",IF(Tabla1[[#This Row],[JULIO ]]&gt;22.5,Tabla1[[#This Row],[JULIO ]]/22.5-1,0),IF(Tabla1[[#This Row],[JULIO ]]&gt;45,Tabla1[[#This Row],[JULIO ]]/45-1,0))</f>
        <v>0</v>
      </c>
      <c r="AL476" s="103">
        <f>IF(Tabla1[[#This Row],[TIPO DE CONSUMIDOR]]="MEDIO",IF(Tabla1[[#This Row],[AGOSTO]]&gt;22.5,Tabla1[[#This Row],[AGOSTO]]/22.5-1,0),IF(Tabla1[[#This Row],[AGOSTO]]&gt;45,Tabla1[[#This Row],[AGOSTO]]/45-1,0))</f>
        <v>0</v>
      </c>
      <c r="AM47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6" s="104">
        <f t="shared" si="16"/>
        <v>0</v>
      </c>
      <c r="AR476" s="9">
        <f t="shared" si="15"/>
        <v>1</v>
      </c>
      <c r="AS476" s="60">
        <f>IF(Tabla1[[#This Row],[MESES DE ADEUDO DEL AÑO EN CURSO ]]&gt;0,1,0)</f>
        <v>1</v>
      </c>
      <c r="AT476" s="42"/>
      <c r="AU476" s="42"/>
      <c r="AV476" s="42"/>
      <c r="AW476" s="43"/>
    </row>
    <row r="477" spans="1:49" ht="21.75" thickBot="1" x14ac:dyDescent="0.35">
      <c r="A477" s="109">
        <v>471</v>
      </c>
      <c r="B477" s="5" t="s">
        <v>360</v>
      </c>
      <c r="C477" s="2"/>
      <c r="D477" s="32"/>
      <c r="E477" s="35" t="s">
        <v>455</v>
      </c>
      <c r="F477" s="34">
        <v>0</v>
      </c>
      <c r="G477" s="34">
        <v>0</v>
      </c>
      <c r="H477" s="34">
        <v>0</v>
      </c>
      <c r="I477" s="34">
        <v>0</v>
      </c>
      <c r="J477" s="34">
        <v>0</v>
      </c>
      <c r="K477" s="34">
        <v>0</v>
      </c>
      <c r="L477" s="34">
        <v>0</v>
      </c>
      <c r="M477" s="34">
        <v>0</v>
      </c>
      <c r="N477" s="34">
        <v>0</v>
      </c>
      <c r="O477" s="34">
        <v>0</v>
      </c>
      <c r="P477" s="34">
        <v>0</v>
      </c>
      <c r="Q477" s="34">
        <v>0</v>
      </c>
      <c r="R477" s="24">
        <f>SUM(Tabla1[[#This Row],[ENERO ]:[DICIEMBRE]])</f>
        <v>0</v>
      </c>
      <c r="W477" s="65">
        <v>3</v>
      </c>
      <c r="X477" s="21">
        <f>COUNTIF(Tabla1[[#This Row],[ENERO ]:[DICIEMBRE]],0)-(AQ477)-IF(Tabla1[[#This Row],[BAJAS]]="BAJA",IF(Tabla1[[#This Row],[ALTAS]]="ALTA",VLOOKUP(Tabla1[[#This Row],[MES DE ALTA ]],$AT$6:$AU$17,2,FALSE),12)-VLOOKUP(Tabla1[[#This Row],[MES DE BAJA ]],$AT$6:$AU$17,2,FALSE),0)</f>
        <v>12</v>
      </c>
      <c r="Y477" s="69">
        <f>SUM(Tabla1[[#This Row],[MES ADEUDO DE AÑOS PASADOS ]:[MESES DE ADEUDO DEL AÑO EN CURSO ]])</f>
        <v>15</v>
      </c>
      <c r="Z477" s="15">
        <f>IF(Tabla1[[#This Row],[TIPO DE CONSUMIDOR]]="COMPLETO",W477*$T$2,W477*($T$2/2))</f>
        <v>135</v>
      </c>
      <c r="AA477" s="15">
        <f>IF(Tabla1[[#This Row],[TIPO DE CONSUMIDOR]]="COMPLETO",Tabla1[[#This Row],[MESES DE ADEUDO DEL AÑO EN CURSO ]]*$T$2,Tabla1[[#This Row],[MESES DE ADEUDO DEL AÑO EN CURSO ]]*($T$2/2))</f>
        <v>540</v>
      </c>
      <c r="AB477" s="70">
        <f>SUM(Tabla1[[#This Row],[DEUDA DE LOS MESES PASADOS EN $$]:[DEUDA DEL AÑO 2013 $$ ]])</f>
        <v>675</v>
      </c>
      <c r="AE477" s="103">
        <f>IF(Tabla1[[#This Row],[TIPO DE CONSUMIDOR]]="MEDIO",IF(Tabla1[[#This Row],[ENERO ]]&gt;22.5,Tabla1[[#This Row],[ENERO ]]/22.5-1,0),IF(Tabla1[[#This Row],[ENERO ]]&gt;45,Tabla1[[#This Row],[ENERO ]]/45-1,0))</f>
        <v>0</v>
      </c>
      <c r="AF47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7" s="103">
        <f>IF(Tabla1[[#This Row],[TIPO DE CONSUMIDOR]]="MEDIO",IF(Tabla1[[#This Row],[MARZO]]&gt;22.5,Tabla1[[#This Row],[MARZO]]/22.5-1,0),IF(Tabla1[[#This Row],[MARZO]]&gt;45,Tabla1[[#This Row],[MARZO]]/45-1,0))</f>
        <v>0</v>
      </c>
      <c r="AH477" s="103">
        <f>IF(Tabla1[[#This Row],[TIPO DE CONSUMIDOR]]="MEDIO",IF(Tabla1[[#This Row],[ABRIL]]&gt;22.5,Tabla1[[#This Row],[ABRIL]]/22.5-1,0),IF(Tabla1[[#This Row],[ABRIL]]&gt;45,Tabla1[[#This Row],[ABRIL]]/45-1,0))</f>
        <v>0</v>
      </c>
      <c r="AI477" s="103">
        <f>IF(Tabla1[[#This Row],[TIPO DE CONSUMIDOR]]="MEDIO",IF(Tabla1[[#This Row],[MAYO ]]&gt;22.5,Tabla1[[#This Row],[MAYO ]]/22.5-1,0),IF(Tabla1[[#This Row],[MAYO ]]&gt;45,Tabla1[[#This Row],[MAYO ]]/45-1,0))</f>
        <v>0</v>
      </c>
      <c r="AJ477" s="103">
        <f>IF(Tabla1[[#This Row],[TIPO DE CONSUMIDOR]]="MEDIO",IF(Tabla1[[#This Row],[JUNIO ]]&gt;22.5,Tabla1[[#This Row],[JUNIO ]]/22.5-1,0),IF(Tabla1[[#This Row],[JUNIO ]]&gt;45,Tabla1[[#This Row],[JUNIO ]]/45-1,0))</f>
        <v>0</v>
      </c>
      <c r="AK477" s="103">
        <f>IF(Tabla1[[#This Row],[TIPO DE CONSUMIDOR]]="MEDIO",IF(Tabla1[[#This Row],[JULIO ]]&gt;22.5,Tabla1[[#This Row],[JULIO ]]/22.5-1,0),IF(Tabla1[[#This Row],[JULIO ]]&gt;45,Tabla1[[#This Row],[JULIO ]]/45-1,0))</f>
        <v>0</v>
      </c>
      <c r="AL477" s="103">
        <f>IF(Tabla1[[#This Row],[TIPO DE CONSUMIDOR]]="MEDIO",IF(Tabla1[[#This Row],[AGOSTO]]&gt;22.5,Tabla1[[#This Row],[AGOSTO]]/22.5-1,0),IF(Tabla1[[#This Row],[AGOSTO]]&gt;45,Tabla1[[#This Row],[AGOSTO]]/45-1,0))</f>
        <v>0</v>
      </c>
      <c r="AM47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7" s="104">
        <f t="shared" si="16"/>
        <v>0</v>
      </c>
      <c r="AR477" s="9">
        <f t="shared" si="15"/>
        <v>1</v>
      </c>
      <c r="AS477" s="60">
        <f>IF(Tabla1[[#This Row],[MESES DE ADEUDO DEL AÑO EN CURSO ]]&gt;0,1,0)</f>
        <v>1</v>
      </c>
      <c r="AT477" s="42"/>
      <c r="AU477" s="42"/>
      <c r="AV477" s="42"/>
      <c r="AW477" s="43"/>
    </row>
    <row r="478" spans="1:49" ht="21.75" thickBot="1" x14ac:dyDescent="0.35">
      <c r="A478" s="109">
        <v>472</v>
      </c>
      <c r="B478" s="5" t="s">
        <v>361</v>
      </c>
      <c r="C478" s="2"/>
      <c r="D478" s="32"/>
      <c r="E478" s="35" t="s">
        <v>455</v>
      </c>
      <c r="F478" s="34">
        <v>0</v>
      </c>
      <c r="G478" s="34">
        <v>0</v>
      </c>
      <c r="H478" s="34">
        <v>0</v>
      </c>
      <c r="I478" s="34">
        <v>0</v>
      </c>
      <c r="J478" s="34">
        <v>0</v>
      </c>
      <c r="K478" s="34">
        <v>0</v>
      </c>
      <c r="L478" s="34">
        <v>0</v>
      </c>
      <c r="M478" s="34">
        <v>0</v>
      </c>
      <c r="N478" s="34">
        <v>0</v>
      </c>
      <c r="O478" s="34">
        <v>0</v>
      </c>
      <c r="P478" s="34">
        <v>0</v>
      </c>
      <c r="Q478" s="34">
        <v>0</v>
      </c>
      <c r="R478" s="24">
        <f>SUM(Tabla1[[#This Row],[ENERO ]:[DICIEMBRE]])</f>
        <v>0</v>
      </c>
      <c r="W478" s="65">
        <v>3</v>
      </c>
      <c r="X478" s="21">
        <f>COUNTIF(Tabla1[[#This Row],[ENERO ]:[DICIEMBRE]],0)-(AQ478)-IF(Tabla1[[#This Row],[BAJAS]]="BAJA",IF(Tabla1[[#This Row],[ALTAS]]="ALTA",VLOOKUP(Tabla1[[#This Row],[MES DE ALTA ]],$AT$6:$AU$17,2,FALSE),12)-VLOOKUP(Tabla1[[#This Row],[MES DE BAJA ]],$AT$6:$AU$17,2,FALSE),0)</f>
        <v>12</v>
      </c>
      <c r="Y478" s="69">
        <f>SUM(Tabla1[[#This Row],[MES ADEUDO DE AÑOS PASADOS ]:[MESES DE ADEUDO DEL AÑO EN CURSO ]])</f>
        <v>15</v>
      </c>
      <c r="Z478" s="15">
        <f>IF(Tabla1[[#This Row],[TIPO DE CONSUMIDOR]]="COMPLETO",W478*$T$2,W478*($T$2/2))</f>
        <v>135</v>
      </c>
      <c r="AA478" s="15">
        <f>IF(Tabla1[[#This Row],[TIPO DE CONSUMIDOR]]="COMPLETO",Tabla1[[#This Row],[MESES DE ADEUDO DEL AÑO EN CURSO ]]*$T$2,Tabla1[[#This Row],[MESES DE ADEUDO DEL AÑO EN CURSO ]]*($T$2/2))</f>
        <v>540</v>
      </c>
      <c r="AB478" s="70">
        <f>SUM(Tabla1[[#This Row],[DEUDA DE LOS MESES PASADOS EN $$]:[DEUDA DEL AÑO 2013 $$ ]])</f>
        <v>675</v>
      </c>
      <c r="AE478" s="103">
        <f>IF(Tabla1[[#This Row],[TIPO DE CONSUMIDOR]]="MEDIO",IF(Tabla1[[#This Row],[ENERO ]]&gt;22.5,Tabla1[[#This Row],[ENERO ]]/22.5-1,0),IF(Tabla1[[#This Row],[ENERO ]]&gt;45,Tabla1[[#This Row],[ENERO ]]/45-1,0))</f>
        <v>0</v>
      </c>
      <c r="AF47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8" s="103">
        <f>IF(Tabla1[[#This Row],[TIPO DE CONSUMIDOR]]="MEDIO",IF(Tabla1[[#This Row],[MARZO]]&gt;22.5,Tabla1[[#This Row],[MARZO]]/22.5-1,0),IF(Tabla1[[#This Row],[MARZO]]&gt;45,Tabla1[[#This Row],[MARZO]]/45-1,0))</f>
        <v>0</v>
      </c>
      <c r="AH478" s="103">
        <f>IF(Tabla1[[#This Row],[TIPO DE CONSUMIDOR]]="MEDIO",IF(Tabla1[[#This Row],[ABRIL]]&gt;22.5,Tabla1[[#This Row],[ABRIL]]/22.5-1,0),IF(Tabla1[[#This Row],[ABRIL]]&gt;45,Tabla1[[#This Row],[ABRIL]]/45-1,0))</f>
        <v>0</v>
      </c>
      <c r="AI478" s="103">
        <f>IF(Tabla1[[#This Row],[TIPO DE CONSUMIDOR]]="MEDIO",IF(Tabla1[[#This Row],[MAYO ]]&gt;22.5,Tabla1[[#This Row],[MAYO ]]/22.5-1,0),IF(Tabla1[[#This Row],[MAYO ]]&gt;45,Tabla1[[#This Row],[MAYO ]]/45-1,0))</f>
        <v>0</v>
      </c>
      <c r="AJ478" s="103">
        <f>IF(Tabla1[[#This Row],[TIPO DE CONSUMIDOR]]="MEDIO",IF(Tabla1[[#This Row],[JUNIO ]]&gt;22.5,Tabla1[[#This Row],[JUNIO ]]/22.5-1,0),IF(Tabla1[[#This Row],[JUNIO ]]&gt;45,Tabla1[[#This Row],[JUNIO ]]/45-1,0))</f>
        <v>0</v>
      </c>
      <c r="AK478" s="103">
        <f>IF(Tabla1[[#This Row],[TIPO DE CONSUMIDOR]]="MEDIO",IF(Tabla1[[#This Row],[JULIO ]]&gt;22.5,Tabla1[[#This Row],[JULIO ]]/22.5-1,0),IF(Tabla1[[#This Row],[JULIO ]]&gt;45,Tabla1[[#This Row],[JULIO ]]/45-1,0))</f>
        <v>0</v>
      </c>
      <c r="AL478" s="103">
        <f>IF(Tabla1[[#This Row],[TIPO DE CONSUMIDOR]]="MEDIO",IF(Tabla1[[#This Row],[AGOSTO]]&gt;22.5,Tabla1[[#This Row],[AGOSTO]]/22.5-1,0),IF(Tabla1[[#This Row],[AGOSTO]]&gt;45,Tabla1[[#This Row],[AGOSTO]]/45-1,0))</f>
        <v>0</v>
      </c>
      <c r="AM47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8" s="104">
        <f t="shared" si="16"/>
        <v>0</v>
      </c>
      <c r="AR478" s="9">
        <f t="shared" si="15"/>
        <v>1</v>
      </c>
      <c r="AS478" s="60">
        <f>IF(Tabla1[[#This Row],[MESES DE ADEUDO DEL AÑO EN CURSO ]]&gt;0,1,0)</f>
        <v>1</v>
      </c>
      <c r="AT478" s="42"/>
      <c r="AU478" s="42"/>
      <c r="AV478" s="42"/>
      <c r="AW478" s="43"/>
    </row>
    <row r="479" spans="1:49" ht="21.75" thickBot="1" x14ac:dyDescent="0.35">
      <c r="A479" s="109">
        <v>473</v>
      </c>
      <c r="B479" s="5" t="s">
        <v>591</v>
      </c>
      <c r="C479" s="2"/>
      <c r="D479" s="32"/>
      <c r="E479" s="35" t="s">
        <v>455</v>
      </c>
      <c r="F479" s="34">
        <v>0</v>
      </c>
      <c r="G479" s="34">
        <v>0</v>
      </c>
      <c r="H479" s="34">
        <v>0</v>
      </c>
      <c r="I479" s="34">
        <v>0</v>
      </c>
      <c r="J479" s="34">
        <v>0</v>
      </c>
      <c r="K479" s="34">
        <v>0</v>
      </c>
      <c r="L479" s="34">
        <v>0</v>
      </c>
      <c r="M479" s="34">
        <v>0</v>
      </c>
      <c r="N479" s="34">
        <v>0</v>
      </c>
      <c r="O479" s="34">
        <v>0</v>
      </c>
      <c r="P479" s="34">
        <v>0</v>
      </c>
      <c r="Q479" s="34">
        <v>0</v>
      </c>
      <c r="R479" s="24">
        <f>SUM(Tabla1[[#This Row],[ENERO ]:[DICIEMBRE]])</f>
        <v>0</v>
      </c>
      <c r="W479" s="65">
        <v>3</v>
      </c>
      <c r="X479" s="21">
        <f>COUNTIF(Tabla1[[#This Row],[ENERO ]:[DICIEMBRE]],0)-(AQ479)-IF(Tabla1[[#This Row],[BAJAS]]="BAJA",IF(Tabla1[[#This Row],[ALTAS]]="ALTA",VLOOKUP(Tabla1[[#This Row],[MES DE ALTA ]],$AT$6:$AU$17,2,FALSE),12)-VLOOKUP(Tabla1[[#This Row],[MES DE BAJA ]],$AT$6:$AU$17,2,FALSE),0)</f>
        <v>12</v>
      </c>
      <c r="Y479" s="69">
        <f>SUM(Tabla1[[#This Row],[MES ADEUDO DE AÑOS PASADOS ]:[MESES DE ADEUDO DEL AÑO EN CURSO ]])</f>
        <v>15</v>
      </c>
      <c r="Z479" s="15">
        <f>IF(Tabla1[[#This Row],[TIPO DE CONSUMIDOR]]="COMPLETO",W479*$T$2,W479*($T$2/2))</f>
        <v>135</v>
      </c>
      <c r="AA479" s="15">
        <f>IF(Tabla1[[#This Row],[TIPO DE CONSUMIDOR]]="COMPLETO",Tabla1[[#This Row],[MESES DE ADEUDO DEL AÑO EN CURSO ]]*$T$2,Tabla1[[#This Row],[MESES DE ADEUDO DEL AÑO EN CURSO ]]*($T$2/2))</f>
        <v>540</v>
      </c>
      <c r="AB479" s="70">
        <f>SUM(Tabla1[[#This Row],[DEUDA DE LOS MESES PASADOS EN $$]:[DEUDA DEL AÑO 2013 $$ ]])</f>
        <v>675</v>
      </c>
      <c r="AE479" s="103">
        <f>IF(Tabla1[[#This Row],[TIPO DE CONSUMIDOR]]="MEDIO",IF(Tabla1[[#This Row],[ENERO ]]&gt;22.5,Tabla1[[#This Row],[ENERO ]]/22.5-1,0),IF(Tabla1[[#This Row],[ENERO ]]&gt;45,Tabla1[[#This Row],[ENERO ]]/45-1,0))</f>
        <v>0</v>
      </c>
      <c r="AF47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79" s="103">
        <f>IF(Tabla1[[#This Row],[TIPO DE CONSUMIDOR]]="MEDIO",IF(Tabla1[[#This Row],[MARZO]]&gt;22.5,Tabla1[[#This Row],[MARZO]]/22.5-1,0),IF(Tabla1[[#This Row],[MARZO]]&gt;45,Tabla1[[#This Row],[MARZO]]/45-1,0))</f>
        <v>0</v>
      </c>
      <c r="AH479" s="103">
        <f>IF(Tabla1[[#This Row],[TIPO DE CONSUMIDOR]]="MEDIO",IF(Tabla1[[#This Row],[ABRIL]]&gt;22.5,Tabla1[[#This Row],[ABRIL]]/22.5-1,0),IF(Tabla1[[#This Row],[ABRIL]]&gt;45,Tabla1[[#This Row],[ABRIL]]/45-1,0))</f>
        <v>0</v>
      </c>
      <c r="AI479" s="103">
        <f>IF(Tabla1[[#This Row],[TIPO DE CONSUMIDOR]]="MEDIO",IF(Tabla1[[#This Row],[MAYO ]]&gt;22.5,Tabla1[[#This Row],[MAYO ]]/22.5-1,0),IF(Tabla1[[#This Row],[MAYO ]]&gt;45,Tabla1[[#This Row],[MAYO ]]/45-1,0))</f>
        <v>0</v>
      </c>
      <c r="AJ479" s="103">
        <f>IF(Tabla1[[#This Row],[TIPO DE CONSUMIDOR]]="MEDIO",IF(Tabla1[[#This Row],[JUNIO ]]&gt;22.5,Tabla1[[#This Row],[JUNIO ]]/22.5-1,0),IF(Tabla1[[#This Row],[JUNIO ]]&gt;45,Tabla1[[#This Row],[JUNIO ]]/45-1,0))</f>
        <v>0</v>
      </c>
      <c r="AK479" s="103">
        <f>IF(Tabla1[[#This Row],[TIPO DE CONSUMIDOR]]="MEDIO",IF(Tabla1[[#This Row],[JULIO ]]&gt;22.5,Tabla1[[#This Row],[JULIO ]]/22.5-1,0),IF(Tabla1[[#This Row],[JULIO ]]&gt;45,Tabla1[[#This Row],[JULIO ]]/45-1,0))</f>
        <v>0</v>
      </c>
      <c r="AL479" s="103">
        <f>IF(Tabla1[[#This Row],[TIPO DE CONSUMIDOR]]="MEDIO",IF(Tabla1[[#This Row],[AGOSTO]]&gt;22.5,Tabla1[[#This Row],[AGOSTO]]/22.5-1,0),IF(Tabla1[[#This Row],[AGOSTO]]&gt;45,Tabla1[[#This Row],[AGOSTO]]/45-1,0))</f>
        <v>0</v>
      </c>
      <c r="AM47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7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7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7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79" s="104">
        <f t="shared" si="16"/>
        <v>0</v>
      </c>
      <c r="AR479" s="9">
        <f t="shared" si="15"/>
        <v>1</v>
      </c>
      <c r="AS479" s="60">
        <f>IF(Tabla1[[#This Row],[MESES DE ADEUDO DEL AÑO EN CURSO ]]&gt;0,1,0)</f>
        <v>1</v>
      </c>
      <c r="AT479" s="42"/>
      <c r="AU479" s="42"/>
      <c r="AV479" s="42"/>
      <c r="AW479" s="43"/>
    </row>
    <row r="480" spans="1:49" ht="21.75" thickBot="1" x14ac:dyDescent="0.35">
      <c r="A480" s="109">
        <v>474</v>
      </c>
      <c r="B480" s="5" t="s">
        <v>97</v>
      </c>
      <c r="C480" s="2" t="s">
        <v>456</v>
      </c>
      <c r="D480" s="32"/>
      <c r="E480" s="35" t="s">
        <v>455</v>
      </c>
      <c r="F480" s="34">
        <v>0</v>
      </c>
      <c r="G480" s="34">
        <v>0</v>
      </c>
      <c r="H480" s="34">
        <v>0</v>
      </c>
      <c r="I480" s="34">
        <v>0</v>
      </c>
      <c r="J480" s="34">
        <v>0</v>
      </c>
      <c r="K480" s="34">
        <v>0</v>
      </c>
      <c r="L480" s="34">
        <v>0</v>
      </c>
      <c r="M480" s="34">
        <v>0</v>
      </c>
      <c r="N480" s="34">
        <v>0</v>
      </c>
      <c r="O480" s="34">
        <v>0</v>
      </c>
      <c r="P480" s="34">
        <v>0</v>
      </c>
      <c r="Q480" s="34">
        <v>0</v>
      </c>
      <c r="R480" s="24">
        <f>SUM(Tabla1[[#This Row],[ENERO ]:[DICIEMBRE]])</f>
        <v>0</v>
      </c>
      <c r="W480" s="65">
        <v>4</v>
      </c>
      <c r="X480" s="21">
        <f>COUNTIF(Tabla1[[#This Row],[ENERO ]:[DICIEMBRE]],0)-(AQ480)-IF(Tabla1[[#This Row],[BAJAS]]="BAJA",IF(Tabla1[[#This Row],[ALTAS]]="ALTA",VLOOKUP(Tabla1[[#This Row],[MES DE ALTA ]],$AT$6:$AU$17,2,FALSE),12)-VLOOKUP(Tabla1[[#This Row],[MES DE BAJA ]],$AT$6:$AU$17,2,FALSE),0)</f>
        <v>12</v>
      </c>
      <c r="Y480" s="69">
        <f>SUM(Tabla1[[#This Row],[MES ADEUDO DE AÑOS PASADOS ]:[MESES DE ADEUDO DEL AÑO EN CURSO ]])</f>
        <v>16</v>
      </c>
      <c r="Z480" s="15">
        <f>IF(Tabla1[[#This Row],[TIPO DE CONSUMIDOR]]="COMPLETO",W480*$T$2,W480*($T$2/2))</f>
        <v>180</v>
      </c>
      <c r="AA480" s="15">
        <f>IF(Tabla1[[#This Row],[TIPO DE CONSUMIDOR]]="COMPLETO",Tabla1[[#This Row],[MESES DE ADEUDO DEL AÑO EN CURSO ]]*$T$2,Tabla1[[#This Row],[MESES DE ADEUDO DEL AÑO EN CURSO ]]*($T$2/2))</f>
        <v>540</v>
      </c>
      <c r="AB480" s="70">
        <f>SUM(Tabla1[[#This Row],[DEUDA DE LOS MESES PASADOS EN $$]:[DEUDA DEL AÑO 2013 $$ ]])</f>
        <v>720</v>
      </c>
      <c r="AE480" s="103">
        <f>IF(Tabla1[[#This Row],[TIPO DE CONSUMIDOR]]="MEDIO",IF(Tabla1[[#This Row],[ENERO ]]&gt;22.5,Tabla1[[#This Row],[ENERO ]]/22.5-1,0),IF(Tabla1[[#This Row],[ENERO ]]&gt;45,Tabla1[[#This Row],[ENERO ]]/45-1,0))</f>
        <v>0</v>
      </c>
      <c r="AF48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0" s="103">
        <f>IF(Tabla1[[#This Row],[TIPO DE CONSUMIDOR]]="MEDIO",IF(Tabla1[[#This Row],[MARZO]]&gt;22.5,Tabla1[[#This Row],[MARZO]]/22.5-1,0),IF(Tabla1[[#This Row],[MARZO]]&gt;45,Tabla1[[#This Row],[MARZO]]/45-1,0))</f>
        <v>0</v>
      </c>
      <c r="AH480" s="103">
        <f>IF(Tabla1[[#This Row],[TIPO DE CONSUMIDOR]]="MEDIO",IF(Tabla1[[#This Row],[ABRIL]]&gt;22.5,Tabla1[[#This Row],[ABRIL]]/22.5-1,0),IF(Tabla1[[#This Row],[ABRIL]]&gt;45,Tabla1[[#This Row],[ABRIL]]/45-1,0))</f>
        <v>0</v>
      </c>
      <c r="AI480" s="103">
        <f>IF(Tabla1[[#This Row],[TIPO DE CONSUMIDOR]]="MEDIO",IF(Tabla1[[#This Row],[MAYO ]]&gt;22.5,Tabla1[[#This Row],[MAYO ]]/22.5-1,0),IF(Tabla1[[#This Row],[MAYO ]]&gt;45,Tabla1[[#This Row],[MAYO ]]/45-1,0))</f>
        <v>0</v>
      </c>
      <c r="AJ480" s="103">
        <f>IF(Tabla1[[#This Row],[TIPO DE CONSUMIDOR]]="MEDIO",IF(Tabla1[[#This Row],[JUNIO ]]&gt;22.5,Tabla1[[#This Row],[JUNIO ]]/22.5-1,0),IF(Tabla1[[#This Row],[JUNIO ]]&gt;45,Tabla1[[#This Row],[JUNIO ]]/45-1,0))</f>
        <v>0</v>
      </c>
      <c r="AK480" s="103">
        <f>IF(Tabla1[[#This Row],[TIPO DE CONSUMIDOR]]="MEDIO",IF(Tabla1[[#This Row],[JULIO ]]&gt;22.5,Tabla1[[#This Row],[JULIO ]]/22.5-1,0),IF(Tabla1[[#This Row],[JULIO ]]&gt;45,Tabla1[[#This Row],[JULIO ]]/45-1,0))</f>
        <v>0</v>
      </c>
      <c r="AL480" s="103">
        <f>IF(Tabla1[[#This Row],[TIPO DE CONSUMIDOR]]="MEDIO",IF(Tabla1[[#This Row],[AGOSTO]]&gt;22.5,Tabla1[[#This Row],[AGOSTO]]/22.5-1,0),IF(Tabla1[[#This Row],[AGOSTO]]&gt;45,Tabla1[[#This Row],[AGOSTO]]/45-1,0))</f>
        <v>0</v>
      </c>
      <c r="AM48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0" s="104">
        <f t="shared" si="16"/>
        <v>0</v>
      </c>
      <c r="AR480" s="9">
        <f t="shared" si="15"/>
        <v>1</v>
      </c>
      <c r="AS480" s="60">
        <f>IF(Tabla1[[#This Row],[MESES DE ADEUDO DEL AÑO EN CURSO ]]&gt;0,1,0)</f>
        <v>1</v>
      </c>
      <c r="AT480" s="42"/>
      <c r="AU480" s="42"/>
      <c r="AV480" s="42"/>
      <c r="AW480" s="43"/>
    </row>
    <row r="481" spans="1:49" ht="21.75" thickBot="1" x14ac:dyDescent="0.35">
      <c r="A481" s="109">
        <v>475</v>
      </c>
      <c r="B481" s="5" t="s">
        <v>485</v>
      </c>
      <c r="C481" s="2" t="s">
        <v>480</v>
      </c>
      <c r="D481" s="32"/>
      <c r="E481" s="35" t="s">
        <v>455</v>
      </c>
      <c r="F481" s="34">
        <v>0</v>
      </c>
      <c r="G481" s="34">
        <v>0</v>
      </c>
      <c r="H481" s="34">
        <v>0</v>
      </c>
      <c r="I481" s="34">
        <v>0</v>
      </c>
      <c r="J481" s="34">
        <v>0</v>
      </c>
      <c r="K481" s="34">
        <v>0</v>
      </c>
      <c r="L481" s="34">
        <v>0</v>
      </c>
      <c r="M481" s="34">
        <v>0</v>
      </c>
      <c r="N481" s="34">
        <v>0</v>
      </c>
      <c r="O481" s="34">
        <v>0</v>
      </c>
      <c r="P481" s="34">
        <v>0</v>
      </c>
      <c r="Q481" s="34">
        <v>0</v>
      </c>
      <c r="R481" s="24">
        <f>SUM(Tabla1[[#This Row],[ENERO ]:[DICIEMBRE]])</f>
        <v>0</v>
      </c>
      <c r="W481" s="65">
        <v>4</v>
      </c>
      <c r="X481" s="21">
        <f>COUNTIF(Tabla1[[#This Row],[ENERO ]:[DICIEMBRE]],0)-(AQ481)-IF(Tabla1[[#This Row],[BAJAS]]="BAJA",IF(Tabla1[[#This Row],[ALTAS]]="ALTA",VLOOKUP(Tabla1[[#This Row],[MES DE ALTA ]],$AT$6:$AU$17,2,FALSE),12)-VLOOKUP(Tabla1[[#This Row],[MES DE BAJA ]],$AT$6:$AU$17,2,FALSE),0)</f>
        <v>12</v>
      </c>
      <c r="Y481" s="69">
        <f>SUM(Tabla1[[#This Row],[MES ADEUDO DE AÑOS PASADOS ]:[MESES DE ADEUDO DEL AÑO EN CURSO ]])</f>
        <v>16</v>
      </c>
      <c r="Z481" s="15">
        <f>IF(Tabla1[[#This Row],[TIPO DE CONSUMIDOR]]="COMPLETO",W481*$T$2,W481*($T$2/2))</f>
        <v>180</v>
      </c>
      <c r="AA481" s="15">
        <f>IF(Tabla1[[#This Row],[TIPO DE CONSUMIDOR]]="COMPLETO",Tabla1[[#This Row],[MESES DE ADEUDO DEL AÑO EN CURSO ]]*$T$2,Tabla1[[#This Row],[MESES DE ADEUDO DEL AÑO EN CURSO ]]*($T$2/2))</f>
        <v>540</v>
      </c>
      <c r="AB481" s="70">
        <f>SUM(Tabla1[[#This Row],[DEUDA DE LOS MESES PASADOS EN $$]:[DEUDA DEL AÑO 2013 $$ ]])</f>
        <v>720</v>
      </c>
      <c r="AE481" s="103">
        <f>IF(Tabla1[[#This Row],[TIPO DE CONSUMIDOR]]="MEDIO",IF(Tabla1[[#This Row],[ENERO ]]&gt;22.5,Tabla1[[#This Row],[ENERO ]]/22.5-1,0),IF(Tabla1[[#This Row],[ENERO ]]&gt;45,Tabla1[[#This Row],[ENERO ]]/45-1,0))</f>
        <v>0</v>
      </c>
      <c r="AF48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1" s="103">
        <f>IF(Tabla1[[#This Row],[TIPO DE CONSUMIDOR]]="MEDIO",IF(Tabla1[[#This Row],[MARZO]]&gt;22.5,Tabla1[[#This Row],[MARZO]]/22.5-1,0),IF(Tabla1[[#This Row],[MARZO]]&gt;45,Tabla1[[#This Row],[MARZO]]/45-1,0))</f>
        <v>0</v>
      </c>
      <c r="AH481" s="103">
        <f>IF(Tabla1[[#This Row],[TIPO DE CONSUMIDOR]]="MEDIO",IF(Tabla1[[#This Row],[ABRIL]]&gt;22.5,Tabla1[[#This Row],[ABRIL]]/22.5-1,0),IF(Tabla1[[#This Row],[ABRIL]]&gt;45,Tabla1[[#This Row],[ABRIL]]/45-1,0))</f>
        <v>0</v>
      </c>
      <c r="AI481" s="103">
        <f>IF(Tabla1[[#This Row],[TIPO DE CONSUMIDOR]]="MEDIO",IF(Tabla1[[#This Row],[MAYO ]]&gt;22.5,Tabla1[[#This Row],[MAYO ]]/22.5-1,0),IF(Tabla1[[#This Row],[MAYO ]]&gt;45,Tabla1[[#This Row],[MAYO ]]/45-1,0))</f>
        <v>0</v>
      </c>
      <c r="AJ481" s="103">
        <f>IF(Tabla1[[#This Row],[TIPO DE CONSUMIDOR]]="MEDIO",IF(Tabla1[[#This Row],[JUNIO ]]&gt;22.5,Tabla1[[#This Row],[JUNIO ]]/22.5-1,0),IF(Tabla1[[#This Row],[JUNIO ]]&gt;45,Tabla1[[#This Row],[JUNIO ]]/45-1,0))</f>
        <v>0</v>
      </c>
      <c r="AK481" s="103">
        <f>IF(Tabla1[[#This Row],[TIPO DE CONSUMIDOR]]="MEDIO",IF(Tabla1[[#This Row],[JULIO ]]&gt;22.5,Tabla1[[#This Row],[JULIO ]]/22.5-1,0),IF(Tabla1[[#This Row],[JULIO ]]&gt;45,Tabla1[[#This Row],[JULIO ]]/45-1,0))</f>
        <v>0</v>
      </c>
      <c r="AL481" s="103">
        <f>IF(Tabla1[[#This Row],[TIPO DE CONSUMIDOR]]="MEDIO",IF(Tabla1[[#This Row],[AGOSTO]]&gt;22.5,Tabla1[[#This Row],[AGOSTO]]/22.5-1,0),IF(Tabla1[[#This Row],[AGOSTO]]&gt;45,Tabla1[[#This Row],[AGOSTO]]/45-1,0))</f>
        <v>0</v>
      </c>
      <c r="AM48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1" s="104">
        <f t="shared" si="16"/>
        <v>0</v>
      </c>
      <c r="AR481" s="9">
        <f t="shared" si="15"/>
        <v>1</v>
      </c>
      <c r="AS481" s="60">
        <f>IF(Tabla1[[#This Row],[MESES DE ADEUDO DEL AÑO EN CURSO ]]&gt;0,1,0)</f>
        <v>1</v>
      </c>
      <c r="AT481" s="42"/>
      <c r="AU481" s="42"/>
      <c r="AV481" s="42"/>
      <c r="AW481" s="43"/>
    </row>
    <row r="482" spans="1:49" ht="21.75" thickBot="1" x14ac:dyDescent="0.35">
      <c r="A482" s="109">
        <v>476</v>
      </c>
      <c r="B482" s="5" t="s">
        <v>182</v>
      </c>
      <c r="C482" s="2" t="s">
        <v>488</v>
      </c>
      <c r="D482" s="32"/>
      <c r="E482" s="35" t="s">
        <v>455</v>
      </c>
      <c r="F482" s="34">
        <v>0</v>
      </c>
      <c r="G482" s="34">
        <v>0</v>
      </c>
      <c r="H482" s="34">
        <v>0</v>
      </c>
      <c r="I482" s="34">
        <v>0</v>
      </c>
      <c r="J482" s="34">
        <v>0</v>
      </c>
      <c r="K482" s="34">
        <v>0</v>
      </c>
      <c r="L482" s="34">
        <v>0</v>
      </c>
      <c r="M482" s="34">
        <v>0</v>
      </c>
      <c r="N482" s="34">
        <v>0</v>
      </c>
      <c r="O482" s="34">
        <v>0</v>
      </c>
      <c r="P482" s="34">
        <v>0</v>
      </c>
      <c r="Q482" s="34">
        <v>0</v>
      </c>
      <c r="R482" s="24">
        <f>SUM(Tabla1[[#This Row],[ENERO ]:[DICIEMBRE]])</f>
        <v>0</v>
      </c>
      <c r="W482" s="65">
        <v>4</v>
      </c>
      <c r="X482" s="21">
        <f>COUNTIF(Tabla1[[#This Row],[ENERO ]:[DICIEMBRE]],0)-(AQ482)-IF(Tabla1[[#This Row],[BAJAS]]="BAJA",IF(Tabla1[[#This Row],[ALTAS]]="ALTA",VLOOKUP(Tabla1[[#This Row],[MES DE ALTA ]],$AT$6:$AU$17,2,FALSE),12)-VLOOKUP(Tabla1[[#This Row],[MES DE BAJA ]],$AT$6:$AU$17,2,FALSE),0)</f>
        <v>12</v>
      </c>
      <c r="Y482" s="69">
        <f>SUM(Tabla1[[#This Row],[MES ADEUDO DE AÑOS PASADOS ]:[MESES DE ADEUDO DEL AÑO EN CURSO ]])</f>
        <v>16</v>
      </c>
      <c r="Z482" s="15">
        <f>IF(Tabla1[[#This Row],[TIPO DE CONSUMIDOR]]="COMPLETO",W482*$T$2,W482*($T$2/2))</f>
        <v>180</v>
      </c>
      <c r="AA482" s="15">
        <f>IF(Tabla1[[#This Row],[TIPO DE CONSUMIDOR]]="COMPLETO",Tabla1[[#This Row],[MESES DE ADEUDO DEL AÑO EN CURSO ]]*$T$2,Tabla1[[#This Row],[MESES DE ADEUDO DEL AÑO EN CURSO ]]*($T$2/2))</f>
        <v>540</v>
      </c>
      <c r="AB482" s="70">
        <f>SUM(Tabla1[[#This Row],[DEUDA DE LOS MESES PASADOS EN $$]:[DEUDA DEL AÑO 2013 $$ ]])</f>
        <v>720</v>
      </c>
      <c r="AE482" s="103">
        <f>IF(Tabla1[[#This Row],[TIPO DE CONSUMIDOR]]="MEDIO",IF(Tabla1[[#This Row],[ENERO ]]&gt;22.5,Tabla1[[#This Row],[ENERO ]]/22.5-1,0),IF(Tabla1[[#This Row],[ENERO ]]&gt;45,Tabla1[[#This Row],[ENERO ]]/45-1,0))</f>
        <v>0</v>
      </c>
      <c r="AF48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2" s="103">
        <f>IF(Tabla1[[#This Row],[TIPO DE CONSUMIDOR]]="MEDIO",IF(Tabla1[[#This Row],[MARZO]]&gt;22.5,Tabla1[[#This Row],[MARZO]]/22.5-1,0),IF(Tabla1[[#This Row],[MARZO]]&gt;45,Tabla1[[#This Row],[MARZO]]/45-1,0))</f>
        <v>0</v>
      </c>
      <c r="AH482" s="103">
        <f>IF(Tabla1[[#This Row],[TIPO DE CONSUMIDOR]]="MEDIO",IF(Tabla1[[#This Row],[ABRIL]]&gt;22.5,Tabla1[[#This Row],[ABRIL]]/22.5-1,0),IF(Tabla1[[#This Row],[ABRIL]]&gt;45,Tabla1[[#This Row],[ABRIL]]/45-1,0))</f>
        <v>0</v>
      </c>
      <c r="AI482" s="103">
        <f>IF(Tabla1[[#This Row],[TIPO DE CONSUMIDOR]]="MEDIO",IF(Tabla1[[#This Row],[MAYO ]]&gt;22.5,Tabla1[[#This Row],[MAYO ]]/22.5-1,0),IF(Tabla1[[#This Row],[MAYO ]]&gt;45,Tabla1[[#This Row],[MAYO ]]/45-1,0))</f>
        <v>0</v>
      </c>
      <c r="AJ482" s="103">
        <f>IF(Tabla1[[#This Row],[TIPO DE CONSUMIDOR]]="MEDIO",IF(Tabla1[[#This Row],[JUNIO ]]&gt;22.5,Tabla1[[#This Row],[JUNIO ]]/22.5-1,0),IF(Tabla1[[#This Row],[JUNIO ]]&gt;45,Tabla1[[#This Row],[JUNIO ]]/45-1,0))</f>
        <v>0</v>
      </c>
      <c r="AK482" s="103">
        <f>IF(Tabla1[[#This Row],[TIPO DE CONSUMIDOR]]="MEDIO",IF(Tabla1[[#This Row],[JULIO ]]&gt;22.5,Tabla1[[#This Row],[JULIO ]]/22.5-1,0),IF(Tabla1[[#This Row],[JULIO ]]&gt;45,Tabla1[[#This Row],[JULIO ]]/45-1,0))</f>
        <v>0</v>
      </c>
      <c r="AL482" s="103">
        <f>IF(Tabla1[[#This Row],[TIPO DE CONSUMIDOR]]="MEDIO",IF(Tabla1[[#This Row],[AGOSTO]]&gt;22.5,Tabla1[[#This Row],[AGOSTO]]/22.5-1,0),IF(Tabla1[[#This Row],[AGOSTO]]&gt;45,Tabla1[[#This Row],[AGOSTO]]/45-1,0))</f>
        <v>0</v>
      </c>
      <c r="AM48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2" s="104">
        <f t="shared" si="16"/>
        <v>0</v>
      </c>
      <c r="AR482" s="9">
        <f t="shared" si="15"/>
        <v>1</v>
      </c>
      <c r="AS482" s="60">
        <f>IF(Tabla1[[#This Row],[MESES DE ADEUDO DEL AÑO EN CURSO ]]&gt;0,1,0)</f>
        <v>1</v>
      </c>
      <c r="AT482" s="42"/>
      <c r="AU482" s="42"/>
      <c r="AV482" s="42"/>
      <c r="AW482" s="43"/>
    </row>
    <row r="483" spans="1:49" ht="21.75" thickBot="1" x14ac:dyDescent="0.35">
      <c r="A483" s="109">
        <v>477</v>
      </c>
      <c r="B483" s="5" t="s">
        <v>365</v>
      </c>
      <c r="C483" s="2" t="s">
        <v>524</v>
      </c>
      <c r="D483" s="32"/>
      <c r="E483" s="35" t="s">
        <v>455</v>
      </c>
      <c r="F483" s="34">
        <v>0</v>
      </c>
      <c r="G483" s="34">
        <v>0</v>
      </c>
      <c r="H483" s="34">
        <v>0</v>
      </c>
      <c r="I483" s="34">
        <v>0</v>
      </c>
      <c r="J483" s="34">
        <v>0</v>
      </c>
      <c r="K483" s="34">
        <v>0</v>
      </c>
      <c r="L483" s="34">
        <v>0</v>
      </c>
      <c r="M483" s="34">
        <v>0</v>
      </c>
      <c r="N483" s="34">
        <v>0</v>
      </c>
      <c r="O483" s="34">
        <v>0</v>
      </c>
      <c r="P483" s="34">
        <v>0</v>
      </c>
      <c r="Q483" s="34">
        <v>0</v>
      </c>
      <c r="R483" s="24">
        <f>SUM(Tabla1[[#This Row],[ENERO ]:[DICIEMBRE]])</f>
        <v>0</v>
      </c>
      <c r="W483" s="65">
        <v>4</v>
      </c>
      <c r="X483" s="21">
        <f>COUNTIF(Tabla1[[#This Row],[ENERO ]:[DICIEMBRE]],0)-(AQ483)-IF(Tabla1[[#This Row],[BAJAS]]="BAJA",IF(Tabla1[[#This Row],[ALTAS]]="ALTA",VLOOKUP(Tabla1[[#This Row],[MES DE ALTA ]],$AT$6:$AU$17,2,FALSE),12)-VLOOKUP(Tabla1[[#This Row],[MES DE BAJA ]],$AT$6:$AU$17,2,FALSE),0)</f>
        <v>12</v>
      </c>
      <c r="Y483" s="69">
        <f>SUM(Tabla1[[#This Row],[MES ADEUDO DE AÑOS PASADOS ]:[MESES DE ADEUDO DEL AÑO EN CURSO ]])</f>
        <v>16</v>
      </c>
      <c r="Z483" s="15">
        <f>IF(Tabla1[[#This Row],[TIPO DE CONSUMIDOR]]="COMPLETO",W483*$T$2,W483*($T$2/2))</f>
        <v>180</v>
      </c>
      <c r="AA483" s="15">
        <f>IF(Tabla1[[#This Row],[TIPO DE CONSUMIDOR]]="COMPLETO",Tabla1[[#This Row],[MESES DE ADEUDO DEL AÑO EN CURSO ]]*$T$2,Tabla1[[#This Row],[MESES DE ADEUDO DEL AÑO EN CURSO ]]*($T$2/2))</f>
        <v>540</v>
      </c>
      <c r="AB483" s="70">
        <f>SUM(Tabla1[[#This Row],[DEUDA DE LOS MESES PASADOS EN $$]:[DEUDA DEL AÑO 2013 $$ ]])</f>
        <v>720</v>
      </c>
      <c r="AE483" s="103">
        <f>IF(Tabla1[[#This Row],[TIPO DE CONSUMIDOR]]="MEDIO",IF(Tabla1[[#This Row],[ENERO ]]&gt;22.5,Tabla1[[#This Row],[ENERO ]]/22.5-1,0),IF(Tabla1[[#This Row],[ENERO ]]&gt;45,Tabla1[[#This Row],[ENERO ]]/45-1,0))</f>
        <v>0</v>
      </c>
      <c r="AF48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3" s="103">
        <f>IF(Tabla1[[#This Row],[TIPO DE CONSUMIDOR]]="MEDIO",IF(Tabla1[[#This Row],[MARZO]]&gt;22.5,Tabla1[[#This Row],[MARZO]]/22.5-1,0),IF(Tabla1[[#This Row],[MARZO]]&gt;45,Tabla1[[#This Row],[MARZO]]/45-1,0))</f>
        <v>0</v>
      </c>
      <c r="AH483" s="103">
        <f>IF(Tabla1[[#This Row],[TIPO DE CONSUMIDOR]]="MEDIO",IF(Tabla1[[#This Row],[ABRIL]]&gt;22.5,Tabla1[[#This Row],[ABRIL]]/22.5-1,0),IF(Tabla1[[#This Row],[ABRIL]]&gt;45,Tabla1[[#This Row],[ABRIL]]/45-1,0))</f>
        <v>0</v>
      </c>
      <c r="AI483" s="103">
        <f>IF(Tabla1[[#This Row],[TIPO DE CONSUMIDOR]]="MEDIO",IF(Tabla1[[#This Row],[MAYO ]]&gt;22.5,Tabla1[[#This Row],[MAYO ]]/22.5-1,0),IF(Tabla1[[#This Row],[MAYO ]]&gt;45,Tabla1[[#This Row],[MAYO ]]/45-1,0))</f>
        <v>0</v>
      </c>
      <c r="AJ483" s="103">
        <f>IF(Tabla1[[#This Row],[TIPO DE CONSUMIDOR]]="MEDIO",IF(Tabla1[[#This Row],[JUNIO ]]&gt;22.5,Tabla1[[#This Row],[JUNIO ]]/22.5-1,0),IF(Tabla1[[#This Row],[JUNIO ]]&gt;45,Tabla1[[#This Row],[JUNIO ]]/45-1,0))</f>
        <v>0</v>
      </c>
      <c r="AK483" s="103">
        <f>IF(Tabla1[[#This Row],[TIPO DE CONSUMIDOR]]="MEDIO",IF(Tabla1[[#This Row],[JULIO ]]&gt;22.5,Tabla1[[#This Row],[JULIO ]]/22.5-1,0),IF(Tabla1[[#This Row],[JULIO ]]&gt;45,Tabla1[[#This Row],[JULIO ]]/45-1,0))</f>
        <v>0</v>
      </c>
      <c r="AL483" s="103">
        <f>IF(Tabla1[[#This Row],[TIPO DE CONSUMIDOR]]="MEDIO",IF(Tabla1[[#This Row],[AGOSTO]]&gt;22.5,Tabla1[[#This Row],[AGOSTO]]/22.5-1,0),IF(Tabla1[[#This Row],[AGOSTO]]&gt;45,Tabla1[[#This Row],[AGOSTO]]/45-1,0))</f>
        <v>0</v>
      </c>
      <c r="AM48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3" s="104">
        <f t="shared" si="16"/>
        <v>0</v>
      </c>
      <c r="AR483" s="9">
        <f t="shared" si="15"/>
        <v>1</v>
      </c>
      <c r="AS483" s="60">
        <f>IF(Tabla1[[#This Row],[MESES DE ADEUDO DEL AÑO EN CURSO ]]&gt;0,1,0)</f>
        <v>1</v>
      </c>
      <c r="AT483" s="42"/>
      <c r="AU483" s="42"/>
      <c r="AV483" s="42"/>
      <c r="AW483" s="43"/>
    </row>
    <row r="484" spans="1:49" ht="21.75" thickBot="1" x14ac:dyDescent="0.35">
      <c r="A484" s="109">
        <v>478</v>
      </c>
      <c r="B484" s="5" t="s">
        <v>651</v>
      </c>
      <c r="C484" s="2" t="s">
        <v>530</v>
      </c>
      <c r="D484" s="32"/>
      <c r="E484" s="35" t="s">
        <v>455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24">
        <f>SUM(Tabla1[[#This Row],[ENERO ]:[DICIEMBRE]])</f>
        <v>0</v>
      </c>
      <c r="W484" s="65">
        <v>4</v>
      </c>
      <c r="X484" s="21">
        <f>COUNTIF(Tabla1[[#This Row],[ENERO ]:[DICIEMBRE]],0)-(AQ484)-IF(Tabla1[[#This Row],[BAJAS]]="BAJA",IF(Tabla1[[#This Row],[ALTAS]]="ALTA",VLOOKUP(Tabla1[[#This Row],[MES DE ALTA ]],$AT$6:$AU$17,2,FALSE),12)-VLOOKUP(Tabla1[[#This Row],[MES DE BAJA ]],$AT$6:$AU$17,2,FALSE),0)</f>
        <v>12</v>
      </c>
      <c r="Y484" s="69">
        <f>SUM(Tabla1[[#This Row],[MES ADEUDO DE AÑOS PASADOS ]:[MESES DE ADEUDO DEL AÑO EN CURSO ]])</f>
        <v>16</v>
      </c>
      <c r="Z484" s="15">
        <f>IF(Tabla1[[#This Row],[TIPO DE CONSUMIDOR]]="COMPLETO",W484*$T$2,W484*($T$2/2))</f>
        <v>180</v>
      </c>
      <c r="AA484" s="15">
        <f>IF(Tabla1[[#This Row],[TIPO DE CONSUMIDOR]]="COMPLETO",Tabla1[[#This Row],[MESES DE ADEUDO DEL AÑO EN CURSO ]]*$T$2,Tabla1[[#This Row],[MESES DE ADEUDO DEL AÑO EN CURSO ]]*($T$2/2))</f>
        <v>540</v>
      </c>
      <c r="AB484" s="70">
        <f>SUM(Tabla1[[#This Row],[DEUDA DE LOS MESES PASADOS EN $$]:[DEUDA DEL AÑO 2013 $$ ]])</f>
        <v>720</v>
      </c>
      <c r="AE484" s="103">
        <f>IF(Tabla1[[#This Row],[TIPO DE CONSUMIDOR]]="MEDIO",IF(Tabla1[[#This Row],[ENERO ]]&gt;22.5,Tabla1[[#This Row],[ENERO ]]/22.5-1,0),IF(Tabla1[[#This Row],[ENERO ]]&gt;45,Tabla1[[#This Row],[ENERO ]]/45-1,0))</f>
        <v>0</v>
      </c>
      <c r="AF48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4" s="103">
        <f>IF(Tabla1[[#This Row],[TIPO DE CONSUMIDOR]]="MEDIO",IF(Tabla1[[#This Row],[MARZO]]&gt;22.5,Tabla1[[#This Row],[MARZO]]/22.5-1,0),IF(Tabla1[[#This Row],[MARZO]]&gt;45,Tabla1[[#This Row],[MARZO]]/45-1,0))</f>
        <v>0</v>
      </c>
      <c r="AH484" s="103">
        <f>IF(Tabla1[[#This Row],[TIPO DE CONSUMIDOR]]="MEDIO",IF(Tabla1[[#This Row],[ABRIL]]&gt;22.5,Tabla1[[#This Row],[ABRIL]]/22.5-1,0),IF(Tabla1[[#This Row],[ABRIL]]&gt;45,Tabla1[[#This Row],[ABRIL]]/45-1,0))</f>
        <v>0</v>
      </c>
      <c r="AI484" s="103">
        <f>IF(Tabla1[[#This Row],[TIPO DE CONSUMIDOR]]="MEDIO",IF(Tabla1[[#This Row],[MAYO ]]&gt;22.5,Tabla1[[#This Row],[MAYO ]]/22.5-1,0),IF(Tabla1[[#This Row],[MAYO ]]&gt;45,Tabla1[[#This Row],[MAYO ]]/45-1,0))</f>
        <v>0</v>
      </c>
      <c r="AJ484" s="103">
        <f>IF(Tabla1[[#This Row],[TIPO DE CONSUMIDOR]]="MEDIO",IF(Tabla1[[#This Row],[JUNIO ]]&gt;22.5,Tabla1[[#This Row],[JUNIO ]]/22.5-1,0),IF(Tabla1[[#This Row],[JUNIO ]]&gt;45,Tabla1[[#This Row],[JUNIO ]]/45-1,0))</f>
        <v>0</v>
      </c>
      <c r="AK484" s="103">
        <f>IF(Tabla1[[#This Row],[TIPO DE CONSUMIDOR]]="MEDIO",IF(Tabla1[[#This Row],[JULIO ]]&gt;22.5,Tabla1[[#This Row],[JULIO ]]/22.5-1,0),IF(Tabla1[[#This Row],[JULIO ]]&gt;45,Tabla1[[#This Row],[JULIO ]]/45-1,0))</f>
        <v>0</v>
      </c>
      <c r="AL484" s="103">
        <f>IF(Tabla1[[#This Row],[TIPO DE CONSUMIDOR]]="MEDIO",IF(Tabla1[[#This Row],[AGOSTO]]&gt;22.5,Tabla1[[#This Row],[AGOSTO]]/22.5-1,0),IF(Tabla1[[#This Row],[AGOSTO]]&gt;45,Tabla1[[#This Row],[AGOSTO]]/45-1,0))</f>
        <v>0</v>
      </c>
      <c r="AM48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4" s="104">
        <f t="shared" si="16"/>
        <v>0</v>
      </c>
      <c r="AR484" s="9">
        <f t="shared" si="15"/>
        <v>1</v>
      </c>
      <c r="AS484" s="60">
        <f>IF(Tabla1[[#This Row],[MESES DE ADEUDO DEL AÑO EN CURSO ]]&gt;0,1,0)</f>
        <v>1</v>
      </c>
      <c r="AT484" s="42"/>
      <c r="AU484" s="42"/>
      <c r="AV484" s="42"/>
      <c r="AW484" s="43"/>
    </row>
    <row r="485" spans="1:49" ht="21.75" thickBot="1" x14ac:dyDescent="0.35">
      <c r="A485" s="109">
        <v>479</v>
      </c>
      <c r="B485" s="5" t="s">
        <v>131</v>
      </c>
      <c r="C485" s="2" t="s">
        <v>530</v>
      </c>
      <c r="D485" s="32"/>
      <c r="E485" s="35" t="s">
        <v>455</v>
      </c>
      <c r="F485" s="34">
        <v>0</v>
      </c>
      <c r="G485" s="34">
        <v>0</v>
      </c>
      <c r="H485" s="34">
        <v>0</v>
      </c>
      <c r="I485" s="34">
        <v>0</v>
      </c>
      <c r="J485" s="34">
        <v>0</v>
      </c>
      <c r="K485" s="34">
        <v>0</v>
      </c>
      <c r="L485" s="34">
        <v>0</v>
      </c>
      <c r="M485" s="34">
        <v>0</v>
      </c>
      <c r="N485" s="34">
        <v>0</v>
      </c>
      <c r="O485" s="34">
        <v>0</v>
      </c>
      <c r="P485" s="34">
        <v>0</v>
      </c>
      <c r="Q485" s="34">
        <v>0</v>
      </c>
      <c r="R485" s="24">
        <f>SUM(Tabla1[[#This Row],[ENERO ]:[DICIEMBRE]])</f>
        <v>0</v>
      </c>
      <c r="W485" s="65">
        <v>4</v>
      </c>
      <c r="X485" s="21">
        <f>COUNTIF(Tabla1[[#This Row],[ENERO ]:[DICIEMBRE]],0)-(AQ485)-IF(Tabla1[[#This Row],[BAJAS]]="BAJA",IF(Tabla1[[#This Row],[ALTAS]]="ALTA",VLOOKUP(Tabla1[[#This Row],[MES DE ALTA ]],$AT$6:$AU$17,2,FALSE),12)-VLOOKUP(Tabla1[[#This Row],[MES DE BAJA ]],$AT$6:$AU$17,2,FALSE),0)</f>
        <v>12</v>
      </c>
      <c r="Y485" s="69">
        <f>SUM(Tabla1[[#This Row],[MES ADEUDO DE AÑOS PASADOS ]:[MESES DE ADEUDO DEL AÑO EN CURSO ]])</f>
        <v>16</v>
      </c>
      <c r="Z485" s="15">
        <f>IF(Tabla1[[#This Row],[TIPO DE CONSUMIDOR]]="COMPLETO",W485*$T$2,W485*($T$2/2))</f>
        <v>180</v>
      </c>
      <c r="AA485" s="15">
        <f>IF(Tabla1[[#This Row],[TIPO DE CONSUMIDOR]]="COMPLETO",Tabla1[[#This Row],[MESES DE ADEUDO DEL AÑO EN CURSO ]]*$T$2,Tabla1[[#This Row],[MESES DE ADEUDO DEL AÑO EN CURSO ]]*($T$2/2))</f>
        <v>540</v>
      </c>
      <c r="AB485" s="70">
        <f>SUM(Tabla1[[#This Row],[DEUDA DE LOS MESES PASADOS EN $$]:[DEUDA DEL AÑO 2013 $$ ]])</f>
        <v>720</v>
      </c>
      <c r="AE485" s="103">
        <f>IF(Tabla1[[#This Row],[TIPO DE CONSUMIDOR]]="MEDIO",IF(Tabla1[[#This Row],[ENERO ]]&gt;22.5,Tabla1[[#This Row],[ENERO ]]/22.5-1,0),IF(Tabla1[[#This Row],[ENERO ]]&gt;45,Tabla1[[#This Row],[ENERO ]]/45-1,0))</f>
        <v>0</v>
      </c>
      <c r="AF48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5" s="103">
        <f>IF(Tabla1[[#This Row],[TIPO DE CONSUMIDOR]]="MEDIO",IF(Tabla1[[#This Row],[MARZO]]&gt;22.5,Tabla1[[#This Row],[MARZO]]/22.5-1,0),IF(Tabla1[[#This Row],[MARZO]]&gt;45,Tabla1[[#This Row],[MARZO]]/45-1,0))</f>
        <v>0</v>
      </c>
      <c r="AH485" s="103">
        <f>IF(Tabla1[[#This Row],[TIPO DE CONSUMIDOR]]="MEDIO",IF(Tabla1[[#This Row],[ABRIL]]&gt;22.5,Tabla1[[#This Row],[ABRIL]]/22.5-1,0),IF(Tabla1[[#This Row],[ABRIL]]&gt;45,Tabla1[[#This Row],[ABRIL]]/45-1,0))</f>
        <v>0</v>
      </c>
      <c r="AI485" s="103">
        <f>IF(Tabla1[[#This Row],[TIPO DE CONSUMIDOR]]="MEDIO",IF(Tabla1[[#This Row],[MAYO ]]&gt;22.5,Tabla1[[#This Row],[MAYO ]]/22.5-1,0),IF(Tabla1[[#This Row],[MAYO ]]&gt;45,Tabla1[[#This Row],[MAYO ]]/45-1,0))</f>
        <v>0</v>
      </c>
      <c r="AJ485" s="103">
        <f>IF(Tabla1[[#This Row],[TIPO DE CONSUMIDOR]]="MEDIO",IF(Tabla1[[#This Row],[JUNIO ]]&gt;22.5,Tabla1[[#This Row],[JUNIO ]]/22.5-1,0),IF(Tabla1[[#This Row],[JUNIO ]]&gt;45,Tabla1[[#This Row],[JUNIO ]]/45-1,0))</f>
        <v>0</v>
      </c>
      <c r="AK485" s="103">
        <f>IF(Tabla1[[#This Row],[TIPO DE CONSUMIDOR]]="MEDIO",IF(Tabla1[[#This Row],[JULIO ]]&gt;22.5,Tabla1[[#This Row],[JULIO ]]/22.5-1,0),IF(Tabla1[[#This Row],[JULIO ]]&gt;45,Tabla1[[#This Row],[JULIO ]]/45-1,0))</f>
        <v>0</v>
      </c>
      <c r="AL485" s="103">
        <f>IF(Tabla1[[#This Row],[TIPO DE CONSUMIDOR]]="MEDIO",IF(Tabla1[[#This Row],[AGOSTO]]&gt;22.5,Tabla1[[#This Row],[AGOSTO]]/22.5-1,0),IF(Tabla1[[#This Row],[AGOSTO]]&gt;45,Tabla1[[#This Row],[AGOSTO]]/45-1,0))</f>
        <v>0</v>
      </c>
      <c r="AM48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5" s="104">
        <f t="shared" si="16"/>
        <v>0</v>
      </c>
      <c r="AR485" s="9">
        <f t="shared" si="15"/>
        <v>1</v>
      </c>
      <c r="AS485" s="60">
        <f>IF(Tabla1[[#This Row],[MESES DE ADEUDO DEL AÑO EN CURSO ]]&gt;0,1,0)</f>
        <v>1</v>
      </c>
      <c r="AT485" s="42"/>
      <c r="AU485" s="42"/>
      <c r="AV485" s="42"/>
      <c r="AW485" s="43"/>
    </row>
    <row r="486" spans="1:49" ht="21.75" thickBot="1" x14ac:dyDescent="0.35">
      <c r="A486" s="109">
        <v>480</v>
      </c>
      <c r="B486" s="5" t="s">
        <v>329</v>
      </c>
      <c r="C486" s="2" t="s">
        <v>562</v>
      </c>
      <c r="D486" s="32"/>
      <c r="E486" s="35" t="s">
        <v>455</v>
      </c>
      <c r="F486" s="34">
        <v>0</v>
      </c>
      <c r="G486" s="34">
        <v>0</v>
      </c>
      <c r="H486" s="34">
        <v>0</v>
      </c>
      <c r="I486" s="34">
        <v>0</v>
      </c>
      <c r="J486" s="34">
        <v>0</v>
      </c>
      <c r="K486" s="34"/>
      <c r="L486" s="34">
        <v>0</v>
      </c>
      <c r="M486" s="34">
        <v>0</v>
      </c>
      <c r="N486" s="34">
        <v>0</v>
      </c>
      <c r="O486" s="34">
        <v>0</v>
      </c>
      <c r="P486" s="34">
        <v>0</v>
      </c>
      <c r="Q486" s="34">
        <v>0</v>
      </c>
      <c r="R486" s="24">
        <f>SUM(Tabla1[[#This Row],[ENERO ]:[DICIEMBRE]])</f>
        <v>0</v>
      </c>
      <c r="W486" s="65">
        <v>5</v>
      </c>
      <c r="X486" s="21">
        <f>COUNTIF(Tabla1[[#This Row],[ENERO ]:[DICIEMBRE]],0)-(AQ486)-IF(Tabla1[[#This Row],[BAJAS]]="BAJA",IF(Tabla1[[#This Row],[ALTAS]]="ALTA",VLOOKUP(Tabla1[[#This Row],[MES DE ALTA ]],$AT$6:$AU$17,2,FALSE),12)-VLOOKUP(Tabla1[[#This Row],[MES DE BAJA ]],$AT$6:$AU$17,2,FALSE),0)</f>
        <v>11</v>
      </c>
      <c r="Y486" s="69">
        <f>SUM(Tabla1[[#This Row],[MES ADEUDO DE AÑOS PASADOS ]:[MESES DE ADEUDO DEL AÑO EN CURSO ]])</f>
        <v>16</v>
      </c>
      <c r="Z486" s="15">
        <f>IF(Tabla1[[#This Row],[TIPO DE CONSUMIDOR]]="COMPLETO",W486*$T$2,W486*($T$2/2))</f>
        <v>225</v>
      </c>
      <c r="AA486" s="15">
        <f>IF(Tabla1[[#This Row],[TIPO DE CONSUMIDOR]]="COMPLETO",Tabla1[[#This Row],[MESES DE ADEUDO DEL AÑO EN CURSO ]]*$T$2,Tabla1[[#This Row],[MESES DE ADEUDO DEL AÑO EN CURSO ]]*($T$2/2))</f>
        <v>495</v>
      </c>
      <c r="AB486" s="70">
        <f>SUM(Tabla1[[#This Row],[DEUDA DE LOS MESES PASADOS EN $$]:[DEUDA DEL AÑO 2013 $$ ]])</f>
        <v>720</v>
      </c>
      <c r="AE486" s="103">
        <f>IF(Tabla1[[#This Row],[TIPO DE CONSUMIDOR]]="MEDIO",IF(Tabla1[[#This Row],[ENERO ]]&gt;22.5,Tabla1[[#This Row],[ENERO ]]/22.5-1,0),IF(Tabla1[[#This Row],[ENERO ]]&gt;45,Tabla1[[#This Row],[ENERO ]]/45-1,0))</f>
        <v>0</v>
      </c>
      <c r="AF48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6" s="103">
        <f>IF(Tabla1[[#This Row],[TIPO DE CONSUMIDOR]]="MEDIO",IF(Tabla1[[#This Row],[MARZO]]&gt;22.5,Tabla1[[#This Row],[MARZO]]/22.5-1,0),IF(Tabla1[[#This Row],[MARZO]]&gt;45,Tabla1[[#This Row],[MARZO]]/45-1,0))</f>
        <v>0</v>
      </c>
      <c r="AH486" s="103">
        <f>IF(Tabla1[[#This Row],[TIPO DE CONSUMIDOR]]="MEDIO",IF(Tabla1[[#This Row],[ABRIL]]&gt;22.5,Tabla1[[#This Row],[ABRIL]]/22.5-1,0),IF(Tabla1[[#This Row],[ABRIL]]&gt;45,Tabla1[[#This Row],[ABRIL]]/45-1,0))</f>
        <v>0</v>
      </c>
      <c r="AI486" s="103">
        <f>IF(Tabla1[[#This Row],[TIPO DE CONSUMIDOR]]="MEDIO",IF(Tabla1[[#This Row],[MAYO ]]&gt;22.5,Tabla1[[#This Row],[MAYO ]]/22.5-1,0),IF(Tabla1[[#This Row],[MAYO ]]&gt;45,Tabla1[[#This Row],[MAYO ]]/45-1,0))</f>
        <v>0</v>
      </c>
      <c r="AJ486" s="103">
        <f>IF(Tabla1[[#This Row],[TIPO DE CONSUMIDOR]]="MEDIO",IF(Tabla1[[#This Row],[JUNIO ]]&gt;22.5,Tabla1[[#This Row],[JUNIO ]]/22.5-1,0),IF(Tabla1[[#This Row],[JUNIO ]]&gt;45,Tabla1[[#This Row],[JUNIO ]]/45-1,0))</f>
        <v>0</v>
      </c>
      <c r="AK486" s="103">
        <f>IF(Tabla1[[#This Row],[TIPO DE CONSUMIDOR]]="MEDIO",IF(Tabla1[[#This Row],[JULIO ]]&gt;22.5,Tabla1[[#This Row],[JULIO ]]/22.5-1,0),IF(Tabla1[[#This Row],[JULIO ]]&gt;45,Tabla1[[#This Row],[JULIO ]]/45-1,0))</f>
        <v>0</v>
      </c>
      <c r="AL486" s="103">
        <f>IF(Tabla1[[#This Row],[TIPO DE CONSUMIDOR]]="MEDIO",IF(Tabla1[[#This Row],[AGOSTO]]&gt;22.5,Tabla1[[#This Row],[AGOSTO]]/22.5-1,0),IF(Tabla1[[#This Row],[AGOSTO]]&gt;45,Tabla1[[#This Row],[AGOSTO]]/45-1,0))</f>
        <v>0</v>
      </c>
      <c r="AM48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6" s="104">
        <f t="shared" si="16"/>
        <v>0</v>
      </c>
      <c r="AR486" s="9">
        <f t="shared" si="15"/>
        <v>1</v>
      </c>
      <c r="AS486" s="60">
        <f>IF(Tabla1[[#This Row],[MESES DE ADEUDO DEL AÑO EN CURSO ]]&gt;0,1,0)</f>
        <v>1</v>
      </c>
      <c r="AT486" s="42"/>
      <c r="AU486" s="42"/>
      <c r="AV486" s="42"/>
      <c r="AW486" s="43"/>
    </row>
    <row r="487" spans="1:49" ht="21.75" thickBot="1" x14ac:dyDescent="0.35">
      <c r="A487" s="109">
        <v>481</v>
      </c>
      <c r="B487" s="5" t="s">
        <v>96</v>
      </c>
      <c r="C487" s="2" t="s">
        <v>569</v>
      </c>
      <c r="D487" s="32"/>
      <c r="E487" s="35" t="s">
        <v>455</v>
      </c>
      <c r="F487" s="34">
        <v>0</v>
      </c>
      <c r="G487" s="34">
        <v>0</v>
      </c>
      <c r="H487" s="34">
        <v>0</v>
      </c>
      <c r="I487" s="34">
        <v>0</v>
      </c>
      <c r="J487" s="34">
        <v>0</v>
      </c>
      <c r="K487" s="34">
        <v>0</v>
      </c>
      <c r="L487" s="34">
        <v>0</v>
      </c>
      <c r="M487" s="34">
        <v>0</v>
      </c>
      <c r="N487" s="34">
        <v>0</v>
      </c>
      <c r="O487" s="34">
        <v>0</v>
      </c>
      <c r="P487" s="34">
        <v>0</v>
      </c>
      <c r="Q487" s="34">
        <v>0</v>
      </c>
      <c r="R487" s="24">
        <f>SUM(Tabla1[[#This Row],[ENERO ]:[DICIEMBRE]])</f>
        <v>0</v>
      </c>
      <c r="W487" s="65">
        <v>4</v>
      </c>
      <c r="X487" s="21">
        <f>COUNTIF(Tabla1[[#This Row],[ENERO ]:[DICIEMBRE]],0)-(AQ487)-IF(Tabla1[[#This Row],[BAJAS]]="BAJA",IF(Tabla1[[#This Row],[ALTAS]]="ALTA",VLOOKUP(Tabla1[[#This Row],[MES DE ALTA ]],$AT$6:$AU$17,2,FALSE),12)-VLOOKUP(Tabla1[[#This Row],[MES DE BAJA ]],$AT$6:$AU$17,2,FALSE),0)</f>
        <v>12</v>
      </c>
      <c r="Y487" s="69">
        <f>SUM(Tabla1[[#This Row],[MES ADEUDO DE AÑOS PASADOS ]:[MESES DE ADEUDO DEL AÑO EN CURSO ]])</f>
        <v>16</v>
      </c>
      <c r="Z487" s="15">
        <f>IF(Tabla1[[#This Row],[TIPO DE CONSUMIDOR]]="COMPLETO",W487*$T$2,W487*($T$2/2))</f>
        <v>180</v>
      </c>
      <c r="AA487" s="15">
        <f>IF(Tabla1[[#This Row],[TIPO DE CONSUMIDOR]]="COMPLETO",Tabla1[[#This Row],[MESES DE ADEUDO DEL AÑO EN CURSO ]]*$T$2,Tabla1[[#This Row],[MESES DE ADEUDO DEL AÑO EN CURSO ]]*($T$2/2))</f>
        <v>540</v>
      </c>
      <c r="AB487" s="70">
        <f>SUM(Tabla1[[#This Row],[DEUDA DE LOS MESES PASADOS EN $$]:[DEUDA DEL AÑO 2013 $$ ]])</f>
        <v>720</v>
      </c>
      <c r="AE487" s="103">
        <f>IF(Tabla1[[#This Row],[TIPO DE CONSUMIDOR]]="MEDIO",IF(Tabla1[[#This Row],[ENERO ]]&gt;22.5,Tabla1[[#This Row],[ENERO ]]/22.5-1,0),IF(Tabla1[[#This Row],[ENERO ]]&gt;45,Tabla1[[#This Row],[ENERO ]]/45-1,0))</f>
        <v>0</v>
      </c>
      <c r="AF48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7" s="103">
        <f>IF(Tabla1[[#This Row],[TIPO DE CONSUMIDOR]]="MEDIO",IF(Tabla1[[#This Row],[MARZO]]&gt;22.5,Tabla1[[#This Row],[MARZO]]/22.5-1,0),IF(Tabla1[[#This Row],[MARZO]]&gt;45,Tabla1[[#This Row],[MARZO]]/45-1,0))</f>
        <v>0</v>
      </c>
      <c r="AH487" s="103">
        <f>IF(Tabla1[[#This Row],[TIPO DE CONSUMIDOR]]="MEDIO",IF(Tabla1[[#This Row],[ABRIL]]&gt;22.5,Tabla1[[#This Row],[ABRIL]]/22.5-1,0),IF(Tabla1[[#This Row],[ABRIL]]&gt;45,Tabla1[[#This Row],[ABRIL]]/45-1,0))</f>
        <v>0</v>
      </c>
      <c r="AI487" s="103">
        <f>IF(Tabla1[[#This Row],[TIPO DE CONSUMIDOR]]="MEDIO",IF(Tabla1[[#This Row],[MAYO ]]&gt;22.5,Tabla1[[#This Row],[MAYO ]]/22.5-1,0),IF(Tabla1[[#This Row],[MAYO ]]&gt;45,Tabla1[[#This Row],[MAYO ]]/45-1,0))</f>
        <v>0</v>
      </c>
      <c r="AJ487" s="103">
        <f>IF(Tabla1[[#This Row],[TIPO DE CONSUMIDOR]]="MEDIO",IF(Tabla1[[#This Row],[JUNIO ]]&gt;22.5,Tabla1[[#This Row],[JUNIO ]]/22.5-1,0),IF(Tabla1[[#This Row],[JUNIO ]]&gt;45,Tabla1[[#This Row],[JUNIO ]]/45-1,0))</f>
        <v>0</v>
      </c>
      <c r="AK487" s="103">
        <f>IF(Tabla1[[#This Row],[TIPO DE CONSUMIDOR]]="MEDIO",IF(Tabla1[[#This Row],[JULIO ]]&gt;22.5,Tabla1[[#This Row],[JULIO ]]/22.5-1,0),IF(Tabla1[[#This Row],[JULIO ]]&gt;45,Tabla1[[#This Row],[JULIO ]]/45-1,0))</f>
        <v>0</v>
      </c>
      <c r="AL487" s="103">
        <f>IF(Tabla1[[#This Row],[TIPO DE CONSUMIDOR]]="MEDIO",IF(Tabla1[[#This Row],[AGOSTO]]&gt;22.5,Tabla1[[#This Row],[AGOSTO]]/22.5-1,0),IF(Tabla1[[#This Row],[AGOSTO]]&gt;45,Tabla1[[#This Row],[AGOSTO]]/45-1,0))</f>
        <v>0</v>
      </c>
      <c r="AM48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7" s="104">
        <f t="shared" si="16"/>
        <v>0</v>
      </c>
      <c r="AR487" s="9">
        <f t="shared" si="15"/>
        <v>1</v>
      </c>
      <c r="AS487" s="60">
        <f>IF(Tabla1[[#This Row],[MESES DE ADEUDO DEL AÑO EN CURSO ]]&gt;0,1,0)</f>
        <v>1</v>
      </c>
      <c r="AT487" s="42"/>
      <c r="AU487" s="42"/>
      <c r="AV487" s="42"/>
      <c r="AW487" s="43"/>
    </row>
    <row r="488" spans="1:49" ht="21.75" thickBot="1" x14ac:dyDescent="0.35">
      <c r="A488" s="109">
        <v>482</v>
      </c>
      <c r="B488" s="5" t="s">
        <v>340</v>
      </c>
      <c r="C488" s="2" t="s">
        <v>573</v>
      </c>
      <c r="D488" s="32"/>
      <c r="E488" s="35" t="s">
        <v>455</v>
      </c>
      <c r="F488" s="34">
        <v>0</v>
      </c>
      <c r="G488" s="34">
        <v>0</v>
      </c>
      <c r="H488" s="34">
        <v>0</v>
      </c>
      <c r="I488" s="34">
        <v>0</v>
      </c>
      <c r="J488" s="34">
        <v>0</v>
      </c>
      <c r="K488" s="34">
        <v>0</v>
      </c>
      <c r="L488" s="34">
        <v>0</v>
      </c>
      <c r="M488" s="34">
        <v>0</v>
      </c>
      <c r="N488" s="34">
        <v>0</v>
      </c>
      <c r="O488" s="34">
        <v>0</v>
      </c>
      <c r="P488" s="34">
        <v>0</v>
      </c>
      <c r="Q488" s="34">
        <v>0</v>
      </c>
      <c r="R488" s="24">
        <f>SUM(Tabla1[[#This Row],[ENERO ]:[DICIEMBRE]])</f>
        <v>0</v>
      </c>
      <c r="W488" s="65">
        <v>4</v>
      </c>
      <c r="X488" s="21">
        <f>COUNTIF(Tabla1[[#This Row],[ENERO ]:[DICIEMBRE]],0)-(AQ488)-IF(Tabla1[[#This Row],[BAJAS]]="BAJA",IF(Tabla1[[#This Row],[ALTAS]]="ALTA",VLOOKUP(Tabla1[[#This Row],[MES DE ALTA ]],$AT$6:$AU$17,2,FALSE),12)-VLOOKUP(Tabla1[[#This Row],[MES DE BAJA ]],$AT$6:$AU$17,2,FALSE),0)</f>
        <v>12</v>
      </c>
      <c r="Y488" s="69">
        <f>SUM(Tabla1[[#This Row],[MES ADEUDO DE AÑOS PASADOS ]:[MESES DE ADEUDO DEL AÑO EN CURSO ]])</f>
        <v>16</v>
      </c>
      <c r="Z488" s="15">
        <f>IF(Tabla1[[#This Row],[TIPO DE CONSUMIDOR]]="COMPLETO",W488*$T$2,W488*($T$2/2))</f>
        <v>180</v>
      </c>
      <c r="AA488" s="15">
        <f>IF(Tabla1[[#This Row],[TIPO DE CONSUMIDOR]]="COMPLETO",Tabla1[[#This Row],[MESES DE ADEUDO DEL AÑO EN CURSO ]]*$T$2,Tabla1[[#This Row],[MESES DE ADEUDO DEL AÑO EN CURSO ]]*($T$2/2))</f>
        <v>540</v>
      </c>
      <c r="AB488" s="70">
        <f>SUM(Tabla1[[#This Row],[DEUDA DE LOS MESES PASADOS EN $$]:[DEUDA DEL AÑO 2013 $$ ]])</f>
        <v>720</v>
      </c>
      <c r="AE488" s="103">
        <f>IF(Tabla1[[#This Row],[TIPO DE CONSUMIDOR]]="MEDIO",IF(Tabla1[[#This Row],[ENERO ]]&gt;22.5,Tabla1[[#This Row],[ENERO ]]/22.5-1,0),IF(Tabla1[[#This Row],[ENERO ]]&gt;45,Tabla1[[#This Row],[ENERO ]]/45-1,0))</f>
        <v>0</v>
      </c>
      <c r="AF48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8" s="103">
        <f>IF(Tabla1[[#This Row],[TIPO DE CONSUMIDOR]]="MEDIO",IF(Tabla1[[#This Row],[MARZO]]&gt;22.5,Tabla1[[#This Row],[MARZO]]/22.5-1,0),IF(Tabla1[[#This Row],[MARZO]]&gt;45,Tabla1[[#This Row],[MARZO]]/45-1,0))</f>
        <v>0</v>
      </c>
      <c r="AH488" s="103">
        <f>IF(Tabla1[[#This Row],[TIPO DE CONSUMIDOR]]="MEDIO",IF(Tabla1[[#This Row],[ABRIL]]&gt;22.5,Tabla1[[#This Row],[ABRIL]]/22.5-1,0),IF(Tabla1[[#This Row],[ABRIL]]&gt;45,Tabla1[[#This Row],[ABRIL]]/45-1,0))</f>
        <v>0</v>
      </c>
      <c r="AI488" s="103">
        <f>IF(Tabla1[[#This Row],[TIPO DE CONSUMIDOR]]="MEDIO",IF(Tabla1[[#This Row],[MAYO ]]&gt;22.5,Tabla1[[#This Row],[MAYO ]]/22.5-1,0),IF(Tabla1[[#This Row],[MAYO ]]&gt;45,Tabla1[[#This Row],[MAYO ]]/45-1,0))</f>
        <v>0</v>
      </c>
      <c r="AJ488" s="103">
        <f>IF(Tabla1[[#This Row],[TIPO DE CONSUMIDOR]]="MEDIO",IF(Tabla1[[#This Row],[JUNIO ]]&gt;22.5,Tabla1[[#This Row],[JUNIO ]]/22.5-1,0),IF(Tabla1[[#This Row],[JUNIO ]]&gt;45,Tabla1[[#This Row],[JUNIO ]]/45-1,0))</f>
        <v>0</v>
      </c>
      <c r="AK488" s="103">
        <f>IF(Tabla1[[#This Row],[TIPO DE CONSUMIDOR]]="MEDIO",IF(Tabla1[[#This Row],[JULIO ]]&gt;22.5,Tabla1[[#This Row],[JULIO ]]/22.5-1,0),IF(Tabla1[[#This Row],[JULIO ]]&gt;45,Tabla1[[#This Row],[JULIO ]]/45-1,0))</f>
        <v>0</v>
      </c>
      <c r="AL488" s="103">
        <f>IF(Tabla1[[#This Row],[TIPO DE CONSUMIDOR]]="MEDIO",IF(Tabla1[[#This Row],[AGOSTO]]&gt;22.5,Tabla1[[#This Row],[AGOSTO]]/22.5-1,0),IF(Tabla1[[#This Row],[AGOSTO]]&gt;45,Tabla1[[#This Row],[AGOSTO]]/45-1,0))</f>
        <v>0</v>
      </c>
      <c r="AM48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8" s="104">
        <f t="shared" si="16"/>
        <v>0</v>
      </c>
      <c r="AR488" s="9">
        <f t="shared" si="15"/>
        <v>1</v>
      </c>
      <c r="AS488" s="60">
        <f>IF(Tabla1[[#This Row],[MESES DE ADEUDO DEL AÑO EN CURSO ]]&gt;0,1,0)</f>
        <v>1</v>
      </c>
      <c r="AT488" s="42"/>
      <c r="AU488" s="42"/>
      <c r="AV488" s="42"/>
      <c r="AW488" s="43"/>
    </row>
    <row r="489" spans="1:49" ht="21.75" thickBot="1" x14ac:dyDescent="0.35">
      <c r="A489" s="109">
        <v>483</v>
      </c>
      <c r="B489" s="5" t="s">
        <v>387</v>
      </c>
      <c r="C489" s="2" t="s">
        <v>575</v>
      </c>
      <c r="D489" s="32"/>
      <c r="E489" s="35" t="s">
        <v>455</v>
      </c>
      <c r="F489" s="34">
        <v>0</v>
      </c>
      <c r="G489" s="34">
        <v>0</v>
      </c>
      <c r="H489" s="34">
        <v>0</v>
      </c>
      <c r="I489" s="34">
        <v>0</v>
      </c>
      <c r="J489" s="34">
        <v>0</v>
      </c>
      <c r="K489" s="34">
        <v>0</v>
      </c>
      <c r="L489" s="34">
        <v>0</v>
      </c>
      <c r="M489" s="34">
        <v>0</v>
      </c>
      <c r="N489" s="34">
        <v>0</v>
      </c>
      <c r="O489" s="34">
        <v>0</v>
      </c>
      <c r="P489" s="34">
        <v>0</v>
      </c>
      <c r="Q489" s="34">
        <v>0</v>
      </c>
      <c r="R489" s="58">
        <f>SUM(Tabla1[[#This Row],[ENERO ]:[DICIEMBRE]])</f>
        <v>0</v>
      </c>
      <c r="W489" s="65">
        <v>4</v>
      </c>
      <c r="X489" s="21">
        <f>COUNTIF(Tabla1[[#This Row],[ENERO ]:[DICIEMBRE]],0)-(AQ489)-IF(Tabla1[[#This Row],[BAJAS]]="BAJA",IF(Tabla1[[#This Row],[ALTAS]]="ALTA",VLOOKUP(Tabla1[[#This Row],[MES DE ALTA ]],$AT$6:$AU$17,2,FALSE),12)-VLOOKUP(Tabla1[[#This Row],[MES DE BAJA ]],$AT$6:$AU$17,2,FALSE),0)</f>
        <v>12</v>
      </c>
      <c r="Y489" s="69">
        <f>SUM(Tabla1[[#This Row],[MES ADEUDO DE AÑOS PASADOS ]:[MESES DE ADEUDO DEL AÑO EN CURSO ]])</f>
        <v>16</v>
      </c>
      <c r="Z489" s="15">
        <f>IF(Tabla1[[#This Row],[TIPO DE CONSUMIDOR]]="COMPLETO",W489*$T$2,W489*($T$2/2))</f>
        <v>180</v>
      </c>
      <c r="AA489" s="15">
        <f>IF(Tabla1[[#This Row],[TIPO DE CONSUMIDOR]]="COMPLETO",Tabla1[[#This Row],[MESES DE ADEUDO DEL AÑO EN CURSO ]]*$T$2,Tabla1[[#This Row],[MESES DE ADEUDO DEL AÑO EN CURSO ]]*($T$2/2))</f>
        <v>540</v>
      </c>
      <c r="AB489" s="70">
        <f>SUM(Tabla1[[#This Row],[DEUDA DE LOS MESES PASADOS EN $$]:[DEUDA DEL AÑO 2013 $$ ]])</f>
        <v>720</v>
      </c>
      <c r="AE489" s="103">
        <f>IF(Tabla1[[#This Row],[TIPO DE CONSUMIDOR]]="MEDIO",IF(Tabla1[[#This Row],[ENERO ]]&gt;22.5,Tabla1[[#This Row],[ENERO ]]/22.5-1,0),IF(Tabla1[[#This Row],[ENERO ]]&gt;45,Tabla1[[#This Row],[ENERO ]]/45-1,0))</f>
        <v>0</v>
      </c>
      <c r="AF48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89" s="103">
        <f>IF(Tabla1[[#This Row],[TIPO DE CONSUMIDOR]]="MEDIO",IF(Tabla1[[#This Row],[MARZO]]&gt;22.5,Tabla1[[#This Row],[MARZO]]/22.5-1,0),IF(Tabla1[[#This Row],[MARZO]]&gt;45,Tabla1[[#This Row],[MARZO]]/45-1,0))</f>
        <v>0</v>
      </c>
      <c r="AH489" s="103">
        <f>IF(Tabla1[[#This Row],[TIPO DE CONSUMIDOR]]="MEDIO",IF(Tabla1[[#This Row],[ABRIL]]&gt;22.5,Tabla1[[#This Row],[ABRIL]]/22.5-1,0),IF(Tabla1[[#This Row],[ABRIL]]&gt;45,Tabla1[[#This Row],[ABRIL]]/45-1,0))</f>
        <v>0</v>
      </c>
      <c r="AI489" s="103">
        <f>IF(Tabla1[[#This Row],[TIPO DE CONSUMIDOR]]="MEDIO",IF(Tabla1[[#This Row],[MAYO ]]&gt;22.5,Tabla1[[#This Row],[MAYO ]]/22.5-1,0),IF(Tabla1[[#This Row],[MAYO ]]&gt;45,Tabla1[[#This Row],[MAYO ]]/45-1,0))</f>
        <v>0</v>
      </c>
      <c r="AJ489" s="103">
        <f>IF(Tabla1[[#This Row],[TIPO DE CONSUMIDOR]]="MEDIO",IF(Tabla1[[#This Row],[JUNIO ]]&gt;22.5,Tabla1[[#This Row],[JUNIO ]]/22.5-1,0),IF(Tabla1[[#This Row],[JUNIO ]]&gt;45,Tabla1[[#This Row],[JUNIO ]]/45-1,0))</f>
        <v>0</v>
      </c>
      <c r="AK489" s="103">
        <f>IF(Tabla1[[#This Row],[TIPO DE CONSUMIDOR]]="MEDIO",IF(Tabla1[[#This Row],[JULIO ]]&gt;22.5,Tabla1[[#This Row],[JULIO ]]/22.5-1,0),IF(Tabla1[[#This Row],[JULIO ]]&gt;45,Tabla1[[#This Row],[JULIO ]]/45-1,0))</f>
        <v>0</v>
      </c>
      <c r="AL489" s="103">
        <f>IF(Tabla1[[#This Row],[TIPO DE CONSUMIDOR]]="MEDIO",IF(Tabla1[[#This Row],[AGOSTO]]&gt;22.5,Tabla1[[#This Row],[AGOSTO]]/22.5-1,0),IF(Tabla1[[#This Row],[AGOSTO]]&gt;45,Tabla1[[#This Row],[AGOSTO]]/45-1,0))</f>
        <v>0</v>
      </c>
      <c r="AM48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8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8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8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89" s="104">
        <f t="shared" si="16"/>
        <v>0</v>
      </c>
      <c r="AR489" s="9">
        <f t="shared" si="15"/>
        <v>1</v>
      </c>
      <c r="AS489" s="60">
        <f>IF(Tabla1[[#This Row],[MESES DE ADEUDO DEL AÑO EN CURSO ]]&gt;0,1,0)</f>
        <v>1</v>
      </c>
      <c r="AT489" s="42"/>
      <c r="AU489" s="42"/>
      <c r="AV489" s="42"/>
      <c r="AW489" s="43"/>
    </row>
    <row r="490" spans="1:49" ht="21.75" thickBot="1" x14ac:dyDescent="0.35">
      <c r="A490" s="109">
        <v>484</v>
      </c>
      <c r="B490" s="5" t="s">
        <v>32</v>
      </c>
      <c r="C490" s="2"/>
      <c r="D490" s="32"/>
      <c r="E490" s="35" t="s">
        <v>489</v>
      </c>
      <c r="F490" s="34">
        <v>0</v>
      </c>
      <c r="G490" s="34">
        <v>0</v>
      </c>
      <c r="H490" s="34">
        <v>0</v>
      </c>
      <c r="I490" s="34">
        <v>0</v>
      </c>
      <c r="J490" s="34">
        <v>0</v>
      </c>
      <c r="K490" s="34">
        <v>0</v>
      </c>
      <c r="L490" s="34">
        <v>0</v>
      </c>
      <c r="M490" s="34">
        <v>0</v>
      </c>
      <c r="N490" s="34">
        <v>0</v>
      </c>
      <c r="O490" s="34">
        <v>0</v>
      </c>
      <c r="P490" s="34">
        <v>0</v>
      </c>
      <c r="Q490" s="34">
        <v>0</v>
      </c>
      <c r="R490" s="24">
        <f>SUM(Tabla1[[#This Row],[ENERO ]:[DICIEMBRE]])</f>
        <v>0</v>
      </c>
      <c r="W490" s="65">
        <v>4</v>
      </c>
      <c r="X490" s="21">
        <f>COUNTIF(Tabla1[[#This Row],[ENERO ]:[DICIEMBRE]],0)-(AQ490)-IF(Tabla1[[#This Row],[BAJAS]]="BAJA",IF(Tabla1[[#This Row],[ALTAS]]="ALTA",VLOOKUP(Tabla1[[#This Row],[MES DE ALTA ]],$AT$6:$AU$17,2,FALSE),12)-VLOOKUP(Tabla1[[#This Row],[MES DE BAJA ]],$AT$6:$AU$17,2,FALSE),0)</f>
        <v>12</v>
      </c>
      <c r="Y490" s="69">
        <f>SUM(Tabla1[[#This Row],[MES ADEUDO DE AÑOS PASADOS ]:[MESES DE ADEUDO DEL AÑO EN CURSO ]])</f>
        <v>16</v>
      </c>
      <c r="Z490" s="15">
        <f>IF(Tabla1[[#This Row],[TIPO DE CONSUMIDOR]]="COMPLETO",W490*$T$2,W490*($T$2/2))</f>
        <v>90</v>
      </c>
      <c r="AA490" s="15">
        <f>IF(Tabla1[[#This Row],[TIPO DE CONSUMIDOR]]="COMPLETO",Tabla1[[#This Row],[MESES DE ADEUDO DEL AÑO EN CURSO ]]*$T$2,Tabla1[[#This Row],[MESES DE ADEUDO DEL AÑO EN CURSO ]]*($T$2/2))</f>
        <v>270</v>
      </c>
      <c r="AB490" s="70">
        <f>SUM(Tabla1[[#This Row],[DEUDA DE LOS MESES PASADOS EN $$]:[DEUDA DEL AÑO 2013 $$ ]])</f>
        <v>360</v>
      </c>
      <c r="AE490" s="103">
        <f>IF(Tabla1[[#This Row],[TIPO DE CONSUMIDOR]]="MEDIO",IF(Tabla1[[#This Row],[ENERO ]]&gt;22.5,Tabla1[[#This Row],[ENERO ]]/22.5-1,0),IF(Tabla1[[#This Row],[ENERO ]]&gt;45,Tabla1[[#This Row],[ENERO ]]/45-1,0))</f>
        <v>0</v>
      </c>
      <c r="AF49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0" s="103">
        <f>IF(Tabla1[[#This Row],[TIPO DE CONSUMIDOR]]="MEDIO",IF(Tabla1[[#This Row],[MARZO]]&gt;22.5,Tabla1[[#This Row],[MARZO]]/22.5-1,0),IF(Tabla1[[#This Row],[MARZO]]&gt;45,Tabla1[[#This Row],[MARZO]]/45-1,0))</f>
        <v>0</v>
      </c>
      <c r="AH490" s="103">
        <f>IF(Tabla1[[#This Row],[TIPO DE CONSUMIDOR]]="MEDIO",IF(Tabla1[[#This Row],[ABRIL]]&gt;22.5,Tabla1[[#This Row],[ABRIL]]/22.5-1,0),IF(Tabla1[[#This Row],[ABRIL]]&gt;45,Tabla1[[#This Row],[ABRIL]]/45-1,0))</f>
        <v>0</v>
      </c>
      <c r="AI490" s="103">
        <f>IF(Tabla1[[#This Row],[TIPO DE CONSUMIDOR]]="MEDIO",IF(Tabla1[[#This Row],[MAYO ]]&gt;22.5,Tabla1[[#This Row],[MAYO ]]/22.5-1,0),IF(Tabla1[[#This Row],[MAYO ]]&gt;45,Tabla1[[#This Row],[MAYO ]]/45-1,0))</f>
        <v>0</v>
      </c>
      <c r="AJ490" s="103">
        <f>IF(Tabla1[[#This Row],[TIPO DE CONSUMIDOR]]="MEDIO",IF(Tabla1[[#This Row],[JUNIO ]]&gt;22.5,Tabla1[[#This Row],[JUNIO ]]/22.5-1,0),IF(Tabla1[[#This Row],[JUNIO ]]&gt;45,Tabla1[[#This Row],[JUNIO ]]/45-1,0))</f>
        <v>0</v>
      </c>
      <c r="AK490" s="103">
        <f>IF(Tabla1[[#This Row],[TIPO DE CONSUMIDOR]]="MEDIO",IF(Tabla1[[#This Row],[JULIO ]]&gt;22.5,Tabla1[[#This Row],[JULIO ]]/22.5-1,0),IF(Tabla1[[#This Row],[JULIO ]]&gt;45,Tabla1[[#This Row],[JULIO ]]/45-1,0))</f>
        <v>0</v>
      </c>
      <c r="AL490" s="103">
        <f>IF(Tabla1[[#This Row],[TIPO DE CONSUMIDOR]]="MEDIO",IF(Tabla1[[#This Row],[AGOSTO]]&gt;22.5,Tabla1[[#This Row],[AGOSTO]]/22.5-1,0),IF(Tabla1[[#This Row],[AGOSTO]]&gt;45,Tabla1[[#This Row],[AGOSTO]]/45-1,0))</f>
        <v>0</v>
      </c>
      <c r="AM49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0" s="104">
        <f t="shared" si="16"/>
        <v>0</v>
      </c>
      <c r="AR490" s="9">
        <f t="shared" si="15"/>
        <v>1</v>
      </c>
      <c r="AS490" s="60">
        <f>IF(Tabla1[[#This Row],[MESES DE ADEUDO DEL AÑO EN CURSO ]]&gt;0,1,0)</f>
        <v>1</v>
      </c>
      <c r="AT490" s="42"/>
      <c r="AU490" s="42"/>
      <c r="AV490" s="42"/>
      <c r="AW490" s="43"/>
    </row>
    <row r="491" spans="1:49" ht="21.75" thickBot="1" x14ac:dyDescent="0.35">
      <c r="A491" s="109">
        <v>485</v>
      </c>
      <c r="B491" s="5" t="s">
        <v>198</v>
      </c>
      <c r="C491" s="2" t="s">
        <v>461</v>
      </c>
      <c r="D491" s="32"/>
      <c r="E491" s="35" t="s">
        <v>455</v>
      </c>
      <c r="F491" s="34">
        <v>0</v>
      </c>
      <c r="G491" s="34">
        <v>0</v>
      </c>
      <c r="H491" s="34">
        <v>0</v>
      </c>
      <c r="I491" s="34">
        <v>0</v>
      </c>
      <c r="J491" s="34">
        <v>0</v>
      </c>
      <c r="K491" s="34">
        <v>0</v>
      </c>
      <c r="L491" s="34">
        <v>0</v>
      </c>
      <c r="M491" s="34">
        <v>0</v>
      </c>
      <c r="N491" s="34">
        <v>0</v>
      </c>
      <c r="O491" s="34">
        <v>0</v>
      </c>
      <c r="P491" s="34">
        <v>0</v>
      </c>
      <c r="Q491" s="34">
        <v>0</v>
      </c>
      <c r="R491" s="24">
        <f>SUM(Tabla1[[#This Row],[ENERO ]:[DICIEMBRE]])</f>
        <v>0</v>
      </c>
      <c r="W491" s="65">
        <v>5</v>
      </c>
      <c r="X491" s="21">
        <f>COUNTIF(Tabla1[[#This Row],[ENERO ]:[DICIEMBRE]],0)-(AQ491)-IF(Tabla1[[#This Row],[BAJAS]]="BAJA",IF(Tabla1[[#This Row],[ALTAS]]="ALTA",VLOOKUP(Tabla1[[#This Row],[MES DE ALTA ]],$AT$6:$AU$17,2,FALSE),12)-VLOOKUP(Tabla1[[#This Row],[MES DE BAJA ]],$AT$6:$AU$17,2,FALSE),0)</f>
        <v>12</v>
      </c>
      <c r="Y491" s="69">
        <f>SUM(Tabla1[[#This Row],[MES ADEUDO DE AÑOS PASADOS ]:[MESES DE ADEUDO DEL AÑO EN CURSO ]])</f>
        <v>17</v>
      </c>
      <c r="Z491" s="15">
        <f>IF(Tabla1[[#This Row],[TIPO DE CONSUMIDOR]]="COMPLETO",W491*$T$2,W491*($T$2/2))</f>
        <v>225</v>
      </c>
      <c r="AA491" s="15">
        <f>IF(Tabla1[[#This Row],[TIPO DE CONSUMIDOR]]="COMPLETO",Tabla1[[#This Row],[MESES DE ADEUDO DEL AÑO EN CURSO ]]*$T$2,Tabla1[[#This Row],[MESES DE ADEUDO DEL AÑO EN CURSO ]]*($T$2/2))</f>
        <v>540</v>
      </c>
      <c r="AB491" s="70">
        <f>SUM(Tabla1[[#This Row],[DEUDA DE LOS MESES PASADOS EN $$]:[DEUDA DEL AÑO 2013 $$ ]])</f>
        <v>765</v>
      </c>
      <c r="AE491" s="103">
        <f>IF(Tabla1[[#This Row],[TIPO DE CONSUMIDOR]]="MEDIO",IF(Tabla1[[#This Row],[ENERO ]]&gt;22.5,Tabla1[[#This Row],[ENERO ]]/22.5-1,0),IF(Tabla1[[#This Row],[ENERO ]]&gt;45,Tabla1[[#This Row],[ENERO ]]/45-1,0))</f>
        <v>0</v>
      </c>
      <c r="AF49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1" s="103">
        <f>IF(Tabla1[[#This Row],[TIPO DE CONSUMIDOR]]="MEDIO",IF(Tabla1[[#This Row],[MARZO]]&gt;22.5,Tabla1[[#This Row],[MARZO]]/22.5-1,0),IF(Tabla1[[#This Row],[MARZO]]&gt;45,Tabla1[[#This Row],[MARZO]]/45-1,0))</f>
        <v>0</v>
      </c>
      <c r="AH491" s="103">
        <f>IF(Tabla1[[#This Row],[TIPO DE CONSUMIDOR]]="MEDIO",IF(Tabla1[[#This Row],[ABRIL]]&gt;22.5,Tabla1[[#This Row],[ABRIL]]/22.5-1,0),IF(Tabla1[[#This Row],[ABRIL]]&gt;45,Tabla1[[#This Row],[ABRIL]]/45-1,0))</f>
        <v>0</v>
      </c>
      <c r="AI491" s="103">
        <f>IF(Tabla1[[#This Row],[TIPO DE CONSUMIDOR]]="MEDIO",IF(Tabla1[[#This Row],[MAYO ]]&gt;22.5,Tabla1[[#This Row],[MAYO ]]/22.5-1,0),IF(Tabla1[[#This Row],[MAYO ]]&gt;45,Tabla1[[#This Row],[MAYO ]]/45-1,0))</f>
        <v>0</v>
      </c>
      <c r="AJ491" s="103">
        <f>IF(Tabla1[[#This Row],[TIPO DE CONSUMIDOR]]="MEDIO",IF(Tabla1[[#This Row],[JUNIO ]]&gt;22.5,Tabla1[[#This Row],[JUNIO ]]/22.5-1,0),IF(Tabla1[[#This Row],[JUNIO ]]&gt;45,Tabla1[[#This Row],[JUNIO ]]/45-1,0))</f>
        <v>0</v>
      </c>
      <c r="AK491" s="103">
        <f>IF(Tabla1[[#This Row],[TIPO DE CONSUMIDOR]]="MEDIO",IF(Tabla1[[#This Row],[JULIO ]]&gt;22.5,Tabla1[[#This Row],[JULIO ]]/22.5-1,0),IF(Tabla1[[#This Row],[JULIO ]]&gt;45,Tabla1[[#This Row],[JULIO ]]/45-1,0))</f>
        <v>0</v>
      </c>
      <c r="AL491" s="103">
        <f>IF(Tabla1[[#This Row],[TIPO DE CONSUMIDOR]]="MEDIO",IF(Tabla1[[#This Row],[AGOSTO]]&gt;22.5,Tabla1[[#This Row],[AGOSTO]]/22.5-1,0),IF(Tabla1[[#This Row],[AGOSTO]]&gt;45,Tabla1[[#This Row],[AGOSTO]]/45-1,0))</f>
        <v>0</v>
      </c>
      <c r="AM49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1" s="104">
        <f t="shared" si="16"/>
        <v>0</v>
      </c>
      <c r="AR491" s="9">
        <f t="shared" si="15"/>
        <v>1</v>
      </c>
      <c r="AS491" s="60">
        <f>IF(Tabla1[[#This Row],[MESES DE ADEUDO DEL AÑO EN CURSO ]]&gt;0,1,0)</f>
        <v>1</v>
      </c>
      <c r="AT491" s="42"/>
      <c r="AU491" s="42"/>
      <c r="AV491" s="42"/>
      <c r="AW491" s="43"/>
    </row>
    <row r="492" spans="1:49" ht="21.75" thickBot="1" x14ac:dyDescent="0.35">
      <c r="A492" s="109">
        <v>486</v>
      </c>
      <c r="B492" s="5" t="s">
        <v>260</v>
      </c>
      <c r="C492" s="2" t="s">
        <v>461</v>
      </c>
      <c r="D492" s="32"/>
      <c r="E492" s="35" t="s">
        <v>455</v>
      </c>
      <c r="F492" s="34">
        <v>0</v>
      </c>
      <c r="G492" s="34">
        <v>0</v>
      </c>
      <c r="H492" s="34">
        <v>0</v>
      </c>
      <c r="I492" s="34">
        <v>0</v>
      </c>
      <c r="J492" s="34">
        <v>0</v>
      </c>
      <c r="K492" s="34">
        <v>0</v>
      </c>
      <c r="L492" s="34">
        <v>0</v>
      </c>
      <c r="M492" s="34">
        <v>0</v>
      </c>
      <c r="N492" s="34">
        <v>0</v>
      </c>
      <c r="O492" s="34">
        <v>0</v>
      </c>
      <c r="P492" s="34">
        <v>0</v>
      </c>
      <c r="Q492" s="34">
        <v>0</v>
      </c>
      <c r="R492" s="24">
        <f>SUM(Tabla1[[#This Row],[ENERO ]:[DICIEMBRE]])</f>
        <v>0</v>
      </c>
      <c r="W492" s="65">
        <v>5</v>
      </c>
      <c r="X492" s="21">
        <f>COUNTIF(Tabla1[[#This Row],[ENERO ]:[DICIEMBRE]],0)-(AQ492)-IF(Tabla1[[#This Row],[BAJAS]]="BAJA",IF(Tabla1[[#This Row],[ALTAS]]="ALTA",VLOOKUP(Tabla1[[#This Row],[MES DE ALTA ]],$AT$6:$AU$17,2,FALSE),12)-VLOOKUP(Tabla1[[#This Row],[MES DE BAJA ]],$AT$6:$AU$17,2,FALSE),0)</f>
        <v>12</v>
      </c>
      <c r="Y492" s="69">
        <f>SUM(Tabla1[[#This Row],[MES ADEUDO DE AÑOS PASADOS ]:[MESES DE ADEUDO DEL AÑO EN CURSO ]])</f>
        <v>17</v>
      </c>
      <c r="Z492" s="15">
        <f>IF(Tabla1[[#This Row],[TIPO DE CONSUMIDOR]]="COMPLETO",W492*$T$2,W492*($T$2/2))</f>
        <v>225</v>
      </c>
      <c r="AA492" s="15">
        <f>IF(Tabla1[[#This Row],[TIPO DE CONSUMIDOR]]="COMPLETO",Tabla1[[#This Row],[MESES DE ADEUDO DEL AÑO EN CURSO ]]*$T$2,Tabla1[[#This Row],[MESES DE ADEUDO DEL AÑO EN CURSO ]]*($T$2/2))</f>
        <v>540</v>
      </c>
      <c r="AB492" s="70">
        <f>SUM(Tabla1[[#This Row],[DEUDA DE LOS MESES PASADOS EN $$]:[DEUDA DEL AÑO 2013 $$ ]])</f>
        <v>765</v>
      </c>
      <c r="AE492" s="103">
        <f>IF(Tabla1[[#This Row],[TIPO DE CONSUMIDOR]]="MEDIO",IF(Tabla1[[#This Row],[ENERO ]]&gt;22.5,Tabla1[[#This Row],[ENERO ]]/22.5-1,0),IF(Tabla1[[#This Row],[ENERO ]]&gt;45,Tabla1[[#This Row],[ENERO ]]/45-1,0))</f>
        <v>0</v>
      </c>
      <c r="AF49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2" s="103">
        <f>IF(Tabla1[[#This Row],[TIPO DE CONSUMIDOR]]="MEDIO",IF(Tabla1[[#This Row],[MARZO]]&gt;22.5,Tabla1[[#This Row],[MARZO]]/22.5-1,0),IF(Tabla1[[#This Row],[MARZO]]&gt;45,Tabla1[[#This Row],[MARZO]]/45-1,0))</f>
        <v>0</v>
      </c>
      <c r="AH492" s="103">
        <f>IF(Tabla1[[#This Row],[TIPO DE CONSUMIDOR]]="MEDIO",IF(Tabla1[[#This Row],[ABRIL]]&gt;22.5,Tabla1[[#This Row],[ABRIL]]/22.5-1,0),IF(Tabla1[[#This Row],[ABRIL]]&gt;45,Tabla1[[#This Row],[ABRIL]]/45-1,0))</f>
        <v>0</v>
      </c>
      <c r="AI492" s="103">
        <f>IF(Tabla1[[#This Row],[TIPO DE CONSUMIDOR]]="MEDIO",IF(Tabla1[[#This Row],[MAYO ]]&gt;22.5,Tabla1[[#This Row],[MAYO ]]/22.5-1,0),IF(Tabla1[[#This Row],[MAYO ]]&gt;45,Tabla1[[#This Row],[MAYO ]]/45-1,0))</f>
        <v>0</v>
      </c>
      <c r="AJ492" s="103">
        <f>IF(Tabla1[[#This Row],[TIPO DE CONSUMIDOR]]="MEDIO",IF(Tabla1[[#This Row],[JUNIO ]]&gt;22.5,Tabla1[[#This Row],[JUNIO ]]/22.5-1,0),IF(Tabla1[[#This Row],[JUNIO ]]&gt;45,Tabla1[[#This Row],[JUNIO ]]/45-1,0))</f>
        <v>0</v>
      </c>
      <c r="AK492" s="103">
        <f>IF(Tabla1[[#This Row],[TIPO DE CONSUMIDOR]]="MEDIO",IF(Tabla1[[#This Row],[JULIO ]]&gt;22.5,Tabla1[[#This Row],[JULIO ]]/22.5-1,0),IF(Tabla1[[#This Row],[JULIO ]]&gt;45,Tabla1[[#This Row],[JULIO ]]/45-1,0))</f>
        <v>0</v>
      </c>
      <c r="AL492" s="103">
        <f>IF(Tabla1[[#This Row],[TIPO DE CONSUMIDOR]]="MEDIO",IF(Tabla1[[#This Row],[AGOSTO]]&gt;22.5,Tabla1[[#This Row],[AGOSTO]]/22.5-1,0),IF(Tabla1[[#This Row],[AGOSTO]]&gt;45,Tabla1[[#This Row],[AGOSTO]]/45-1,0))</f>
        <v>0</v>
      </c>
      <c r="AM49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2" s="104">
        <f t="shared" si="16"/>
        <v>0</v>
      </c>
      <c r="AR492" s="9">
        <f t="shared" si="15"/>
        <v>1</v>
      </c>
      <c r="AS492" s="60">
        <f>IF(Tabla1[[#This Row],[MESES DE ADEUDO DEL AÑO EN CURSO ]]&gt;0,1,0)</f>
        <v>1</v>
      </c>
      <c r="AT492" s="42"/>
      <c r="AU492" s="42"/>
      <c r="AV492" s="42"/>
      <c r="AW492" s="43"/>
    </row>
    <row r="493" spans="1:49" ht="21.75" thickBot="1" x14ac:dyDescent="0.35">
      <c r="A493" s="109">
        <v>487</v>
      </c>
      <c r="B493" s="5" t="s">
        <v>298</v>
      </c>
      <c r="C493" s="2" t="s">
        <v>493</v>
      </c>
      <c r="D493" s="32"/>
      <c r="E493" s="35" t="s">
        <v>455</v>
      </c>
      <c r="F493" s="34">
        <v>0</v>
      </c>
      <c r="G493" s="34">
        <v>0</v>
      </c>
      <c r="H493" s="34">
        <v>0</v>
      </c>
      <c r="I493" s="34">
        <v>0</v>
      </c>
      <c r="J493" s="34">
        <v>0</v>
      </c>
      <c r="K493" s="34">
        <v>0</v>
      </c>
      <c r="L493" s="34">
        <v>0</v>
      </c>
      <c r="M493" s="34">
        <v>0</v>
      </c>
      <c r="N493" s="34">
        <v>0</v>
      </c>
      <c r="O493" s="34">
        <v>0</v>
      </c>
      <c r="P493" s="34">
        <v>0</v>
      </c>
      <c r="Q493" s="34">
        <v>0</v>
      </c>
      <c r="R493" s="24">
        <f>SUM(Tabla1[[#This Row],[ENERO ]:[DICIEMBRE]])</f>
        <v>0</v>
      </c>
      <c r="W493" s="65">
        <v>5</v>
      </c>
      <c r="X493" s="21">
        <f>COUNTIF(Tabla1[[#This Row],[ENERO ]:[DICIEMBRE]],0)-(AQ493)-IF(Tabla1[[#This Row],[BAJAS]]="BAJA",IF(Tabla1[[#This Row],[ALTAS]]="ALTA",VLOOKUP(Tabla1[[#This Row],[MES DE ALTA ]],$AT$6:$AU$17,2,FALSE),12)-VLOOKUP(Tabla1[[#This Row],[MES DE BAJA ]],$AT$6:$AU$17,2,FALSE),0)</f>
        <v>12</v>
      </c>
      <c r="Y493" s="69">
        <f>SUM(Tabla1[[#This Row],[MES ADEUDO DE AÑOS PASADOS ]:[MESES DE ADEUDO DEL AÑO EN CURSO ]])</f>
        <v>17</v>
      </c>
      <c r="Z493" s="15">
        <f>IF(Tabla1[[#This Row],[TIPO DE CONSUMIDOR]]="COMPLETO",W493*$T$2,W493*($T$2/2))</f>
        <v>225</v>
      </c>
      <c r="AA493" s="15">
        <f>IF(Tabla1[[#This Row],[TIPO DE CONSUMIDOR]]="COMPLETO",Tabla1[[#This Row],[MESES DE ADEUDO DEL AÑO EN CURSO ]]*$T$2,Tabla1[[#This Row],[MESES DE ADEUDO DEL AÑO EN CURSO ]]*($T$2/2))</f>
        <v>540</v>
      </c>
      <c r="AB493" s="70">
        <f>SUM(Tabla1[[#This Row],[DEUDA DE LOS MESES PASADOS EN $$]:[DEUDA DEL AÑO 2013 $$ ]])</f>
        <v>765</v>
      </c>
      <c r="AE493" s="103">
        <f>IF(Tabla1[[#This Row],[TIPO DE CONSUMIDOR]]="MEDIO",IF(Tabla1[[#This Row],[ENERO ]]&gt;22.5,Tabla1[[#This Row],[ENERO ]]/22.5-1,0),IF(Tabla1[[#This Row],[ENERO ]]&gt;45,Tabla1[[#This Row],[ENERO ]]/45-1,0))</f>
        <v>0</v>
      </c>
      <c r="AF49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3" s="103">
        <f>IF(Tabla1[[#This Row],[TIPO DE CONSUMIDOR]]="MEDIO",IF(Tabla1[[#This Row],[MARZO]]&gt;22.5,Tabla1[[#This Row],[MARZO]]/22.5-1,0),IF(Tabla1[[#This Row],[MARZO]]&gt;45,Tabla1[[#This Row],[MARZO]]/45-1,0))</f>
        <v>0</v>
      </c>
      <c r="AH493" s="103">
        <f>IF(Tabla1[[#This Row],[TIPO DE CONSUMIDOR]]="MEDIO",IF(Tabla1[[#This Row],[ABRIL]]&gt;22.5,Tabla1[[#This Row],[ABRIL]]/22.5-1,0),IF(Tabla1[[#This Row],[ABRIL]]&gt;45,Tabla1[[#This Row],[ABRIL]]/45-1,0))</f>
        <v>0</v>
      </c>
      <c r="AI493" s="103">
        <f>IF(Tabla1[[#This Row],[TIPO DE CONSUMIDOR]]="MEDIO",IF(Tabla1[[#This Row],[MAYO ]]&gt;22.5,Tabla1[[#This Row],[MAYO ]]/22.5-1,0),IF(Tabla1[[#This Row],[MAYO ]]&gt;45,Tabla1[[#This Row],[MAYO ]]/45-1,0))</f>
        <v>0</v>
      </c>
      <c r="AJ493" s="103">
        <f>IF(Tabla1[[#This Row],[TIPO DE CONSUMIDOR]]="MEDIO",IF(Tabla1[[#This Row],[JUNIO ]]&gt;22.5,Tabla1[[#This Row],[JUNIO ]]/22.5-1,0),IF(Tabla1[[#This Row],[JUNIO ]]&gt;45,Tabla1[[#This Row],[JUNIO ]]/45-1,0))</f>
        <v>0</v>
      </c>
      <c r="AK493" s="103">
        <f>IF(Tabla1[[#This Row],[TIPO DE CONSUMIDOR]]="MEDIO",IF(Tabla1[[#This Row],[JULIO ]]&gt;22.5,Tabla1[[#This Row],[JULIO ]]/22.5-1,0),IF(Tabla1[[#This Row],[JULIO ]]&gt;45,Tabla1[[#This Row],[JULIO ]]/45-1,0))</f>
        <v>0</v>
      </c>
      <c r="AL493" s="103">
        <f>IF(Tabla1[[#This Row],[TIPO DE CONSUMIDOR]]="MEDIO",IF(Tabla1[[#This Row],[AGOSTO]]&gt;22.5,Tabla1[[#This Row],[AGOSTO]]/22.5-1,0),IF(Tabla1[[#This Row],[AGOSTO]]&gt;45,Tabla1[[#This Row],[AGOSTO]]/45-1,0))</f>
        <v>0</v>
      </c>
      <c r="AM49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3" s="104">
        <f t="shared" si="16"/>
        <v>0</v>
      </c>
      <c r="AR493" s="9">
        <f t="shared" si="15"/>
        <v>1</v>
      </c>
      <c r="AS493" s="60">
        <f>IF(Tabla1[[#This Row],[MESES DE ADEUDO DEL AÑO EN CURSO ]]&gt;0,1,0)</f>
        <v>1</v>
      </c>
      <c r="AT493" s="42"/>
      <c r="AU493" s="42"/>
      <c r="AV493" s="42"/>
      <c r="AW493" s="43"/>
    </row>
    <row r="494" spans="1:49" ht="21.75" thickBot="1" x14ac:dyDescent="0.35">
      <c r="A494" s="109">
        <v>488</v>
      </c>
      <c r="B494" s="5" t="s">
        <v>154</v>
      </c>
      <c r="C494" s="2" t="s">
        <v>504</v>
      </c>
      <c r="D494" s="32"/>
      <c r="E494" s="35" t="s">
        <v>455</v>
      </c>
      <c r="F494" s="34">
        <v>0</v>
      </c>
      <c r="G494" s="34">
        <v>0</v>
      </c>
      <c r="H494" s="34">
        <v>0</v>
      </c>
      <c r="I494" s="34">
        <v>0</v>
      </c>
      <c r="J494" s="34">
        <v>0</v>
      </c>
      <c r="K494" s="34">
        <v>0</v>
      </c>
      <c r="L494" s="34">
        <v>0</v>
      </c>
      <c r="M494" s="34">
        <v>0</v>
      </c>
      <c r="N494" s="34">
        <v>0</v>
      </c>
      <c r="O494" s="34">
        <v>0</v>
      </c>
      <c r="P494" s="34">
        <v>0</v>
      </c>
      <c r="Q494" s="34">
        <v>0</v>
      </c>
      <c r="R494" s="24">
        <f>SUM(Tabla1[[#This Row],[ENERO ]:[DICIEMBRE]])</f>
        <v>0</v>
      </c>
      <c r="W494" s="65">
        <v>5</v>
      </c>
      <c r="X494" s="21">
        <f>COUNTIF(Tabla1[[#This Row],[ENERO ]:[DICIEMBRE]],0)-(AQ494)-IF(Tabla1[[#This Row],[BAJAS]]="BAJA",IF(Tabla1[[#This Row],[ALTAS]]="ALTA",VLOOKUP(Tabla1[[#This Row],[MES DE ALTA ]],$AT$6:$AU$17,2,FALSE),12)-VLOOKUP(Tabla1[[#This Row],[MES DE BAJA ]],$AT$6:$AU$17,2,FALSE),0)</f>
        <v>12</v>
      </c>
      <c r="Y494" s="69">
        <f>SUM(Tabla1[[#This Row],[MES ADEUDO DE AÑOS PASADOS ]:[MESES DE ADEUDO DEL AÑO EN CURSO ]])</f>
        <v>17</v>
      </c>
      <c r="Z494" s="15">
        <f>IF(Tabla1[[#This Row],[TIPO DE CONSUMIDOR]]="COMPLETO",W494*$T$2,W494*($T$2/2))</f>
        <v>225</v>
      </c>
      <c r="AA494" s="15">
        <f>IF(Tabla1[[#This Row],[TIPO DE CONSUMIDOR]]="COMPLETO",Tabla1[[#This Row],[MESES DE ADEUDO DEL AÑO EN CURSO ]]*$T$2,Tabla1[[#This Row],[MESES DE ADEUDO DEL AÑO EN CURSO ]]*($T$2/2))</f>
        <v>540</v>
      </c>
      <c r="AB494" s="70">
        <f>SUM(Tabla1[[#This Row],[DEUDA DE LOS MESES PASADOS EN $$]:[DEUDA DEL AÑO 2013 $$ ]])</f>
        <v>765</v>
      </c>
      <c r="AE494" s="103">
        <f>IF(Tabla1[[#This Row],[TIPO DE CONSUMIDOR]]="MEDIO",IF(Tabla1[[#This Row],[ENERO ]]&gt;22.5,Tabla1[[#This Row],[ENERO ]]/22.5-1,0),IF(Tabla1[[#This Row],[ENERO ]]&gt;45,Tabla1[[#This Row],[ENERO ]]/45-1,0))</f>
        <v>0</v>
      </c>
      <c r="AF49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4" s="103">
        <f>IF(Tabla1[[#This Row],[TIPO DE CONSUMIDOR]]="MEDIO",IF(Tabla1[[#This Row],[MARZO]]&gt;22.5,Tabla1[[#This Row],[MARZO]]/22.5-1,0),IF(Tabla1[[#This Row],[MARZO]]&gt;45,Tabla1[[#This Row],[MARZO]]/45-1,0))</f>
        <v>0</v>
      </c>
      <c r="AH494" s="103">
        <f>IF(Tabla1[[#This Row],[TIPO DE CONSUMIDOR]]="MEDIO",IF(Tabla1[[#This Row],[ABRIL]]&gt;22.5,Tabla1[[#This Row],[ABRIL]]/22.5-1,0),IF(Tabla1[[#This Row],[ABRIL]]&gt;45,Tabla1[[#This Row],[ABRIL]]/45-1,0))</f>
        <v>0</v>
      </c>
      <c r="AI494" s="103">
        <f>IF(Tabla1[[#This Row],[TIPO DE CONSUMIDOR]]="MEDIO",IF(Tabla1[[#This Row],[MAYO ]]&gt;22.5,Tabla1[[#This Row],[MAYO ]]/22.5-1,0),IF(Tabla1[[#This Row],[MAYO ]]&gt;45,Tabla1[[#This Row],[MAYO ]]/45-1,0))</f>
        <v>0</v>
      </c>
      <c r="AJ494" s="103">
        <f>IF(Tabla1[[#This Row],[TIPO DE CONSUMIDOR]]="MEDIO",IF(Tabla1[[#This Row],[JUNIO ]]&gt;22.5,Tabla1[[#This Row],[JUNIO ]]/22.5-1,0),IF(Tabla1[[#This Row],[JUNIO ]]&gt;45,Tabla1[[#This Row],[JUNIO ]]/45-1,0))</f>
        <v>0</v>
      </c>
      <c r="AK494" s="103">
        <f>IF(Tabla1[[#This Row],[TIPO DE CONSUMIDOR]]="MEDIO",IF(Tabla1[[#This Row],[JULIO ]]&gt;22.5,Tabla1[[#This Row],[JULIO ]]/22.5-1,0),IF(Tabla1[[#This Row],[JULIO ]]&gt;45,Tabla1[[#This Row],[JULIO ]]/45-1,0))</f>
        <v>0</v>
      </c>
      <c r="AL494" s="103">
        <f>IF(Tabla1[[#This Row],[TIPO DE CONSUMIDOR]]="MEDIO",IF(Tabla1[[#This Row],[AGOSTO]]&gt;22.5,Tabla1[[#This Row],[AGOSTO]]/22.5-1,0),IF(Tabla1[[#This Row],[AGOSTO]]&gt;45,Tabla1[[#This Row],[AGOSTO]]/45-1,0))</f>
        <v>0</v>
      </c>
      <c r="AM49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4" s="104">
        <f t="shared" si="16"/>
        <v>0</v>
      </c>
      <c r="AR494" s="9">
        <f t="shared" si="15"/>
        <v>1</v>
      </c>
      <c r="AS494" s="60">
        <f>IF(Tabla1[[#This Row],[MESES DE ADEUDO DEL AÑO EN CURSO ]]&gt;0,1,0)</f>
        <v>1</v>
      </c>
      <c r="AT494" s="42"/>
      <c r="AU494" s="42"/>
      <c r="AV494" s="42"/>
      <c r="AW494" s="43"/>
    </row>
    <row r="495" spans="1:49" ht="21.75" thickBot="1" x14ac:dyDescent="0.35">
      <c r="A495" s="109">
        <v>489</v>
      </c>
      <c r="B495" s="5" t="s">
        <v>177</v>
      </c>
      <c r="C495" s="2" t="s">
        <v>511</v>
      </c>
      <c r="D495" s="32"/>
      <c r="E495" s="35" t="s">
        <v>455</v>
      </c>
      <c r="F495" s="34">
        <v>0</v>
      </c>
      <c r="G495" s="34">
        <v>0</v>
      </c>
      <c r="H495" s="34">
        <v>0</v>
      </c>
      <c r="I495" s="34">
        <v>0</v>
      </c>
      <c r="J495" s="34">
        <v>0</v>
      </c>
      <c r="K495" s="34">
        <v>0</v>
      </c>
      <c r="L495" s="34">
        <v>0</v>
      </c>
      <c r="M495" s="34">
        <v>0</v>
      </c>
      <c r="N495" s="34">
        <v>0</v>
      </c>
      <c r="O495" s="34">
        <v>0</v>
      </c>
      <c r="P495" s="34">
        <v>0</v>
      </c>
      <c r="Q495" s="34">
        <v>0</v>
      </c>
      <c r="R495" s="24">
        <f>SUM(Tabla1[[#This Row],[ENERO ]:[DICIEMBRE]])</f>
        <v>0</v>
      </c>
      <c r="W495" s="65">
        <v>5</v>
      </c>
      <c r="X495" s="21">
        <f>COUNTIF(Tabla1[[#This Row],[ENERO ]:[DICIEMBRE]],0)-(AQ495)-IF(Tabla1[[#This Row],[BAJAS]]="BAJA",IF(Tabla1[[#This Row],[ALTAS]]="ALTA",VLOOKUP(Tabla1[[#This Row],[MES DE ALTA ]],$AT$6:$AU$17,2,FALSE),12)-VLOOKUP(Tabla1[[#This Row],[MES DE BAJA ]],$AT$6:$AU$17,2,FALSE),0)</f>
        <v>12</v>
      </c>
      <c r="Y495" s="69">
        <f>SUM(Tabla1[[#This Row],[MES ADEUDO DE AÑOS PASADOS ]:[MESES DE ADEUDO DEL AÑO EN CURSO ]])</f>
        <v>17</v>
      </c>
      <c r="Z495" s="15">
        <f>IF(Tabla1[[#This Row],[TIPO DE CONSUMIDOR]]="COMPLETO",W495*$T$2,W495*($T$2/2))</f>
        <v>225</v>
      </c>
      <c r="AA495" s="15">
        <f>IF(Tabla1[[#This Row],[TIPO DE CONSUMIDOR]]="COMPLETO",Tabla1[[#This Row],[MESES DE ADEUDO DEL AÑO EN CURSO ]]*$T$2,Tabla1[[#This Row],[MESES DE ADEUDO DEL AÑO EN CURSO ]]*($T$2/2))</f>
        <v>540</v>
      </c>
      <c r="AB495" s="70">
        <f>SUM(Tabla1[[#This Row],[DEUDA DE LOS MESES PASADOS EN $$]:[DEUDA DEL AÑO 2013 $$ ]])</f>
        <v>765</v>
      </c>
      <c r="AE495" s="103">
        <f>IF(Tabla1[[#This Row],[TIPO DE CONSUMIDOR]]="MEDIO",IF(Tabla1[[#This Row],[ENERO ]]&gt;22.5,Tabla1[[#This Row],[ENERO ]]/22.5-1,0),IF(Tabla1[[#This Row],[ENERO ]]&gt;45,Tabla1[[#This Row],[ENERO ]]/45-1,0))</f>
        <v>0</v>
      </c>
      <c r="AF49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5" s="103">
        <f>IF(Tabla1[[#This Row],[TIPO DE CONSUMIDOR]]="MEDIO",IF(Tabla1[[#This Row],[MARZO]]&gt;22.5,Tabla1[[#This Row],[MARZO]]/22.5-1,0),IF(Tabla1[[#This Row],[MARZO]]&gt;45,Tabla1[[#This Row],[MARZO]]/45-1,0))</f>
        <v>0</v>
      </c>
      <c r="AH495" s="103">
        <f>IF(Tabla1[[#This Row],[TIPO DE CONSUMIDOR]]="MEDIO",IF(Tabla1[[#This Row],[ABRIL]]&gt;22.5,Tabla1[[#This Row],[ABRIL]]/22.5-1,0),IF(Tabla1[[#This Row],[ABRIL]]&gt;45,Tabla1[[#This Row],[ABRIL]]/45-1,0))</f>
        <v>0</v>
      </c>
      <c r="AI495" s="103">
        <f>IF(Tabla1[[#This Row],[TIPO DE CONSUMIDOR]]="MEDIO",IF(Tabla1[[#This Row],[MAYO ]]&gt;22.5,Tabla1[[#This Row],[MAYO ]]/22.5-1,0),IF(Tabla1[[#This Row],[MAYO ]]&gt;45,Tabla1[[#This Row],[MAYO ]]/45-1,0))</f>
        <v>0</v>
      </c>
      <c r="AJ495" s="103">
        <f>IF(Tabla1[[#This Row],[TIPO DE CONSUMIDOR]]="MEDIO",IF(Tabla1[[#This Row],[JUNIO ]]&gt;22.5,Tabla1[[#This Row],[JUNIO ]]/22.5-1,0),IF(Tabla1[[#This Row],[JUNIO ]]&gt;45,Tabla1[[#This Row],[JUNIO ]]/45-1,0))</f>
        <v>0</v>
      </c>
      <c r="AK495" s="103">
        <f>IF(Tabla1[[#This Row],[TIPO DE CONSUMIDOR]]="MEDIO",IF(Tabla1[[#This Row],[JULIO ]]&gt;22.5,Tabla1[[#This Row],[JULIO ]]/22.5-1,0),IF(Tabla1[[#This Row],[JULIO ]]&gt;45,Tabla1[[#This Row],[JULIO ]]/45-1,0))</f>
        <v>0</v>
      </c>
      <c r="AL495" s="103">
        <f>IF(Tabla1[[#This Row],[TIPO DE CONSUMIDOR]]="MEDIO",IF(Tabla1[[#This Row],[AGOSTO]]&gt;22.5,Tabla1[[#This Row],[AGOSTO]]/22.5-1,0),IF(Tabla1[[#This Row],[AGOSTO]]&gt;45,Tabla1[[#This Row],[AGOSTO]]/45-1,0))</f>
        <v>0</v>
      </c>
      <c r="AM49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5" s="104">
        <f t="shared" si="16"/>
        <v>0</v>
      </c>
      <c r="AR495" s="9">
        <f t="shared" si="15"/>
        <v>1</v>
      </c>
      <c r="AS495" s="60">
        <f>IF(Tabla1[[#This Row],[MESES DE ADEUDO DEL AÑO EN CURSO ]]&gt;0,1,0)</f>
        <v>1</v>
      </c>
      <c r="AT495" s="42"/>
      <c r="AU495" s="42"/>
      <c r="AV495" s="42"/>
      <c r="AW495" s="43"/>
    </row>
    <row r="496" spans="1:49" ht="21.75" thickBot="1" x14ac:dyDescent="0.35">
      <c r="A496" s="109">
        <v>490</v>
      </c>
      <c r="B496" s="5" t="s">
        <v>123</v>
      </c>
      <c r="C496" s="2" t="s">
        <v>524</v>
      </c>
      <c r="D496" s="32"/>
      <c r="E496" s="35" t="s">
        <v>455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24">
        <f>SUM(Tabla1[[#This Row],[ENERO ]:[DICIEMBRE]])</f>
        <v>0</v>
      </c>
      <c r="W496" s="65">
        <v>5</v>
      </c>
      <c r="X496" s="21">
        <f>COUNTIF(Tabla1[[#This Row],[ENERO ]:[DICIEMBRE]],0)-(AQ496)-IF(Tabla1[[#This Row],[BAJAS]]="BAJA",IF(Tabla1[[#This Row],[ALTAS]]="ALTA",VLOOKUP(Tabla1[[#This Row],[MES DE ALTA ]],$AT$6:$AU$17,2,FALSE),12)-VLOOKUP(Tabla1[[#This Row],[MES DE BAJA ]],$AT$6:$AU$17,2,FALSE),0)</f>
        <v>12</v>
      </c>
      <c r="Y496" s="69">
        <f>SUM(Tabla1[[#This Row],[MES ADEUDO DE AÑOS PASADOS ]:[MESES DE ADEUDO DEL AÑO EN CURSO ]])</f>
        <v>17</v>
      </c>
      <c r="Z496" s="15">
        <f>IF(Tabla1[[#This Row],[TIPO DE CONSUMIDOR]]="COMPLETO",W496*$T$2,W496*($T$2/2))</f>
        <v>225</v>
      </c>
      <c r="AA496" s="15">
        <f>IF(Tabla1[[#This Row],[TIPO DE CONSUMIDOR]]="COMPLETO",Tabla1[[#This Row],[MESES DE ADEUDO DEL AÑO EN CURSO ]]*$T$2,Tabla1[[#This Row],[MESES DE ADEUDO DEL AÑO EN CURSO ]]*($T$2/2))</f>
        <v>540</v>
      </c>
      <c r="AB496" s="70">
        <f>SUM(Tabla1[[#This Row],[DEUDA DE LOS MESES PASADOS EN $$]:[DEUDA DEL AÑO 2013 $$ ]])</f>
        <v>765</v>
      </c>
      <c r="AE496" s="103">
        <f>IF(Tabla1[[#This Row],[TIPO DE CONSUMIDOR]]="MEDIO",IF(Tabla1[[#This Row],[ENERO ]]&gt;22.5,Tabla1[[#This Row],[ENERO ]]/22.5-1,0),IF(Tabla1[[#This Row],[ENERO ]]&gt;45,Tabla1[[#This Row],[ENERO ]]/45-1,0))</f>
        <v>0</v>
      </c>
      <c r="AF49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6" s="103">
        <f>IF(Tabla1[[#This Row],[TIPO DE CONSUMIDOR]]="MEDIO",IF(Tabla1[[#This Row],[MARZO]]&gt;22.5,Tabla1[[#This Row],[MARZO]]/22.5-1,0),IF(Tabla1[[#This Row],[MARZO]]&gt;45,Tabla1[[#This Row],[MARZO]]/45-1,0))</f>
        <v>0</v>
      </c>
      <c r="AH496" s="103">
        <f>IF(Tabla1[[#This Row],[TIPO DE CONSUMIDOR]]="MEDIO",IF(Tabla1[[#This Row],[ABRIL]]&gt;22.5,Tabla1[[#This Row],[ABRIL]]/22.5-1,0),IF(Tabla1[[#This Row],[ABRIL]]&gt;45,Tabla1[[#This Row],[ABRIL]]/45-1,0))</f>
        <v>0</v>
      </c>
      <c r="AI496" s="103">
        <f>IF(Tabla1[[#This Row],[TIPO DE CONSUMIDOR]]="MEDIO",IF(Tabla1[[#This Row],[MAYO ]]&gt;22.5,Tabla1[[#This Row],[MAYO ]]/22.5-1,0),IF(Tabla1[[#This Row],[MAYO ]]&gt;45,Tabla1[[#This Row],[MAYO ]]/45-1,0))</f>
        <v>0</v>
      </c>
      <c r="AJ496" s="103">
        <f>IF(Tabla1[[#This Row],[TIPO DE CONSUMIDOR]]="MEDIO",IF(Tabla1[[#This Row],[JUNIO ]]&gt;22.5,Tabla1[[#This Row],[JUNIO ]]/22.5-1,0),IF(Tabla1[[#This Row],[JUNIO ]]&gt;45,Tabla1[[#This Row],[JUNIO ]]/45-1,0))</f>
        <v>0</v>
      </c>
      <c r="AK496" s="103">
        <f>IF(Tabla1[[#This Row],[TIPO DE CONSUMIDOR]]="MEDIO",IF(Tabla1[[#This Row],[JULIO ]]&gt;22.5,Tabla1[[#This Row],[JULIO ]]/22.5-1,0),IF(Tabla1[[#This Row],[JULIO ]]&gt;45,Tabla1[[#This Row],[JULIO ]]/45-1,0))</f>
        <v>0</v>
      </c>
      <c r="AL496" s="103">
        <f>IF(Tabla1[[#This Row],[TIPO DE CONSUMIDOR]]="MEDIO",IF(Tabla1[[#This Row],[AGOSTO]]&gt;22.5,Tabla1[[#This Row],[AGOSTO]]/22.5-1,0),IF(Tabla1[[#This Row],[AGOSTO]]&gt;45,Tabla1[[#This Row],[AGOSTO]]/45-1,0))</f>
        <v>0</v>
      </c>
      <c r="AM49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6" s="104">
        <f t="shared" si="16"/>
        <v>0</v>
      </c>
      <c r="AR496" s="9">
        <f t="shared" si="15"/>
        <v>1</v>
      </c>
      <c r="AS496" s="60">
        <f>IF(Tabla1[[#This Row],[MESES DE ADEUDO DEL AÑO EN CURSO ]]&gt;0,1,0)</f>
        <v>1</v>
      </c>
      <c r="AT496" s="42"/>
      <c r="AU496" s="42"/>
      <c r="AV496" s="42"/>
      <c r="AW496" s="43"/>
    </row>
    <row r="497" spans="1:49" ht="21.75" thickBot="1" x14ac:dyDescent="0.35">
      <c r="A497" s="109">
        <v>491</v>
      </c>
      <c r="B497" s="5" t="s">
        <v>89</v>
      </c>
      <c r="C497" s="2" t="s">
        <v>530</v>
      </c>
      <c r="D497" s="32"/>
      <c r="E497" s="35" t="s">
        <v>455</v>
      </c>
      <c r="F497" s="34">
        <v>0</v>
      </c>
      <c r="G497" s="34">
        <v>0</v>
      </c>
      <c r="H497" s="34">
        <v>0</v>
      </c>
      <c r="I497" s="34">
        <v>0</v>
      </c>
      <c r="J497" s="34">
        <v>0</v>
      </c>
      <c r="K497" s="34">
        <v>0</v>
      </c>
      <c r="L497" s="34">
        <v>0</v>
      </c>
      <c r="M497" s="34">
        <v>0</v>
      </c>
      <c r="N497" s="34">
        <v>0</v>
      </c>
      <c r="O497" s="34">
        <v>0</v>
      </c>
      <c r="P497" s="34">
        <v>0</v>
      </c>
      <c r="Q497" s="34">
        <v>0</v>
      </c>
      <c r="R497" s="24">
        <f>SUM(Tabla1[[#This Row],[ENERO ]:[DICIEMBRE]])</f>
        <v>0</v>
      </c>
      <c r="W497" s="65">
        <v>5</v>
      </c>
      <c r="X497" s="21">
        <f>COUNTIF(Tabla1[[#This Row],[ENERO ]:[DICIEMBRE]],0)-(AQ497)-IF(Tabla1[[#This Row],[BAJAS]]="BAJA",IF(Tabla1[[#This Row],[ALTAS]]="ALTA",VLOOKUP(Tabla1[[#This Row],[MES DE ALTA ]],$AT$6:$AU$17,2,FALSE),12)-VLOOKUP(Tabla1[[#This Row],[MES DE BAJA ]],$AT$6:$AU$17,2,FALSE),0)</f>
        <v>12</v>
      </c>
      <c r="Y497" s="69">
        <f>SUM(Tabla1[[#This Row],[MES ADEUDO DE AÑOS PASADOS ]:[MESES DE ADEUDO DEL AÑO EN CURSO ]])</f>
        <v>17</v>
      </c>
      <c r="Z497" s="15">
        <f>IF(Tabla1[[#This Row],[TIPO DE CONSUMIDOR]]="COMPLETO",W497*$T$2,W497*($T$2/2))</f>
        <v>225</v>
      </c>
      <c r="AA497" s="15">
        <f>IF(Tabla1[[#This Row],[TIPO DE CONSUMIDOR]]="COMPLETO",Tabla1[[#This Row],[MESES DE ADEUDO DEL AÑO EN CURSO ]]*$T$2,Tabla1[[#This Row],[MESES DE ADEUDO DEL AÑO EN CURSO ]]*($T$2/2))</f>
        <v>540</v>
      </c>
      <c r="AB497" s="70">
        <f>SUM(Tabla1[[#This Row],[DEUDA DE LOS MESES PASADOS EN $$]:[DEUDA DEL AÑO 2013 $$ ]])</f>
        <v>765</v>
      </c>
      <c r="AE497" s="103">
        <f>IF(Tabla1[[#This Row],[TIPO DE CONSUMIDOR]]="MEDIO",IF(Tabla1[[#This Row],[ENERO ]]&gt;22.5,Tabla1[[#This Row],[ENERO ]]/22.5-1,0),IF(Tabla1[[#This Row],[ENERO ]]&gt;45,Tabla1[[#This Row],[ENERO ]]/45-1,0))</f>
        <v>0</v>
      </c>
      <c r="AF49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7" s="103">
        <f>IF(Tabla1[[#This Row],[TIPO DE CONSUMIDOR]]="MEDIO",IF(Tabla1[[#This Row],[MARZO]]&gt;22.5,Tabla1[[#This Row],[MARZO]]/22.5-1,0),IF(Tabla1[[#This Row],[MARZO]]&gt;45,Tabla1[[#This Row],[MARZO]]/45-1,0))</f>
        <v>0</v>
      </c>
      <c r="AH497" s="103">
        <f>IF(Tabla1[[#This Row],[TIPO DE CONSUMIDOR]]="MEDIO",IF(Tabla1[[#This Row],[ABRIL]]&gt;22.5,Tabla1[[#This Row],[ABRIL]]/22.5-1,0),IF(Tabla1[[#This Row],[ABRIL]]&gt;45,Tabla1[[#This Row],[ABRIL]]/45-1,0))</f>
        <v>0</v>
      </c>
      <c r="AI497" s="103">
        <f>IF(Tabla1[[#This Row],[TIPO DE CONSUMIDOR]]="MEDIO",IF(Tabla1[[#This Row],[MAYO ]]&gt;22.5,Tabla1[[#This Row],[MAYO ]]/22.5-1,0),IF(Tabla1[[#This Row],[MAYO ]]&gt;45,Tabla1[[#This Row],[MAYO ]]/45-1,0))</f>
        <v>0</v>
      </c>
      <c r="AJ497" s="103">
        <f>IF(Tabla1[[#This Row],[TIPO DE CONSUMIDOR]]="MEDIO",IF(Tabla1[[#This Row],[JUNIO ]]&gt;22.5,Tabla1[[#This Row],[JUNIO ]]/22.5-1,0),IF(Tabla1[[#This Row],[JUNIO ]]&gt;45,Tabla1[[#This Row],[JUNIO ]]/45-1,0))</f>
        <v>0</v>
      </c>
      <c r="AK497" s="103">
        <f>IF(Tabla1[[#This Row],[TIPO DE CONSUMIDOR]]="MEDIO",IF(Tabla1[[#This Row],[JULIO ]]&gt;22.5,Tabla1[[#This Row],[JULIO ]]/22.5-1,0),IF(Tabla1[[#This Row],[JULIO ]]&gt;45,Tabla1[[#This Row],[JULIO ]]/45-1,0))</f>
        <v>0</v>
      </c>
      <c r="AL497" s="103">
        <f>IF(Tabla1[[#This Row],[TIPO DE CONSUMIDOR]]="MEDIO",IF(Tabla1[[#This Row],[AGOSTO]]&gt;22.5,Tabla1[[#This Row],[AGOSTO]]/22.5-1,0),IF(Tabla1[[#This Row],[AGOSTO]]&gt;45,Tabla1[[#This Row],[AGOSTO]]/45-1,0))</f>
        <v>0</v>
      </c>
      <c r="AM49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7" s="104">
        <f t="shared" si="16"/>
        <v>0</v>
      </c>
      <c r="AR497" s="9">
        <f t="shared" si="15"/>
        <v>1</v>
      </c>
      <c r="AS497" s="60">
        <f>IF(Tabla1[[#This Row],[MESES DE ADEUDO DEL AÑO EN CURSO ]]&gt;0,1,0)</f>
        <v>1</v>
      </c>
      <c r="AT497" s="42"/>
      <c r="AU497" s="42"/>
      <c r="AV497" s="42"/>
      <c r="AW497" s="43"/>
    </row>
    <row r="498" spans="1:49" ht="21.75" thickBot="1" x14ac:dyDescent="0.35">
      <c r="A498" s="109">
        <v>492</v>
      </c>
      <c r="B498" s="5" t="s">
        <v>120</v>
      </c>
      <c r="C498" s="2" t="s">
        <v>549</v>
      </c>
      <c r="D498" s="32"/>
      <c r="E498" s="35" t="s">
        <v>455</v>
      </c>
      <c r="F498" s="34">
        <v>0</v>
      </c>
      <c r="G498" s="34">
        <v>0</v>
      </c>
      <c r="H498" s="34">
        <v>0</v>
      </c>
      <c r="I498" s="34">
        <v>0</v>
      </c>
      <c r="J498" s="34">
        <v>0</v>
      </c>
      <c r="K498" s="34">
        <v>0</v>
      </c>
      <c r="L498" s="34">
        <v>0</v>
      </c>
      <c r="M498" s="34">
        <v>0</v>
      </c>
      <c r="N498" s="34">
        <v>0</v>
      </c>
      <c r="O498" s="34">
        <v>0</v>
      </c>
      <c r="P498" s="34">
        <v>0</v>
      </c>
      <c r="Q498" s="34">
        <v>0</v>
      </c>
      <c r="R498" s="24">
        <f>SUM(Tabla1[[#This Row],[ENERO ]:[DICIEMBRE]])</f>
        <v>0</v>
      </c>
      <c r="W498" s="65">
        <v>5</v>
      </c>
      <c r="X498" s="21">
        <f>COUNTIF(Tabla1[[#This Row],[ENERO ]:[DICIEMBRE]],0)-(AQ498)-IF(Tabla1[[#This Row],[BAJAS]]="BAJA",IF(Tabla1[[#This Row],[ALTAS]]="ALTA",VLOOKUP(Tabla1[[#This Row],[MES DE ALTA ]],$AT$6:$AU$17,2,FALSE),12)-VLOOKUP(Tabla1[[#This Row],[MES DE BAJA ]],$AT$6:$AU$17,2,FALSE),0)</f>
        <v>12</v>
      </c>
      <c r="Y498" s="69">
        <f>SUM(Tabla1[[#This Row],[MES ADEUDO DE AÑOS PASADOS ]:[MESES DE ADEUDO DEL AÑO EN CURSO ]])</f>
        <v>17</v>
      </c>
      <c r="Z498" s="15">
        <f>IF(Tabla1[[#This Row],[TIPO DE CONSUMIDOR]]="COMPLETO",W498*$T$2,W498*($T$2/2))</f>
        <v>225</v>
      </c>
      <c r="AA498" s="15">
        <f>IF(Tabla1[[#This Row],[TIPO DE CONSUMIDOR]]="COMPLETO",Tabla1[[#This Row],[MESES DE ADEUDO DEL AÑO EN CURSO ]]*$T$2,Tabla1[[#This Row],[MESES DE ADEUDO DEL AÑO EN CURSO ]]*($T$2/2))</f>
        <v>540</v>
      </c>
      <c r="AB498" s="70">
        <f>SUM(Tabla1[[#This Row],[DEUDA DE LOS MESES PASADOS EN $$]:[DEUDA DEL AÑO 2013 $$ ]])</f>
        <v>765</v>
      </c>
      <c r="AE498" s="103">
        <f>IF(Tabla1[[#This Row],[TIPO DE CONSUMIDOR]]="MEDIO",IF(Tabla1[[#This Row],[ENERO ]]&gt;22.5,Tabla1[[#This Row],[ENERO ]]/22.5-1,0),IF(Tabla1[[#This Row],[ENERO ]]&gt;45,Tabla1[[#This Row],[ENERO ]]/45-1,0))</f>
        <v>0</v>
      </c>
      <c r="AF49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8" s="103">
        <f>IF(Tabla1[[#This Row],[TIPO DE CONSUMIDOR]]="MEDIO",IF(Tabla1[[#This Row],[MARZO]]&gt;22.5,Tabla1[[#This Row],[MARZO]]/22.5-1,0),IF(Tabla1[[#This Row],[MARZO]]&gt;45,Tabla1[[#This Row],[MARZO]]/45-1,0))</f>
        <v>0</v>
      </c>
      <c r="AH498" s="103">
        <f>IF(Tabla1[[#This Row],[TIPO DE CONSUMIDOR]]="MEDIO",IF(Tabla1[[#This Row],[ABRIL]]&gt;22.5,Tabla1[[#This Row],[ABRIL]]/22.5-1,0),IF(Tabla1[[#This Row],[ABRIL]]&gt;45,Tabla1[[#This Row],[ABRIL]]/45-1,0))</f>
        <v>0</v>
      </c>
      <c r="AI498" s="103">
        <f>IF(Tabla1[[#This Row],[TIPO DE CONSUMIDOR]]="MEDIO",IF(Tabla1[[#This Row],[MAYO ]]&gt;22.5,Tabla1[[#This Row],[MAYO ]]/22.5-1,0),IF(Tabla1[[#This Row],[MAYO ]]&gt;45,Tabla1[[#This Row],[MAYO ]]/45-1,0))</f>
        <v>0</v>
      </c>
      <c r="AJ498" s="103">
        <f>IF(Tabla1[[#This Row],[TIPO DE CONSUMIDOR]]="MEDIO",IF(Tabla1[[#This Row],[JUNIO ]]&gt;22.5,Tabla1[[#This Row],[JUNIO ]]/22.5-1,0),IF(Tabla1[[#This Row],[JUNIO ]]&gt;45,Tabla1[[#This Row],[JUNIO ]]/45-1,0))</f>
        <v>0</v>
      </c>
      <c r="AK498" s="103">
        <f>IF(Tabla1[[#This Row],[TIPO DE CONSUMIDOR]]="MEDIO",IF(Tabla1[[#This Row],[JULIO ]]&gt;22.5,Tabla1[[#This Row],[JULIO ]]/22.5-1,0),IF(Tabla1[[#This Row],[JULIO ]]&gt;45,Tabla1[[#This Row],[JULIO ]]/45-1,0))</f>
        <v>0</v>
      </c>
      <c r="AL498" s="103">
        <f>IF(Tabla1[[#This Row],[TIPO DE CONSUMIDOR]]="MEDIO",IF(Tabla1[[#This Row],[AGOSTO]]&gt;22.5,Tabla1[[#This Row],[AGOSTO]]/22.5-1,0),IF(Tabla1[[#This Row],[AGOSTO]]&gt;45,Tabla1[[#This Row],[AGOSTO]]/45-1,0))</f>
        <v>0</v>
      </c>
      <c r="AM49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8" s="104">
        <f t="shared" si="16"/>
        <v>0</v>
      </c>
      <c r="AR498" s="9">
        <f t="shared" si="15"/>
        <v>1</v>
      </c>
      <c r="AS498" s="60">
        <f>IF(Tabla1[[#This Row],[MESES DE ADEUDO DEL AÑO EN CURSO ]]&gt;0,1,0)</f>
        <v>1</v>
      </c>
      <c r="AT498" s="42"/>
      <c r="AU498" s="42"/>
      <c r="AV498" s="42"/>
      <c r="AW498" s="43"/>
    </row>
    <row r="499" spans="1:49" ht="21.75" thickBot="1" x14ac:dyDescent="0.35">
      <c r="A499" s="109">
        <v>493</v>
      </c>
      <c r="B499" s="5" t="s">
        <v>40</v>
      </c>
      <c r="C499" s="2" t="s">
        <v>575</v>
      </c>
      <c r="D499" s="32"/>
      <c r="E499" s="35" t="s">
        <v>455</v>
      </c>
      <c r="F499" s="34">
        <v>0</v>
      </c>
      <c r="G499" s="34">
        <v>0</v>
      </c>
      <c r="H499" s="34">
        <v>0</v>
      </c>
      <c r="I499" s="34">
        <v>0</v>
      </c>
      <c r="J499" s="34">
        <v>0</v>
      </c>
      <c r="K499" s="34">
        <v>0</v>
      </c>
      <c r="L499" s="34">
        <v>0</v>
      </c>
      <c r="M499" s="34">
        <v>0</v>
      </c>
      <c r="N499" s="34">
        <v>0</v>
      </c>
      <c r="O499" s="34">
        <v>0</v>
      </c>
      <c r="P499" s="34">
        <v>0</v>
      </c>
      <c r="Q499" s="34">
        <v>0</v>
      </c>
      <c r="R499" s="24">
        <f>SUM(Tabla1[[#This Row],[ENERO ]:[DICIEMBRE]])</f>
        <v>0</v>
      </c>
      <c r="W499" s="65">
        <v>5</v>
      </c>
      <c r="X499" s="21">
        <f>COUNTIF(Tabla1[[#This Row],[ENERO ]:[DICIEMBRE]],0)-(AQ499)-IF(Tabla1[[#This Row],[BAJAS]]="BAJA",IF(Tabla1[[#This Row],[ALTAS]]="ALTA",VLOOKUP(Tabla1[[#This Row],[MES DE ALTA ]],$AT$6:$AU$17,2,FALSE),12)-VLOOKUP(Tabla1[[#This Row],[MES DE BAJA ]],$AT$6:$AU$17,2,FALSE),0)</f>
        <v>12</v>
      </c>
      <c r="Y499" s="69">
        <f>SUM(Tabla1[[#This Row],[MES ADEUDO DE AÑOS PASADOS ]:[MESES DE ADEUDO DEL AÑO EN CURSO ]])</f>
        <v>17</v>
      </c>
      <c r="Z499" s="15">
        <f>IF(Tabla1[[#This Row],[TIPO DE CONSUMIDOR]]="COMPLETO",W499*$T$2,W499*($T$2/2))</f>
        <v>225</v>
      </c>
      <c r="AA499" s="15">
        <f>IF(Tabla1[[#This Row],[TIPO DE CONSUMIDOR]]="COMPLETO",Tabla1[[#This Row],[MESES DE ADEUDO DEL AÑO EN CURSO ]]*$T$2,Tabla1[[#This Row],[MESES DE ADEUDO DEL AÑO EN CURSO ]]*($T$2/2))</f>
        <v>540</v>
      </c>
      <c r="AB499" s="70">
        <f>SUM(Tabla1[[#This Row],[DEUDA DE LOS MESES PASADOS EN $$]:[DEUDA DEL AÑO 2013 $$ ]])</f>
        <v>765</v>
      </c>
      <c r="AE499" s="103">
        <f>IF(Tabla1[[#This Row],[TIPO DE CONSUMIDOR]]="MEDIO",IF(Tabla1[[#This Row],[ENERO ]]&gt;22.5,Tabla1[[#This Row],[ENERO ]]/22.5-1,0),IF(Tabla1[[#This Row],[ENERO ]]&gt;45,Tabla1[[#This Row],[ENERO ]]/45-1,0))</f>
        <v>0</v>
      </c>
      <c r="AF49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499" s="103">
        <f>IF(Tabla1[[#This Row],[TIPO DE CONSUMIDOR]]="MEDIO",IF(Tabla1[[#This Row],[MARZO]]&gt;22.5,Tabla1[[#This Row],[MARZO]]/22.5-1,0),IF(Tabla1[[#This Row],[MARZO]]&gt;45,Tabla1[[#This Row],[MARZO]]/45-1,0))</f>
        <v>0</v>
      </c>
      <c r="AH499" s="103">
        <f>IF(Tabla1[[#This Row],[TIPO DE CONSUMIDOR]]="MEDIO",IF(Tabla1[[#This Row],[ABRIL]]&gt;22.5,Tabla1[[#This Row],[ABRIL]]/22.5-1,0),IF(Tabla1[[#This Row],[ABRIL]]&gt;45,Tabla1[[#This Row],[ABRIL]]/45-1,0))</f>
        <v>0</v>
      </c>
      <c r="AI499" s="103">
        <f>IF(Tabla1[[#This Row],[TIPO DE CONSUMIDOR]]="MEDIO",IF(Tabla1[[#This Row],[MAYO ]]&gt;22.5,Tabla1[[#This Row],[MAYO ]]/22.5-1,0),IF(Tabla1[[#This Row],[MAYO ]]&gt;45,Tabla1[[#This Row],[MAYO ]]/45-1,0))</f>
        <v>0</v>
      </c>
      <c r="AJ499" s="103">
        <f>IF(Tabla1[[#This Row],[TIPO DE CONSUMIDOR]]="MEDIO",IF(Tabla1[[#This Row],[JUNIO ]]&gt;22.5,Tabla1[[#This Row],[JUNIO ]]/22.5-1,0),IF(Tabla1[[#This Row],[JUNIO ]]&gt;45,Tabla1[[#This Row],[JUNIO ]]/45-1,0))</f>
        <v>0</v>
      </c>
      <c r="AK499" s="103">
        <f>IF(Tabla1[[#This Row],[TIPO DE CONSUMIDOR]]="MEDIO",IF(Tabla1[[#This Row],[JULIO ]]&gt;22.5,Tabla1[[#This Row],[JULIO ]]/22.5-1,0),IF(Tabla1[[#This Row],[JULIO ]]&gt;45,Tabla1[[#This Row],[JULIO ]]/45-1,0))</f>
        <v>0</v>
      </c>
      <c r="AL499" s="103">
        <f>IF(Tabla1[[#This Row],[TIPO DE CONSUMIDOR]]="MEDIO",IF(Tabla1[[#This Row],[AGOSTO]]&gt;22.5,Tabla1[[#This Row],[AGOSTO]]/22.5-1,0),IF(Tabla1[[#This Row],[AGOSTO]]&gt;45,Tabla1[[#This Row],[AGOSTO]]/45-1,0))</f>
        <v>0</v>
      </c>
      <c r="AM49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49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49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49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499" s="104">
        <f t="shared" si="16"/>
        <v>0</v>
      </c>
      <c r="AR499" s="9">
        <f t="shared" si="15"/>
        <v>1</v>
      </c>
      <c r="AS499" s="60">
        <f>IF(Tabla1[[#This Row],[MESES DE ADEUDO DEL AÑO EN CURSO ]]&gt;0,1,0)</f>
        <v>1</v>
      </c>
      <c r="AT499" s="42"/>
      <c r="AU499" s="42"/>
      <c r="AV499" s="42"/>
      <c r="AW499" s="43"/>
    </row>
    <row r="500" spans="1:49" ht="21.75" thickBot="1" x14ac:dyDescent="0.35">
      <c r="A500" s="109">
        <v>494</v>
      </c>
      <c r="B500" s="5" t="s">
        <v>303</v>
      </c>
      <c r="C500" s="2"/>
      <c r="D500" s="32"/>
      <c r="E500" s="35" t="s">
        <v>455</v>
      </c>
      <c r="F500" s="34">
        <v>0</v>
      </c>
      <c r="G500" s="34">
        <v>0</v>
      </c>
      <c r="H500" s="34">
        <v>0</v>
      </c>
      <c r="I500" s="34">
        <v>0</v>
      </c>
      <c r="J500" s="34">
        <v>0</v>
      </c>
      <c r="K500" s="34">
        <v>0</v>
      </c>
      <c r="L500" s="34">
        <v>0</v>
      </c>
      <c r="M500" s="34">
        <v>0</v>
      </c>
      <c r="N500" s="34">
        <v>0</v>
      </c>
      <c r="O500" s="34">
        <v>0</v>
      </c>
      <c r="P500" s="34">
        <v>0</v>
      </c>
      <c r="Q500" s="34">
        <v>0</v>
      </c>
      <c r="R500" s="24">
        <f>SUM(Tabla1[[#This Row],[ENERO ]:[DICIEMBRE]])</f>
        <v>0</v>
      </c>
      <c r="W500" s="65">
        <v>5</v>
      </c>
      <c r="X500" s="21">
        <f>COUNTIF(Tabla1[[#This Row],[ENERO ]:[DICIEMBRE]],0)-(AQ500)-IF(Tabla1[[#This Row],[BAJAS]]="BAJA",IF(Tabla1[[#This Row],[ALTAS]]="ALTA",VLOOKUP(Tabla1[[#This Row],[MES DE ALTA ]],$AT$6:$AU$17,2,FALSE),12)-VLOOKUP(Tabla1[[#This Row],[MES DE BAJA ]],$AT$6:$AU$17,2,FALSE),0)</f>
        <v>12</v>
      </c>
      <c r="Y500" s="69">
        <f>SUM(Tabla1[[#This Row],[MES ADEUDO DE AÑOS PASADOS ]:[MESES DE ADEUDO DEL AÑO EN CURSO ]])</f>
        <v>17</v>
      </c>
      <c r="Z500" s="15">
        <f>IF(Tabla1[[#This Row],[TIPO DE CONSUMIDOR]]="COMPLETO",W500*$T$2,W500*($T$2/2))</f>
        <v>225</v>
      </c>
      <c r="AA500" s="15">
        <f>IF(Tabla1[[#This Row],[TIPO DE CONSUMIDOR]]="COMPLETO",Tabla1[[#This Row],[MESES DE ADEUDO DEL AÑO EN CURSO ]]*$T$2,Tabla1[[#This Row],[MESES DE ADEUDO DEL AÑO EN CURSO ]]*($T$2/2))</f>
        <v>540</v>
      </c>
      <c r="AB500" s="70">
        <f>SUM(Tabla1[[#This Row],[DEUDA DE LOS MESES PASADOS EN $$]:[DEUDA DEL AÑO 2013 $$ ]])</f>
        <v>765</v>
      </c>
      <c r="AE500" s="103">
        <f>IF(Tabla1[[#This Row],[TIPO DE CONSUMIDOR]]="MEDIO",IF(Tabla1[[#This Row],[ENERO ]]&gt;22.5,Tabla1[[#This Row],[ENERO ]]/22.5-1,0),IF(Tabla1[[#This Row],[ENERO ]]&gt;45,Tabla1[[#This Row],[ENERO ]]/45-1,0))</f>
        <v>0</v>
      </c>
      <c r="AF50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0" s="103">
        <f>IF(Tabla1[[#This Row],[TIPO DE CONSUMIDOR]]="MEDIO",IF(Tabla1[[#This Row],[MARZO]]&gt;22.5,Tabla1[[#This Row],[MARZO]]/22.5-1,0),IF(Tabla1[[#This Row],[MARZO]]&gt;45,Tabla1[[#This Row],[MARZO]]/45-1,0))</f>
        <v>0</v>
      </c>
      <c r="AH500" s="103">
        <f>IF(Tabla1[[#This Row],[TIPO DE CONSUMIDOR]]="MEDIO",IF(Tabla1[[#This Row],[ABRIL]]&gt;22.5,Tabla1[[#This Row],[ABRIL]]/22.5-1,0),IF(Tabla1[[#This Row],[ABRIL]]&gt;45,Tabla1[[#This Row],[ABRIL]]/45-1,0))</f>
        <v>0</v>
      </c>
      <c r="AI500" s="103">
        <f>IF(Tabla1[[#This Row],[TIPO DE CONSUMIDOR]]="MEDIO",IF(Tabla1[[#This Row],[MAYO ]]&gt;22.5,Tabla1[[#This Row],[MAYO ]]/22.5-1,0),IF(Tabla1[[#This Row],[MAYO ]]&gt;45,Tabla1[[#This Row],[MAYO ]]/45-1,0))</f>
        <v>0</v>
      </c>
      <c r="AJ500" s="103">
        <f>IF(Tabla1[[#This Row],[TIPO DE CONSUMIDOR]]="MEDIO",IF(Tabla1[[#This Row],[JUNIO ]]&gt;22.5,Tabla1[[#This Row],[JUNIO ]]/22.5-1,0),IF(Tabla1[[#This Row],[JUNIO ]]&gt;45,Tabla1[[#This Row],[JUNIO ]]/45-1,0))</f>
        <v>0</v>
      </c>
      <c r="AK500" s="103">
        <f>IF(Tabla1[[#This Row],[TIPO DE CONSUMIDOR]]="MEDIO",IF(Tabla1[[#This Row],[JULIO ]]&gt;22.5,Tabla1[[#This Row],[JULIO ]]/22.5-1,0),IF(Tabla1[[#This Row],[JULIO ]]&gt;45,Tabla1[[#This Row],[JULIO ]]/45-1,0))</f>
        <v>0</v>
      </c>
      <c r="AL500" s="103">
        <f>IF(Tabla1[[#This Row],[TIPO DE CONSUMIDOR]]="MEDIO",IF(Tabla1[[#This Row],[AGOSTO]]&gt;22.5,Tabla1[[#This Row],[AGOSTO]]/22.5-1,0),IF(Tabla1[[#This Row],[AGOSTO]]&gt;45,Tabla1[[#This Row],[AGOSTO]]/45-1,0))</f>
        <v>0</v>
      </c>
      <c r="AM50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0" s="104">
        <f t="shared" si="16"/>
        <v>0</v>
      </c>
      <c r="AR500" s="9">
        <f t="shared" si="15"/>
        <v>1</v>
      </c>
      <c r="AS500" s="60">
        <f>IF(Tabla1[[#This Row],[MESES DE ADEUDO DEL AÑO EN CURSO ]]&gt;0,1,0)</f>
        <v>1</v>
      </c>
      <c r="AT500" s="42"/>
      <c r="AU500" s="42"/>
      <c r="AV500" s="42"/>
      <c r="AW500" s="43"/>
    </row>
    <row r="501" spans="1:49" ht="21.75" thickBot="1" x14ac:dyDescent="0.35">
      <c r="A501" s="109">
        <v>495</v>
      </c>
      <c r="B501" s="5" t="s">
        <v>386</v>
      </c>
      <c r="C501" s="2"/>
      <c r="D501" s="32"/>
      <c r="E501" s="35" t="s">
        <v>455</v>
      </c>
      <c r="F501" s="34">
        <v>0</v>
      </c>
      <c r="G501" s="34">
        <v>0</v>
      </c>
      <c r="H501" s="34">
        <v>0</v>
      </c>
      <c r="I501" s="34">
        <v>0</v>
      </c>
      <c r="J501" s="34">
        <v>0</v>
      </c>
      <c r="K501" s="34">
        <v>0</v>
      </c>
      <c r="L501" s="34">
        <v>0</v>
      </c>
      <c r="M501" s="34">
        <v>0</v>
      </c>
      <c r="N501" s="34">
        <v>0</v>
      </c>
      <c r="O501" s="34">
        <v>0</v>
      </c>
      <c r="P501" s="34">
        <v>0</v>
      </c>
      <c r="Q501" s="34">
        <v>0</v>
      </c>
      <c r="R501" s="58">
        <f>SUM(Tabla1[[#This Row],[ENERO ]:[DICIEMBRE]])</f>
        <v>0</v>
      </c>
      <c r="W501" s="65">
        <v>5</v>
      </c>
      <c r="X501" s="21">
        <f>COUNTIF(Tabla1[[#This Row],[ENERO ]:[DICIEMBRE]],0)-(AQ501)-IF(Tabla1[[#This Row],[BAJAS]]="BAJA",IF(Tabla1[[#This Row],[ALTAS]]="ALTA",VLOOKUP(Tabla1[[#This Row],[MES DE ALTA ]],$AT$6:$AU$17,2,FALSE),12)-VLOOKUP(Tabla1[[#This Row],[MES DE BAJA ]],$AT$6:$AU$17,2,FALSE),0)</f>
        <v>12</v>
      </c>
      <c r="Y501" s="69">
        <f>SUM(Tabla1[[#This Row],[MES ADEUDO DE AÑOS PASADOS ]:[MESES DE ADEUDO DEL AÑO EN CURSO ]])</f>
        <v>17</v>
      </c>
      <c r="Z501" s="15">
        <f>IF(Tabla1[[#This Row],[TIPO DE CONSUMIDOR]]="COMPLETO",W501*$T$2,W501*($T$2/2))</f>
        <v>225</v>
      </c>
      <c r="AA501" s="15">
        <f>IF(Tabla1[[#This Row],[TIPO DE CONSUMIDOR]]="COMPLETO",Tabla1[[#This Row],[MESES DE ADEUDO DEL AÑO EN CURSO ]]*$T$2,Tabla1[[#This Row],[MESES DE ADEUDO DEL AÑO EN CURSO ]]*($T$2/2))</f>
        <v>540</v>
      </c>
      <c r="AB501" s="70">
        <f>SUM(Tabla1[[#This Row],[DEUDA DE LOS MESES PASADOS EN $$]:[DEUDA DEL AÑO 2013 $$ ]])</f>
        <v>765</v>
      </c>
      <c r="AE501" s="103">
        <f>IF(Tabla1[[#This Row],[TIPO DE CONSUMIDOR]]="MEDIO",IF(Tabla1[[#This Row],[ENERO ]]&gt;22.5,Tabla1[[#This Row],[ENERO ]]/22.5-1,0),IF(Tabla1[[#This Row],[ENERO ]]&gt;45,Tabla1[[#This Row],[ENERO ]]/45-1,0))</f>
        <v>0</v>
      </c>
      <c r="AF50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1" s="103">
        <f>IF(Tabla1[[#This Row],[TIPO DE CONSUMIDOR]]="MEDIO",IF(Tabla1[[#This Row],[MARZO]]&gt;22.5,Tabla1[[#This Row],[MARZO]]/22.5-1,0),IF(Tabla1[[#This Row],[MARZO]]&gt;45,Tabla1[[#This Row],[MARZO]]/45-1,0))</f>
        <v>0</v>
      </c>
      <c r="AH501" s="103">
        <f>IF(Tabla1[[#This Row],[TIPO DE CONSUMIDOR]]="MEDIO",IF(Tabla1[[#This Row],[ABRIL]]&gt;22.5,Tabla1[[#This Row],[ABRIL]]/22.5-1,0),IF(Tabla1[[#This Row],[ABRIL]]&gt;45,Tabla1[[#This Row],[ABRIL]]/45-1,0))</f>
        <v>0</v>
      </c>
      <c r="AI501" s="103">
        <f>IF(Tabla1[[#This Row],[TIPO DE CONSUMIDOR]]="MEDIO",IF(Tabla1[[#This Row],[MAYO ]]&gt;22.5,Tabla1[[#This Row],[MAYO ]]/22.5-1,0),IF(Tabla1[[#This Row],[MAYO ]]&gt;45,Tabla1[[#This Row],[MAYO ]]/45-1,0))</f>
        <v>0</v>
      </c>
      <c r="AJ501" s="103">
        <f>IF(Tabla1[[#This Row],[TIPO DE CONSUMIDOR]]="MEDIO",IF(Tabla1[[#This Row],[JUNIO ]]&gt;22.5,Tabla1[[#This Row],[JUNIO ]]/22.5-1,0),IF(Tabla1[[#This Row],[JUNIO ]]&gt;45,Tabla1[[#This Row],[JUNIO ]]/45-1,0))</f>
        <v>0</v>
      </c>
      <c r="AK501" s="103">
        <f>IF(Tabla1[[#This Row],[TIPO DE CONSUMIDOR]]="MEDIO",IF(Tabla1[[#This Row],[JULIO ]]&gt;22.5,Tabla1[[#This Row],[JULIO ]]/22.5-1,0),IF(Tabla1[[#This Row],[JULIO ]]&gt;45,Tabla1[[#This Row],[JULIO ]]/45-1,0))</f>
        <v>0</v>
      </c>
      <c r="AL501" s="103">
        <f>IF(Tabla1[[#This Row],[TIPO DE CONSUMIDOR]]="MEDIO",IF(Tabla1[[#This Row],[AGOSTO]]&gt;22.5,Tabla1[[#This Row],[AGOSTO]]/22.5-1,0),IF(Tabla1[[#This Row],[AGOSTO]]&gt;45,Tabla1[[#This Row],[AGOSTO]]/45-1,0))</f>
        <v>0</v>
      </c>
      <c r="AM50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1" s="104">
        <f t="shared" si="16"/>
        <v>0</v>
      </c>
      <c r="AR501" s="9">
        <f t="shared" si="15"/>
        <v>1</v>
      </c>
      <c r="AS501" s="60">
        <f>IF(Tabla1[[#This Row],[MESES DE ADEUDO DEL AÑO EN CURSO ]]&gt;0,1,0)</f>
        <v>1</v>
      </c>
      <c r="AT501" s="42"/>
      <c r="AU501" s="42"/>
      <c r="AV501" s="42"/>
      <c r="AW501" s="43"/>
    </row>
    <row r="502" spans="1:49" ht="21.75" thickBot="1" x14ac:dyDescent="0.35">
      <c r="A502" s="109">
        <v>496</v>
      </c>
      <c r="B502" s="5" t="s">
        <v>122</v>
      </c>
      <c r="C502" s="2" t="s">
        <v>461</v>
      </c>
      <c r="D502" s="32"/>
      <c r="E502" s="35" t="s">
        <v>455</v>
      </c>
      <c r="F502" s="34">
        <v>0</v>
      </c>
      <c r="G502" s="34">
        <v>0</v>
      </c>
      <c r="H502" s="34">
        <v>0</v>
      </c>
      <c r="I502" s="34">
        <v>0</v>
      </c>
      <c r="J502" s="34">
        <v>0</v>
      </c>
      <c r="K502" s="34">
        <v>0</v>
      </c>
      <c r="L502" s="34">
        <v>0</v>
      </c>
      <c r="M502" s="34">
        <v>0</v>
      </c>
      <c r="N502" s="34">
        <v>0</v>
      </c>
      <c r="O502" s="34">
        <v>0</v>
      </c>
      <c r="P502" s="34">
        <v>0</v>
      </c>
      <c r="Q502" s="34">
        <v>0</v>
      </c>
      <c r="R502" s="24">
        <f>SUM(Tabla1[[#This Row],[ENERO ]:[DICIEMBRE]])</f>
        <v>0</v>
      </c>
      <c r="W502" s="65">
        <v>6</v>
      </c>
      <c r="X502" s="21">
        <f>COUNTIF(Tabla1[[#This Row],[ENERO ]:[DICIEMBRE]],0)-(AQ502)-IF(Tabla1[[#This Row],[BAJAS]]="BAJA",IF(Tabla1[[#This Row],[ALTAS]]="ALTA",VLOOKUP(Tabla1[[#This Row],[MES DE ALTA ]],$AT$6:$AU$17,2,FALSE),12)-VLOOKUP(Tabla1[[#This Row],[MES DE BAJA ]],$AT$6:$AU$17,2,FALSE),0)</f>
        <v>12</v>
      </c>
      <c r="Y502" s="69">
        <f>SUM(Tabla1[[#This Row],[MES ADEUDO DE AÑOS PASADOS ]:[MESES DE ADEUDO DEL AÑO EN CURSO ]])</f>
        <v>18</v>
      </c>
      <c r="Z502" s="15">
        <f>IF(Tabla1[[#This Row],[TIPO DE CONSUMIDOR]]="COMPLETO",W502*$T$2,W502*($T$2/2))</f>
        <v>270</v>
      </c>
      <c r="AA502" s="15">
        <f>IF(Tabla1[[#This Row],[TIPO DE CONSUMIDOR]]="COMPLETO",Tabla1[[#This Row],[MESES DE ADEUDO DEL AÑO EN CURSO ]]*$T$2,Tabla1[[#This Row],[MESES DE ADEUDO DEL AÑO EN CURSO ]]*($T$2/2))</f>
        <v>540</v>
      </c>
      <c r="AB502" s="70">
        <f>SUM(Tabla1[[#This Row],[DEUDA DE LOS MESES PASADOS EN $$]:[DEUDA DEL AÑO 2013 $$ ]])</f>
        <v>810</v>
      </c>
      <c r="AE502" s="103">
        <f>IF(Tabla1[[#This Row],[TIPO DE CONSUMIDOR]]="MEDIO",IF(Tabla1[[#This Row],[ENERO ]]&gt;22.5,Tabla1[[#This Row],[ENERO ]]/22.5-1,0),IF(Tabla1[[#This Row],[ENERO ]]&gt;45,Tabla1[[#This Row],[ENERO ]]/45-1,0))</f>
        <v>0</v>
      </c>
      <c r="AF50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2" s="103">
        <f>IF(Tabla1[[#This Row],[TIPO DE CONSUMIDOR]]="MEDIO",IF(Tabla1[[#This Row],[MARZO]]&gt;22.5,Tabla1[[#This Row],[MARZO]]/22.5-1,0),IF(Tabla1[[#This Row],[MARZO]]&gt;45,Tabla1[[#This Row],[MARZO]]/45-1,0))</f>
        <v>0</v>
      </c>
      <c r="AH502" s="103">
        <f>IF(Tabla1[[#This Row],[TIPO DE CONSUMIDOR]]="MEDIO",IF(Tabla1[[#This Row],[ABRIL]]&gt;22.5,Tabla1[[#This Row],[ABRIL]]/22.5-1,0),IF(Tabla1[[#This Row],[ABRIL]]&gt;45,Tabla1[[#This Row],[ABRIL]]/45-1,0))</f>
        <v>0</v>
      </c>
      <c r="AI502" s="103">
        <f>IF(Tabla1[[#This Row],[TIPO DE CONSUMIDOR]]="MEDIO",IF(Tabla1[[#This Row],[MAYO ]]&gt;22.5,Tabla1[[#This Row],[MAYO ]]/22.5-1,0),IF(Tabla1[[#This Row],[MAYO ]]&gt;45,Tabla1[[#This Row],[MAYO ]]/45-1,0))</f>
        <v>0</v>
      </c>
      <c r="AJ502" s="103">
        <f>IF(Tabla1[[#This Row],[TIPO DE CONSUMIDOR]]="MEDIO",IF(Tabla1[[#This Row],[JUNIO ]]&gt;22.5,Tabla1[[#This Row],[JUNIO ]]/22.5-1,0),IF(Tabla1[[#This Row],[JUNIO ]]&gt;45,Tabla1[[#This Row],[JUNIO ]]/45-1,0))</f>
        <v>0</v>
      </c>
      <c r="AK502" s="103">
        <f>IF(Tabla1[[#This Row],[TIPO DE CONSUMIDOR]]="MEDIO",IF(Tabla1[[#This Row],[JULIO ]]&gt;22.5,Tabla1[[#This Row],[JULIO ]]/22.5-1,0),IF(Tabla1[[#This Row],[JULIO ]]&gt;45,Tabla1[[#This Row],[JULIO ]]/45-1,0))</f>
        <v>0</v>
      </c>
      <c r="AL502" s="103">
        <f>IF(Tabla1[[#This Row],[TIPO DE CONSUMIDOR]]="MEDIO",IF(Tabla1[[#This Row],[AGOSTO]]&gt;22.5,Tabla1[[#This Row],[AGOSTO]]/22.5-1,0),IF(Tabla1[[#This Row],[AGOSTO]]&gt;45,Tabla1[[#This Row],[AGOSTO]]/45-1,0))</f>
        <v>0</v>
      </c>
      <c r="AM50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2" s="104">
        <f t="shared" si="16"/>
        <v>0</v>
      </c>
      <c r="AR502" s="9">
        <f t="shared" si="15"/>
        <v>1</v>
      </c>
      <c r="AS502" s="60">
        <f>IF(Tabla1[[#This Row],[MESES DE ADEUDO DEL AÑO EN CURSO ]]&gt;0,1,0)</f>
        <v>1</v>
      </c>
      <c r="AT502" s="42"/>
      <c r="AU502" s="42"/>
      <c r="AV502" s="42"/>
      <c r="AW502" s="43"/>
    </row>
    <row r="503" spans="1:49" ht="21.75" thickBot="1" x14ac:dyDescent="0.35">
      <c r="A503" s="109">
        <v>497</v>
      </c>
      <c r="B503" s="5" t="s">
        <v>264</v>
      </c>
      <c r="C503" s="2" t="s">
        <v>461</v>
      </c>
      <c r="D503" s="32"/>
      <c r="E503" s="35" t="s">
        <v>455</v>
      </c>
      <c r="F503" s="34">
        <v>0</v>
      </c>
      <c r="G503" s="34">
        <v>0</v>
      </c>
      <c r="H503" s="34">
        <v>0</v>
      </c>
      <c r="I503" s="34">
        <v>0</v>
      </c>
      <c r="J503" s="34">
        <v>0</v>
      </c>
      <c r="K503" s="34">
        <v>0</v>
      </c>
      <c r="L503" s="34">
        <v>0</v>
      </c>
      <c r="M503" s="34">
        <v>0</v>
      </c>
      <c r="N503" s="34">
        <v>0</v>
      </c>
      <c r="O503" s="34">
        <v>0</v>
      </c>
      <c r="P503" s="34">
        <v>0</v>
      </c>
      <c r="Q503" s="34">
        <v>0</v>
      </c>
      <c r="R503" s="24">
        <f>SUM(Tabla1[[#This Row],[ENERO ]:[DICIEMBRE]])</f>
        <v>0</v>
      </c>
      <c r="W503" s="65">
        <v>6</v>
      </c>
      <c r="X503" s="21">
        <f>COUNTIF(Tabla1[[#This Row],[ENERO ]:[DICIEMBRE]],0)-(AQ503)-IF(Tabla1[[#This Row],[BAJAS]]="BAJA",IF(Tabla1[[#This Row],[ALTAS]]="ALTA",VLOOKUP(Tabla1[[#This Row],[MES DE ALTA ]],$AT$6:$AU$17,2,FALSE),12)-VLOOKUP(Tabla1[[#This Row],[MES DE BAJA ]],$AT$6:$AU$17,2,FALSE),0)</f>
        <v>12</v>
      </c>
      <c r="Y503" s="69">
        <f>SUM(Tabla1[[#This Row],[MES ADEUDO DE AÑOS PASADOS ]:[MESES DE ADEUDO DEL AÑO EN CURSO ]])</f>
        <v>18</v>
      </c>
      <c r="Z503" s="15">
        <f>IF(Tabla1[[#This Row],[TIPO DE CONSUMIDOR]]="COMPLETO",W503*$T$2,W503*($T$2/2))</f>
        <v>270</v>
      </c>
      <c r="AA503" s="15">
        <f>IF(Tabla1[[#This Row],[TIPO DE CONSUMIDOR]]="COMPLETO",Tabla1[[#This Row],[MESES DE ADEUDO DEL AÑO EN CURSO ]]*$T$2,Tabla1[[#This Row],[MESES DE ADEUDO DEL AÑO EN CURSO ]]*($T$2/2))</f>
        <v>540</v>
      </c>
      <c r="AB503" s="70">
        <f>SUM(Tabla1[[#This Row],[DEUDA DE LOS MESES PASADOS EN $$]:[DEUDA DEL AÑO 2013 $$ ]])</f>
        <v>810</v>
      </c>
      <c r="AE503" s="103">
        <f>IF(Tabla1[[#This Row],[TIPO DE CONSUMIDOR]]="MEDIO",IF(Tabla1[[#This Row],[ENERO ]]&gt;22.5,Tabla1[[#This Row],[ENERO ]]/22.5-1,0),IF(Tabla1[[#This Row],[ENERO ]]&gt;45,Tabla1[[#This Row],[ENERO ]]/45-1,0))</f>
        <v>0</v>
      </c>
      <c r="AF50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3" s="103">
        <f>IF(Tabla1[[#This Row],[TIPO DE CONSUMIDOR]]="MEDIO",IF(Tabla1[[#This Row],[MARZO]]&gt;22.5,Tabla1[[#This Row],[MARZO]]/22.5-1,0),IF(Tabla1[[#This Row],[MARZO]]&gt;45,Tabla1[[#This Row],[MARZO]]/45-1,0))</f>
        <v>0</v>
      </c>
      <c r="AH503" s="103">
        <f>IF(Tabla1[[#This Row],[TIPO DE CONSUMIDOR]]="MEDIO",IF(Tabla1[[#This Row],[ABRIL]]&gt;22.5,Tabla1[[#This Row],[ABRIL]]/22.5-1,0),IF(Tabla1[[#This Row],[ABRIL]]&gt;45,Tabla1[[#This Row],[ABRIL]]/45-1,0))</f>
        <v>0</v>
      </c>
      <c r="AI503" s="103">
        <f>IF(Tabla1[[#This Row],[TIPO DE CONSUMIDOR]]="MEDIO",IF(Tabla1[[#This Row],[MAYO ]]&gt;22.5,Tabla1[[#This Row],[MAYO ]]/22.5-1,0),IF(Tabla1[[#This Row],[MAYO ]]&gt;45,Tabla1[[#This Row],[MAYO ]]/45-1,0))</f>
        <v>0</v>
      </c>
      <c r="AJ503" s="103">
        <f>IF(Tabla1[[#This Row],[TIPO DE CONSUMIDOR]]="MEDIO",IF(Tabla1[[#This Row],[JUNIO ]]&gt;22.5,Tabla1[[#This Row],[JUNIO ]]/22.5-1,0),IF(Tabla1[[#This Row],[JUNIO ]]&gt;45,Tabla1[[#This Row],[JUNIO ]]/45-1,0))</f>
        <v>0</v>
      </c>
      <c r="AK503" s="103">
        <f>IF(Tabla1[[#This Row],[TIPO DE CONSUMIDOR]]="MEDIO",IF(Tabla1[[#This Row],[JULIO ]]&gt;22.5,Tabla1[[#This Row],[JULIO ]]/22.5-1,0),IF(Tabla1[[#This Row],[JULIO ]]&gt;45,Tabla1[[#This Row],[JULIO ]]/45-1,0))</f>
        <v>0</v>
      </c>
      <c r="AL503" s="103">
        <f>IF(Tabla1[[#This Row],[TIPO DE CONSUMIDOR]]="MEDIO",IF(Tabla1[[#This Row],[AGOSTO]]&gt;22.5,Tabla1[[#This Row],[AGOSTO]]/22.5-1,0),IF(Tabla1[[#This Row],[AGOSTO]]&gt;45,Tabla1[[#This Row],[AGOSTO]]/45-1,0))</f>
        <v>0</v>
      </c>
      <c r="AM50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3" s="104">
        <f t="shared" si="16"/>
        <v>0</v>
      </c>
      <c r="AR503" s="9">
        <f t="shared" si="15"/>
        <v>1</v>
      </c>
      <c r="AS503" s="60">
        <f>IF(Tabla1[[#This Row],[MESES DE ADEUDO DEL AÑO EN CURSO ]]&gt;0,1,0)</f>
        <v>1</v>
      </c>
      <c r="AT503" s="42"/>
      <c r="AU503" s="42"/>
      <c r="AV503" s="42"/>
      <c r="AW503" s="43"/>
    </row>
    <row r="504" spans="1:49" ht="21.75" thickBot="1" x14ac:dyDescent="0.35">
      <c r="A504" s="109">
        <v>498</v>
      </c>
      <c r="B504" s="5" t="s">
        <v>599</v>
      </c>
      <c r="C504" s="2" t="s">
        <v>480</v>
      </c>
      <c r="D504" s="32"/>
      <c r="E504" s="35" t="s">
        <v>455</v>
      </c>
      <c r="F504" s="34">
        <v>0</v>
      </c>
      <c r="G504" s="34">
        <v>0</v>
      </c>
      <c r="H504" s="34">
        <v>0</v>
      </c>
      <c r="I504" s="34">
        <v>0</v>
      </c>
      <c r="J504" s="34">
        <v>0</v>
      </c>
      <c r="K504" s="34">
        <v>0</v>
      </c>
      <c r="L504" s="34">
        <v>0</v>
      </c>
      <c r="M504" s="34">
        <v>0</v>
      </c>
      <c r="N504" s="34">
        <v>0</v>
      </c>
      <c r="O504" s="34">
        <v>0</v>
      </c>
      <c r="P504" s="34">
        <v>0</v>
      </c>
      <c r="Q504" s="34">
        <v>0</v>
      </c>
      <c r="R504" s="24">
        <f>SUM(Tabla1[[#This Row],[ENERO ]:[DICIEMBRE]])</f>
        <v>0</v>
      </c>
      <c r="W504" s="65">
        <v>6</v>
      </c>
      <c r="X504" s="21">
        <f>COUNTIF(Tabla1[[#This Row],[ENERO ]:[DICIEMBRE]],0)-(AQ504)-IF(Tabla1[[#This Row],[BAJAS]]="BAJA",IF(Tabla1[[#This Row],[ALTAS]]="ALTA",VLOOKUP(Tabla1[[#This Row],[MES DE ALTA ]],$AT$6:$AU$17,2,FALSE),12)-VLOOKUP(Tabla1[[#This Row],[MES DE BAJA ]],$AT$6:$AU$17,2,FALSE),0)</f>
        <v>12</v>
      </c>
      <c r="Y504" s="69">
        <f>SUM(Tabla1[[#This Row],[MES ADEUDO DE AÑOS PASADOS ]:[MESES DE ADEUDO DEL AÑO EN CURSO ]])</f>
        <v>18</v>
      </c>
      <c r="Z504" s="15">
        <f>IF(Tabla1[[#This Row],[TIPO DE CONSUMIDOR]]="COMPLETO",W504*$T$2,W504*($T$2/2))</f>
        <v>270</v>
      </c>
      <c r="AA504" s="15">
        <f>IF(Tabla1[[#This Row],[TIPO DE CONSUMIDOR]]="COMPLETO",Tabla1[[#This Row],[MESES DE ADEUDO DEL AÑO EN CURSO ]]*$T$2,Tabla1[[#This Row],[MESES DE ADEUDO DEL AÑO EN CURSO ]]*($T$2/2))</f>
        <v>540</v>
      </c>
      <c r="AB504" s="70">
        <f>SUM(Tabla1[[#This Row],[DEUDA DE LOS MESES PASADOS EN $$]:[DEUDA DEL AÑO 2013 $$ ]])</f>
        <v>810</v>
      </c>
      <c r="AE504" s="103">
        <f>IF(Tabla1[[#This Row],[TIPO DE CONSUMIDOR]]="MEDIO",IF(Tabla1[[#This Row],[ENERO ]]&gt;22.5,Tabla1[[#This Row],[ENERO ]]/22.5-1,0),IF(Tabla1[[#This Row],[ENERO ]]&gt;45,Tabla1[[#This Row],[ENERO ]]/45-1,0))</f>
        <v>0</v>
      </c>
      <c r="AF50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4" s="103">
        <f>IF(Tabla1[[#This Row],[TIPO DE CONSUMIDOR]]="MEDIO",IF(Tabla1[[#This Row],[MARZO]]&gt;22.5,Tabla1[[#This Row],[MARZO]]/22.5-1,0),IF(Tabla1[[#This Row],[MARZO]]&gt;45,Tabla1[[#This Row],[MARZO]]/45-1,0))</f>
        <v>0</v>
      </c>
      <c r="AH504" s="103">
        <f>IF(Tabla1[[#This Row],[TIPO DE CONSUMIDOR]]="MEDIO",IF(Tabla1[[#This Row],[ABRIL]]&gt;22.5,Tabla1[[#This Row],[ABRIL]]/22.5-1,0),IF(Tabla1[[#This Row],[ABRIL]]&gt;45,Tabla1[[#This Row],[ABRIL]]/45-1,0))</f>
        <v>0</v>
      </c>
      <c r="AI504" s="103">
        <f>IF(Tabla1[[#This Row],[TIPO DE CONSUMIDOR]]="MEDIO",IF(Tabla1[[#This Row],[MAYO ]]&gt;22.5,Tabla1[[#This Row],[MAYO ]]/22.5-1,0),IF(Tabla1[[#This Row],[MAYO ]]&gt;45,Tabla1[[#This Row],[MAYO ]]/45-1,0))</f>
        <v>0</v>
      </c>
      <c r="AJ504" s="103">
        <f>IF(Tabla1[[#This Row],[TIPO DE CONSUMIDOR]]="MEDIO",IF(Tabla1[[#This Row],[JUNIO ]]&gt;22.5,Tabla1[[#This Row],[JUNIO ]]/22.5-1,0),IF(Tabla1[[#This Row],[JUNIO ]]&gt;45,Tabla1[[#This Row],[JUNIO ]]/45-1,0))</f>
        <v>0</v>
      </c>
      <c r="AK504" s="103">
        <f>IF(Tabla1[[#This Row],[TIPO DE CONSUMIDOR]]="MEDIO",IF(Tabla1[[#This Row],[JULIO ]]&gt;22.5,Tabla1[[#This Row],[JULIO ]]/22.5-1,0),IF(Tabla1[[#This Row],[JULIO ]]&gt;45,Tabla1[[#This Row],[JULIO ]]/45-1,0))</f>
        <v>0</v>
      </c>
      <c r="AL504" s="103">
        <f>IF(Tabla1[[#This Row],[TIPO DE CONSUMIDOR]]="MEDIO",IF(Tabla1[[#This Row],[AGOSTO]]&gt;22.5,Tabla1[[#This Row],[AGOSTO]]/22.5-1,0),IF(Tabla1[[#This Row],[AGOSTO]]&gt;45,Tabla1[[#This Row],[AGOSTO]]/45-1,0))</f>
        <v>0</v>
      </c>
      <c r="AM50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4" s="104">
        <f t="shared" si="16"/>
        <v>0</v>
      </c>
      <c r="AR504" s="9">
        <f t="shared" si="15"/>
        <v>1</v>
      </c>
      <c r="AS504" s="60">
        <f>IF(Tabla1[[#This Row],[MESES DE ADEUDO DEL AÑO EN CURSO ]]&gt;0,1,0)</f>
        <v>1</v>
      </c>
      <c r="AT504" s="42"/>
      <c r="AU504" s="42"/>
      <c r="AV504" s="42"/>
      <c r="AW504" s="43"/>
    </row>
    <row r="505" spans="1:49" ht="21.75" thickBot="1" x14ac:dyDescent="0.35">
      <c r="A505" s="109">
        <v>499</v>
      </c>
      <c r="B505" s="5" t="s">
        <v>323</v>
      </c>
      <c r="C505" s="2" t="s">
        <v>501</v>
      </c>
      <c r="D505" s="32"/>
      <c r="E505" s="35" t="s">
        <v>455</v>
      </c>
      <c r="F505" s="34">
        <v>0</v>
      </c>
      <c r="G505" s="34">
        <v>0</v>
      </c>
      <c r="H505" s="34">
        <v>0</v>
      </c>
      <c r="I505" s="34">
        <v>0</v>
      </c>
      <c r="J505" s="34">
        <v>0</v>
      </c>
      <c r="K505" s="34">
        <v>0</v>
      </c>
      <c r="L505" s="34">
        <v>0</v>
      </c>
      <c r="M505" s="34">
        <v>0</v>
      </c>
      <c r="N505" s="34">
        <v>0</v>
      </c>
      <c r="O505" s="34">
        <v>0</v>
      </c>
      <c r="P505" s="34">
        <v>0</v>
      </c>
      <c r="Q505" s="34">
        <v>0</v>
      </c>
      <c r="R505" s="24">
        <f>SUM(Tabla1[[#This Row],[ENERO ]:[DICIEMBRE]])</f>
        <v>0</v>
      </c>
      <c r="W505" s="65">
        <v>6</v>
      </c>
      <c r="X505" s="21">
        <f>COUNTIF(Tabla1[[#This Row],[ENERO ]:[DICIEMBRE]],0)-(AQ505)-IF(Tabla1[[#This Row],[BAJAS]]="BAJA",IF(Tabla1[[#This Row],[ALTAS]]="ALTA",VLOOKUP(Tabla1[[#This Row],[MES DE ALTA ]],$AT$6:$AU$17,2,FALSE),12)-VLOOKUP(Tabla1[[#This Row],[MES DE BAJA ]],$AT$6:$AU$17,2,FALSE),0)</f>
        <v>12</v>
      </c>
      <c r="Y505" s="69">
        <f>SUM(Tabla1[[#This Row],[MES ADEUDO DE AÑOS PASADOS ]:[MESES DE ADEUDO DEL AÑO EN CURSO ]])</f>
        <v>18</v>
      </c>
      <c r="Z505" s="15">
        <f>IF(Tabla1[[#This Row],[TIPO DE CONSUMIDOR]]="COMPLETO",W505*$T$2,W505*($T$2/2))</f>
        <v>270</v>
      </c>
      <c r="AA505" s="15">
        <f>IF(Tabla1[[#This Row],[TIPO DE CONSUMIDOR]]="COMPLETO",Tabla1[[#This Row],[MESES DE ADEUDO DEL AÑO EN CURSO ]]*$T$2,Tabla1[[#This Row],[MESES DE ADEUDO DEL AÑO EN CURSO ]]*($T$2/2))</f>
        <v>540</v>
      </c>
      <c r="AB505" s="70">
        <f>SUM(Tabla1[[#This Row],[DEUDA DE LOS MESES PASADOS EN $$]:[DEUDA DEL AÑO 2013 $$ ]])</f>
        <v>810</v>
      </c>
      <c r="AE505" s="103">
        <f>IF(Tabla1[[#This Row],[TIPO DE CONSUMIDOR]]="MEDIO",IF(Tabla1[[#This Row],[ENERO ]]&gt;22.5,Tabla1[[#This Row],[ENERO ]]/22.5-1,0),IF(Tabla1[[#This Row],[ENERO ]]&gt;45,Tabla1[[#This Row],[ENERO ]]/45-1,0))</f>
        <v>0</v>
      </c>
      <c r="AF50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5" s="103">
        <f>IF(Tabla1[[#This Row],[TIPO DE CONSUMIDOR]]="MEDIO",IF(Tabla1[[#This Row],[MARZO]]&gt;22.5,Tabla1[[#This Row],[MARZO]]/22.5-1,0),IF(Tabla1[[#This Row],[MARZO]]&gt;45,Tabla1[[#This Row],[MARZO]]/45-1,0))</f>
        <v>0</v>
      </c>
      <c r="AH505" s="103">
        <f>IF(Tabla1[[#This Row],[TIPO DE CONSUMIDOR]]="MEDIO",IF(Tabla1[[#This Row],[ABRIL]]&gt;22.5,Tabla1[[#This Row],[ABRIL]]/22.5-1,0),IF(Tabla1[[#This Row],[ABRIL]]&gt;45,Tabla1[[#This Row],[ABRIL]]/45-1,0))</f>
        <v>0</v>
      </c>
      <c r="AI505" s="103">
        <f>IF(Tabla1[[#This Row],[TIPO DE CONSUMIDOR]]="MEDIO",IF(Tabla1[[#This Row],[MAYO ]]&gt;22.5,Tabla1[[#This Row],[MAYO ]]/22.5-1,0),IF(Tabla1[[#This Row],[MAYO ]]&gt;45,Tabla1[[#This Row],[MAYO ]]/45-1,0))</f>
        <v>0</v>
      </c>
      <c r="AJ505" s="103">
        <f>IF(Tabla1[[#This Row],[TIPO DE CONSUMIDOR]]="MEDIO",IF(Tabla1[[#This Row],[JUNIO ]]&gt;22.5,Tabla1[[#This Row],[JUNIO ]]/22.5-1,0),IF(Tabla1[[#This Row],[JUNIO ]]&gt;45,Tabla1[[#This Row],[JUNIO ]]/45-1,0))</f>
        <v>0</v>
      </c>
      <c r="AK505" s="103">
        <f>IF(Tabla1[[#This Row],[TIPO DE CONSUMIDOR]]="MEDIO",IF(Tabla1[[#This Row],[JULIO ]]&gt;22.5,Tabla1[[#This Row],[JULIO ]]/22.5-1,0),IF(Tabla1[[#This Row],[JULIO ]]&gt;45,Tabla1[[#This Row],[JULIO ]]/45-1,0))</f>
        <v>0</v>
      </c>
      <c r="AL505" s="103">
        <f>IF(Tabla1[[#This Row],[TIPO DE CONSUMIDOR]]="MEDIO",IF(Tabla1[[#This Row],[AGOSTO]]&gt;22.5,Tabla1[[#This Row],[AGOSTO]]/22.5-1,0),IF(Tabla1[[#This Row],[AGOSTO]]&gt;45,Tabla1[[#This Row],[AGOSTO]]/45-1,0))</f>
        <v>0</v>
      </c>
      <c r="AM50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5" s="104">
        <f t="shared" si="16"/>
        <v>0</v>
      </c>
      <c r="AR505" s="9">
        <f t="shared" si="15"/>
        <v>1</v>
      </c>
      <c r="AS505" s="60">
        <f>IF(Tabla1[[#This Row],[MESES DE ADEUDO DEL AÑO EN CURSO ]]&gt;0,1,0)</f>
        <v>1</v>
      </c>
      <c r="AT505" s="42"/>
      <c r="AU505" s="42"/>
      <c r="AV505" s="42"/>
      <c r="AW505" s="43"/>
    </row>
    <row r="506" spans="1:49" ht="21.75" thickBot="1" x14ac:dyDescent="0.35">
      <c r="A506" s="109">
        <v>500</v>
      </c>
      <c r="B506" s="5" t="s">
        <v>337</v>
      </c>
      <c r="C506" s="2" t="s">
        <v>556</v>
      </c>
      <c r="D506" s="32"/>
      <c r="E506" s="35" t="s">
        <v>455</v>
      </c>
      <c r="F506" s="34">
        <v>0</v>
      </c>
      <c r="G506" s="34">
        <v>0</v>
      </c>
      <c r="H506" s="34">
        <v>0</v>
      </c>
      <c r="I506" s="34">
        <v>0</v>
      </c>
      <c r="J506" s="34">
        <v>0</v>
      </c>
      <c r="K506" s="34">
        <v>0</v>
      </c>
      <c r="L506" s="34">
        <v>0</v>
      </c>
      <c r="M506" s="34">
        <v>0</v>
      </c>
      <c r="N506" s="34">
        <v>0</v>
      </c>
      <c r="O506" s="34">
        <v>0</v>
      </c>
      <c r="P506" s="34">
        <v>0</v>
      </c>
      <c r="Q506" s="34">
        <v>0</v>
      </c>
      <c r="R506" s="24">
        <f>SUM(Tabla1[[#This Row],[ENERO ]:[DICIEMBRE]])</f>
        <v>0</v>
      </c>
      <c r="W506" s="65">
        <v>6</v>
      </c>
      <c r="X506" s="21">
        <f>COUNTIF(Tabla1[[#This Row],[ENERO ]:[DICIEMBRE]],0)-(AQ506)-IF(Tabla1[[#This Row],[BAJAS]]="BAJA",IF(Tabla1[[#This Row],[ALTAS]]="ALTA",VLOOKUP(Tabla1[[#This Row],[MES DE ALTA ]],$AT$6:$AU$17,2,FALSE),12)-VLOOKUP(Tabla1[[#This Row],[MES DE BAJA ]],$AT$6:$AU$17,2,FALSE),0)</f>
        <v>12</v>
      </c>
      <c r="Y506" s="69">
        <f>SUM(Tabla1[[#This Row],[MES ADEUDO DE AÑOS PASADOS ]:[MESES DE ADEUDO DEL AÑO EN CURSO ]])</f>
        <v>18</v>
      </c>
      <c r="Z506" s="15">
        <f>IF(Tabla1[[#This Row],[TIPO DE CONSUMIDOR]]="COMPLETO",W506*$T$2,W506*($T$2/2))</f>
        <v>270</v>
      </c>
      <c r="AA506" s="15">
        <f>IF(Tabla1[[#This Row],[TIPO DE CONSUMIDOR]]="COMPLETO",Tabla1[[#This Row],[MESES DE ADEUDO DEL AÑO EN CURSO ]]*$T$2,Tabla1[[#This Row],[MESES DE ADEUDO DEL AÑO EN CURSO ]]*($T$2/2))</f>
        <v>540</v>
      </c>
      <c r="AB506" s="70">
        <f>SUM(Tabla1[[#This Row],[DEUDA DE LOS MESES PASADOS EN $$]:[DEUDA DEL AÑO 2013 $$ ]])</f>
        <v>810</v>
      </c>
      <c r="AE506" s="103">
        <f>IF(Tabla1[[#This Row],[TIPO DE CONSUMIDOR]]="MEDIO",IF(Tabla1[[#This Row],[ENERO ]]&gt;22.5,Tabla1[[#This Row],[ENERO ]]/22.5-1,0),IF(Tabla1[[#This Row],[ENERO ]]&gt;45,Tabla1[[#This Row],[ENERO ]]/45-1,0))</f>
        <v>0</v>
      </c>
      <c r="AF50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6" s="103">
        <f>IF(Tabla1[[#This Row],[TIPO DE CONSUMIDOR]]="MEDIO",IF(Tabla1[[#This Row],[MARZO]]&gt;22.5,Tabla1[[#This Row],[MARZO]]/22.5-1,0),IF(Tabla1[[#This Row],[MARZO]]&gt;45,Tabla1[[#This Row],[MARZO]]/45-1,0))</f>
        <v>0</v>
      </c>
      <c r="AH506" s="103">
        <f>IF(Tabla1[[#This Row],[TIPO DE CONSUMIDOR]]="MEDIO",IF(Tabla1[[#This Row],[ABRIL]]&gt;22.5,Tabla1[[#This Row],[ABRIL]]/22.5-1,0),IF(Tabla1[[#This Row],[ABRIL]]&gt;45,Tabla1[[#This Row],[ABRIL]]/45-1,0))</f>
        <v>0</v>
      </c>
      <c r="AI506" s="103">
        <f>IF(Tabla1[[#This Row],[TIPO DE CONSUMIDOR]]="MEDIO",IF(Tabla1[[#This Row],[MAYO ]]&gt;22.5,Tabla1[[#This Row],[MAYO ]]/22.5-1,0),IF(Tabla1[[#This Row],[MAYO ]]&gt;45,Tabla1[[#This Row],[MAYO ]]/45-1,0))</f>
        <v>0</v>
      </c>
      <c r="AJ506" s="103">
        <f>IF(Tabla1[[#This Row],[TIPO DE CONSUMIDOR]]="MEDIO",IF(Tabla1[[#This Row],[JUNIO ]]&gt;22.5,Tabla1[[#This Row],[JUNIO ]]/22.5-1,0),IF(Tabla1[[#This Row],[JUNIO ]]&gt;45,Tabla1[[#This Row],[JUNIO ]]/45-1,0))</f>
        <v>0</v>
      </c>
      <c r="AK506" s="103">
        <f>IF(Tabla1[[#This Row],[TIPO DE CONSUMIDOR]]="MEDIO",IF(Tabla1[[#This Row],[JULIO ]]&gt;22.5,Tabla1[[#This Row],[JULIO ]]/22.5-1,0),IF(Tabla1[[#This Row],[JULIO ]]&gt;45,Tabla1[[#This Row],[JULIO ]]/45-1,0))</f>
        <v>0</v>
      </c>
      <c r="AL506" s="103">
        <f>IF(Tabla1[[#This Row],[TIPO DE CONSUMIDOR]]="MEDIO",IF(Tabla1[[#This Row],[AGOSTO]]&gt;22.5,Tabla1[[#This Row],[AGOSTO]]/22.5-1,0),IF(Tabla1[[#This Row],[AGOSTO]]&gt;45,Tabla1[[#This Row],[AGOSTO]]/45-1,0))</f>
        <v>0</v>
      </c>
      <c r="AM50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6" s="104">
        <f t="shared" si="16"/>
        <v>0</v>
      </c>
      <c r="AR506" s="9">
        <f t="shared" si="15"/>
        <v>1</v>
      </c>
      <c r="AS506" s="60">
        <f>IF(Tabla1[[#This Row],[MESES DE ADEUDO DEL AÑO EN CURSO ]]&gt;0,1,0)</f>
        <v>1</v>
      </c>
      <c r="AT506" s="42"/>
      <c r="AU506" s="42"/>
      <c r="AV506" s="42"/>
      <c r="AW506" s="43"/>
    </row>
    <row r="507" spans="1:49" ht="21.75" thickBot="1" x14ac:dyDescent="0.35">
      <c r="A507" s="109">
        <v>501</v>
      </c>
      <c r="B507" s="5" t="s">
        <v>266</v>
      </c>
      <c r="C507" s="2"/>
      <c r="D507" s="32"/>
      <c r="E507" s="35" t="s">
        <v>455</v>
      </c>
      <c r="F507" s="34">
        <v>0</v>
      </c>
      <c r="G507" s="34">
        <v>0</v>
      </c>
      <c r="H507" s="34">
        <v>0</v>
      </c>
      <c r="I507" s="34">
        <v>0</v>
      </c>
      <c r="J507" s="34">
        <v>0</v>
      </c>
      <c r="K507" s="34">
        <v>0</v>
      </c>
      <c r="L507" s="34">
        <v>0</v>
      </c>
      <c r="M507" s="34">
        <v>0</v>
      </c>
      <c r="N507" s="34">
        <v>0</v>
      </c>
      <c r="O507" s="34">
        <v>0</v>
      </c>
      <c r="P507" s="34">
        <v>0</v>
      </c>
      <c r="Q507" s="34">
        <v>0</v>
      </c>
      <c r="R507" s="24">
        <f>SUM(Tabla1[[#This Row],[ENERO ]:[DICIEMBRE]])</f>
        <v>0</v>
      </c>
      <c r="W507" s="65">
        <v>6</v>
      </c>
      <c r="X507" s="21">
        <f>COUNTIF(Tabla1[[#This Row],[ENERO ]:[DICIEMBRE]],0)-(AQ507)-IF(Tabla1[[#This Row],[BAJAS]]="BAJA",IF(Tabla1[[#This Row],[ALTAS]]="ALTA",VLOOKUP(Tabla1[[#This Row],[MES DE ALTA ]],$AT$6:$AU$17,2,FALSE),12)-VLOOKUP(Tabla1[[#This Row],[MES DE BAJA ]],$AT$6:$AU$17,2,FALSE),0)</f>
        <v>12</v>
      </c>
      <c r="Y507" s="69">
        <f>SUM(Tabla1[[#This Row],[MES ADEUDO DE AÑOS PASADOS ]:[MESES DE ADEUDO DEL AÑO EN CURSO ]])</f>
        <v>18</v>
      </c>
      <c r="Z507" s="15">
        <f>IF(Tabla1[[#This Row],[TIPO DE CONSUMIDOR]]="COMPLETO",W507*$T$2,W507*($T$2/2))</f>
        <v>270</v>
      </c>
      <c r="AA507" s="15">
        <f>IF(Tabla1[[#This Row],[TIPO DE CONSUMIDOR]]="COMPLETO",Tabla1[[#This Row],[MESES DE ADEUDO DEL AÑO EN CURSO ]]*$T$2,Tabla1[[#This Row],[MESES DE ADEUDO DEL AÑO EN CURSO ]]*($T$2/2))</f>
        <v>540</v>
      </c>
      <c r="AB507" s="70">
        <f>SUM(Tabla1[[#This Row],[DEUDA DE LOS MESES PASADOS EN $$]:[DEUDA DEL AÑO 2013 $$ ]])</f>
        <v>810</v>
      </c>
      <c r="AE507" s="103">
        <f>IF(Tabla1[[#This Row],[TIPO DE CONSUMIDOR]]="MEDIO",IF(Tabla1[[#This Row],[ENERO ]]&gt;22.5,Tabla1[[#This Row],[ENERO ]]/22.5-1,0),IF(Tabla1[[#This Row],[ENERO ]]&gt;45,Tabla1[[#This Row],[ENERO ]]/45-1,0))</f>
        <v>0</v>
      </c>
      <c r="AF50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7" s="103">
        <f>IF(Tabla1[[#This Row],[TIPO DE CONSUMIDOR]]="MEDIO",IF(Tabla1[[#This Row],[MARZO]]&gt;22.5,Tabla1[[#This Row],[MARZO]]/22.5-1,0),IF(Tabla1[[#This Row],[MARZO]]&gt;45,Tabla1[[#This Row],[MARZO]]/45-1,0))</f>
        <v>0</v>
      </c>
      <c r="AH507" s="103">
        <f>IF(Tabla1[[#This Row],[TIPO DE CONSUMIDOR]]="MEDIO",IF(Tabla1[[#This Row],[ABRIL]]&gt;22.5,Tabla1[[#This Row],[ABRIL]]/22.5-1,0),IF(Tabla1[[#This Row],[ABRIL]]&gt;45,Tabla1[[#This Row],[ABRIL]]/45-1,0))</f>
        <v>0</v>
      </c>
      <c r="AI507" s="103">
        <f>IF(Tabla1[[#This Row],[TIPO DE CONSUMIDOR]]="MEDIO",IF(Tabla1[[#This Row],[MAYO ]]&gt;22.5,Tabla1[[#This Row],[MAYO ]]/22.5-1,0),IF(Tabla1[[#This Row],[MAYO ]]&gt;45,Tabla1[[#This Row],[MAYO ]]/45-1,0))</f>
        <v>0</v>
      </c>
      <c r="AJ507" s="103">
        <f>IF(Tabla1[[#This Row],[TIPO DE CONSUMIDOR]]="MEDIO",IF(Tabla1[[#This Row],[JUNIO ]]&gt;22.5,Tabla1[[#This Row],[JUNIO ]]/22.5-1,0),IF(Tabla1[[#This Row],[JUNIO ]]&gt;45,Tabla1[[#This Row],[JUNIO ]]/45-1,0))</f>
        <v>0</v>
      </c>
      <c r="AK507" s="103">
        <f>IF(Tabla1[[#This Row],[TIPO DE CONSUMIDOR]]="MEDIO",IF(Tabla1[[#This Row],[JULIO ]]&gt;22.5,Tabla1[[#This Row],[JULIO ]]/22.5-1,0),IF(Tabla1[[#This Row],[JULIO ]]&gt;45,Tabla1[[#This Row],[JULIO ]]/45-1,0))</f>
        <v>0</v>
      </c>
      <c r="AL507" s="103">
        <f>IF(Tabla1[[#This Row],[TIPO DE CONSUMIDOR]]="MEDIO",IF(Tabla1[[#This Row],[AGOSTO]]&gt;22.5,Tabla1[[#This Row],[AGOSTO]]/22.5-1,0),IF(Tabla1[[#This Row],[AGOSTO]]&gt;45,Tabla1[[#This Row],[AGOSTO]]/45-1,0))</f>
        <v>0</v>
      </c>
      <c r="AM50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7" s="104">
        <f t="shared" si="16"/>
        <v>0</v>
      </c>
      <c r="AR507" s="9">
        <f t="shared" si="15"/>
        <v>1</v>
      </c>
      <c r="AS507" s="60">
        <f>IF(Tabla1[[#This Row],[MESES DE ADEUDO DEL AÑO EN CURSO ]]&gt;0,1,0)</f>
        <v>1</v>
      </c>
      <c r="AT507" s="42"/>
      <c r="AU507" s="42"/>
      <c r="AV507" s="42"/>
      <c r="AW507" s="43"/>
    </row>
    <row r="508" spans="1:49" ht="21.75" thickBot="1" x14ac:dyDescent="0.35">
      <c r="A508" s="109">
        <v>502</v>
      </c>
      <c r="B508" s="5" t="s">
        <v>93</v>
      </c>
      <c r="C508" s="2" t="s">
        <v>461</v>
      </c>
      <c r="D508" s="32"/>
      <c r="E508" s="35" t="s">
        <v>455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24">
        <f>SUM(Tabla1[[#This Row],[ENERO ]:[DICIEMBRE]])</f>
        <v>0</v>
      </c>
      <c r="W508" s="65">
        <v>7</v>
      </c>
      <c r="X508" s="21">
        <f>COUNTIF(Tabla1[[#This Row],[ENERO ]:[DICIEMBRE]],0)-(AQ508)-IF(Tabla1[[#This Row],[BAJAS]]="BAJA",IF(Tabla1[[#This Row],[ALTAS]]="ALTA",VLOOKUP(Tabla1[[#This Row],[MES DE ALTA ]],$AT$6:$AU$17,2,FALSE),12)-VLOOKUP(Tabla1[[#This Row],[MES DE BAJA ]],$AT$6:$AU$17,2,FALSE),0)</f>
        <v>12</v>
      </c>
      <c r="Y508" s="69">
        <f>SUM(Tabla1[[#This Row],[MES ADEUDO DE AÑOS PASADOS ]:[MESES DE ADEUDO DEL AÑO EN CURSO ]])</f>
        <v>19</v>
      </c>
      <c r="Z508" s="15">
        <f>IF(Tabla1[[#This Row],[TIPO DE CONSUMIDOR]]="COMPLETO",W508*$T$2,W508*($T$2/2))</f>
        <v>315</v>
      </c>
      <c r="AA508" s="15">
        <f>IF(Tabla1[[#This Row],[TIPO DE CONSUMIDOR]]="COMPLETO",Tabla1[[#This Row],[MESES DE ADEUDO DEL AÑO EN CURSO ]]*$T$2,Tabla1[[#This Row],[MESES DE ADEUDO DEL AÑO EN CURSO ]]*($T$2/2))</f>
        <v>540</v>
      </c>
      <c r="AB508" s="70">
        <f>SUM(Tabla1[[#This Row],[DEUDA DE LOS MESES PASADOS EN $$]:[DEUDA DEL AÑO 2013 $$ ]])</f>
        <v>855</v>
      </c>
      <c r="AE508" s="103">
        <f>IF(Tabla1[[#This Row],[TIPO DE CONSUMIDOR]]="MEDIO",IF(Tabla1[[#This Row],[ENERO ]]&gt;22.5,Tabla1[[#This Row],[ENERO ]]/22.5-1,0),IF(Tabla1[[#This Row],[ENERO ]]&gt;45,Tabla1[[#This Row],[ENERO ]]/45-1,0))</f>
        <v>0</v>
      </c>
      <c r="AF50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8" s="103">
        <f>IF(Tabla1[[#This Row],[TIPO DE CONSUMIDOR]]="MEDIO",IF(Tabla1[[#This Row],[MARZO]]&gt;22.5,Tabla1[[#This Row],[MARZO]]/22.5-1,0),IF(Tabla1[[#This Row],[MARZO]]&gt;45,Tabla1[[#This Row],[MARZO]]/45-1,0))</f>
        <v>0</v>
      </c>
      <c r="AH508" s="103">
        <f>IF(Tabla1[[#This Row],[TIPO DE CONSUMIDOR]]="MEDIO",IF(Tabla1[[#This Row],[ABRIL]]&gt;22.5,Tabla1[[#This Row],[ABRIL]]/22.5-1,0),IF(Tabla1[[#This Row],[ABRIL]]&gt;45,Tabla1[[#This Row],[ABRIL]]/45-1,0))</f>
        <v>0</v>
      </c>
      <c r="AI508" s="103">
        <f>IF(Tabla1[[#This Row],[TIPO DE CONSUMIDOR]]="MEDIO",IF(Tabla1[[#This Row],[MAYO ]]&gt;22.5,Tabla1[[#This Row],[MAYO ]]/22.5-1,0),IF(Tabla1[[#This Row],[MAYO ]]&gt;45,Tabla1[[#This Row],[MAYO ]]/45-1,0))</f>
        <v>0</v>
      </c>
      <c r="AJ508" s="103">
        <f>IF(Tabla1[[#This Row],[TIPO DE CONSUMIDOR]]="MEDIO",IF(Tabla1[[#This Row],[JUNIO ]]&gt;22.5,Tabla1[[#This Row],[JUNIO ]]/22.5-1,0),IF(Tabla1[[#This Row],[JUNIO ]]&gt;45,Tabla1[[#This Row],[JUNIO ]]/45-1,0))</f>
        <v>0</v>
      </c>
      <c r="AK508" s="103">
        <f>IF(Tabla1[[#This Row],[TIPO DE CONSUMIDOR]]="MEDIO",IF(Tabla1[[#This Row],[JULIO ]]&gt;22.5,Tabla1[[#This Row],[JULIO ]]/22.5-1,0),IF(Tabla1[[#This Row],[JULIO ]]&gt;45,Tabla1[[#This Row],[JULIO ]]/45-1,0))</f>
        <v>0</v>
      </c>
      <c r="AL508" s="103">
        <f>IF(Tabla1[[#This Row],[TIPO DE CONSUMIDOR]]="MEDIO",IF(Tabla1[[#This Row],[AGOSTO]]&gt;22.5,Tabla1[[#This Row],[AGOSTO]]/22.5-1,0),IF(Tabla1[[#This Row],[AGOSTO]]&gt;45,Tabla1[[#This Row],[AGOSTO]]/45-1,0))</f>
        <v>0</v>
      </c>
      <c r="AM50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8" s="104">
        <f t="shared" si="16"/>
        <v>0</v>
      </c>
      <c r="AR508" s="9">
        <f t="shared" si="15"/>
        <v>1</v>
      </c>
      <c r="AS508" s="60">
        <f>IF(Tabla1[[#This Row],[MESES DE ADEUDO DEL AÑO EN CURSO ]]&gt;0,1,0)</f>
        <v>1</v>
      </c>
      <c r="AT508" s="42"/>
      <c r="AU508" s="42"/>
      <c r="AV508" s="42"/>
      <c r="AW508" s="43"/>
    </row>
    <row r="509" spans="1:49" ht="21.75" thickBot="1" x14ac:dyDescent="0.35">
      <c r="A509" s="109">
        <v>503</v>
      </c>
      <c r="B509" s="5" t="s">
        <v>330</v>
      </c>
      <c r="C509" s="2" t="s">
        <v>530</v>
      </c>
      <c r="D509" s="32"/>
      <c r="E509" s="35" t="s">
        <v>455</v>
      </c>
      <c r="F509" s="34">
        <v>0</v>
      </c>
      <c r="G509" s="34">
        <v>0</v>
      </c>
      <c r="H509" s="34">
        <v>0</v>
      </c>
      <c r="I509" s="34">
        <v>0</v>
      </c>
      <c r="J509" s="34">
        <v>0</v>
      </c>
      <c r="K509" s="34">
        <v>0</v>
      </c>
      <c r="L509" s="34">
        <v>0</v>
      </c>
      <c r="M509" s="34">
        <v>0</v>
      </c>
      <c r="N509" s="34">
        <v>0</v>
      </c>
      <c r="O509" s="34">
        <v>0</v>
      </c>
      <c r="P509" s="34">
        <v>0</v>
      </c>
      <c r="Q509" s="34">
        <v>0</v>
      </c>
      <c r="R509" s="24">
        <f>SUM(Tabla1[[#This Row],[ENERO ]:[DICIEMBRE]])</f>
        <v>0</v>
      </c>
      <c r="W509" s="65">
        <v>7</v>
      </c>
      <c r="X509" s="21">
        <f>COUNTIF(Tabla1[[#This Row],[ENERO ]:[DICIEMBRE]],0)-(AQ509)-IF(Tabla1[[#This Row],[BAJAS]]="BAJA",IF(Tabla1[[#This Row],[ALTAS]]="ALTA",VLOOKUP(Tabla1[[#This Row],[MES DE ALTA ]],$AT$6:$AU$17,2,FALSE),12)-VLOOKUP(Tabla1[[#This Row],[MES DE BAJA ]],$AT$6:$AU$17,2,FALSE),0)</f>
        <v>12</v>
      </c>
      <c r="Y509" s="69">
        <f>SUM(Tabla1[[#This Row],[MES ADEUDO DE AÑOS PASADOS ]:[MESES DE ADEUDO DEL AÑO EN CURSO ]])</f>
        <v>19</v>
      </c>
      <c r="Z509" s="15">
        <f>IF(Tabla1[[#This Row],[TIPO DE CONSUMIDOR]]="COMPLETO",W509*$T$2,W509*($T$2/2))</f>
        <v>315</v>
      </c>
      <c r="AA509" s="15">
        <f>IF(Tabla1[[#This Row],[TIPO DE CONSUMIDOR]]="COMPLETO",Tabla1[[#This Row],[MESES DE ADEUDO DEL AÑO EN CURSO ]]*$T$2,Tabla1[[#This Row],[MESES DE ADEUDO DEL AÑO EN CURSO ]]*($T$2/2))</f>
        <v>540</v>
      </c>
      <c r="AB509" s="70">
        <f>SUM(Tabla1[[#This Row],[DEUDA DE LOS MESES PASADOS EN $$]:[DEUDA DEL AÑO 2013 $$ ]])</f>
        <v>855</v>
      </c>
      <c r="AE509" s="103">
        <f>IF(Tabla1[[#This Row],[TIPO DE CONSUMIDOR]]="MEDIO",IF(Tabla1[[#This Row],[ENERO ]]&gt;22.5,Tabla1[[#This Row],[ENERO ]]/22.5-1,0),IF(Tabla1[[#This Row],[ENERO ]]&gt;45,Tabla1[[#This Row],[ENERO ]]/45-1,0))</f>
        <v>0</v>
      </c>
      <c r="AF50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09" s="103">
        <f>IF(Tabla1[[#This Row],[TIPO DE CONSUMIDOR]]="MEDIO",IF(Tabla1[[#This Row],[MARZO]]&gt;22.5,Tabla1[[#This Row],[MARZO]]/22.5-1,0),IF(Tabla1[[#This Row],[MARZO]]&gt;45,Tabla1[[#This Row],[MARZO]]/45-1,0))</f>
        <v>0</v>
      </c>
      <c r="AH509" s="103">
        <f>IF(Tabla1[[#This Row],[TIPO DE CONSUMIDOR]]="MEDIO",IF(Tabla1[[#This Row],[ABRIL]]&gt;22.5,Tabla1[[#This Row],[ABRIL]]/22.5-1,0),IF(Tabla1[[#This Row],[ABRIL]]&gt;45,Tabla1[[#This Row],[ABRIL]]/45-1,0))</f>
        <v>0</v>
      </c>
      <c r="AI509" s="103">
        <f>IF(Tabla1[[#This Row],[TIPO DE CONSUMIDOR]]="MEDIO",IF(Tabla1[[#This Row],[MAYO ]]&gt;22.5,Tabla1[[#This Row],[MAYO ]]/22.5-1,0),IF(Tabla1[[#This Row],[MAYO ]]&gt;45,Tabla1[[#This Row],[MAYO ]]/45-1,0))</f>
        <v>0</v>
      </c>
      <c r="AJ509" s="103">
        <f>IF(Tabla1[[#This Row],[TIPO DE CONSUMIDOR]]="MEDIO",IF(Tabla1[[#This Row],[JUNIO ]]&gt;22.5,Tabla1[[#This Row],[JUNIO ]]/22.5-1,0),IF(Tabla1[[#This Row],[JUNIO ]]&gt;45,Tabla1[[#This Row],[JUNIO ]]/45-1,0))</f>
        <v>0</v>
      </c>
      <c r="AK509" s="103">
        <f>IF(Tabla1[[#This Row],[TIPO DE CONSUMIDOR]]="MEDIO",IF(Tabla1[[#This Row],[JULIO ]]&gt;22.5,Tabla1[[#This Row],[JULIO ]]/22.5-1,0),IF(Tabla1[[#This Row],[JULIO ]]&gt;45,Tabla1[[#This Row],[JULIO ]]/45-1,0))</f>
        <v>0</v>
      </c>
      <c r="AL509" s="103">
        <f>IF(Tabla1[[#This Row],[TIPO DE CONSUMIDOR]]="MEDIO",IF(Tabla1[[#This Row],[AGOSTO]]&gt;22.5,Tabla1[[#This Row],[AGOSTO]]/22.5-1,0),IF(Tabla1[[#This Row],[AGOSTO]]&gt;45,Tabla1[[#This Row],[AGOSTO]]/45-1,0))</f>
        <v>0</v>
      </c>
      <c r="AM50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0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0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0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09" s="104">
        <f t="shared" si="16"/>
        <v>0</v>
      </c>
      <c r="AR509" s="9">
        <f t="shared" si="15"/>
        <v>1</v>
      </c>
      <c r="AS509" s="60">
        <f>IF(Tabla1[[#This Row],[MESES DE ADEUDO DEL AÑO EN CURSO ]]&gt;0,1,0)</f>
        <v>1</v>
      </c>
      <c r="AT509" s="42"/>
      <c r="AU509" s="42"/>
      <c r="AV509" s="42"/>
      <c r="AW509" s="43"/>
    </row>
    <row r="510" spans="1:49" ht="21.75" thickBot="1" x14ac:dyDescent="0.35">
      <c r="A510" s="109">
        <v>504</v>
      </c>
      <c r="B510" s="5" t="s">
        <v>54</v>
      </c>
      <c r="C510" s="2" t="s">
        <v>549</v>
      </c>
      <c r="D510" s="32"/>
      <c r="E510" s="35" t="s">
        <v>455</v>
      </c>
      <c r="F510" s="34">
        <v>0</v>
      </c>
      <c r="G510" s="34">
        <v>0</v>
      </c>
      <c r="H510" s="34">
        <v>0</v>
      </c>
      <c r="I510" s="34">
        <v>0</v>
      </c>
      <c r="J510" s="34">
        <v>0</v>
      </c>
      <c r="K510" s="34">
        <v>0</v>
      </c>
      <c r="L510" s="34">
        <v>0</v>
      </c>
      <c r="M510" s="34">
        <v>0</v>
      </c>
      <c r="N510" s="34">
        <v>0</v>
      </c>
      <c r="O510" s="34">
        <v>0</v>
      </c>
      <c r="P510" s="34">
        <v>0</v>
      </c>
      <c r="Q510" s="34">
        <v>0</v>
      </c>
      <c r="R510" s="58">
        <f>SUM(Tabla1[[#This Row],[ENERO ]:[DICIEMBRE]])</f>
        <v>0</v>
      </c>
      <c r="W510" s="65">
        <v>7</v>
      </c>
      <c r="X510" s="21">
        <f>COUNTIF(Tabla1[[#This Row],[ENERO ]:[DICIEMBRE]],0)-(AQ510)-IF(Tabla1[[#This Row],[BAJAS]]="BAJA",IF(Tabla1[[#This Row],[ALTAS]]="ALTA",VLOOKUP(Tabla1[[#This Row],[MES DE ALTA ]],$AT$6:$AU$17,2,FALSE),12)-VLOOKUP(Tabla1[[#This Row],[MES DE BAJA ]],$AT$6:$AU$17,2,FALSE),0)</f>
        <v>12</v>
      </c>
      <c r="Y510" s="69">
        <f>SUM(Tabla1[[#This Row],[MES ADEUDO DE AÑOS PASADOS ]:[MESES DE ADEUDO DEL AÑO EN CURSO ]])</f>
        <v>19</v>
      </c>
      <c r="Z510" s="15">
        <f>IF(Tabla1[[#This Row],[TIPO DE CONSUMIDOR]]="COMPLETO",W510*$T$2,W510*($T$2/2))</f>
        <v>315</v>
      </c>
      <c r="AA510" s="15">
        <f>IF(Tabla1[[#This Row],[TIPO DE CONSUMIDOR]]="COMPLETO",Tabla1[[#This Row],[MESES DE ADEUDO DEL AÑO EN CURSO ]]*$T$2,Tabla1[[#This Row],[MESES DE ADEUDO DEL AÑO EN CURSO ]]*($T$2/2))</f>
        <v>540</v>
      </c>
      <c r="AB510" s="70">
        <f>SUM(Tabla1[[#This Row],[DEUDA DE LOS MESES PASADOS EN $$]:[DEUDA DEL AÑO 2013 $$ ]])</f>
        <v>855</v>
      </c>
      <c r="AE510" s="103">
        <f>IF(Tabla1[[#This Row],[TIPO DE CONSUMIDOR]]="MEDIO",IF(Tabla1[[#This Row],[ENERO ]]&gt;22.5,Tabla1[[#This Row],[ENERO ]]/22.5-1,0),IF(Tabla1[[#This Row],[ENERO ]]&gt;45,Tabla1[[#This Row],[ENERO ]]/45-1,0))</f>
        <v>0</v>
      </c>
      <c r="AF51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0" s="103">
        <f>IF(Tabla1[[#This Row],[TIPO DE CONSUMIDOR]]="MEDIO",IF(Tabla1[[#This Row],[MARZO]]&gt;22.5,Tabla1[[#This Row],[MARZO]]/22.5-1,0),IF(Tabla1[[#This Row],[MARZO]]&gt;45,Tabla1[[#This Row],[MARZO]]/45-1,0))</f>
        <v>0</v>
      </c>
      <c r="AH510" s="103">
        <f>IF(Tabla1[[#This Row],[TIPO DE CONSUMIDOR]]="MEDIO",IF(Tabla1[[#This Row],[ABRIL]]&gt;22.5,Tabla1[[#This Row],[ABRIL]]/22.5-1,0),IF(Tabla1[[#This Row],[ABRIL]]&gt;45,Tabla1[[#This Row],[ABRIL]]/45-1,0))</f>
        <v>0</v>
      </c>
      <c r="AI510" s="103">
        <f>IF(Tabla1[[#This Row],[TIPO DE CONSUMIDOR]]="MEDIO",IF(Tabla1[[#This Row],[MAYO ]]&gt;22.5,Tabla1[[#This Row],[MAYO ]]/22.5-1,0),IF(Tabla1[[#This Row],[MAYO ]]&gt;45,Tabla1[[#This Row],[MAYO ]]/45-1,0))</f>
        <v>0</v>
      </c>
      <c r="AJ510" s="103">
        <f>IF(Tabla1[[#This Row],[TIPO DE CONSUMIDOR]]="MEDIO",IF(Tabla1[[#This Row],[JUNIO ]]&gt;22.5,Tabla1[[#This Row],[JUNIO ]]/22.5-1,0),IF(Tabla1[[#This Row],[JUNIO ]]&gt;45,Tabla1[[#This Row],[JUNIO ]]/45-1,0))</f>
        <v>0</v>
      </c>
      <c r="AK510" s="103">
        <f>IF(Tabla1[[#This Row],[TIPO DE CONSUMIDOR]]="MEDIO",IF(Tabla1[[#This Row],[JULIO ]]&gt;22.5,Tabla1[[#This Row],[JULIO ]]/22.5-1,0),IF(Tabla1[[#This Row],[JULIO ]]&gt;45,Tabla1[[#This Row],[JULIO ]]/45-1,0))</f>
        <v>0</v>
      </c>
      <c r="AL510" s="103">
        <f>IF(Tabla1[[#This Row],[TIPO DE CONSUMIDOR]]="MEDIO",IF(Tabla1[[#This Row],[AGOSTO]]&gt;22.5,Tabla1[[#This Row],[AGOSTO]]/22.5-1,0),IF(Tabla1[[#This Row],[AGOSTO]]&gt;45,Tabla1[[#This Row],[AGOSTO]]/45-1,0))</f>
        <v>0</v>
      </c>
      <c r="AM51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0" s="104">
        <f t="shared" si="16"/>
        <v>0</v>
      </c>
      <c r="AR510" s="9">
        <f t="shared" si="15"/>
        <v>1</v>
      </c>
      <c r="AS510" s="60">
        <f>IF(Tabla1[[#This Row],[MESES DE ADEUDO DEL AÑO EN CURSO ]]&gt;0,1,0)</f>
        <v>1</v>
      </c>
      <c r="AT510" s="42"/>
      <c r="AU510" s="42"/>
      <c r="AV510" s="42"/>
      <c r="AW510" s="43"/>
    </row>
    <row r="511" spans="1:49" ht="21.75" thickBot="1" x14ac:dyDescent="0.35">
      <c r="A511" s="109">
        <v>505</v>
      </c>
      <c r="B511" s="5" t="s">
        <v>301</v>
      </c>
      <c r="C511" s="2"/>
      <c r="D511" s="32"/>
      <c r="E511" s="35" t="s">
        <v>455</v>
      </c>
      <c r="F511" s="34">
        <v>0</v>
      </c>
      <c r="G511" s="34">
        <v>0</v>
      </c>
      <c r="H511" s="34">
        <v>0</v>
      </c>
      <c r="I511" s="34">
        <v>0</v>
      </c>
      <c r="J511" s="34">
        <v>0</v>
      </c>
      <c r="K511" s="34">
        <v>0</v>
      </c>
      <c r="L511" s="34">
        <v>0</v>
      </c>
      <c r="M511" s="34">
        <v>0</v>
      </c>
      <c r="N511" s="34">
        <v>0</v>
      </c>
      <c r="O511" s="34">
        <v>0</v>
      </c>
      <c r="P511" s="34">
        <v>0</v>
      </c>
      <c r="Q511" s="34">
        <v>0</v>
      </c>
      <c r="R511" s="24">
        <f>SUM(Tabla1[[#This Row],[ENERO ]:[DICIEMBRE]])</f>
        <v>0</v>
      </c>
      <c r="W511" s="65">
        <v>7</v>
      </c>
      <c r="X511" s="21">
        <f>COUNTIF(Tabla1[[#This Row],[ENERO ]:[DICIEMBRE]],0)-(AQ511)-IF(Tabla1[[#This Row],[BAJAS]]="BAJA",IF(Tabla1[[#This Row],[ALTAS]]="ALTA",VLOOKUP(Tabla1[[#This Row],[MES DE ALTA ]],$AT$6:$AU$17,2,FALSE),12)-VLOOKUP(Tabla1[[#This Row],[MES DE BAJA ]],$AT$6:$AU$17,2,FALSE),0)</f>
        <v>12</v>
      </c>
      <c r="Y511" s="69">
        <f>SUM(Tabla1[[#This Row],[MES ADEUDO DE AÑOS PASADOS ]:[MESES DE ADEUDO DEL AÑO EN CURSO ]])</f>
        <v>19</v>
      </c>
      <c r="Z511" s="15">
        <f>IF(Tabla1[[#This Row],[TIPO DE CONSUMIDOR]]="COMPLETO",W511*$T$2,W511*($T$2/2))</f>
        <v>315</v>
      </c>
      <c r="AA511" s="15">
        <f>IF(Tabla1[[#This Row],[TIPO DE CONSUMIDOR]]="COMPLETO",Tabla1[[#This Row],[MESES DE ADEUDO DEL AÑO EN CURSO ]]*$T$2,Tabla1[[#This Row],[MESES DE ADEUDO DEL AÑO EN CURSO ]]*($T$2/2))</f>
        <v>540</v>
      </c>
      <c r="AB511" s="70">
        <f>SUM(Tabla1[[#This Row],[DEUDA DE LOS MESES PASADOS EN $$]:[DEUDA DEL AÑO 2013 $$ ]])</f>
        <v>855</v>
      </c>
      <c r="AE511" s="103">
        <f>IF(Tabla1[[#This Row],[TIPO DE CONSUMIDOR]]="MEDIO",IF(Tabla1[[#This Row],[ENERO ]]&gt;22.5,Tabla1[[#This Row],[ENERO ]]/22.5-1,0),IF(Tabla1[[#This Row],[ENERO ]]&gt;45,Tabla1[[#This Row],[ENERO ]]/45-1,0))</f>
        <v>0</v>
      </c>
      <c r="AF51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1" s="103">
        <f>IF(Tabla1[[#This Row],[TIPO DE CONSUMIDOR]]="MEDIO",IF(Tabla1[[#This Row],[MARZO]]&gt;22.5,Tabla1[[#This Row],[MARZO]]/22.5-1,0),IF(Tabla1[[#This Row],[MARZO]]&gt;45,Tabla1[[#This Row],[MARZO]]/45-1,0))</f>
        <v>0</v>
      </c>
      <c r="AH511" s="103">
        <f>IF(Tabla1[[#This Row],[TIPO DE CONSUMIDOR]]="MEDIO",IF(Tabla1[[#This Row],[ABRIL]]&gt;22.5,Tabla1[[#This Row],[ABRIL]]/22.5-1,0),IF(Tabla1[[#This Row],[ABRIL]]&gt;45,Tabla1[[#This Row],[ABRIL]]/45-1,0))</f>
        <v>0</v>
      </c>
      <c r="AI511" s="103">
        <f>IF(Tabla1[[#This Row],[TIPO DE CONSUMIDOR]]="MEDIO",IF(Tabla1[[#This Row],[MAYO ]]&gt;22.5,Tabla1[[#This Row],[MAYO ]]/22.5-1,0),IF(Tabla1[[#This Row],[MAYO ]]&gt;45,Tabla1[[#This Row],[MAYO ]]/45-1,0))</f>
        <v>0</v>
      </c>
      <c r="AJ511" s="103">
        <f>IF(Tabla1[[#This Row],[TIPO DE CONSUMIDOR]]="MEDIO",IF(Tabla1[[#This Row],[JUNIO ]]&gt;22.5,Tabla1[[#This Row],[JUNIO ]]/22.5-1,0),IF(Tabla1[[#This Row],[JUNIO ]]&gt;45,Tabla1[[#This Row],[JUNIO ]]/45-1,0))</f>
        <v>0</v>
      </c>
      <c r="AK511" s="103">
        <f>IF(Tabla1[[#This Row],[TIPO DE CONSUMIDOR]]="MEDIO",IF(Tabla1[[#This Row],[JULIO ]]&gt;22.5,Tabla1[[#This Row],[JULIO ]]/22.5-1,0),IF(Tabla1[[#This Row],[JULIO ]]&gt;45,Tabla1[[#This Row],[JULIO ]]/45-1,0))</f>
        <v>0</v>
      </c>
      <c r="AL511" s="103">
        <f>IF(Tabla1[[#This Row],[TIPO DE CONSUMIDOR]]="MEDIO",IF(Tabla1[[#This Row],[AGOSTO]]&gt;22.5,Tabla1[[#This Row],[AGOSTO]]/22.5-1,0),IF(Tabla1[[#This Row],[AGOSTO]]&gt;45,Tabla1[[#This Row],[AGOSTO]]/45-1,0))</f>
        <v>0</v>
      </c>
      <c r="AM51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1" s="104">
        <f t="shared" si="16"/>
        <v>0</v>
      </c>
      <c r="AR511" s="9">
        <f t="shared" si="15"/>
        <v>1</v>
      </c>
      <c r="AS511" s="60">
        <f>IF(Tabla1[[#This Row],[MESES DE ADEUDO DEL AÑO EN CURSO ]]&gt;0,1,0)</f>
        <v>1</v>
      </c>
      <c r="AT511" s="42"/>
      <c r="AU511" s="42"/>
      <c r="AV511" s="42"/>
      <c r="AW511" s="43"/>
    </row>
    <row r="512" spans="1:49" ht="21.75" thickBot="1" x14ac:dyDescent="0.35">
      <c r="A512" s="109">
        <v>506</v>
      </c>
      <c r="B512" s="5" t="s">
        <v>328</v>
      </c>
      <c r="C512" s="2" t="s">
        <v>456</v>
      </c>
      <c r="D512" s="32"/>
      <c r="E512" s="35" t="s">
        <v>455</v>
      </c>
      <c r="F512" s="34">
        <v>0</v>
      </c>
      <c r="G512" s="34">
        <v>0</v>
      </c>
      <c r="H512" s="34">
        <v>0</v>
      </c>
      <c r="I512" s="34">
        <v>0</v>
      </c>
      <c r="J512" s="34">
        <v>0</v>
      </c>
      <c r="K512" s="34">
        <v>0</v>
      </c>
      <c r="L512" s="34">
        <v>0</v>
      </c>
      <c r="M512" s="34">
        <v>0</v>
      </c>
      <c r="N512" s="34">
        <v>0</v>
      </c>
      <c r="O512" s="34">
        <v>0</v>
      </c>
      <c r="P512" s="34">
        <v>0</v>
      </c>
      <c r="Q512" s="34">
        <v>0</v>
      </c>
      <c r="R512" s="24">
        <f>SUM(Tabla1[[#This Row],[ENERO ]:[DICIEMBRE]])</f>
        <v>0</v>
      </c>
      <c r="W512" s="65">
        <v>8</v>
      </c>
      <c r="X512" s="21">
        <f>COUNTIF(Tabla1[[#This Row],[ENERO ]:[DICIEMBRE]],0)-(AQ512)-IF(Tabla1[[#This Row],[BAJAS]]="BAJA",IF(Tabla1[[#This Row],[ALTAS]]="ALTA",VLOOKUP(Tabla1[[#This Row],[MES DE ALTA ]],$AT$6:$AU$17,2,FALSE),12)-VLOOKUP(Tabla1[[#This Row],[MES DE BAJA ]],$AT$6:$AU$17,2,FALSE),0)</f>
        <v>12</v>
      </c>
      <c r="Y512" s="69">
        <f>SUM(Tabla1[[#This Row],[MES ADEUDO DE AÑOS PASADOS ]:[MESES DE ADEUDO DEL AÑO EN CURSO ]])</f>
        <v>20</v>
      </c>
      <c r="Z512" s="15">
        <f>IF(Tabla1[[#This Row],[TIPO DE CONSUMIDOR]]="COMPLETO",W512*$T$2,W512*($T$2/2))</f>
        <v>360</v>
      </c>
      <c r="AA512" s="15">
        <f>IF(Tabla1[[#This Row],[TIPO DE CONSUMIDOR]]="COMPLETO",Tabla1[[#This Row],[MESES DE ADEUDO DEL AÑO EN CURSO ]]*$T$2,Tabla1[[#This Row],[MESES DE ADEUDO DEL AÑO EN CURSO ]]*($T$2/2))</f>
        <v>540</v>
      </c>
      <c r="AB512" s="70">
        <f>SUM(Tabla1[[#This Row],[DEUDA DE LOS MESES PASADOS EN $$]:[DEUDA DEL AÑO 2013 $$ ]])</f>
        <v>900</v>
      </c>
      <c r="AE512" s="103">
        <f>IF(Tabla1[[#This Row],[TIPO DE CONSUMIDOR]]="MEDIO",IF(Tabla1[[#This Row],[ENERO ]]&gt;22.5,Tabla1[[#This Row],[ENERO ]]/22.5-1,0),IF(Tabla1[[#This Row],[ENERO ]]&gt;45,Tabla1[[#This Row],[ENERO ]]/45-1,0))</f>
        <v>0</v>
      </c>
      <c r="AF51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2" s="103">
        <f>IF(Tabla1[[#This Row],[TIPO DE CONSUMIDOR]]="MEDIO",IF(Tabla1[[#This Row],[MARZO]]&gt;22.5,Tabla1[[#This Row],[MARZO]]/22.5-1,0),IF(Tabla1[[#This Row],[MARZO]]&gt;45,Tabla1[[#This Row],[MARZO]]/45-1,0))</f>
        <v>0</v>
      </c>
      <c r="AH512" s="103">
        <f>IF(Tabla1[[#This Row],[TIPO DE CONSUMIDOR]]="MEDIO",IF(Tabla1[[#This Row],[ABRIL]]&gt;22.5,Tabla1[[#This Row],[ABRIL]]/22.5-1,0),IF(Tabla1[[#This Row],[ABRIL]]&gt;45,Tabla1[[#This Row],[ABRIL]]/45-1,0))</f>
        <v>0</v>
      </c>
      <c r="AI512" s="103">
        <f>IF(Tabla1[[#This Row],[TIPO DE CONSUMIDOR]]="MEDIO",IF(Tabla1[[#This Row],[MAYO ]]&gt;22.5,Tabla1[[#This Row],[MAYO ]]/22.5-1,0),IF(Tabla1[[#This Row],[MAYO ]]&gt;45,Tabla1[[#This Row],[MAYO ]]/45-1,0))</f>
        <v>0</v>
      </c>
      <c r="AJ512" s="103">
        <f>IF(Tabla1[[#This Row],[TIPO DE CONSUMIDOR]]="MEDIO",IF(Tabla1[[#This Row],[JUNIO ]]&gt;22.5,Tabla1[[#This Row],[JUNIO ]]/22.5-1,0),IF(Tabla1[[#This Row],[JUNIO ]]&gt;45,Tabla1[[#This Row],[JUNIO ]]/45-1,0))</f>
        <v>0</v>
      </c>
      <c r="AK512" s="103">
        <f>IF(Tabla1[[#This Row],[TIPO DE CONSUMIDOR]]="MEDIO",IF(Tabla1[[#This Row],[JULIO ]]&gt;22.5,Tabla1[[#This Row],[JULIO ]]/22.5-1,0),IF(Tabla1[[#This Row],[JULIO ]]&gt;45,Tabla1[[#This Row],[JULIO ]]/45-1,0))</f>
        <v>0</v>
      </c>
      <c r="AL512" s="103">
        <f>IF(Tabla1[[#This Row],[TIPO DE CONSUMIDOR]]="MEDIO",IF(Tabla1[[#This Row],[AGOSTO]]&gt;22.5,Tabla1[[#This Row],[AGOSTO]]/22.5-1,0),IF(Tabla1[[#This Row],[AGOSTO]]&gt;45,Tabla1[[#This Row],[AGOSTO]]/45-1,0))</f>
        <v>0</v>
      </c>
      <c r="AM51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2" s="104">
        <f t="shared" si="16"/>
        <v>0</v>
      </c>
      <c r="AR512" s="9">
        <f t="shared" si="15"/>
        <v>1</v>
      </c>
      <c r="AS512" s="60">
        <f>IF(Tabla1[[#This Row],[MESES DE ADEUDO DEL AÑO EN CURSO ]]&gt;0,1,0)</f>
        <v>1</v>
      </c>
      <c r="AT512" s="42"/>
      <c r="AU512" s="42"/>
      <c r="AV512" s="42"/>
      <c r="AW512" s="43"/>
    </row>
    <row r="513" spans="1:49" ht="21.75" thickBot="1" x14ac:dyDescent="0.35">
      <c r="A513" s="109">
        <v>507</v>
      </c>
      <c r="B513" s="5" t="s">
        <v>134</v>
      </c>
      <c r="C513" s="2" t="s">
        <v>461</v>
      </c>
      <c r="D513" s="32"/>
      <c r="E513" s="35" t="s">
        <v>455</v>
      </c>
      <c r="F513" s="34">
        <v>0</v>
      </c>
      <c r="G513" s="34">
        <v>0</v>
      </c>
      <c r="H513" s="34">
        <v>0</v>
      </c>
      <c r="I513" s="34">
        <v>0</v>
      </c>
      <c r="J513" s="34">
        <v>0</v>
      </c>
      <c r="K513" s="34">
        <v>0</v>
      </c>
      <c r="L513" s="34">
        <v>0</v>
      </c>
      <c r="M513" s="34">
        <v>0</v>
      </c>
      <c r="N513" s="34">
        <v>0</v>
      </c>
      <c r="O513" s="34">
        <v>0</v>
      </c>
      <c r="P513" s="34">
        <v>0</v>
      </c>
      <c r="Q513" s="34">
        <v>0</v>
      </c>
      <c r="R513" s="24">
        <f>SUM(Tabla1[[#This Row],[ENERO ]:[DICIEMBRE]])</f>
        <v>0</v>
      </c>
      <c r="W513" s="65">
        <v>8</v>
      </c>
      <c r="X513" s="21">
        <f>COUNTIF(Tabla1[[#This Row],[ENERO ]:[DICIEMBRE]],0)-(AQ513)-IF(Tabla1[[#This Row],[BAJAS]]="BAJA",IF(Tabla1[[#This Row],[ALTAS]]="ALTA",VLOOKUP(Tabla1[[#This Row],[MES DE ALTA ]],$AT$6:$AU$17,2,FALSE),12)-VLOOKUP(Tabla1[[#This Row],[MES DE BAJA ]],$AT$6:$AU$17,2,FALSE),0)</f>
        <v>12</v>
      </c>
      <c r="Y513" s="69">
        <f>SUM(Tabla1[[#This Row],[MES ADEUDO DE AÑOS PASADOS ]:[MESES DE ADEUDO DEL AÑO EN CURSO ]])</f>
        <v>20</v>
      </c>
      <c r="Z513" s="15">
        <f>IF(Tabla1[[#This Row],[TIPO DE CONSUMIDOR]]="COMPLETO",W513*$T$2,W513*($T$2/2))</f>
        <v>360</v>
      </c>
      <c r="AA513" s="15">
        <f>IF(Tabla1[[#This Row],[TIPO DE CONSUMIDOR]]="COMPLETO",Tabla1[[#This Row],[MESES DE ADEUDO DEL AÑO EN CURSO ]]*$T$2,Tabla1[[#This Row],[MESES DE ADEUDO DEL AÑO EN CURSO ]]*($T$2/2))</f>
        <v>540</v>
      </c>
      <c r="AB513" s="70">
        <f>SUM(Tabla1[[#This Row],[DEUDA DE LOS MESES PASADOS EN $$]:[DEUDA DEL AÑO 2013 $$ ]])</f>
        <v>900</v>
      </c>
      <c r="AE513" s="103">
        <f>IF(Tabla1[[#This Row],[TIPO DE CONSUMIDOR]]="MEDIO",IF(Tabla1[[#This Row],[ENERO ]]&gt;22.5,Tabla1[[#This Row],[ENERO ]]/22.5-1,0),IF(Tabla1[[#This Row],[ENERO ]]&gt;45,Tabla1[[#This Row],[ENERO ]]/45-1,0))</f>
        <v>0</v>
      </c>
      <c r="AF51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3" s="103">
        <f>IF(Tabla1[[#This Row],[TIPO DE CONSUMIDOR]]="MEDIO",IF(Tabla1[[#This Row],[MARZO]]&gt;22.5,Tabla1[[#This Row],[MARZO]]/22.5-1,0),IF(Tabla1[[#This Row],[MARZO]]&gt;45,Tabla1[[#This Row],[MARZO]]/45-1,0))</f>
        <v>0</v>
      </c>
      <c r="AH513" s="103">
        <f>IF(Tabla1[[#This Row],[TIPO DE CONSUMIDOR]]="MEDIO",IF(Tabla1[[#This Row],[ABRIL]]&gt;22.5,Tabla1[[#This Row],[ABRIL]]/22.5-1,0),IF(Tabla1[[#This Row],[ABRIL]]&gt;45,Tabla1[[#This Row],[ABRIL]]/45-1,0))</f>
        <v>0</v>
      </c>
      <c r="AI513" s="103">
        <f>IF(Tabla1[[#This Row],[TIPO DE CONSUMIDOR]]="MEDIO",IF(Tabla1[[#This Row],[MAYO ]]&gt;22.5,Tabla1[[#This Row],[MAYO ]]/22.5-1,0),IF(Tabla1[[#This Row],[MAYO ]]&gt;45,Tabla1[[#This Row],[MAYO ]]/45-1,0))</f>
        <v>0</v>
      </c>
      <c r="AJ513" s="103">
        <f>IF(Tabla1[[#This Row],[TIPO DE CONSUMIDOR]]="MEDIO",IF(Tabla1[[#This Row],[JUNIO ]]&gt;22.5,Tabla1[[#This Row],[JUNIO ]]/22.5-1,0),IF(Tabla1[[#This Row],[JUNIO ]]&gt;45,Tabla1[[#This Row],[JUNIO ]]/45-1,0))</f>
        <v>0</v>
      </c>
      <c r="AK513" s="103">
        <f>IF(Tabla1[[#This Row],[TIPO DE CONSUMIDOR]]="MEDIO",IF(Tabla1[[#This Row],[JULIO ]]&gt;22.5,Tabla1[[#This Row],[JULIO ]]/22.5-1,0),IF(Tabla1[[#This Row],[JULIO ]]&gt;45,Tabla1[[#This Row],[JULIO ]]/45-1,0))</f>
        <v>0</v>
      </c>
      <c r="AL513" s="103">
        <f>IF(Tabla1[[#This Row],[TIPO DE CONSUMIDOR]]="MEDIO",IF(Tabla1[[#This Row],[AGOSTO]]&gt;22.5,Tabla1[[#This Row],[AGOSTO]]/22.5-1,0),IF(Tabla1[[#This Row],[AGOSTO]]&gt;45,Tabla1[[#This Row],[AGOSTO]]/45-1,0))</f>
        <v>0</v>
      </c>
      <c r="AM51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3" s="104">
        <f t="shared" si="16"/>
        <v>0</v>
      </c>
      <c r="AR513" s="9">
        <f t="shared" si="15"/>
        <v>1</v>
      </c>
      <c r="AS513" s="60">
        <f>IF(Tabla1[[#This Row],[MESES DE ADEUDO DEL AÑO EN CURSO ]]&gt;0,1,0)</f>
        <v>1</v>
      </c>
      <c r="AT513" s="42"/>
      <c r="AU513" s="42"/>
      <c r="AV513" s="42"/>
      <c r="AW513" s="43"/>
    </row>
    <row r="514" spans="1:49" ht="21.75" thickBot="1" x14ac:dyDescent="0.35">
      <c r="A514" s="109">
        <v>508</v>
      </c>
      <c r="B514" s="5" t="s">
        <v>73</v>
      </c>
      <c r="C514" s="2" t="s">
        <v>530</v>
      </c>
      <c r="D514" s="32"/>
      <c r="E514" s="35" t="s">
        <v>455</v>
      </c>
      <c r="F514" s="34">
        <v>0</v>
      </c>
      <c r="G514" s="34">
        <v>0</v>
      </c>
      <c r="H514" s="34">
        <v>0</v>
      </c>
      <c r="I514" s="34">
        <v>0</v>
      </c>
      <c r="J514" s="34">
        <v>0</v>
      </c>
      <c r="K514" s="34">
        <v>0</v>
      </c>
      <c r="L514" s="34">
        <v>0</v>
      </c>
      <c r="M514" s="34">
        <v>0</v>
      </c>
      <c r="N514" s="34">
        <v>0</v>
      </c>
      <c r="O514" s="34">
        <v>0</v>
      </c>
      <c r="P514" s="34">
        <v>0</v>
      </c>
      <c r="Q514" s="34">
        <v>0</v>
      </c>
      <c r="R514" s="24">
        <f>SUM(Tabla1[[#This Row],[ENERO ]:[DICIEMBRE]])</f>
        <v>0</v>
      </c>
      <c r="W514" s="65">
        <v>8</v>
      </c>
      <c r="X514" s="21">
        <f>COUNTIF(Tabla1[[#This Row],[ENERO ]:[DICIEMBRE]],0)-(AQ514)-IF(Tabla1[[#This Row],[BAJAS]]="BAJA",IF(Tabla1[[#This Row],[ALTAS]]="ALTA",VLOOKUP(Tabla1[[#This Row],[MES DE ALTA ]],$AT$6:$AU$17,2,FALSE),12)-VLOOKUP(Tabla1[[#This Row],[MES DE BAJA ]],$AT$6:$AU$17,2,FALSE),0)</f>
        <v>12</v>
      </c>
      <c r="Y514" s="69">
        <f>SUM(Tabla1[[#This Row],[MES ADEUDO DE AÑOS PASADOS ]:[MESES DE ADEUDO DEL AÑO EN CURSO ]])</f>
        <v>20</v>
      </c>
      <c r="Z514" s="15">
        <f>IF(Tabla1[[#This Row],[TIPO DE CONSUMIDOR]]="COMPLETO",W514*$T$2,W514*($T$2/2))</f>
        <v>360</v>
      </c>
      <c r="AA514" s="15">
        <f>IF(Tabla1[[#This Row],[TIPO DE CONSUMIDOR]]="COMPLETO",Tabla1[[#This Row],[MESES DE ADEUDO DEL AÑO EN CURSO ]]*$T$2,Tabla1[[#This Row],[MESES DE ADEUDO DEL AÑO EN CURSO ]]*($T$2/2))</f>
        <v>540</v>
      </c>
      <c r="AB514" s="70">
        <f>SUM(Tabla1[[#This Row],[DEUDA DE LOS MESES PASADOS EN $$]:[DEUDA DEL AÑO 2013 $$ ]])</f>
        <v>900</v>
      </c>
      <c r="AE514" s="103">
        <f>IF(Tabla1[[#This Row],[TIPO DE CONSUMIDOR]]="MEDIO",IF(Tabla1[[#This Row],[ENERO ]]&gt;22.5,Tabla1[[#This Row],[ENERO ]]/22.5-1,0),IF(Tabla1[[#This Row],[ENERO ]]&gt;45,Tabla1[[#This Row],[ENERO ]]/45-1,0))</f>
        <v>0</v>
      </c>
      <c r="AF51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4" s="103">
        <f>IF(Tabla1[[#This Row],[TIPO DE CONSUMIDOR]]="MEDIO",IF(Tabla1[[#This Row],[MARZO]]&gt;22.5,Tabla1[[#This Row],[MARZO]]/22.5-1,0),IF(Tabla1[[#This Row],[MARZO]]&gt;45,Tabla1[[#This Row],[MARZO]]/45-1,0))</f>
        <v>0</v>
      </c>
      <c r="AH514" s="103">
        <f>IF(Tabla1[[#This Row],[TIPO DE CONSUMIDOR]]="MEDIO",IF(Tabla1[[#This Row],[ABRIL]]&gt;22.5,Tabla1[[#This Row],[ABRIL]]/22.5-1,0),IF(Tabla1[[#This Row],[ABRIL]]&gt;45,Tabla1[[#This Row],[ABRIL]]/45-1,0))</f>
        <v>0</v>
      </c>
      <c r="AI514" s="103">
        <f>IF(Tabla1[[#This Row],[TIPO DE CONSUMIDOR]]="MEDIO",IF(Tabla1[[#This Row],[MAYO ]]&gt;22.5,Tabla1[[#This Row],[MAYO ]]/22.5-1,0),IF(Tabla1[[#This Row],[MAYO ]]&gt;45,Tabla1[[#This Row],[MAYO ]]/45-1,0))</f>
        <v>0</v>
      </c>
      <c r="AJ514" s="103">
        <f>IF(Tabla1[[#This Row],[TIPO DE CONSUMIDOR]]="MEDIO",IF(Tabla1[[#This Row],[JUNIO ]]&gt;22.5,Tabla1[[#This Row],[JUNIO ]]/22.5-1,0),IF(Tabla1[[#This Row],[JUNIO ]]&gt;45,Tabla1[[#This Row],[JUNIO ]]/45-1,0))</f>
        <v>0</v>
      </c>
      <c r="AK514" s="103">
        <f>IF(Tabla1[[#This Row],[TIPO DE CONSUMIDOR]]="MEDIO",IF(Tabla1[[#This Row],[JULIO ]]&gt;22.5,Tabla1[[#This Row],[JULIO ]]/22.5-1,0),IF(Tabla1[[#This Row],[JULIO ]]&gt;45,Tabla1[[#This Row],[JULIO ]]/45-1,0))</f>
        <v>0</v>
      </c>
      <c r="AL514" s="103">
        <f>IF(Tabla1[[#This Row],[TIPO DE CONSUMIDOR]]="MEDIO",IF(Tabla1[[#This Row],[AGOSTO]]&gt;22.5,Tabla1[[#This Row],[AGOSTO]]/22.5-1,0),IF(Tabla1[[#This Row],[AGOSTO]]&gt;45,Tabla1[[#This Row],[AGOSTO]]/45-1,0))</f>
        <v>0</v>
      </c>
      <c r="AM51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4" s="104">
        <f t="shared" si="16"/>
        <v>0</v>
      </c>
      <c r="AR514" s="9">
        <f t="shared" si="15"/>
        <v>1</v>
      </c>
      <c r="AS514" s="60">
        <f>IF(Tabla1[[#This Row],[MESES DE ADEUDO DEL AÑO EN CURSO ]]&gt;0,1,0)</f>
        <v>1</v>
      </c>
      <c r="AT514" s="42"/>
      <c r="AU514" s="42"/>
      <c r="AV514" s="42"/>
      <c r="AW514" s="43"/>
    </row>
    <row r="515" spans="1:49" ht="21.75" thickBot="1" x14ac:dyDescent="0.35">
      <c r="A515" s="109">
        <v>509</v>
      </c>
      <c r="B515" s="5" t="s">
        <v>95</v>
      </c>
      <c r="C515" s="2" t="s">
        <v>530</v>
      </c>
      <c r="D515" s="32"/>
      <c r="E515" s="35" t="s">
        <v>455</v>
      </c>
      <c r="F515" s="34">
        <v>0</v>
      </c>
      <c r="G515" s="34">
        <v>0</v>
      </c>
      <c r="H515" s="34">
        <v>0</v>
      </c>
      <c r="I515" s="34">
        <v>0</v>
      </c>
      <c r="J515" s="34">
        <v>0</v>
      </c>
      <c r="K515" s="34">
        <v>0</v>
      </c>
      <c r="L515" s="34">
        <v>0</v>
      </c>
      <c r="M515" s="34">
        <v>0</v>
      </c>
      <c r="N515" s="34">
        <v>0</v>
      </c>
      <c r="O515" s="34">
        <v>0</v>
      </c>
      <c r="P515" s="34">
        <v>0</v>
      </c>
      <c r="Q515" s="34">
        <v>0</v>
      </c>
      <c r="R515" s="24">
        <f>SUM(Tabla1[[#This Row],[ENERO ]:[DICIEMBRE]])</f>
        <v>0</v>
      </c>
      <c r="W515" s="65">
        <v>8</v>
      </c>
      <c r="X515" s="21">
        <f>COUNTIF(Tabla1[[#This Row],[ENERO ]:[DICIEMBRE]],0)-(AQ515)-IF(Tabla1[[#This Row],[BAJAS]]="BAJA",IF(Tabla1[[#This Row],[ALTAS]]="ALTA",VLOOKUP(Tabla1[[#This Row],[MES DE ALTA ]],$AT$6:$AU$17,2,FALSE),12)-VLOOKUP(Tabla1[[#This Row],[MES DE BAJA ]],$AT$6:$AU$17,2,FALSE),0)</f>
        <v>12</v>
      </c>
      <c r="Y515" s="69">
        <f>SUM(Tabla1[[#This Row],[MES ADEUDO DE AÑOS PASADOS ]:[MESES DE ADEUDO DEL AÑO EN CURSO ]])</f>
        <v>20</v>
      </c>
      <c r="Z515" s="15">
        <f>IF(Tabla1[[#This Row],[TIPO DE CONSUMIDOR]]="COMPLETO",W515*$T$2,W515*($T$2/2))</f>
        <v>360</v>
      </c>
      <c r="AA515" s="15">
        <f>IF(Tabla1[[#This Row],[TIPO DE CONSUMIDOR]]="COMPLETO",Tabla1[[#This Row],[MESES DE ADEUDO DEL AÑO EN CURSO ]]*$T$2,Tabla1[[#This Row],[MESES DE ADEUDO DEL AÑO EN CURSO ]]*($T$2/2))</f>
        <v>540</v>
      </c>
      <c r="AB515" s="70">
        <f>SUM(Tabla1[[#This Row],[DEUDA DE LOS MESES PASADOS EN $$]:[DEUDA DEL AÑO 2013 $$ ]])</f>
        <v>900</v>
      </c>
      <c r="AE515" s="103">
        <f>IF(Tabla1[[#This Row],[TIPO DE CONSUMIDOR]]="MEDIO",IF(Tabla1[[#This Row],[ENERO ]]&gt;22.5,Tabla1[[#This Row],[ENERO ]]/22.5-1,0),IF(Tabla1[[#This Row],[ENERO ]]&gt;45,Tabla1[[#This Row],[ENERO ]]/45-1,0))</f>
        <v>0</v>
      </c>
      <c r="AF51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5" s="103">
        <f>IF(Tabla1[[#This Row],[TIPO DE CONSUMIDOR]]="MEDIO",IF(Tabla1[[#This Row],[MARZO]]&gt;22.5,Tabla1[[#This Row],[MARZO]]/22.5-1,0),IF(Tabla1[[#This Row],[MARZO]]&gt;45,Tabla1[[#This Row],[MARZO]]/45-1,0))</f>
        <v>0</v>
      </c>
      <c r="AH515" s="103">
        <f>IF(Tabla1[[#This Row],[TIPO DE CONSUMIDOR]]="MEDIO",IF(Tabla1[[#This Row],[ABRIL]]&gt;22.5,Tabla1[[#This Row],[ABRIL]]/22.5-1,0),IF(Tabla1[[#This Row],[ABRIL]]&gt;45,Tabla1[[#This Row],[ABRIL]]/45-1,0))</f>
        <v>0</v>
      </c>
      <c r="AI515" s="103">
        <f>IF(Tabla1[[#This Row],[TIPO DE CONSUMIDOR]]="MEDIO",IF(Tabla1[[#This Row],[MAYO ]]&gt;22.5,Tabla1[[#This Row],[MAYO ]]/22.5-1,0),IF(Tabla1[[#This Row],[MAYO ]]&gt;45,Tabla1[[#This Row],[MAYO ]]/45-1,0))</f>
        <v>0</v>
      </c>
      <c r="AJ515" s="103">
        <f>IF(Tabla1[[#This Row],[TIPO DE CONSUMIDOR]]="MEDIO",IF(Tabla1[[#This Row],[JUNIO ]]&gt;22.5,Tabla1[[#This Row],[JUNIO ]]/22.5-1,0),IF(Tabla1[[#This Row],[JUNIO ]]&gt;45,Tabla1[[#This Row],[JUNIO ]]/45-1,0))</f>
        <v>0</v>
      </c>
      <c r="AK515" s="103">
        <f>IF(Tabla1[[#This Row],[TIPO DE CONSUMIDOR]]="MEDIO",IF(Tabla1[[#This Row],[JULIO ]]&gt;22.5,Tabla1[[#This Row],[JULIO ]]/22.5-1,0),IF(Tabla1[[#This Row],[JULIO ]]&gt;45,Tabla1[[#This Row],[JULIO ]]/45-1,0))</f>
        <v>0</v>
      </c>
      <c r="AL515" s="103">
        <f>IF(Tabla1[[#This Row],[TIPO DE CONSUMIDOR]]="MEDIO",IF(Tabla1[[#This Row],[AGOSTO]]&gt;22.5,Tabla1[[#This Row],[AGOSTO]]/22.5-1,0),IF(Tabla1[[#This Row],[AGOSTO]]&gt;45,Tabla1[[#This Row],[AGOSTO]]/45-1,0))</f>
        <v>0</v>
      </c>
      <c r="AM51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5" s="104">
        <f t="shared" si="16"/>
        <v>0</v>
      </c>
      <c r="AR515" s="9">
        <f t="shared" si="15"/>
        <v>1</v>
      </c>
      <c r="AS515" s="60">
        <f>IF(Tabla1[[#This Row],[MESES DE ADEUDO DEL AÑO EN CURSO ]]&gt;0,1,0)</f>
        <v>1</v>
      </c>
      <c r="AT515" s="42"/>
      <c r="AU515" s="42"/>
      <c r="AV515" s="42"/>
      <c r="AW515" s="43"/>
    </row>
    <row r="516" spans="1:49" ht="21.75" thickBot="1" x14ac:dyDescent="0.35">
      <c r="A516" s="109">
        <v>510</v>
      </c>
      <c r="B516" s="5" t="s">
        <v>268</v>
      </c>
      <c r="C516" s="2" t="s">
        <v>530</v>
      </c>
      <c r="D516" s="32"/>
      <c r="E516" s="35" t="s">
        <v>455</v>
      </c>
      <c r="F516" s="34">
        <v>0</v>
      </c>
      <c r="G516" s="34">
        <v>0</v>
      </c>
      <c r="H516" s="34">
        <v>0</v>
      </c>
      <c r="I516" s="34">
        <v>0</v>
      </c>
      <c r="J516" s="34">
        <v>0</v>
      </c>
      <c r="K516" s="34">
        <v>0</v>
      </c>
      <c r="L516" s="34">
        <v>0</v>
      </c>
      <c r="M516" s="34">
        <v>0</v>
      </c>
      <c r="N516" s="34">
        <v>0</v>
      </c>
      <c r="O516" s="34">
        <v>0</v>
      </c>
      <c r="P516" s="34">
        <v>0</v>
      </c>
      <c r="Q516" s="34">
        <v>0</v>
      </c>
      <c r="R516" s="24">
        <f>SUM(Tabla1[[#This Row],[ENERO ]:[DICIEMBRE]])</f>
        <v>0</v>
      </c>
      <c r="W516" s="65">
        <v>8</v>
      </c>
      <c r="X516" s="21">
        <f>COUNTIF(Tabla1[[#This Row],[ENERO ]:[DICIEMBRE]],0)-(AQ516)-IF(Tabla1[[#This Row],[BAJAS]]="BAJA",IF(Tabla1[[#This Row],[ALTAS]]="ALTA",VLOOKUP(Tabla1[[#This Row],[MES DE ALTA ]],$AT$6:$AU$17,2,FALSE),12)-VLOOKUP(Tabla1[[#This Row],[MES DE BAJA ]],$AT$6:$AU$17,2,FALSE),0)</f>
        <v>12</v>
      </c>
      <c r="Y516" s="69">
        <f>SUM(Tabla1[[#This Row],[MES ADEUDO DE AÑOS PASADOS ]:[MESES DE ADEUDO DEL AÑO EN CURSO ]])</f>
        <v>20</v>
      </c>
      <c r="Z516" s="15">
        <f>IF(Tabla1[[#This Row],[TIPO DE CONSUMIDOR]]="COMPLETO",W516*$T$2,W516*($T$2/2))</f>
        <v>360</v>
      </c>
      <c r="AA516" s="15">
        <f>IF(Tabla1[[#This Row],[TIPO DE CONSUMIDOR]]="COMPLETO",Tabla1[[#This Row],[MESES DE ADEUDO DEL AÑO EN CURSO ]]*$T$2,Tabla1[[#This Row],[MESES DE ADEUDO DEL AÑO EN CURSO ]]*($T$2/2))</f>
        <v>540</v>
      </c>
      <c r="AB516" s="70">
        <f>SUM(Tabla1[[#This Row],[DEUDA DE LOS MESES PASADOS EN $$]:[DEUDA DEL AÑO 2013 $$ ]])</f>
        <v>900</v>
      </c>
      <c r="AE516" s="103">
        <f>IF(Tabla1[[#This Row],[TIPO DE CONSUMIDOR]]="MEDIO",IF(Tabla1[[#This Row],[ENERO ]]&gt;22.5,Tabla1[[#This Row],[ENERO ]]/22.5-1,0),IF(Tabla1[[#This Row],[ENERO ]]&gt;45,Tabla1[[#This Row],[ENERO ]]/45-1,0))</f>
        <v>0</v>
      </c>
      <c r="AF51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6" s="103">
        <f>IF(Tabla1[[#This Row],[TIPO DE CONSUMIDOR]]="MEDIO",IF(Tabla1[[#This Row],[MARZO]]&gt;22.5,Tabla1[[#This Row],[MARZO]]/22.5-1,0),IF(Tabla1[[#This Row],[MARZO]]&gt;45,Tabla1[[#This Row],[MARZO]]/45-1,0))</f>
        <v>0</v>
      </c>
      <c r="AH516" s="103">
        <f>IF(Tabla1[[#This Row],[TIPO DE CONSUMIDOR]]="MEDIO",IF(Tabla1[[#This Row],[ABRIL]]&gt;22.5,Tabla1[[#This Row],[ABRIL]]/22.5-1,0),IF(Tabla1[[#This Row],[ABRIL]]&gt;45,Tabla1[[#This Row],[ABRIL]]/45-1,0))</f>
        <v>0</v>
      </c>
      <c r="AI516" s="103">
        <f>IF(Tabla1[[#This Row],[TIPO DE CONSUMIDOR]]="MEDIO",IF(Tabla1[[#This Row],[MAYO ]]&gt;22.5,Tabla1[[#This Row],[MAYO ]]/22.5-1,0),IF(Tabla1[[#This Row],[MAYO ]]&gt;45,Tabla1[[#This Row],[MAYO ]]/45-1,0))</f>
        <v>0</v>
      </c>
      <c r="AJ516" s="103">
        <f>IF(Tabla1[[#This Row],[TIPO DE CONSUMIDOR]]="MEDIO",IF(Tabla1[[#This Row],[JUNIO ]]&gt;22.5,Tabla1[[#This Row],[JUNIO ]]/22.5-1,0),IF(Tabla1[[#This Row],[JUNIO ]]&gt;45,Tabla1[[#This Row],[JUNIO ]]/45-1,0))</f>
        <v>0</v>
      </c>
      <c r="AK516" s="103">
        <f>IF(Tabla1[[#This Row],[TIPO DE CONSUMIDOR]]="MEDIO",IF(Tabla1[[#This Row],[JULIO ]]&gt;22.5,Tabla1[[#This Row],[JULIO ]]/22.5-1,0),IF(Tabla1[[#This Row],[JULIO ]]&gt;45,Tabla1[[#This Row],[JULIO ]]/45-1,0))</f>
        <v>0</v>
      </c>
      <c r="AL516" s="103">
        <f>IF(Tabla1[[#This Row],[TIPO DE CONSUMIDOR]]="MEDIO",IF(Tabla1[[#This Row],[AGOSTO]]&gt;22.5,Tabla1[[#This Row],[AGOSTO]]/22.5-1,0),IF(Tabla1[[#This Row],[AGOSTO]]&gt;45,Tabla1[[#This Row],[AGOSTO]]/45-1,0))</f>
        <v>0</v>
      </c>
      <c r="AM51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6" s="104">
        <f t="shared" si="16"/>
        <v>0</v>
      </c>
      <c r="AR516" s="9">
        <f t="shared" si="15"/>
        <v>1</v>
      </c>
      <c r="AS516" s="60">
        <f>IF(Tabla1[[#This Row],[MESES DE ADEUDO DEL AÑO EN CURSO ]]&gt;0,1,0)</f>
        <v>1</v>
      </c>
      <c r="AT516" s="42"/>
      <c r="AU516" s="42"/>
      <c r="AV516" s="42"/>
      <c r="AW516" s="43"/>
    </row>
    <row r="517" spans="1:49" ht="21.75" thickBot="1" x14ac:dyDescent="0.35">
      <c r="A517" s="109">
        <v>511</v>
      </c>
      <c r="B517" s="5" t="s">
        <v>78</v>
      </c>
      <c r="C517" s="2" t="s">
        <v>545</v>
      </c>
      <c r="D517" s="32"/>
      <c r="E517" s="35" t="s">
        <v>455</v>
      </c>
      <c r="F517" s="34">
        <v>0</v>
      </c>
      <c r="G517" s="34">
        <v>0</v>
      </c>
      <c r="H517" s="34">
        <v>0</v>
      </c>
      <c r="I517" s="34">
        <v>0</v>
      </c>
      <c r="J517" s="34">
        <v>0</v>
      </c>
      <c r="K517" s="34">
        <v>0</v>
      </c>
      <c r="L517" s="34">
        <v>0</v>
      </c>
      <c r="M517" s="34">
        <v>0</v>
      </c>
      <c r="N517" s="34">
        <v>0</v>
      </c>
      <c r="O517" s="34">
        <v>0</v>
      </c>
      <c r="P517" s="34">
        <v>0</v>
      </c>
      <c r="Q517" s="34">
        <v>0</v>
      </c>
      <c r="R517" s="24">
        <f>SUM(Tabla1[[#This Row],[ENERO ]:[DICIEMBRE]])</f>
        <v>0</v>
      </c>
      <c r="W517" s="65">
        <v>8</v>
      </c>
      <c r="X517" s="21">
        <f>COUNTIF(Tabla1[[#This Row],[ENERO ]:[DICIEMBRE]],0)-(AQ517)-IF(Tabla1[[#This Row],[BAJAS]]="BAJA",IF(Tabla1[[#This Row],[ALTAS]]="ALTA",VLOOKUP(Tabla1[[#This Row],[MES DE ALTA ]],$AT$6:$AU$17,2,FALSE),12)-VLOOKUP(Tabla1[[#This Row],[MES DE BAJA ]],$AT$6:$AU$17,2,FALSE),0)</f>
        <v>12</v>
      </c>
      <c r="Y517" s="69">
        <f>SUM(Tabla1[[#This Row],[MES ADEUDO DE AÑOS PASADOS ]:[MESES DE ADEUDO DEL AÑO EN CURSO ]])</f>
        <v>20</v>
      </c>
      <c r="Z517" s="15">
        <f>IF(Tabla1[[#This Row],[TIPO DE CONSUMIDOR]]="COMPLETO",W517*$T$2,W517*($T$2/2))</f>
        <v>360</v>
      </c>
      <c r="AA517" s="15">
        <f>IF(Tabla1[[#This Row],[TIPO DE CONSUMIDOR]]="COMPLETO",Tabla1[[#This Row],[MESES DE ADEUDO DEL AÑO EN CURSO ]]*$T$2,Tabla1[[#This Row],[MESES DE ADEUDO DEL AÑO EN CURSO ]]*($T$2/2))</f>
        <v>540</v>
      </c>
      <c r="AB517" s="70">
        <f>SUM(Tabla1[[#This Row],[DEUDA DE LOS MESES PASADOS EN $$]:[DEUDA DEL AÑO 2013 $$ ]])</f>
        <v>900</v>
      </c>
      <c r="AE517" s="103">
        <f>IF(Tabla1[[#This Row],[TIPO DE CONSUMIDOR]]="MEDIO",IF(Tabla1[[#This Row],[ENERO ]]&gt;22.5,Tabla1[[#This Row],[ENERO ]]/22.5-1,0),IF(Tabla1[[#This Row],[ENERO ]]&gt;45,Tabla1[[#This Row],[ENERO ]]/45-1,0))</f>
        <v>0</v>
      </c>
      <c r="AF51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7" s="103">
        <f>IF(Tabla1[[#This Row],[TIPO DE CONSUMIDOR]]="MEDIO",IF(Tabla1[[#This Row],[MARZO]]&gt;22.5,Tabla1[[#This Row],[MARZO]]/22.5-1,0),IF(Tabla1[[#This Row],[MARZO]]&gt;45,Tabla1[[#This Row],[MARZO]]/45-1,0))</f>
        <v>0</v>
      </c>
      <c r="AH517" s="103">
        <f>IF(Tabla1[[#This Row],[TIPO DE CONSUMIDOR]]="MEDIO",IF(Tabla1[[#This Row],[ABRIL]]&gt;22.5,Tabla1[[#This Row],[ABRIL]]/22.5-1,0),IF(Tabla1[[#This Row],[ABRIL]]&gt;45,Tabla1[[#This Row],[ABRIL]]/45-1,0))</f>
        <v>0</v>
      </c>
      <c r="AI517" s="103">
        <f>IF(Tabla1[[#This Row],[TIPO DE CONSUMIDOR]]="MEDIO",IF(Tabla1[[#This Row],[MAYO ]]&gt;22.5,Tabla1[[#This Row],[MAYO ]]/22.5-1,0),IF(Tabla1[[#This Row],[MAYO ]]&gt;45,Tabla1[[#This Row],[MAYO ]]/45-1,0))</f>
        <v>0</v>
      </c>
      <c r="AJ517" s="103">
        <f>IF(Tabla1[[#This Row],[TIPO DE CONSUMIDOR]]="MEDIO",IF(Tabla1[[#This Row],[JUNIO ]]&gt;22.5,Tabla1[[#This Row],[JUNIO ]]/22.5-1,0),IF(Tabla1[[#This Row],[JUNIO ]]&gt;45,Tabla1[[#This Row],[JUNIO ]]/45-1,0))</f>
        <v>0</v>
      </c>
      <c r="AK517" s="103">
        <f>IF(Tabla1[[#This Row],[TIPO DE CONSUMIDOR]]="MEDIO",IF(Tabla1[[#This Row],[JULIO ]]&gt;22.5,Tabla1[[#This Row],[JULIO ]]/22.5-1,0),IF(Tabla1[[#This Row],[JULIO ]]&gt;45,Tabla1[[#This Row],[JULIO ]]/45-1,0))</f>
        <v>0</v>
      </c>
      <c r="AL517" s="103">
        <f>IF(Tabla1[[#This Row],[TIPO DE CONSUMIDOR]]="MEDIO",IF(Tabla1[[#This Row],[AGOSTO]]&gt;22.5,Tabla1[[#This Row],[AGOSTO]]/22.5-1,0),IF(Tabla1[[#This Row],[AGOSTO]]&gt;45,Tabla1[[#This Row],[AGOSTO]]/45-1,0))</f>
        <v>0</v>
      </c>
      <c r="AM51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7" s="104">
        <f t="shared" si="16"/>
        <v>0</v>
      </c>
      <c r="AR517" s="9">
        <f t="shared" si="15"/>
        <v>1</v>
      </c>
      <c r="AS517" s="60">
        <f>IF(Tabla1[[#This Row],[MESES DE ADEUDO DEL AÑO EN CURSO ]]&gt;0,1,0)</f>
        <v>1</v>
      </c>
      <c r="AT517" s="42"/>
      <c r="AU517" s="42"/>
      <c r="AV517" s="42"/>
      <c r="AW517" s="43"/>
    </row>
    <row r="518" spans="1:49" ht="21.75" thickBot="1" x14ac:dyDescent="0.35">
      <c r="A518" s="109">
        <v>512</v>
      </c>
      <c r="B518" s="5" t="s">
        <v>35</v>
      </c>
      <c r="C518" s="2" t="s">
        <v>562</v>
      </c>
      <c r="D518" s="32"/>
      <c r="E518" s="35" t="s">
        <v>489</v>
      </c>
      <c r="F518" s="34">
        <v>0</v>
      </c>
      <c r="G518" s="34">
        <v>0</v>
      </c>
      <c r="H518" s="34">
        <v>0</v>
      </c>
      <c r="I518" s="34">
        <v>0</v>
      </c>
      <c r="J518" s="34">
        <v>0</v>
      </c>
      <c r="K518" s="34">
        <v>0</v>
      </c>
      <c r="L518" s="34">
        <v>0</v>
      </c>
      <c r="M518" s="34">
        <v>0</v>
      </c>
      <c r="N518" s="34">
        <v>0</v>
      </c>
      <c r="O518" s="34">
        <v>0</v>
      </c>
      <c r="P518" s="34">
        <v>0</v>
      </c>
      <c r="Q518" s="34">
        <v>0</v>
      </c>
      <c r="R518" s="24">
        <f>SUM(Tabla1[[#This Row],[ENERO ]:[DICIEMBRE]])</f>
        <v>0</v>
      </c>
      <c r="W518" s="65">
        <v>8</v>
      </c>
      <c r="X518" s="21">
        <f>COUNTIF(Tabla1[[#This Row],[ENERO ]:[DICIEMBRE]],0)-(AQ518)-IF(Tabla1[[#This Row],[BAJAS]]="BAJA",IF(Tabla1[[#This Row],[ALTAS]]="ALTA",VLOOKUP(Tabla1[[#This Row],[MES DE ALTA ]],$AT$6:$AU$17,2,FALSE),12)-VLOOKUP(Tabla1[[#This Row],[MES DE BAJA ]],$AT$6:$AU$17,2,FALSE),0)</f>
        <v>12</v>
      </c>
      <c r="Y518" s="69">
        <f>SUM(Tabla1[[#This Row],[MES ADEUDO DE AÑOS PASADOS ]:[MESES DE ADEUDO DEL AÑO EN CURSO ]])</f>
        <v>20</v>
      </c>
      <c r="Z518" s="15">
        <f>IF(Tabla1[[#This Row],[TIPO DE CONSUMIDOR]]="COMPLETO",W518*$T$2,W518*($T$2/2))</f>
        <v>180</v>
      </c>
      <c r="AA518" s="15">
        <f>IF(Tabla1[[#This Row],[TIPO DE CONSUMIDOR]]="COMPLETO",Tabla1[[#This Row],[MESES DE ADEUDO DEL AÑO EN CURSO ]]*$T$2,Tabla1[[#This Row],[MESES DE ADEUDO DEL AÑO EN CURSO ]]*($T$2/2))</f>
        <v>270</v>
      </c>
      <c r="AB518" s="70">
        <f>SUM(Tabla1[[#This Row],[DEUDA DE LOS MESES PASADOS EN $$]:[DEUDA DEL AÑO 2013 $$ ]])</f>
        <v>450</v>
      </c>
      <c r="AE518" s="103">
        <f>IF(Tabla1[[#This Row],[TIPO DE CONSUMIDOR]]="MEDIO",IF(Tabla1[[#This Row],[ENERO ]]&gt;22.5,Tabla1[[#This Row],[ENERO ]]/22.5-1,0),IF(Tabla1[[#This Row],[ENERO ]]&gt;45,Tabla1[[#This Row],[ENERO ]]/45-1,0))</f>
        <v>0</v>
      </c>
      <c r="AF51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8" s="103">
        <f>IF(Tabla1[[#This Row],[TIPO DE CONSUMIDOR]]="MEDIO",IF(Tabla1[[#This Row],[MARZO]]&gt;22.5,Tabla1[[#This Row],[MARZO]]/22.5-1,0),IF(Tabla1[[#This Row],[MARZO]]&gt;45,Tabla1[[#This Row],[MARZO]]/45-1,0))</f>
        <v>0</v>
      </c>
      <c r="AH518" s="103">
        <f>IF(Tabla1[[#This Row],[TIPO DE CONSUMIDOR]]="MEDIO",IF(Tabla1[[#This Row],[ABRIL]]&gt;22.5,Tabla1[[#This Row],[ABRIL]]/22.5-1,0),IF(Tabla1[[#This Row],[ABRIL]]&gt;45,Tabla1[[#This Row],[ABRIL]]/45-1,0))</f>
        <v>0</v>
      </c>
      <c r="AI518" s="103">
        <f>IF(Tabla1[[#This Row],[TIPO DE CONSUMIDOR]]="MEDIO",IF(Tabla1[[#This Row],[MAYO ]]&gt;22.5,Tabla1[[#This Row],[MAYO ]]/22.5-1,0),IF(Tabla1[[#This Row],[MAYO ]]&gt;45,Tabla1[[#This Row],[MAYO ]]/45-1,0))</f>
        <v>0</v>
      </c>
      <c r="AJ518" s="103">
        <f>IF(Tabla1[[#This Row],[TIPO DE CONSUMIDOR]]="MEDIO",IF(Tabla1[[#This Row],[JUNIO ]]&gt;22.5,Tabla1[[#This Row],[JUNIO ]]/22.5-1,0),IF(Tabla1[[#This Row],[JUNIO ]]&gt;45,Tabla1[[#This Row],[JUNIO ]]/45-1,0))</f>
        <v>0</v>
      </c>
      <c r="AK518" s="103">
        <f>IF(Tabla1[[#This Row],[TIPO DE CONSUMIDOR]]="MEDIO",IF(Tabla1[[#This Row],[JULIO ]]&gt;22.5,Tabla1[[#This Row],[JULIO ]]/22.5-1,0),IF(Tabla1[[#This Row],[JULIO ]]&gt;45,Tabla1[[#This Row],[JULIO ]]/45-1,0))</f>
        <v>0</v>
      </c>
      <c r="AL518" s="103">
        <f>IF(Tabla1[[#This Row],[TIPO DE CONSUMIDOR]]="MEDIO",IF(Tabla1[[#This Row],[AGOSTO]]&gt;22.5,Tabla1[[#This Row],[AGOSTO]]/22.5-1,0),IF(Tabla1[[#This Row],[AGOSTO]]&gt;45,Tabla1[[#This Row],[AGOSTO]]/45-1,0))</f>
        <v>0</v>
      </c>
      <c r="AM51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8" s="104">
        <f t="shared" si="16"/>
        <v>0</v>
      </c>
      <c r="AR518" s="9">
        <f t="shared" si="15"/>
        <v>1</v>
      </c>
      <c r="AS518" s="60">
        <f>IF(Tabla1[[#This Row],[MESES DE ADEUDO DEL AÑO EN CURSO ]]&gt;0,1,0)</f>
        <v>1</v>
      </c>
      <c r="AT518" s="42"/>
      <c r="AU518" s="42"/>
      <c r="AV518" s="42"/>
      <c r="AW518" s="43"/>
    </row>
    <row r="519" spans="1:49" ht="21.75" thickBot="1" x14ac:dyDescent="0.35">
      <c r="A519" s="109">
        <v>513</v>
      </c>
      <c r="B519" s="5" t="s">
        <v>107</v>
      </c>
      <c r="C519" s="2" t="s">
        <v>562</v>
      </c>
      <c r="D519" s="32"/>
      <c r="E519" s="35" t="s">
        <v>455</v>
      </c>
      <c r="F519" s="34">
        <v>0</v>
      </c>
      <c r="G519" s="56">
        <v>0</v>
      </c>
      <c r="H519" s="56">
        <v>0</v>
      </c>
      <c r="I519" s="56">
        <v>0</v>
      </c>
      <c r="J519" s="56">
        <v>0</v>
      </c>
      <c r="K519" s="56">
        <v>0</v>
      </c>
      <c r="L519" s="56">
        <v>0</v>
      </c>
      <c r="M519" s="56">
        <v>0</v>
      </c>
      <c r="N519" s="56">
        <v>0</v>
      </c>
      <c r="O519" s="56">
        <v>0</v>
      </c>
      <c r="P519" s="56">
        <v>0</v>
      </c>
      <c r="Q519" s="57">
        <v>0</v>
      </c>
      <c r="R519" s="24">
        <f>SUM(Tabla1[[#This Row],[ENERO ]:[DICIEMBRE]])</f>
        <v>0</v>
      </c>
      <c r="W519" s="65">
        <v>8</v>
      </c>
      <c r="X519" s="21">
        <f>COUNTIF(Tabla1[[#This Row],[ENERO ]:[DICIEMBRE]],0)-(AQ519)-IF(Tabla1[[#This Row],[BAJAS]]="BAJA",IF(Tabla1[[#This Row],[ALTAS]]="ALTA",VLOOKUP(Tabla1[[#This Row],[MES DE ALTA ]],$AT$6:$AU$17,2,FALSE),12)-VLOOKUP(Tabla1[[#This Row],[MES DE BAJA ]],$AT$6:$AU$17,2,FALSE),0)</f>
        <v>12</v>
      </c>
      <c r="Y519" s="69">
        <f>SUM(Tabla1[[#This Row],[MES ADEUDO DE AÑOS PASADOS ]:[MESES DE ADEUDO DEL AÑO EN CURSO ]])</f>
        <v>20</v>
      </c>
      <c r="Z519" s="15">
        <f>IF(Tabla1[[#This Row],[TIPO DE CONSUMIDOR]]="COMPLETO",W519*$T$2,W519*($T$2/2))</f>
        <v>360</v>
      </c>
      <c r="AA519" s="15">
        <f>IF(Tabla1[[#This Row],[TIPO DE CONSUMIDOR]]="COMPLETO",Tabla1[[#This Row],[MESES DE ADEUDO DEL AÑO EN CURSO ]]*$T$2,Tabla1[[#This Row],[MESES DE ADEUDO DEL AÑO EN CURSO ]]*($T$2/2))</f>
        <v>540</v>
      </c>
      <c r="AB519" s="70">
        <f>SUM(Tabla1[[#This Row],[DEUDA DE LOS MESES PASADOS EN $$]:[DEUDA DEL AÑO 2013 $$ ]])</f>
        <v>900</v>
      </c>
      <c r="AE519" s="103">
        <f>IF(Tabla1[[#This Row],[TIPO DE CONSUMIDOR]]="MEDIO",IF(Tabla1[[#This Row],[ENERO ]]&gt;22.5,Tabla1[[#This Row],[ENERO ]]/22.5-1,0),IF(Tabla1[[#This Row],[ENERO ]]&gt;45,Tabla1[[#This Row],[ENERO ]]/45-1,0))</f>
        <v>0</v>
      </c>
      <c r="AF51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19" s="103">
        <f>IF(Tabla1[[#This Row],[TIPO DE CONSUMIDOR]]="MEDIO",IF(Tabla1[[#This Row],[MARZO]]&gt;22.5,Tabla1[[#This Row],[MARZO]]/22.5-1,0),IF(Tabla1[[#This Row],[MARZO]]&gt;45,Tabla1[[#This Row],[MARZO]]/45-1,0))</f>
        <v>0</v>
      </c>
      <c r="AH519" s="103">
        <f>IF(Tabla1[[#This Row],[TIPO DE CONSUMIDOR]]="MEDIO",IF(Tabla1[[#This Row],[ABRIL]]&gt;22.5,Tabla1[[#This Row],[ABRIL]]/22.5-1,0),IF(Tabla1[[#This Row],[ABRIL]]&gt;45,Tabla1[[#This Row],[ABRIL]]/45-1,0))</f>
        <v>0</v>
      </c>
      <c r="AI519" s="103">
        <f>IF(Tabla1[[#This Row],[TIPO DE CONSUMIDOR]]="MEDIO",IF(Tabla1[[#This Row],[MAYO ]]&gt;22.5,Tabla1[[#This Row],[MAYO ]]/22.5-1,0),IF(Tabla1[[#This Row],[MAYO ]]&gt;45,Tabla1[[#This Row],[MAYO ]]/45-1,0))</f>
        <v>0</v>
      </c>
      <c r="AJ519" s="103">
        <f>IF(Tabla1[[#This Row],[TIPO DE CONSUMIDOR]]="MEDIO",IF(Tabla1[[#This Row],[JUNIO ]]&gt;22.5,Tabla1[[#This Row],[JUNIO ]]/22.5-1,0),IF(Tabla1[[#This Row],[JUNIO ]]&gt;45,Tabla1[[#This Row],[JUNIO ]]/45-1,0))</f>
        <v>0</v>
      </c>
      <c r="AK519" s="103">
        <f>IF(Tabla1[[#This Row],[TIPO DE CONSUMIDOR]]="MEDIO",IF(Tabla1[[#This Row],[JULIO ]]&gt;22.5,Tabla1[[#This Row],[JULIO ]]/22.5-1,0),IF(Tabla1[[#This Row],[JULIO ]]&gt;45,Tabla1[[#This Row],[JULIO ]]/45-1,0))</f>
        <v>0</v>
      </c>
      <c r="AL519" s="103">
        <f>IF(Tabla1[[#This Row],[TIPO DE CONSUMIDOR]]="MEDIO",IF(Tabla1[[#This Row],[AGOSTO]]&gt;22.5,Tabla1[[#This Row],[AGOSTO]]/22.5-1,0),IF(Tabla1[[#This Row],[AGOSTO]]&gt;45,Tabla1[[#This Row],[AGOSTO]]/45-1,0))</f>
        <v>0</v>
      </c>
      <c r="AM51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1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1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1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19" s="104">
        <f t="shared" si="16"/>
        <v>0</v>
      </c>
      <c r="AR519" s="9">
        <f t="shared" ref="AR519:AR584" si="17">IF(Y519&gt;0,1,0)</f>
        <v>1</v>
      </c>
      <c r="AS519" s="60">
        <f>IF(Tabla1[[#This Row],[MESES DE ADEUDO DEL AÑO EN CURSO ]]&gt;0,1,0)</f>
        <v>1</v>
      </c>
      <c r="AT519" s="42"/>
      <c r="AU519" s="42"/>
      <c r="AV519" s="42"/>
      <c r="AW519" s="43"/>
    </row>
    <row r="520" spans="1:49" ht="21.75" thickBot="1" x14ac:dyDescent="0.35">
      <c r="A520" s="109">
        <v>514</v>
      </c>
      <c r="B520" s="5" t="s">
        <v>228</v>
      </c>
      <c r="C520" s="2"/>
      <c r="D520" s="32"/>
      <c r="E520" s="35" t="s">
        <v>455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24">
        <f>SUM(Tabla1[[#This Row],[ENERO ]:[DICIEMBRE]])</f>
        <v>0</v>
      </c>
      <c r="W520" s="65">
        <v>8</v>
      </c>
      <c r="X520" s="21">
        <f>COUNTIF(Tabla1[[#This Row],[ENERO ]:[DICIEMBRE]],0)-(AQ520)-IF(Tabla1[[#This Row],[BAJAS]]="BAJA",IF(Tabla1[[#This Row],[ALTAS]]="ALTA",VLOOKUP(Tabla1[[#This Row],[MES DE ALTA ]],$AT$6:$AU$17,2,FALSE),12)-VLOOKUP(Tabla1[[#This Row],[MES DE BAJA ]],$AT$6:$AU$17,2,FALSE),0)</f>
        <v>12</v>
      </c>
      <c r="Y520" s="69">
        <f>SUM(Tabla1[[#This Row],[MES ADEUDO DE AÑOS PASADOS ]:[MESES DE ADEUDO DEL AÑO EN CURSO ]])</f>
        <v>20</v>
      </c>
      <c r="Z520" s="15">
        <f>IF(Tabla1[[#This Row],[TIPO DE CONSUMIDOR]]="COMPLETO",W520*$T$2,W520*($T$2/2))</f>
        <v>360</v>
      </c>
      <c r="AA520" s="15">
        <f>IF(Tabla1[[#This Row],[TIPO DE CONSUMIDOR]]="COMPLETO",Tabla1[[#This Row],[MESES DE ADEUDO DEL AÑO EN CURSO ]]*$T$2,Tabla1[[#This Row],[MESES DE ADEUDO DEL AÑO EN CURSO ]]*($T$2/2))</f>
        <v>540</v>
      </c>
      <c r="AB520" s="70">
        <f>SUM(Tabla1[[#This Row],[DEUDA DE LOS MESES PASADOS EN $$]:[DEUDA DEL AÑO 2013 $$ ]])</f>
        <v>900</v>
      </c>
      <c r="AE520" s="103">
        <f>IF(Tabla1[[#This Row],[TIPO DE CONSUMIDOR]]="MEDIO",IF(Tabla1[[#This Row],[ENERO ]]&gt;22.5,Tabla1[[#This Row],[ENERO ]]/22.5-1,0),IF(Tabla1[[#This Row],[ENERO ]]&gt;45,Tabla1[[#This Row],[ENERO ]]/45-1,0))</f>
        <v>0</v>
      </c>
      <c r="AF52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0" s="103">
        <f>IF(Tabla1[[#This Row],[TIPO DE CONSUMIDOR]]="MEDIO",IF(Tabla1[[#This Row],[MARZO]]&gt;22.5,Tabla1[[#This Row],[MARZO]]/22.5-1,0),IF(Tabla1[[#This Row],[MARZO]]&gt;45,Tabla1[[#This Row],[MARZO]]/45-1,0))</f>
        <v>0</v>
      </c>
      <c r="AH520" s="103">
        <f>IF(Tabla1[[#This Row],[TIPO DE CONSUMIDOR]]="MEDIO",IF(Tabla1[[#This Row],[ABRIL]]&gt;22.5,Tabla1[[#This Row],[ABRIL]]/22.5-1,0),IF(Tabla1[[#This Row],[ABRIL]]&gt;45,Tabla1[[#This Row],[ABRIL]]/45-1,0))</f>
        <v>0</v>
      </c>
      <c r="AI520" s="103">
        <f>IF(Tabla1[[#This Row],[TIPO DE CONSUMIDOR]]="MEDIO",IF(Tabla1[[#This Row],[MAYO ]]&gt;22.5,Tabla1[[#This Row],[MAYO ]]/22.5-1,0),IF(Tabla1[[#This Row],[MAYO ]]&gt;45,Tabla1[[#This Row],[MAYO ]]/45-1,0))</f>
        <v>0</v>
      </c>
      <c r="AJ520" s="103">
        <f>IF(Tabla1[[#This Row],[TIPO DE CONSUMIDOR]]="MEDIO",IF(Tabla1[[#This Row],[JUNIO ]]&gt;22.5,Tabla1[[#This Row],[JUNIO ]]/22.5-1,0),IF(Tabla1[[#This Row],[JUNIO ]]&gt;45,Tabla1[[#This Row],[JUNIO ]]/45-1,0))</f>
        <v>0</v>
      </c>
      <c r="AK520" s="103">
        <f>IF(Tabla1[[#This Row],[TIPO DE CONSUMIDOR]]="MEDIO",IF(Tabla1[[#This Row],[JULIO ]]&gt;22.5,Tabla1[[#This Row],[JULIO ]]/22.5-1,0),IF(Tabla1[[#This Row],[JULIO ]]&gt;45,Tabla1[[#This Row],[JULIO ]]/45-1,0))</f>
        <v>0</v>
      </c>
      <c r="AL520" s="103">
        <f>IF(Tabla1[[#This Row],[TIPO DE CONSUMIDOR]]="MEDIO",IF(Tabla1[[#This Row],[AGOSTO]]&gt;22.5,Tabla1[[#This Row],[AGOSTO]]/22.5-1,0),IF(Tabla1[[#This Row],[AGOSTO]]&gt;45,Tabla1[[#This Row],[AGOSTO]]/45-1,0))</f>
        <v>0</v>
      </c>
      <c r="AM52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0" s="104">
        <f t="shared" ref="AQ520:AQ583" si="18">SUM(AE520:AP520)</f>
        <v>0</v>
      </c>
      <c r="AR520" s="9">
        <f t="shared" si="17"/>
        <v>1</v>
      </c>
      <c r="AS520" s="60">
        <f>IF(Tabla1[[#This Row],[MESES DE ADEUDO DEL AÑO EN CURSO ]]&gt;0,1,0)</f>
        <v>1</v>
      </c>
      <c r="AT520" s="42"/>
      <c r="AU520" s="42"/>
      <c r="AV520" s="42"/>
      <c r="AW520" s="43"/>
    </row>
    <row r="521" spans="1:49" ht="21.75" thickBot="1" x14ac:dyDescent="0.35">
      <c r="A521" s="109">
        <v>515</v>
      </c>
      <c r="B521" s="5" t="s">
        <v>595</v>
      </c>
      <c r="C521" s="2" t="s">
        <v>461</v>
      </c>
      <c r="D521" s="32"/>
      <c r="E521" s="35" t="s">
        <v>455</v>
      </c>
      <c r="F521" s="34">
        <v>0</v>
      </c>
      <c r="G521" s="34">
        <v>0</v>
      </c>
      <c r="H521" s="34">
        <v>0</v>
      </c>
      <c r="I521" s="34">
        <v>0</v>
      </c>
      <c r="J521" s="34">
        <v>0</v>
      </c>
      <c r="K521" s="34">
        <v>0</v>
      </c>
      <c r="L521" s="34">
        <v>0</v>
      </c>
      <c r="M521" s="34">
        <v>0</v>
      </c>
      <c r="N521" s="34">
        <v>0</v>
      </c>
      <c r="O521" s="34">
        <v>0</v>
      </c>
      <c r="P521" s="34">
        <v>0</v>
      </c>
      <c r="Q521" s="34">
        <v>0</v>
      </c>
      <c r="R521" s="24">
        <f>SUM(Tabla1[[#This Row],[ENERO ]:[DICIEMBRE]])</f>
        <v>0</v>
      </c>
      <c r="W521" s="65">
        <v>9</v>
      </c>
      <c r="X521" s="21">
        <f>COUNTIF(Tabla1[[#This Row],[ENERO ]:[DICIEMBRE]],0)-(AQ521)-IF(Tabla1[[#This Row],[BAJAS]]="BAJA",IF(Tabla1[[#This Row],[ALTAS]]="ALTA",VLOOKUP(Tabla1[[#This Row],[MES DE ALTA ]],$AT$6:$AU$17,2,FALSE),12)-VLOOKUP(Tabla1[[#This Row],[MES DE BAJA ]],$AT$6:$AU$17,2,FALSE),0)</f>
        <v>12</v>
      </c>
      <c r="Y521" s="69">
        <f>SUM(Tabla1[[#This Row],[MES ADEUDO DE AÑOS PASADOS ]:[MESES DE ADEUDO DEL AÑO EN CURSO ]])</f>
        <v>21</v>
      </c>
      <c r="Z521" s="15">
        <f>IF(Tabla1[[#This Row],[TIPO DE CONSUMIDOR]]="COMPLETO",W521*$T$2,W521*($T$2/2))</f>
        <v>405</v>
      </c>
      <c r="AA521" s="15">
        <f>IF(Tabla1[[#This Row],[TIPO DE CONSUMIDOR]]="COMPLETO",Tabla1[[#This Row],[MESES DE ADEUDO DEL AÑO EN CURSO ]]*$T$2,Tabla1[[#This Row],[MESES DE ADEUDO DEL AÑO EN CURSO ]]*($T$2/2))</f>
        <v>540</v>
      </c>
      <c r="AB521" s="70">
        <f>SUM(Tabla1[[#This Row],[DEUDA DE LOS MESES PASADOS EN $$]:[DEUDA DEL AÑO 2013 $$ ]])</f>
        <v>945</v>
      </c>
      <c r="AE521" s="103">
        <f>IF(Tabla1[[#This Row],[TIPO DE CONSUMIDOR]]="MEDIO",IF(Tabla1[[#This Row],[ENERO ]]&gt;22.5,Tabla1[[#This Row],[ENERO ]]/22.5-1,0),IF(Tabla1[[#This Row],[ENERO ]]&gt;45,Tabla1[[#This Row],[ENERO ]]/45-1,0))</f>
        <v>0</v>
      </c>
      <c r="AF52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1" s="103">
        <f>IF(Tabla1[[#This Row],[TIPO DE CONSUMIDOR]]="MEDIO",IF(Tabla1[[#This Row],[MARZO]]&gt;22.5,Tabla1[[#This Row],[MARZO]]/22.5-1,0),IF(Tabla1[[#This Row],[MARZO]]&gt;45,Tabla1[[#This Row],[MARZO]]/45-1,0))</f>
        <v>0</v>
      </c>
      <c r="AH521" s="103">
        <f>IF(Tabla1[[#This Row],[TIPO DE CONSUMIDOR]]="MEDIO",IF(Tabla1[[#This Row],[ABRIL]]&gt;22.5,Tabla1[[#This Row],[ABRIL]]/22.5-1,0),IF(Tabla1[[#This Row],[ABRIL]]&gt;45,Tabla1[[#This Row],[ABRIL]]/45-1,0))</f>
        <v>0</v>
      </c>
      <c r="AI521" s="103">
        <f>IF(Tabla1[[#This Row],[TIPO DE CONSUMIDOR]]="MEDIO",IF(Tabla1[[#This Row],[MAYO ]]&gt;22.5,Tabla1[[#This Row],[MAYO ]]/22.5-1,0),IF(Tabla1[[#This Row],[MAYO ]]&gt;45,Tabla1[[#This Row],[MAYO ]]/45-1,0))</f>
        <v>0</v>
      </c>
      <c r="AJ521" s="103">
        <f>IF(Tabla1[[#This Row],[TIPO DE CONSUMIDOR]]="MEDIO",IF(Tabla1[[#This Row],[JUNIO ]]&gt;22.5,Tabla1[[#This Row],[JUNIO ]]/22.5-1,0),IF(Tabla1[[#This Row],[JUNIO ]]&gt;45,Tabla1[[#This Row],[JUNIO ]]/45-1,0))</f>
        <v>0</v>
      </c>
      <c r="AK521" s="103">
        <f>IF(Tabla1[[#This Row],[TIPO DE CONSUMIDOR]]="MEDIO",IF(Tabla1[[#This Row],[JULIO ]]&gt;22.5,Tabla1[[#This Row],[JULIO ]]/22.5-1,0),IF(Tabla1[[#This Row],[JULIO ]]&gt;45,Tabla1[[#This Row],[JULIO ]]/45-1,0))</f>
        <v>0</v>
      </c>
      <c r="AL521" s="103">
        <f>IF(Tabla1[[#This Row],[TIPO DE CONSUMIDOR]]="MEDIO",IF(Tabla1[[#This Row],[AGOSTO]]&gt;22.5,Tabla1[[#This Row],[AGOSTO]]/22.5-1,0),IF(Tabla1[[#This Row],[AGOSTO]]&gt;45,Tabla1[[#This Row],[AGOSTO]]/45-1,0))</f>
        <v>0</v>
      </c>
      <c r="AM52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1" s="104">
        <f t="shared" si="18"/>
        <v>0</v>
      </c>
      <c r="AR521" s="9">
        <f t="shared" si="17"/>
        <v>1</v>
      </c>
      <c r="AS521" s="60">
        <f>IF(Tabla1[[#This Row],[MESES DE ADEUDO DEL AÑO EN CURSO ]]&gt;0,1,0)</f>
        <v>1</v>
      </c>
      <c r="AT521" s="42"/>
      <c r="AU521" s="42"/>
      <c r="AV521" s="42"/>
      <c r="AW521" s="43"/>
    </row>
    <row r="522" spans="1:49" ht="21.75" thickBot="1" x14ac:dyDescent="0.35">
      <c r="A522" s="109">
        <v>516</v>
      </c>
      <c r="B522" s="5" t="s">
        <v>342</v>
      </c>
      <c r="C522" s="2" t="s">
        <v>461</v>
      </c>
      <c r="D522" s="32"/>
      <c r="E522" s="35" t="s">
        <v>455</v>
      </c>
      <c r="F522" s="34">
        <v>0</v>
      </c>
      <c r="G522" s="34">
        <v>0</v>
      </c>
      <c r="H522" s="34">
        <v>0</v>
      </c>
      <c r="I522" s="34">
        <v>0</v>
      </c>
      <c r="J522" s="34">
        <v>0</v>
      </c>
      <c r="K522" s="34">
        <v>0</v>
      </c>
      <c r="L522" s="34">
        <v>0</v>
      </c>
      <c r="M522" s="34">
        <v>0</v>
      </c>
      <c r="N522" s="34">
        <v>0</v>
      </c>
      <c r="O522" s="34">
        <v>0</v>
      </c>
      <c r="P522" s="34">
        <v>0</v>
      </c>
      <c r="Q522" s="34">
        <v>0</v>
      </c>
      <c r="R522" s="24">
        <f>SUM(Tabla1[[#This Row],[ENERO ]:[DICIEMBRE]])</f>
        <v>0</v>
      </c>
      <c r="W522" s="65">
        <v>9</v>
      </c>
      <c r="X522" s="21">
        <f>COUNTIF(Tabla1[[#This Row],[ENERO ]:[DICIEMBRE]],0)-(AQ522)-IF(Tabla1[[#This Row],[BAJAS]]="BAJA",IF(Tabla1[[#This Row],[ALTAS]]="ALTA",VLOOKUP(Tabla1[[#This Row],[MES DE ALTA ]],$AT$6:$AU$17,2,FALSE),12)-VLOOKUP(Tabla1[[#This Row],[MES DE BAJA ]],$AT$6:$AU$17,2,FALSE),0)</f>
        <v>12</v>
      </c>
      <c r="Y522" s="69">
        <f>SUM(Tabla1[[#This Row],[MES ADEUDO DE AÑOS PASADOS ]:[MESES DE ADEUDO DEL AÑO EN CURSO ]])</f>
        <v>21</v>
      </c>
      <c r="Z522" s="15">
        <f>IF(Tabla1[[#This Row],[TIPO DE CONSUMIDOR]]="COMPLETO",W522*$T$2,W522*($T$2/2))</f>
        <v>405</v>
      </c>
      <c r="AA522" s="15">
        <f>IF(Tabla1[[#This Row],[TIPO DE CONSUMIDOR]]="COMPLETO",Tabla1[[#This Row],[MESES DE ADEUDO DEL AÑO EN CURSO ]]*$T$2,Tabla1[[#This Row],[MESES DE ADEUDO DEL AÑO EN CURSO ]]*($T$2/2))</f>
        <v>540</v>
      </c>
      <c r="AB522" s="70">
        <f>SUM(Tabla1[[#This Row],[DEUDA DE LOS MESES PASADOS EN $$]:[DEUDA DEL AÑO 2013 $$ ]])</f>
        <v>945</v>
      </c>
      <c r="AE522" s="103">
        <f>IF(Tabla1[[#This Row],[TIPO DE CONSUMIDOR]]="MEDIO",IF(Tabla1[[#This Row],[ENERO ]]&gt;22.5,Tabla1[[#This Row],[ENERO ]]/22.5-1,0),IF(Tabla1[[#This Row],[ENERO ]]&gt;45,Tabla1[[#This Row],[ENERO ]]/45-1,0))</f>
        <v>0</v>
      </c>
      <c r="AF52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2" s="103">
        <f>IF(Tabla1[[#This Row],[TIPO DE CONSUMIDOR]]="MEDIO",IF(Tabla1[[#This Row],[MARZO]]&gt;22.5,Tabla1[[#This Row],[MARZO]]/22.5-1,0),IF(Tabla1[[#This Row],[MARZO]]&gt;45,Tabla1[[#This Row],[MARZO]]/45-1,0))</f>
        <v>0</v>
      </c>
      <c r="AH522" s="103">
        <f>IF(Tabla1[[#This Row],[TIPO DE CONSUMIDOR]]="MEDIO",IF(Tabla1[[#This Row],[ABRIL]]&gt;22.5,Tabla1[[#This Row],[ABRIL]]/22.5-1,0),IF(Tabla1[[#This Row],[ABRIL]]&gt;45,Tabla1[[#This Row],[ABRIL]]/45-1,0))</f>
        <v>0</v>
      </c>
      <c r="AI522" s="103">
        <f>IF(Tabla1[[#This Row],[TIPO DE CONSUMIDOR]]="MEDIO",IF(Tabla1[[#This Row],[MAYO ]]&gt;22.5,Tabla1[[#This Row],[MAYO ]]/22.5-1,0),IF(Tabla1[[#This Row],[MAYO ]]&gt;45,Tabla1[[#This Row],[MAYO ]]/45-1,0))</f>
        <v>0</v>
      </c>
      <c r="AJ522" s="103">
        <f>IF(Tabla1[[#This Row],[TIPO DE CONSUMIDOR]]="MEDIO",IF(Tabla1[[#This Row],[JUNIO ]]&gt;22.5,Tabla1[[#This Row],[JUNIO ]]/22.5-1,0),IF(Tabla1[[#This Row],[JUNIO ]]&gt;45,Tabla1[[#This Row],[JUNIO ]]/45-1,0))</f>
        <v>0</v>
      </c>
      <c r="AK522" s="103">
        <f>IF(Tabla1[[#This Row],[TIPO DE CONSUMIDOR]]="MEDIO",IF(Tabla1[[#This Row],[JULIO ]]&gt;22.5,Tabla1[[#This Row],[JULIO ]]/22.5-1,0),IF(Tabla1[[#This Row],[JULIO ]]&gt;45,Tabla1[[#This Row],[JULIO ]]/45-1,0))</f>
        <v>0</v>
      </c>
      <c r="AL522" s="103">
        <f>IF(Tabla1[[#This Row],[TIPO DE CONSUMIDOR]]="MEDIO",IF(Tabla1[[#This Row],[AGOSTO]]&gt;22.5,Tabla1[[#This Row],[AGOSTO]]/22.5-1,0),IF(Tabla1[[#This Row],[AGOSTO]]&gt;45,Tabla1[[#This Row],[AGOSTO]]/45-1,0))</f>
        <v>0</v>
      </c>
      <c r="AM52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2" s="104">
        <f t="shared" si="18"/>
        <v>0</v>
      </c>
      <c r="AR522" s="9">
        <f t="shared" si="17"/>
        <v>1</v>
      </c>
      <c r="AS522" s="60">
        <f>IF(Tabla1[[#This Row],[MESES DE ADEUDO DEL AÑO EN CURSO ]]&gt;0,1,0)</f>
        <v>1</v>
      </c>
      <c r="AT522" s="42"/>
      <c r="AU522" s="42"/>
      <c r="AV522" s="42"/>
      <c r="AW522" s="43"/>
    </row>
    <row r="523" spans="1:49" ht="21.75" thickBot="1" x14ac:dyDescent="0.35">
      <c r="A523" s="109">
        <v>517</v>
      </c>
      <c r="B523" s="5" t="s">
        <v>53</v>
      </c>
      <c r="C523" s="2" t="s">
        <v>478</v>
      </c>
      <c r="D523" s="32"/>
      <c r="E523" s="35" t="s">
        <v>455</v>
      </c>
      <c r="F523" s="34">
        <v>0</v>
      </c>
      <c r="G523" s="34">
        <v>0</v>
      </c>
      <c r="H523" s="34">
        <v>0</v>
      </c>
      <c r="I523" s="34">
        <v>0</v>
      </c>
      <c r="J523" s="34">
        <v>0</v>
      </c>
      <c r="K523" s="34">
        <v>0</v>
      </c>
      <c r="L523" s="34">
        <v>0</v>
      </c>
      <c r="M523" s="34">
        <v>0</v>
      </c>
      <c r="N523" s="34">
        <v>0</v>
      </c>
      <c r="O523" s="34">
        <v>0</v>
      </c>
      <c r="P523" s="34">
        <v>0</v>
      </c>
      <c r="Q523" s="34">
        <v>0</v>
      </c>
      <c r="R523" s="24">
        <f>SUM(Tabla1[[#This Row],[ENERO ]:[DICIEMBRE]])</f>
        <v>0</v>
      </c>
      <c r="W523" s="65">
        <v>9</v>
      </c>
      <c r="X523" s="21">
        <f>COUNTIF(Tabla1[[#This Row],[ENERO ]:[DICIEMBRE]],0)-(AQ523)-IF(Tabla1[[#This Row],[BAJAS]]="BAJA",IF(Tabla1[[#This Row],[ALTAS]]="ALTA",VLOOKUP(Tabla1[[#This Row],[MES DE ALTA ]],$AT$6:$AU$17,2,FALSE),12)-VLOOKUP(Tabla1[[#This Row],[MES DE BAJA ]],$AT$6:$AU$17,2,FALSE),0)</f>
        <v>12</v>
      </c>
      <c r="Y523" s="69">
        <f>SUM(Tabla1[[#This Row],[MES ADEUDO DE AÑOS PASADOS ]:[MESES DE ADEUDO DEL AÑO EN CURSO ]])</f>
        <v>21</v>
      </c>
      <c r="Z523" s="15">
        <f>IF(Tabla1[[#This Row],[TIPO DE CONSUMIDOR]]="COMPLETO",W523*$T$2,W523*($T$2/2))</f>
        <v>405</v>
      </c>
      <c r="AA523" s="15">
        <f>IF(Tabla1[[#This Row],[TIPO DE CONSUMIDOR]]="COMPLETO",Tabla1[[#This Row],[MESES DE ADEUDO DEL AÑO EN CURSO ]]*$T$2,Tabla1[[#This Row],[MESES DE ADEUDO DEL AÑO EN CURSO ]]*($T$2/2))</f>
        <v>540</v>
      </c>
      <c r="AB523" s="70">
        <f>SUM(Tabla1[[#This Row],[DEUDA DE LOS MESES PASADOS EN $$]:[DEUDA DEL AÑO 2013 $$ ]])</f>
        <v>945</v>
      </c>
      <c r="AE523" s="103">
        <f>IF(Tabla1[[#This Row],[TIPO DE CONSUMIDOR]]="MEDIO",IF(Tabla1[[#This Row],[ENERO ]]&gt;22.5,Tabla1[[#This Row],[ENERO ]]/22.5-1,0),IF(Tabla1[[#This Row],[ENERO ]]&gt;45,Tabla1[[#This Row],[ENERO ]]/45-1,0))</f>
        <v>0</v>
      </c>
      <c r="AF52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3" s="103">
        <f>IF(Tabla1[[#This Row],[TIPO DE CONSUMIDOR]]="MEDIO",IF(Tabla1[[#This Row],[MARZO]]&gt;22.5,Tabla1[[#This Row],[MARZO]]/22.5-1,0),IF(Tabla1[[#This Row],[MARZO]]&gt;45,Tabla1[[#This Row],[MARZO]]/45-1,0))</f>
        <v>0</v>
      </c>
      <c r="AH523" s="103">
        <f>IF(Tabla1[[#This Row],[TIPO DE CONSUMIDOR]]="MEDIO",IF(Tabla1[[#This Row],[ABRIL]]&gt;22.5,Tabla1[[#This Row],[ABRIL]]/22.5-1,0),IF(Tabla1[[#This Row],[ABRIL]]&gt;45,Tabla1[[#This Row],[ABRIL]]/45-1,0))</f>
        <v>0</v>
      </c>
      <c r="AI523" s="103">
        <f>IF(Tabla1[[#This Row],[TIPO DE CONSUMIDOR]]="MEDIO",IF(Tabla1[[#This Row],[MAYO ]]&gt;22.5,Tabla1[[#This Row],[MAYO ]]/22.5-1,0),IF(Tabla1[[#This Row],[MAYO ]]&gt;45,Tabla1[[#This Row],[MAYO ]]/45-1,0))</f>
        <v>0</v>
      </c>
      <c r="AJ523" s="103">
        <f>IF(Tabla1[[#This Row],[TIPO DE CONSUMIDOR]]="MEDIO",IF(Tabla1[[#This Row],[JUNIO ]]&gt;22.5,Tabla1[[#This Row],[JUNIO ]]/22.5-1,0),IF(Tabla1[[#This Row],[JUNIO ]]&gt;45,Tabla1[[#This Row],[JUNIO ]]/45-1,0))</f>
        <v>0</v>
      </c>
      <c r="AK523" s="103">
        <f>IF(Tabla1[[#This Row],[TIPO DE CONSUMIDOR]]="MEDIO",IF(Tabla1[[#This Row],[JULIO ]]&gt;22.5,Tabla1[[#This Row],[JULIO ]]/22.5-1,0),IF(Tabla1[[#This Row],[JULIO ]]&gt;45,Tabla1[[#This Row],[JULIO ]]/45-1,0))</f>
        <v>0</v>
      </c>
      <c r="AL523" s="103">
        <f>IF(Tabla1[[#This Row],[TIPO DE CONSUMIDOR]]="MEDIO",IF(Tabla1[[#This Row],[AGOSTO]]&gt;22.5,Tabla1[[#This Row],[AGOSTO]]/22.5-1,0),IF(Tabla1[[#This Row],[AGOSTO]]&gt;45,Tabla1[[#This Row],[AGOSTO]]/45-1,0))</f>
        <v>0</v>
      </c>
      <c r="AM52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3" s="104">
        <f t="shared" si="18"/>
        <v>0</v>
      </c>
      <c r="AR523" s="9">
        <f t="shared" si="17"/>
        <v>1</v>
      </c>
      <c r="AS523" s="60">
        <f>IF(Tabla1[[#This Row],[MESES DE ADEUDO DEL AÑO EN CURSO ]]&gt;0,1,0)</f>
        <v>1</v>
      </c>
      <c r="AT523" s="42"/>
      <c r="AU523" s="42"/>
      <c r="AV523" s="42"/>
      <c r="AW523" s="43"/>
    </row>
    <row r="524" spans="1:49" ht="21.75" thickBot="1" x14ac:dyDescent="0.35">
      <c r="A524" s="109">
        <v>518</v>
      </c>
      <c r="B524" s="5" t="s">
        <v>190</v>
      </c>
      <c r="C524" s="2" t="s">
        <v>480</v>
      </c>
      <c r="D524" s="32"/>
      <c r="E524" s="35" t="s">
        <v>455</v>
      </c>
      <c r="F524" s="34">
        <v>0</v>
      </c>
      <c r="G524" s="34">
        <v>0</v>
      </c>
      <c r="H524" s="34">
        <v>0</v>
      </c>
      <c r="I524" s="34">
        <v>0</v>
      </c>
      <c r="J524" s="34">
        <v>0</v>
      </c>
      <c r="K524" s="34">
        <v>0</v>
      </c>
      <c r="L524" s="34">
        <v>0</v>
      </c>
      <c r="M524" s="34">
        <v>0</v>
      </c>
      <c r="N524" s="34">
        <v>0</v>
      </c>
      <c r="O524" s="34">
        <v>0</v>
      </c>
      <c r="P524" s="34">
        <v>0</v>
      </c>
      <c r="Q524" s="34">
        <v>0</v>
      </c>
      <c r="R524" s="24">
        <f>SUM(Tabla1[[#This Row],[ENERO ]:[DICIEMBRE]])</f>
        <v>0</v>
      </c>
      <c r="W524" s="65">
        <v>9</v>
      </c>
      <c r="X524" s="21">
        <f>COUNTIF(Tabla1[[#This Row],[ENERO ]:[DICIEMBRE]],0)-(AQ524)-IF(Tabla1[[#This Row],[BAJAS]]="BAJA",IF(Tabla1[[#This Row],[ALTAS]]="ALTA",VLOOKUP(Tabla1[[#This Row],[MES DE ALTA ]],$AT$6:$AU$17,2,FALSE),12)-VLOOKUP(Tabla1[[#This Row],[MES DE BAJA ]],$AT$6:$AU$17,2,FALSE),0)</f>
        <v>12</v>
      </c>
      <c r="Y524" s="69">
        <f>SUM(Tabla1[[#This Row],[MES ADEUDO DE AÑOS PASADOS ]:[MESES DE ADEUDO DEL AÑO EN CURSO ]])</f>
        <v>21</v>
      </c>
      <c r="Z524" s="15">
        <f>IF(Tabla1[[#This Row],[TIPO DE CONSUMIDOR]]="COMPLETO",W524*$T$2,W524*($T$2/2))</f>
        <v>405</v>
      </c>
      <c r="AA524" s="15">
        <f>IF(Tabla1[[#This Row],[TIPO DE CONSUMIDOR]]="COMPLETO",Tabla1[[#This Row],[MESES DE ADEUDO DEL AÑO EN CURSO ]]*$T$2,Tabla1[[#This Row],[MESES DE ADEUDO DEL AÑO EN CURSO ]]*($T$2/2))</f>
        <v>540</v>
      </c>
      <c r="AB524" s="70">
        <f>SUM(Tabla1[[#This Row],[DEUDA DE LOS MESES PASADOS EN $$]:[DEUDA DEL AÑO 2013 $$ ]])</f>
        <v>945</v>
      </c>
      <c r="AE524" s="103">
        <f>IF(Tabla1[[#This Row],[TIPO DE CONSUMIDOR]]="MEDIO",IF(Tabla1[[#This Row],[ENERO ]]&gt;22.5,Tabla1[[#This Row],[ENERO ]]/22.5-1,0),IF(Tabla1[[#This Row],[ENERO ]]&gt;45,Tabla1[[#This Row],[ENERO ]]/45-1,0))</f>
        <v>0</v>
      </c>
      <c r="AF52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4" s="103">
        <f>IF(Tabla1[[#This Row],[TIPO DE CONSUMIDOR]]="MEDIO",IF(Tabla1[[#This Row],[MARZO]]&gt;22.5,Tabla1[[#This Row],[MARZO]]/22.5-1,0),IF(Tabla1[[#This Row],[MARZO]]&gt;45,Tabla1[[#This Row],[MARZO]]/45-1,0))</f>
        <v>0</v>
      </c>
      <c r="AH524" s="103">
        <f>IF(Tabla1[[#This Row],[TIPO DE CONSUMIDOR]]="MEDIO",IF(Tabla1[[#This Row],[ABRIL]]&gt;22.5,Tabla1[[#This Row],[ABRIL]]/22.5-1,0),IF(Tabla1[[#This Row],[ABRIL]]&gt;45,Tabla1[[#This Row],[ABRIL]]/45-1,0))</f>
        <v>0</v>
      </c>
      <c r="AI524" s="103">
        <f>IF(Tabla1[[#This Row],[TIPO DE CONSUMIDOR]]="MEDIO",IF(Tabla1[[#This Row],[MAYO ]]&gt;22.5,Tabla1[[#This Row],[MAYO ]]/22.5-1,0),IF(Tabla1[[#This Row],[MAYO ]]&gt;45,Tabla1[[#This Row],[MAYO ]]/45-1,0))</f>
        <v>0</v>
      </c>
      <c r="AJ524" s="103">
        <f>IF(Tabla1[[#This Row],[TIPO DE CONSUMIDOR]]="MEDIO",IF(Tabla1[[#This Row],[JUNIO ]]&gt;22.5,Tabla1[[#This Row],[JUNIO ]]/22.5-1,0),IF(Tabla1[[#This Row],[JUNIO ]]&gt;45,Tabla1[[#This Row],[JUNIO ]]/45-1,0))</f>
        <v>0</v>
      </c>
      <c r="AK524" s="103">
        <f>IF(Tabla1[[#This Row],[TIPO DE CONSUMIDOR]]="MEDIO",IF(Tabla1[[#This Row],[JULIO ]]&gt;22.5,Tabla1[[#This Row],[JULIO ]]/22.5-1,0),IF(Tabla1[[#This Row],[JULIO ]]&gt;45,Tabla1[[#This Row],[JULIO ]]/45-1,0))</f>
        <v>0</v>
      </c>
      <c r="AL524" s="103">
        <f>IF(Tabla1[[#This Row],[TIPO DE CONSUMIDOR]]="MEDIO",IF(Tabla1[[#This Row],[AGOSTO]]&gt;22.5,Tabla1[[#This Row],[AGOSTO]]/22.5-1,0),IF(Tabla1[[#This Row],[AGOSTO]]&gt;45,Tabla1[[#This Row],[AGOSTO]]/45-1,0))</f>
        <v>0</v>
      </c>
      <c r="AM52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4" s="104">
        <f t="shared" si="18"/>
        <v>0</v>
      </c>
      <c r="AR524" s="9">
        <f t="shared" si="17"/>
        <v>1</v>
      </c>
      <c r="AS524" s="60">
        <f>IF(Tabla1[[#This Row],[MESES DE ADEUDO DEL AÑO EN CURSO ]]&gt;0,1,0)</f>
        <v>1</v>
      </c>
      <c r="AT524" s="42"/>
      <c r="AU524" s="42"/>
      <c r="AV524" s="42"/>
      <c r="AW524" s="43"/>
    </row>
    <row r="525" spans="1:49" ht="21.75" thickBot="1" x14ac:dyDescent="0.35">
      <c r="A525" s="109">
        <v>519</v>
      </c>
      <c r="B525" s="5" t="s">
        <v>534</v>
      </c>
      <c r="C525" s="2" t="s">
        <v>530</v>
      </c>
      <c r="D525" s="32"/>
      <c r="E525" s="35" t="s">
        <v>455</v>
      </c>
      <c r="F525" s="52">
        <v>0</v>
      </c>
      <c r="G525" s="53">
        <v>0</v>
      </c>
      <c r="H525" s="53">
        <v>0</v>
      </c>
      <c r="I525" s="53">
        <v>0</v>
      </c>
      <c r="J525" s="53">
        <v>0</v>
      </c>
      <c r="K525" s="53">
        <v>0</v>
      </c>
      <c r="L525" s="53">
        <v>0</v>
      </c>
      <c r="M525" s="53">
        <v>0</v>
      </c>
      <c r="N525" s="53">
        <v>0</v>
      </c>
      <c r="O525" s="53">
        <v>0</v>
      </c>
      <c r="P525" s="53">
        <v>0</v>
      </c>
      <c r="Q525" s="54">
        <v>0</v>
      </c>
      <c r="R525" s="24">
        <f>SUM(Tabla1[[#This Row],[ENERO ]:[DICIEMBRE]])</f>
        <v>0</v>
      </c>
      <c r="W525" s="65">
        <v>9</v>
      </c>
      <c r="X525" s="21">
        <f>COUNTIF(Tabla1[[#This Row],[ENERO ]:[DICIEMBRE]],0)-(AQ525)-IF(Tabla1[[#This Row],[BAJAS]]="BAJA",IF(Tabla1[[#This Row],[ALTAS]]="ALTA",VLOOKUP(Tabla1[[#This Row],[MES DE ALTA ]],$AT$6:$AU$17,2,FALSE),12)-VLOOKUP(Tabla1[[#This Row],[MES DE BAJA ]],$AT$6:$AU$17,2,FALSE),0)</f>
        <v>12</v>
      </c>
      <c r="Y525" s="69">
        <f>SUM(Tabla1[[#This Row],[MES ADEUDO DE AÑOS PASADOS ]:[MESES DE ADEUDO DEL AÑO EN CURSO ]])</f>
        <v>21</v>
      </c>
      <c r="Z525" s="15">
        <f>IF(Tabla1[[#This Row],[TIPO DE CONSUMIDOR]]="COMPLETO",W525*$T$2,W525*($T$2/2))</f>
        <v>405</v>
      </c>
      <c r="AA525" s="15">
        <f>IF(Tabla1[[#This Row],[TIPO DE CONSUMIDOR]]="COMPLETO",Tabla1[[#This Row],[MESES DE ADEUDO DEL AÑO EN CURSO ]]*$T$2,Tabla1[[#This Row],[MESES DE ADEUDO DEL AÑO EN CURSO ]]*($T$2/2))</f>
        <v>540</v>
      </c>
      <c r="AB525" s="70">
        <f>SUM(Tabla1[[#This Row],[DEUDA DE LOS MESES PASADOS EN $$]:[DEUDA DEL AÑO 2013 $$ ]])</f>
        <v>945</v>
      </c>
      <c r="AE525" s="103">
        <f>IF(Tabla1[[#This Row],[TIPO DE CONSUMIDOR]]="MEDIO",IF(Tabla1[[#This Row],[ENERO ]]&gt;22.5,Tabla1[[#This Row],[ENERO ]]/22.5-1,0),IF(Tabla1[[#This Row],[ENERO ]]&gt;45,Tabla1[[#This Row],[ENERO ]]/45-1,0))</f>
        <v>0</v>
      </c>
      <c r="AF52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5" s="103">
        <f>IF(Tabla1[[#This Row],[TIPO DE CONSUMIDOR]]="MEDIO",IF(Tabla1[[#This Row],[MARZO]]&gt;22.5,Tabla1[[#This Row],[MARZO]]/22.5-1,0),IF(Tabla1[[#This Row],[MARZO]]&gt;45,Tabla1[[#This Row],[MARZO]]/45-1,0))</f>
        <v>0</v>
      </c>
      <c r="AH525" s="103">
        <f>IF(Tabla1[[#This Row],[TIPO DE CONSUMIDOR]]="MEDIO",IF(Tabla1[[#This Row],[ABRIL]]&gt;22.5,Tabla1[[#This Row],[ABRIL]]/22.5-1,0),IF(Tabla1[[#This Row],[ABRIL]]&gt;45,Tabla1[[#This Row],[ABRIL]]/45-1,0))</f>
        <v>0</v>
      </c>
      <c r="AI525" s="103">
        <f>IF(Tabla1[[#This Row],[TIPO DE CONSUMIDOR]]="MEDIO",IF(Tabla1[[#This Row],[MAYO ]]&gt;22.5,Tabla1[[#This Row],[MAYO ]]/22.5-1,0),IF(Tabla1[[#This Row],[MAYO ]]&gt;45,Tabla1[[#This Row],[MAYO ]]/45-1,0))</f>
        <v>0</v>
      </c>
      <c r="AJ525" s="103">
        <f>IF(Tabla1[[#This Row],[TIPO DE CONSUMIDOR]]="MEDIO",IF(Tabla1[[#This Row],[JUNIO ]]&gt;22.5,Tabla1[[#This Row],[JUNIO ]]/22.5-1,0),IF(Tabla1[[#This Row],[JUNIO ]]&gt;45,Tabla1[[#This Row],[JUNIO ]]/45-1,0))</f>
        <v>0</v>
      </c>
      <c r="AK525" s="103">
        <f>IF(Tabla1[[#This Row],[TIPO DE CONSUMIDOR]]="MEDIO",IF(Tabla1[[#This Row],[JULIO ]]&gt;22.5,Tabla1[[#This Row],[JULIO ]]/22.5-1,0),IF(Tabla1[[#This Row],[JULIO ]]&gt;45,Tabla1[[#This Row],[JULIO ]]/45-1,0))</f>
        <v>0</v>
      </c>
      <c r="AL525" s="103">
        <f>IF(Tabla1[[#This Row],[TIPO DE CONSUMIDOR]]="MEDIO",IF(Tabla1[[#This Row],[AGOSTO]]&gt;22.5,Tabla1[[#This Row],[AGOSTO]]/22.5-1,0),IF(Tabla1[[#This Row],[AGOSTO]]&gt;45,Tabla1[[#This Row],[AGOSTO]]/45-1,0))</f>
        <v>0</v>
      </c>
      <c r="AM52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5" s="104">
        <f t="shared" si="18"/>
        <v>0</v>
      </c>
      <c r="AR525" s="9">
        <f t="shared" si="17"/>
        <v>1</v>
      </c>
      <c r="AS525" s="60">
        <f>IF(Tabla1[[#This Row],[MESES DE ADEUDO DEL AÑO EN CURSO ]]&gt;0,1,0)</f>
        <v>1</v>
      </c>
      <c r="AT525" s="42"/>
      <c r="AU525" s="42"/>
      <c r="AV525" s="42"/>
      <c r="AW525" s="43"/>
    </row>
    <row r="526" spans="1:49" ht="21.75" thickBot="1" x14ac:dyDescent="0.35">
      <c r="A526" s="109">
        <v>520</v>
      </c>
      <c r="B526" s="96" t="s">
        <v>331</v>
      </c>
      <c r="C526" s="2" t="s">
        <v>530</v>
      </c>
      <c r="D526" s="32"/>
      <c r="E526" s="35" t="s">
        <v>455</v>
      </c>
      <c r="F526" s="52">
        <v>0</v>
      </c>
      <c r="G526" s="53">
        <v>0</v>
      </c>
      <c r="H526" s="53">
        <v>0</v>
      </c>
      <c r="I526" s="53">
        <v>0</v>
      </c>
      <c r="J526" s="53">
        <v>0</v>
      </c>
      <c r="K526" s="53">
        <v>0</v>
      </c>
      <c r="L526" s="53">
        <v>0</v>
      </c>
      <c r="M526" s="53">
        <v>0</v>
      </c>
      <c r="N526" s="53">
        <v>0</v>
      </c>
      <c r="O526" s="53">
        <v>0</v>
      </c>
      <c r="P526" s="53">
        <v>0</v>
      </c>
      <c r="Q526" s="54">
        <v>0</v>
      </c>
      <c r="R526" s="24">
        <f>SUM(Tabla1[[#This Row],[ENERO ]:[DICIEMBRE]])</f>
        <v>0</v>
      </c>
      <c r="W526" s="65">
        <v>9</v>
      </c>
      <c r="X526" s="21">
        <f>COUNTIF(Tabla1[[#This Row],[ENERO ]:[DICIEMBRE]],0)-(AQ526)-IF(Tabla1[[#This Row],[BAJAS]]="BAJA",IF(Tabla1[[#This Row],[ALTAS]]="ALTA",VLOOKUP(Tabla1[[#This Row],[MES DE ALTA ]],$AT$6:$AU$17,2,FALSE),12)-VLOOKUP(Tabla1[[#This Row],[MES DE BAJA ]],$AT$6:$AU$17,2,FALSE),0)</f>
        <v>12</v>
      </c>
      <c r="Y526" s="69">
        <f>SUM(Tabla1[[#This Row],[MES ADEUDO DE AÑOS PASADOS ]:[MESES DE ADEUDO DEL AÑO EN CURSO ]])</f>
        <v>21</v>
      </c>
      <c r="Z526" s="15">
        <f>IF(Tabla1[[#This Row],[TIPO DE CONSUMIDOR]]="COMPLETO",W526*$T$2,W526*($T$2/2))</f>
        <v>405</v>
      </c>
      <c r="AA526" s="15">
        <f>IF(Tabla1[[#This Row],[TIPO DE CONSUMIDOR]]="COMPLETO",Tabla1[[#This Row],[MESES DE ADEUDO DEL AÑO EN CURSO ]]*$T$2,Tabla1[[#This Row],[MESES DE ADEUDO DEL AÑO EN CURSO ]]*($T$2/2))</f>
        <v>540</v>
      </c>
      <c r="AB526" s="70">
        <f>SUM(Tabla1[[#This Row],[DEUDA DE LOS MESES PASADOS EN $$]:[DEUDA DEL AÑO 2013 $$ ]])</f>
        <v>945</v>
      </c>
      <c r="AE526" s="103">
        <f>IF(Tabla1[[#This Row],[TIPO DE CONSUMIDOR]]="MEDIO",IF(Tabla1[[#This Row],[ENERO ]]&gt;22.5,Tabla1[[#This Row],[ENERO ]]/22.5-1,0),IF(Tabla1[[#This Row],[ENERO ]]&gt;45,Tabla1[[#This Row],[ENERO ]]/45-1,0))</f>
        <v>0</v>
      </c>
      <c r="AF52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6" s="103">
        <f>IF(Tabla1[[#This Row],[TIPO DE CONSUMIDOR]]="MEDIO",IF(Tabla1[[#This Row],[MARZO]]&gt;22.5,Tabla1[[#This Row],[MARZO]]/22.5-1,0),IF(Tabla1[[#This Row],[MARZO]]&gt;45,Tabla1[[#This Row],[MARZO]]/45-1,0))</f>
        <v>0</v>
      </c>
      <c r="AH526" s="103">
        <f>IF(Tabla1[[#This Row],[TIPO DE CONSUMIDOR]]="MEDIO",IF(Tabla1[[#This Row],[ABRIL]]&gt;22.5,Tabla1[[#This Row],[ABRIL]]/22.5-1,0),IF(Tabla1[[#This Row],[ABRIL]]&gt;45,Tabla1[[#This Row],[ABRIL]]/45-1,0))</f>
        <v>0</v>
      </c>
      <c r="AI526" s="103">
        <f>IF(Tabla1[[#This Row],[TIPO DE CONSUMIDOR]]="MEDIO",IF(Tabla1[[#This Row],[MAYO ]]&gt;22.5,Tabla1[[#This Row],[MAYO ]]/22.5-1,0),IF(Tabla1[[#This Row],[MAYO ]]&gt;45,Tabla1[[#This Row],[MAYO ]]/45-1,0))</f>
        <v>0</v>
      </c>
      <c r="AJ526" s="103">
        <f>IF(Tabla1[[#This Row],[TIPO DE CONSUMIDOR]]="MEDIO",IF(Tabla1[[#This Row],[JUNIO ]]&gt;22.5,Tabla1[[#This Row],[JUNIO ]]/22.5-1,0),IF(Tabla1[[#This Row],[JUNIO ]]&gt;45,Tabla1[[#This Row],[JUNIO ]]/45-1,0))</f>
        <v>0</v>
      </c>
      <c r="AK526" s="103">
        <f>IF(Tabla1[[#This Row],[TIPO DE CONSUMIDOR]]="MEDIO",IF(Tabla1[[#This Row],[JULIO ]]&gt;22.5,Tabla1[[#This Row],[JULIO ]]/22.5-1,0),IF(Tabla1[[#This Row],[JULIO ]]&gt;45,Tabla1[[#This Row],[JULIO ]]/45-1,0))</f>
        <v>0</v>
      </c>
      <c r="AL526" s="103">
        <f>IF(Tabla1[[#This Row],[TIPO DE CONSUMIDOR]]="MEDIO",IF(Tabla1[[#This Row],[AGOSTO]]&gt;22.5,Tabla1[[#This Row],[AGOSTO]]/22.5-1,0),IF(Tabla1[[#This Row],[AGOSTO]]&gt;45,Tabla1[[#This Row],[AGOSTO]]/45-1,0))</f>
        <v>0</v>
      </c>
      <c r="AM52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6" s="104">
        <f t="shared" si="18"/>
        <v>0</v>
      </c>
      <c r="AR526" s="9">
        <f t="shared" si="17"/>
        <v>1</v>
      </c>
      <c r="AS526" s="60">
        <f>IF(Tabla1[[#This Row],[MESES DE ADEUDO DEL AÑO EN CURSO ]]&gt;0,1,0)</f>
        <v>1</v>
      </c>
      <c r="AT526" s="42"/>
      <c r="AU526" s="42"/>
      <c r="AV526" s="42"/>
      <c r="AW526" s="43"/>
    </row>
    <row r="527" spans="1:49" ht="21.75" thickBot="1" x14ac:dyDescent="0.35">
      <c r="A527" s="109">
        <v>521</v>
      </c>
      <c r="B527" s="5" t="s">
        <v>334</v>
      </c>
      <c r="C527" s="2" t="s">
        <v>530</v>
      </c>
      <c r="D527" s="32"/>
      <c r="E527" s="35" t="s">
        <v>455</v>
      </c>
      <c r="F527" s="52">
        <v>0</v>
      </c>
      <c r="G527" s="53">
        <v>0</v>
      </c>
      <c r="H527" s="53">
        <v>0</v>
      </c>
      <c r="I527" s="53">
        <v>0</v>
      </c>
      <c r="J527" s="53">
        <v>0</v>
      </c>
      <c r="K527" s="53">
        <v>0</v>
      </c>
      <c r="L527" s="53">
        <v>0</v>
      </c>
      <c r="M527" s="53">
        <v>0</v>
      </c>
      <c r="N527" s="53">
        <v>0</v>
      </c>
      <c r="O527" s="53">
        <v>0</v>
      </c>
      <c r="P527" s="53">
        <v>0</v>
      </c>
      <c r="Q527" s="54">
        <v>0</v>
      </c>
      <c r="R527" s="24">
        <f>SUM(Tabla1[[#This Row],[ENERO ]:[DICIEMBRE]])</f>
        <v>0</v>
      </c>
      <c r="W527" s="65">
        <v>9</v>
      </c>
      <c r="X527" s="21">
        <f>COUNTIF(Tabla1[[#This Row],[ENERO ]:[DICIEMBRE]],0)-(AQ527)-IF(Tabla1[[#This Row],[BAJAS]]="BAJA",IF(Tabla1[[#This Row],[ALTAS]]="ALTA",VLOOKUP(Tabla1[[#This Row],[MES DE ALTA ]],$AT$6:$AU$17,2,FALSE),12)-VLOOKUP(Tabla1[[#This Row],[MES DE BAJA ]],$AT$6:$AU$17,2,FALSE),0)</f>
        <v>12</v>
      </c>
      <c r="Y527" s="69">
        <f>SUM(Tabla1[[#This Row],[MES ADEUDO DE AÑOS PASADOS ]:[MESES DE ADEUDO DEL AÑO EN CURSO ]])</f>
        <v>21</v>
      </c>
      <c r="Z527" s="15">
        <f>IF(Tabla1[[#This Row],[TIPO DE CONSUMIDOR]]="COMPLETO",W527*$T$2,W527*($T$2/2))</f>
        <v>405</v>
      </c>
      <c r="AA527" s="15">
        <f>IF(Tabla1[[#This Row],[TIPO DE CONSUMIDOR]]="COMPLETO",Tabla1[[#This Row],[MESES DE ADEUDO DEL AÑO EN CURSO ]]*$T$2,Tabla1[[#This Row],[MESES DE ADEUDO DEL AÑO EN CURSO ]]*($T$2/2))</f>
        <v>540</v>
      </c>
      <c r="AB527" s="70">
        <f>SUM(Tabla1[[#This Row],[DEUDA DE LOS MESES PASADOS EN $$]:[DEUDA DEL AÑO 2013 $$ ]])</f>
        <v>945</v>
      </c>
      <c r="AE527" s="103">
        <f>IF(Tabla1[[#This Row],[TIPO DE CONSUMIDOR]]="MEDIO",IF(Tabla1[[#This Row],[ENERO ]]&gt;22.5,Tabla1[[#This Row],[ENERO ]]/22.5-1,0),IF(Tabla1[[#This Row],[ENERO ]]&gt;45,Tabla1[[#This Row],[ENERO ]]/45-1,0))</f>
        <v>0</v>
      </c>
      <c r="AF52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7" s="103">
        <f>IF(Tabla1[[#This Row],[TIPO DE CONSUMIDOR]]="MEDIO",IF(Tabla1[[#This Row],[MARZO]]&gt;22.5,Tabla1[[#This Row],[MARZO]]/22.5-1,0),IF(Tabla1[[#This Row],[MARZO]]&gt;45,Tabla1[[#This Row],[MARZO]]/45-1,0))</f>
        <v>0</v>
      </c>
      <c r="AH527" s="103">
        <f>IF(Tabla1[[#This Row],[TIPO DE CONSUMIDOR]]="MEDIO",IF(Tabla1[[#This Row],[ABRIL]]&gt;22.5,Tabla1[[#This Row],[ABRIL]]/22.5-1,0),IF(Tabla1[[#This Row],[ABRIL]]&gt;45,Tabla1[[#This Row],[ABRIL]]/45-1,0))</f>
        <v>0</v>
      </c>
      <c r="AI527" s="103">
        <f>IF(Tabla1[[#This Row],[TIPO DE CONSUMIDOR]]="MEDIO",IF(Tabla1[[#This Row],[MAYO ]]&gt;22.5,Tabla1[[#This Row],[MAYO ]]/22.5-1,0),IF(Tabla1[[#This Row],[MAYO ]]&gt;45,Tabla1[[#This Row],[MAYO ]]/45-1,0))</f>
        <v>0</v>
      </c>
      <c r="AJ527" s="103">
        <f>IF(Tabla1[[#This Row],[TIPO DE CONSUMIDOR]]="MEDIO",IF(Tabla1[[#This Row],[JUNIO ]]&gt;22.5,Tabla1[[#This Row],[JUNIO ]]/22.5-1,0),IF(Tabla1[[#This Row],[JUNIO ]]&gt;45,Tabla1[[#This Row],[JUNIO ]]/45-1,0))</f>
        <v>0</v>
      </c>
      <c r="AK527" s="103">
        <f>IF(Tabla1[[#This Row],[TIPO DE CONSUMIDOR]]="MEDIO",IF(Tabla1[[#This Row],[JULIO ]]&gt;22.5,Tabla1[[#This Row],[JULIO ]]/22.5-1,0),IF(Tabla1[[#This Row],[JULIO ]]&gt;45,Tabla1[[#This Row],[JULIO ]]/45-1,0))</f>
        <v>0</v>
      </c>
      <c r="AL527" s="103">
        <f>IF(Tabla1[[#This Row],[TIPO DE CONSUMIDOR]]="MEDIO",IF(Tabla1[[#This Row],[AGOSTO]]&gt;22.5,Tabla1[[#This Row],[AGOSTO]]/22.5-1,0),IF(Tabla1[[#This Row],[AGOSTO]]&gt;45,Tabla1[[#This Row],[AGOSTO]]/45-1,0))</f>
        <v>0</v>
      </c>
      <c r="AM52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7" s="104">
        <f t="shared" si="18"/>
        <v>0</v>
      </c>
      <c r="AR527" s="9">
        <f t="shared" si="17"/>
        <v>1</v>
      </c>
      <c r="AS527" s="60">
        <f>IF(Tabla1[[#This Row],[MESES DE ADEUDO DEL AÑO EN CURSO ]]&gt;0,1,0)</f>
        <v>1</v>
      </c>
      <c r="AT527" s="44"/>
      <c r="AU527" s="44"/>
      <c r="AV527" s="44"/>
      <c r="AW527" s="45"/>
    </row>
    <row r="528" spans="1:49" ht="21.75" thickBot="1" x14ac:dyDescent="0.35">
      <c r="A528" s="109">
        <v>522</v>
      </c>
      <c r="B528" s="5" t="s">
        <v>468</v>
      </c>
      <c r="C528" s="2" t="s">
        <v>461</v>
      </c>
      <c r="D528" s="32"/>
      <c r="E528" s="35" t="s">
        <v>455</v>
      </c>
      <c r="F528" s="52">
        <v>0</v>
      </c>
      <c r="G528" s="53">
        <v>0</v>
      </c>
      <c r="H528" s="53">
        <v>0</v>
      </c>
      <c r="I528" s="53">
        <v>0</v>
      </c>
      <c r="J528" s="53">
        <v>0</v>
      </c>
      <c r="K528" s="53">
        <v>0</v>
      </c>
      <c r="L528" s="53">
        <v>0</v>
      </c>
      <c r="M528" s="53">
        <v>0</v>
      </c>
      <c r="N528" s="53">
        <v>0</v>
      </c>
      <c r="O528" s="53">
        <v>0</v>
      </c>
      <c r="P528" s="53">
        <v>0</v>
      </c>
      <c r="Q528" s="54">
        <v>0</v>
      </c>
      <c r="R528" s="59">
        <f>SUM(Tabla1[[#This Row],[ENERO ]:[DICIEMBRE]])</f>
        <v>0</v>
      </c>
      <c r="W528" s="65">
        <v>10</v>
      </c>
      <c r="X528" s="21">
        <f>COUNTIF(Tabla1[[#This Row],[ENERO ]:[DICIEMBRE]],0)-(AQ528)-IF(Tabla1[[#This Row],[BAJAS]]="BAJA",IF(Tabla1[[#This Row],[ALTAS]]="ALTA",VLOOKUP(Tabla1[[#This Row],[MES DE ALTA ]],$AT$6:$AU$17,2,FALSE),12)-VLOOKUP(Tabla1[[#This Row],[MES DE BAJA ]],$AT$6:$AU$17,2,FALSE),0)</f>
        <v>12</v>
      </c>
      <c r="Y528" s="69">
        <f>SUM(Tabla1[[#This Row],[MES ADEUDO DE AÑOS PASADOS ]:[MESES DE ADEUDO DEL AÑO EN CURSO ]])</f>
        <v>22</v>
      </c>
      <c r="Z528" s="15">
        <f>IF(Tabla1[[#This Row],[TIPO DE CONSUMIDOR]]="COMPLETO",W528*$T$2,W528*($T$2/2))</f>
        <v>450</v>
      </c>
      <c r="AA528" s="15">
        <f>IF(Tabla1[[#This Row],[TIPO DE CONSUMIDOR]]="COMPLETO",Tabla1[[#This Row],[MESES DE ADEUDO DEL AÑO EN CURSO ]]*$T$2,Tabla1[[#This Row],[MESES DE ADEUDO DEL AÑO EN CURSO ]]*($T$2/2))</f>
        <v>540</v>
      </c>
      <c r="AB528" s="70">
        <f>SUM(Tabla1[[#This Row],[DEUDA DE LOS MESES PASADOS EN $$]:[DEUDA DEL AÑO 2013 $$ ]])</f>
        <v>990</v>
      </c>
      <c r="AE528" s="103">
        <f>IF(Tabla1[[#This Row],[TIPO DE CONSUMIDOR]]="MEDIO",IF(Tabla1[[#This Row],[ENERO ]]&gt;22.5,Tabla1[[#This Row],[ENERO ]]/22.5-1,0),IF(Tabla1[[#This Row],[ENERO ]]&gt;45,Tabla1[[#This Row],[ENERO ]]/45-1,0))</f>
        <v>0</v>
      </c>
      <c r="AF52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8" s="103">
        <f>IF(Tabla1[[#This Row],[TIPO DE CONSUMIDOR]]="MEDIO",IF(Tabla1[[#This Row],[MARZO]]&gt;22.5,Tabla1[[#This Row],[MARZO]]/22.5-1,0),IF(Tabla1[[#This Row],[MARZO]]&gt;45,Tabla1[[#This Row],[MARZO]]/45-1,0))</f>
        <v>0</v>
      </c>
      <c r="AH528" s="103">
        <f>IF(Tabla1[[#This Row],[TIPO DE CONSUMIDOR]]="MEDIO",IF(Tabla1[[#This Row],[ABRIL]]&gt;22.5,Tabla1[[#This Row],[ABRIL]]/22.5-1,0),IF(Tabla1[[#This Row],[ABRIL]]&gt;45,Tabla1[[#This Row],[ABRIL]]/45-1,0))</f>
        <v>0</v>
      </c>
      <c r="AI528" s="103">
        <f>IF(Tabla1[[#This Row],[TIPO DE CONSUMIDOR]]="MEDIO",IF(Tabla1[[#This Row],[MAYO ]]&gt;22.5,Tabla1[[#This Row],[MAYO ]]/22.5-1,0),IF(Tabla1[[#This Row],[MAYO ]]&gt;45,Tabla1[[#This Row],[MAYO ]]/45-1,0))</f>
        <v>0</v>
      </c>
      <c r="AJ528" s="103">
        <f>IF(Tabla1[[#This Row],[TIPO DE CONSUMIDOR]]="MEDIO",IF(Tabla1[[#This Row],[JUNIO ]]&gt;22.5,Tabla1[[#This Row],[JUNIO ]]/22.5-1,0),IF(Tabla1[[#This Row],[JUNIO ]]&gt;45,Tabla1[[#This Row],[JUNIO ]]/45-1,0))</f>
        <v>0</v>
      </c>
      <c r="AK528" s="103">
        <f>IF(Tabla1[[#This Row],[TIPO DE CONSUMIDOR]]="MEDIO",IF(Tabla1[[#This Row],[JULIO ]]&gt;22.5,Tabla1[[#This Row],[JULIO ]]/22.5-1,0),IF(Tabla1[[#This Row],[JULIO ]]&gt;45,Tabla1[[#This Row],[JULIO ]]/45-1,0))</f>
        <v>0</v>
      </c>
      <c r="AL528" s="103">
        <f>IF(Tabla1[[#This Row],[TIPO DE CONSUMIDOR]]="MEDIO",IF(Tabla1[[#This Row],[AGOSTO]]&gt;22.5,Tabla1[[#This Row],[AGOSTO]]/22.5-1,0),IF(Tabla1[[#This Row],[AGOSTO]]&gt;45,Tabla1[[#This Row],[AGOSTO]]/45-1,0))</f>
        <v>0</v>
      </c>
      <c r="AM52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8" s="104">
        <f t="shared" si="18"/>
        <v>0</v>
      </c>
      <c r="AR528" s="9">
        <f t="shared" si="17"/>
        <v>1</v>
      </c>
      <c r="AS528" s="60">
        <f>IF(Tabla1[[#This Row],[MESES DE ADEUDO DEL AÑO EN CURSO ]]&gt;0,1,0)</f>
        <v>1</v>
      </c>
      <c r="AT528" s="37"/>
      <c r="AU528" s="37"/>
      <c r="AV528" s="37"/>
      <c r="AW528" s="37"/>
    </row>
    <row r="529" spans="1:49" ht="21.75" thickBot="1" x14ac:dyDescent="0.35">
      <c r="A529" s="109">
        <v>523</v>
      </c>
      <c r="B529" s="5" t="s">
        <v>235</v>
      </c>
      <c r="C529" s="2" t="s">
        <v>461</v>
      </c>
      <c r="D529" s="32"/>
      <c r="E529" s="35" t="s">
        <v>455</v>
      </c>
      <c r="F529" s="52">
        <v>0</v>
      </c>
      <c r="G529" s="52">
        <v>0</v>
      </c>
      <c r="H529" s="52">
        <v>0</v>
      </c>
      <c r="I529" s="52">
        <v>0</v>
      </c>
      <c r="J529" s="52">
        <v>0</v>
      </c>
      <c r="K529" s="52">
        <v>0</v>
      </c>
      <c r="L529" s="52">
        <v>0</v>
      </c>
      <c r="M529" s="52">
        <v>0</v>
      </c>
      <c r="N529" s="52">
        <v>0</v>
      </c>
      <c r="O529" s="52">
        <v>0</v>
      </c>
      <c r="P529" s="52">
        <v>0</v>
      </c>
      <c r="Q529" s="52">
        <v>0</v>
      </c>
      <c r="R529" s="59">
        <f>SUM(Tabla1[[#This Row],[ENERO ]:[DICIEMBRE]])</f>
        <v>0</v>
      </c>
      <c r="W529" s="65">
        <v>10</v>
      </c>
      <c r="X529" s="21">
        <f>COUNTIF(Tabla1[[#This Row],[ENERO ]:[DICIEMBRE]],0)-(AQ529)-IF(Tabla1[[#This Row],[BAJAS]]="BAJA",IF(Tabla1[[#This Row],[ALTAS]]="ALTA",VLOOKUP(Tabla1[[#This Row],[MES DE ALTA ]],$AT$6:$AU$17,2,FALSE),12)-VLOOKUP(Tabla1[[#This Row],[MES DE BAJA ]],$AT$6:$AU$17,2,FALSE),0)</f>
        <v>12</v>
      </c>
      <c r="Y529" s="69">
        <f>SUM(Tabla1[[#This Row],[MES ADEUDO DE AÑOS PASADOS ]:[MESES DE ADEUDO DEL AÑO EN CURSO ]])</f>
        <v>22</v>
      </c>
      <c r="Z529" s="15">
        <f>IF(Tabla1[[#This Row],[TIPO DE CONSUMIDOR]]="COMPLETO",W529*$T$2,W529*($T$2/2))</f>
        <v>450</v>
      </c>
      <c r="AA529" s="15">
        <f>IF(Tabla1[[#This Row],[TIPO DE CONSUMIDOR]]="COMPLETO",Tabla1[[#This Row],[MESES DE ADEUDO DEL AÑO EN CURSO ]]*$T$2,Tabla1[[#This Row],[MESES DE ADEUDO DEL AÑO EN CURSO ]]*($T$2/2))</f>
        <v>540</v>
      </c>
      <c r="AB529" s="70">
        <f>SUM(Tabla1[[#This Row],[DEUDA DE LOS MESES PASADOS EN $$]:[DEUDA DEL AÑO 2013 $$ ]])</f>
        <v>990</v>
      </c>
      <c r="AE529" s="103">
        <f>IF(Tabla1[[#This Row],[TIPO DE CONSUMIDOR]]="MEDIO",IF(Tabla1[[#This Row],[ENERO ]]&gt;22.5,Tabla1[[#This Row],[ENERO ]]/22.5-1,0),IF(Tabla1[[#This Row],[ENERO ]]&gt;45,Tabla1[[#This Row],[ENERO ]]/45-1,0))</f>
        <v>0</v>
      </c>
      <c r="AF52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29" s="103">
        <f>IF(Tabla1[[#This Row],[TIPO DE CONSUMIDOR]]="MEDIO",IF(Tabla1[[#This Row],[MARZO]]&gt;22.5,Tabla1[[#This Row],[MARZO]]/22.5-1,0),IF(Tabla1[[#This Row],[MARZO]]&gt;45,Tabla1[[#This Row],[MARZO]]/45-1,0))</f>
        <v>0</v>
      </c>
      <c r="AH529" s="103">
        <f>IF(Tabla1[[#This Row],[TIPO DE CONSUMIDOR]]="MEDIO",IF(Tabla1[[#This Row],[ABRIL]]&gt;22.5,Tabla1[[#This Row],[ABRIL]]/22.5-1,0),IF(Tabla1[[#This Row],[ABRIL]]&gt;45,Tabla1[[#This Row],[ABRIL]]/45-1,0))</f>
        <v>0</v>
      </c>
      <c r="AI529" s="103">
        <f>IF(Tabla1[[#This Row],[TIPO DE CONSUMIDOR]]="MEDIO",IF(Tabla1[[#This Row],[MAYO ]]&gt;22.5,Tabla1[[#This Row],[MAYO ]]/22.5-1,0),IF(Tabla1[[#This Row],[MAYO ]]&gt;45,Tabla1[[#This Row],[MAYO ]]/45-1,0))</f>
        <v>0</v>
      </c>
      <c r="AJ529" s="103">
        <f>IF(Tabla1[[#This Row],[TIPO DE CONSUMIDOR]]="MEDIO",IF(Tabla1[[#This Row],[JUNIO ]]&gt;22.5,Tabla1[[#This Row],[JUNIO ]]/22.5-1,0),IF(Tabla1[[#This Row],[JUNIO ]]&gt;45,Tabla1[[#This Row],[JUNIO ]]/45-1,0))</f>
        <v>0</v>
      </c>
      <c r="AK529" s="103">
        <f>IF(Tabla1[[#This Row],[TIPO DE CONSUMIDOR]]="MEDIO",IF(Tabla1[[#This Row],[JULIO ]]&gt;22.5,Tabla1[[#This Row],[JULIO ]]/22.5-1,0),IF(Tabla1[[#This Row],[JULIO ]]&gt;45,Tabla1[[#This Row],[JULIO ]]/45-1,0))</f>
        <v>0</v>
      </c>
      <c r="AL529" s="103">
        <f>IF(Tabla1[[#This Row],[TIPO DE CONSUMIDOR]]="MEDIO",IF(Tabla1[[#This Row],[AGOSTO]]&gt;22.5,Tabla1[[#This Row],[AGOSTO]]/22.5-1,0),IF(Tabla1[[#This Row],[AGOSTO]]&gt;45,Tabla1[[#This Row],[AGOSTO]]/45-1,0))</f>
        <v>0</v>
      </c>
      <c r="AM52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2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2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2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29" s="104">
        <f t="shared" si="18"/>
        <v>0</v>
      </c>
      <c r="AR529" s="9">
        <f t="shared" si="17"/>
        <v>1</v>
      </c>
      <c r="AS529" s="60">
        <f>IF(Tabla1[[#This Row],[MESES DE ADEUDO DEL AÑO EN CURSO ]]&gt;0,1,0)</f>
        <v>1</v>
      </c>
      <c r="AT529" s="37"/>
      <c r="AU529" s="37"/>
      <c r="AV529" s="37"/>
      <c r="AW529" s="37"/>
    </row>
    <row r="530" spans="1:49" ht="21.75" thickBot="1" x14ac:dyDescent="0.35">
      <c r="A530" s="109">
        <v>524</v>
      </c>
      <c r="B530" s="5" t="s">
        <v>305</v>
      </c>
      <c r="C530" s="2" t="s">
        <v>461</v>
      </c>
      <c r="D530" s="32"/>
      <c r="E530" s="35" t="s">
        <v>455</v>
      </c>
      <c r="F530" s="52">
        <v>0</v>
      </c>
      <c r="G530" s="53">
        <v>0</v>
      </c>
      <c r="H530" s="53">
        <v>0</v>
      </c>
      <c r="I530" s="53">
        <v>0</v>
      </c>
      <c r="J530" s="53">
        <v>0</v>
      </c>
      <c r="K530" s="53">
        <v>0</v>
      </c>
      <c r="L530" s="53">
        <v>0</v>
      </c>
      <c r="M530" s="53">
        <v>0</v>
      </c>
      <c r="N530" s="53">
        <v>0</v>
      </c>
      <c r="O530" s="53">
        <v>0</v>
      </c>
      <c r="P530" s="53">
        <v>0</v>
      </c>
      <c r="Q530" s="54">
        <v>0</v>
      </c>
      <c r="R530" s="59">
        <f>SUM(Tabla1[[#This Row],[ENERO ]:[DICIEMBRE]])</f>
        <v>0</v>
      </c>
      <c r="W530" s="65">
        <v>10</v>
      </c>
      <c r="X530" s="21">
        <f>COUNTIF(Tabla1[[#This Row],[ENERO ]:[DICIEMBRE]],0)-(AQ530)-IF(Tabla1[[#This Row],[BAJAS]]="BAJA",IF(Tabla1[[#This Row],[ALTAS]]="ALTA",VLOOKUP(Tabla1[[#This Row],[MES DE ALTA ]],$AT$6:$AU$17,2,FALSE),12)-VLOOKUP(Tabla1[[#This Row],[MES DE BAJA ]],$AT$6:$AU$17,2,FALSE),0)</f>
        <v>12</v>
      </c>
      <c r="Y530" s="69">
        <f>SUM(Tabla1[[#This Row],[MES ADEUDO DE AÑOS PASADOS ]:[MESES DE ADEUDO DEL AÑO EN CURSO ]])</f>
        <v>22</v>
      </c>
      <c r="Z530" s="15">
        <f>IF(Tabla1[[#This Row],[TIPO DE CONSUMIDOR]]="COMPLETO",W530*$T$2,W530*($T$2/2))</f>
        <v>450</v>
      </c>
      <c r="AA530" s="15">
        <f>IF(Tabla1[[#This Row],[TIPO DE CONSUMIDOR]]="COMPLETO",Tabla1[[#This Row],[MESES DE ADEUDO DEL AÑO EN CURSO ]]*$T$2,Tabla1[[#This Row],[MESES DE ADEUDO DEL AÑO EN CURSO ]]*($T$2/2))</f>
        <v>540</v>
      </c>
      <c r="AB530" s="70">
        <f>SUM(Tabla1[[#This Row],[DEUDA DE LOS MESES PASADOS EN $$]:[DEUDA DEL AÑO 2013 $$ ]])</f>
        <v>990</v>
      </c>
      <c r="AE530" s="103">
        <f>IF(Tabla1[[#This Row],[TIPO DE CONSUMIDOR]]="MEDIO",IF(Tabla1[[#This Row],[ENERO ]]&gt;22.5,Tabla1[[#This Row],[ENERO ]]/22.5-1,0),IF(Tabla1[[#This Row],[ENERO ]]&gt;45,Tabla1[[#This Row],[ENERO ]]/45-1,0))</f>
        <v>0</v>
      </c>
      <c r="AF53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0" s="103">
        <f>IF(Tabla1[[#This Row],[TIPO DE CONSUMIDOR]]="MEDIO",IF(Tabla1[[#This Row],[MARZO]]&gt;22.5,Tabla1[[#This Row],[MARZO]]/22.5-1,0),IF(Tabla1[[#This Row],[MARZO]]&gt;45,Tabla1[[#This Row],[MARZO]]/45-1,0))</f>
        <v>0</v>
      </c>
      <c r="AH530" s="103">
        <f>IF(Tabla1[[#This Row],[TIPO DE CONSUMIDOR]]="MEDIO",IF(Tabla1[[#This Row],[ABRIL]]&gt;22.5,Tabla1[[#This Row],[ABRIL]]/22.5-1,0),IF(Tabla1[[#This Row],[ABRIL]]&gt;45,Tabla1[[#This Row],[ABRIL]]/45-1,0))</f>
        <v>0</v>
      </c>
      <c r="AI530" s="103">
        <f>IF(Tabla1[[#This Row],[TIPO DE CONSUMIDOR]]="MEDIO",IF(Tabla1[[#This Row],[MAYO ]]&gt;22.5,Tabla1[[#This Row],[MAYO ]]/22.5-1,0),IF(Tabla1[[#This Row],[MAYO ]]&gt;45,Tabla1[[#This Row],[MAYO ]]/45-1,0))</f>
        <v>0</v>
      </c>
      <c r="AJ530" s="103">
        <f>IF(Tabla1[[#This Row],[TIPO DE CONSUMIDOR]]="MEDIO",IF(Tabla1[[#This Row],[JUNIO ]]&gt;22.5,Tabla1[[#This Row],[JUNIO ]]/22.5-1,0),IF(Tabla1[[#This Row],[JUNIO ]]&gt;45,Tabla1[[#This Row],[JUNIO ]]/45-1,0))</f>
        <v>0</v>
      </c>
      <c r="AK530" s="103">
        <f>IF(Tabla1[[#This Row],[TIPO DE CONSUMIDOR]]="MEDIO",IF(Tabla1[[#This Row],[JULIO ]]&gt;22.5,Tabla1[[#This Row],[JULIO ]]/22.5-1,0),IF(Tabla1[[#This Row],[JULIO ]]&gt;45,Tabla1[[#This Row],[JULIO ]]/45-1,0))</f>
        <v>0</v>
      </c>
      <c r="AL530" s="103">
        <f>IF(Tabla1[[#This Row],[TIPO DE CONSUMIDOR]]="MEDIO",IF(Tabla1[[#This Row],[AGOSTO]]&gt;22.5,Tabla1[[#This Row],[AGOSTO]]/22.5-1,0),IF(Tabla1[[#This Row],[AGOSTO]]&gt;45,Tabla1[[#This Row],[AGOSTO]]/45-1,0))</f>
        <v>0</v>
      </c>
      <c r="AM53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0" s="104">
        <f t="shared" si="18"/>
        <v>0</v>
      </c>
      <c r="AR530" s="9">
        <f t="shared" si="17"/>
        <v>1</v>
      </c>
      <c r="AS530" s="60">
        <f>IF(Tabla1[[#This Row],[MESES DE ADEUDO DEL AÑO EN CURSO ]]&gt;0,1,0)</f>
        <v>1</v>
      </c>
    </row>
    <row r="531" spans="1:49" ht="21.75" thickBot="1" x14ac:dyDescent="0.35">
      <c r="A531" s="109">
        <v>525</v>
      </c>
      <c r="B531" s="5" t="s">
        <v>339</v>
      </c>
      <c r="C531" s="2" t="s">
        <v>461</v>
      </c>
      <c r="D531" s="32"/>
      <c r="E531" s="35" t="s">
        <v>455</v>
      </c>
      <c r="F531" s="52">
        <v>0</v>
      </c>
      <c r="G531" s="53">
        <v>0</v>
      </c>
      <c r="H531" s="53">
        <v>0</v>
      </c>
      <c r="I531" s="53">
        <v>0</v>
      </c>
      <c r="J531" s="53">
        <v>0</v>
      </c>
      <c r="K531" s="53">
        <v>0</v>
      </c>
      <c r="L531" s="53">
        <v>0</v>
      </c>
      <c r="M531" s="53">
        <v>0</v>
      </c>
      <c r="N531" s="53">
        <v>0</v>
      </c>
      <c r="O531" s="53">
        <v>0</v>
      </c>
      <c r="P531" s="53">
        <v>0</v>
      </c>
      <c r="Q531" s="54">
        <v>0</v>
      </c>
      <c r="R531" s="59">
        <f>SUM(Tabla1[[#This Row],[ENERO ]:[DICIEMBRE]])</f>
        <v>0</v>
      </c>
      <c r="W531" s="65">
        <v>10</v>
      </c>
      <c r="X531" s="21">
        <f>COUNTIF(Tabla1[[#This Row],[ENERO ]:[DICIEMBRE]],0)-(AQ531)-IF(Tabla1[[#This Row],[BAJAS]]="BAJA",IF(Tabla1[[#This Row],[ALTAS]]="ALTA",VLOOKUP(Tabla1[[#This Row],[MES DE ALTA ]],$AT$6:$AU$17,2,FALSE),12)-VLOOKUP(Tabla1[[#This Row],[MES DE BAJA ]],$AT$6:$AU$17,2,FALSE),0)</f>
        <v>12</v>
      </c>
      <c r="Y531" s="69">
        <f>SUM(Tabla1[[#This Row],[MES ADEUDO DE AÑOS PASADOS ]:[MESES DE ADEUDO DEL AÑO EN CURSO ]])</f>
        <v>22</v>
      </c>
      <c r="Z531" s="15">
        <f>IF(Tabla1[[#This Row],[TIPO DE CONSUMIDOR]]="COMPLETO",W531*$T$2,W531*($T$2/2))</f>
        <v>450</v>
      </c>
      <c r="AA531" s="15">
        <f>IF(Tabla1[[#This Row],[TIPO DE CONSUMIDOR]]="COMPLETO",Tabla1[[#This Row],[MESES DE ADEUDO DEL AÑO EN CURSO ]]*$T$2,Tabla1[[#This Row],[MESES DE ADEUDO DEL AÑO EN CURSO ]]*($T$2/2))</f>
        <v>540</v>
      </c>
      <c r="AB531" s="70">
        <f>SUM(Tabla1[[#This Row],[DEUDA DE LOS MESES PASADOS EN $$]:[DEUDA DEL AÑO 2013 $$ ]])</f>
        <v>990</v>
      </c>
      <c r="AE531" s="103">
        <f>IF(Tabla1[[#This Row],[TIPO DE CONSUMIDOR]]="MEDIO",IF(Tabla1[[#This Row],[ENERO ]]&gt;22.5,Tabla1[[#This Row],[ENERO ]]/22.5-1,0),IF(Tabla1[[#This Row],[ENERO ]]&gt;45,Tabla1[[#This Row],[ENERO ]]/45-1,0))</f>
        <v>0</v>
      </c>
      <c r="AF53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1" s="103">
        <f>IF(Tabla1[[#This Row],[TIPO DE CONSUMIDOR]]="MEDIO",IF(Tabla1[[#This Row],[MARZO]]&gt;22.5,Tabla1[[#This Row],[MARZO]]/22.5-1,0),IF(Tabla1[[#This Row],[MARZO]]&gt;45,Tabla1[[#This Row],[MARZO]]/45-1,0))</f>
        <v>0</v>
      </c>
      <c r="AH531" s="103">
        <f>IF(Tabla1[[#This Row],[TIPO DE CONSUMIDOR]]="MEDIO",IF(Tabla1[[#This Row],[ABRIL]]&gt;22.5,Tabla1[[#This Row],[ABRIL]]/22.5-1,0),IF(Tabla1[[#This Row],[ABRIL]]&gt;45,Tabla1[[#This Row],[ABRIL]]/45-1,0))</f>
        <v>0</v>
      </c>
      <c r="AI531" s="103">
        <f>IF(Tabla1[[#This Row],[TIPO DE CONSUMIDOR]]="MEDIO",IF(Tabla1[[#This Row],[MAYO ]]&gt;22.5,Tabla1[[#This Row],[MAYO ]]/22.5-1,0),IF(Tabla1[[#This Row],[MAYO ]]&gt;45,Tabla1[[#This Row],[MAYO ]]/45-1,0))</f>
        <v>0</v>
      </c>
      <c r="AJ531" s="103">
        <f>IF(Tabla1[[#This Row],[TIPO DE CONSUMIDOR]]="MEDIO",IF(Tabla1[[#This Row],[JUNIO ]]&gt;22.5,Tabla1[[#This Row],[JUNIO ]]/22.5-1,0),IF(Tabla1[[#This Row],[JUNIO ]]&gt;45,Tabla1[[#This Row],[JUNIO ]]/45-1,0))</f>
        <v>0</v>
      </c>
      <c r="AK531" s="103">
        <f>IF(Tabla1[[#This Row],[TIPO DE CONSUMIDOR]]="MEDIO",IF(Tabla1[[#This Row],[JULIO ]]&gt;22.5,Tabla1[[#This Row],[JULIO ]]/22.5-1,0),IF(Tabla1[[#This Row],[JULIO ]]&gt;45,Tabla1[[#This Row],[JULIO ]]/45-1,0))</f>
        <v>0</v>
      </c>
      <c r="AL531" s="103">
        <f>IF(Tabla1[[#This Row],[TIPO DE CONSUMIDOR]]="MEDIO",IF(Tabla1[[#This Row],[AGOSTO]]&gt;22.5,Tabla1[[#This Row],[AGOSTO]]/22.5-1,0),IF(Tabla1[[#This Row],[AGOSTO]]&gt;45,Tabla1[[#This Row],[AGOSTO]]/45-1,0))</f>
        <v>0</v>
      </c>
      <c r="AM53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1" s="104">
        <f t="shared" si="18"/>
        <v>0</v>
      </c>
      <c r="AR531" s="9">
        <f t="shared" si="17"/>
        <v>1</v>
      </c>
      <c r="AS531" s="60">
        <f>IF(Tabla1[[#This Row],[MESES DE ADEUDO DEL AÑO EN CURSO ]]&gt;0,1,0)</f>
        <v>1</v>
      </c>
    </row>
    <row r="532" spans="1:49" ht="21.75" thickBot="1" x14ac:dyDescent="0.35">
      <c r="A532" s="109">
        <v>526</v>
      </c>
      <c r="B532" s="5" t="s">
        <v>157</v>
      </c>
      <c r="C532" s="2" t="s">
        <v>504</v>
      </c>
      <c r="D532" s="32"/>
      <c r="E532" s="35" t="s">
        <v>455</v>
      </c>
      <c r="F532" s="52">
        <v>0</v>
      </c>
      <c r="G532" s="53">
        <v>0</v>
      </c>
      <c r="H532" s="53">
        <v>0</v>
      </c>
      <c r="I532" s="53">
        <v>0</v>
      </c>
      <c r="J532" s="53">
        <v>0</v>
      </c>
      <c r="K532" s="53">
        <v>0</v>
      </c>
      <c r="L532" s="53">
        <v>0</v>
      </c>
      <c r="M532" s="53">
        <v>0</v>
      </c>
      <c r="N532" s="53">
        <v>0</v>
      </c>
      <c r="O532" s="53">
        <v>0</v>
      </c>
      <c r="P532" s="53">
        <v>0</v>
      </c>
      <c r="Q532" s="54">
        <v>0</v>
      </c>
      <c r="R532" s="59">
        <f>SUM(Tabla1[[#This Row],[ENERO ]:[DICIEMBRE]])</f>
        <v>0</v>
      </c>
      <c r="W532" s="65">
        <v>10</v>
      </c>
      <c r="X532" s="21">
        <f>COUNTIF(Tabla1[[#This Row],[ENERO ]:[DICIEMBRE]],0)-(AQ532)-IF(Tabla1[[#This Row],[BAJAS]]="BAJA",IF(Tabla1[[#This Row],[ALTAS]]="ALTA",VLOOKUP(Tabla1[[#This Row],[MES DE ALTA ]],$AT$6:$AU$17,2,FALSE),12)-VLOOKUP(Tabla1[[#This Row],[MES DE BAJA ]],$AT$6:$AU$17,2,FALSE),0)</f>
        <v>12</v>
      </c>
      <c r="Y532" s="69">
        <f>SUM(Tabla1[[#This Row],[MES ADEUDO DE AÑOS PASADOS ]:[MESES DE ADEUDO DEL AÑO EN CURSO ]])</f>
        <v>22</v>
      </c>
      <c r="Z532" s="15">
        <f>IF(Tabla1[[#This Row],[TIPO DE CONSUMIDOR]]="COMPLETO",W532*$T$2,W532*($T$2/2))</f>
        <v>450</v>
      </c>
      <c r="AA532" s="15">
        <f>IF(Tabla1[[#This Row],[TIPO DE CONSUMIDOR]]="COMPLETO",Tabla1[[#This Row],[MESES DE ADEUDO DEL AÑO EN CURSO ]]*$T$2,Tabla1[[#This Row],[MESES DE ADEUDO DEL AÑO EN CURSO ]]*($T$2/2))</f>
        <v>540</v>
      </c>
      <c r="AB532" s="70">
        <f>SUM(Tabla1[[#This Row],[DEUDA DE LOS MESES PASADOS EN $$]:[DEUDA DEL AÑO 2013 $$ ]])</f>
        <v>990</v>
      </c>
      <c r="AE532" s="103">
        <f>IF(Tabla1[[#This Row],[TIPO DE CONSUMIDOR]]="MEDIO",IF(Tabla1[[#This Row],[ENERO ]]&gt;22.5,Tabla1[[#This Row],[ENERO ]]/22.5-1,0),IF(Tabla1[[#This Row],[ENERO ]]&gt;45,Tabla1[[#This Row],[ENERO ]]/45-1,0))</f>
        <v>0</v>
      </c>
      <c r="AF53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2" s="103">
        <f>IF(Tabla1[[#This Row],[TIPO DE CONSUMIDOR]]="MEDIO",IF(Tabla1[[#This Row],[MARZO]]&gt;22.5,Tabla1[[#This Row],[MARZO]]/22.5-1,0),IF(Tabla1[[#This Row],[MARZO]]&gt;45,Tabla1[[#This Row],[MARZO]]/45-1,0))</f>
        <v>0</v>
      </c>
      <c r="AH532" s="103">
        <f>IF(Tabla1[[#This Row],[TIPO DE CONSUMIDOR]]="MEDIO",IF(Tabla1[[#This Row],[ABRIL]]&gt;22.5,Tabla1[[#This Row],[ABRIL]]/22.5-1,0),IF(Tabla1[[#This Row],[ABRIL]]&gt;45,Tabla1[[#This Row],[ABRIL]]/45-1,0))</f>
        <v>0</v>
      </c>
      <c r="AI532" s="103">
        <f>IF(Tabla1[[#This Row],[TIPO DE CONSUMIDOR]]="MEDIO",IF(Tabla1[[#This Row],[MAYO ]]&gt;22.5,Tabla1[[#This Row],[MAYO ]]/22.5-1,0),IF(Tabla1[[#This Row],[MAYO ]]&gt;45,Tabla1[[#This Row],[MAYO ]]/45-1,0))</f>
        <v>0</v>
      </c>
      <c r="AJ532" s="103">
        <f>IF(Tabla1[[#This Row],[TIPO DE CONSUMIDOR]]="MEDIO",IF(Tabla1[[#This Row],[JUNIO ]]&gt;22.5,Tabla1[[#This Row],[JUNIO ]]/22.5-1,0),IF(Tabla1[[#This Row],[JUNIO ]]&gt;45,Tabla1[[#This Row],[JUNIO ]]/45-1,0))</f>
        <v>0</v>
      </c>
      <c r="AK532" s="103">
        <f>IF(Tabla1[[#This Row],[TIPO DE CONSUMIDOR]]="MEDIO",IF(Tabla1[[#This Row],[JULIO ]]&gt;22.5,Tabla1[[#This Row],[JULIO ]]/22.5-1,0),IF(Tabla1[[#This Row],[JULIO ]]&gt;45,Tabla1[[#This Row],[JULIO ]]/45-1,0))</f>
        <v>0</v>
      </c>
      <c r="AL532" s="103">
        <f>IF(Tabla1[[#This Row],[TIPO DE CONSUMIDOR]]="MEDIO",IF(Tabla1[[#This Row],[AGOSTO]]&gt;22.5,Tabla1[[#This Row],[AGOSTO]]/22.5-1,0),IF(Tabla1[[#This Row],[AGOSTO]]&gt;45,Tabla1[[#This Row],[AGOSTO]]/45-1,0))</f>
        <v>0</v>
      </c>
      <c r="AM53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2" s="104">
        <f t="shared" si="18"/>
        <v>0</v>
      </c>
      <c r="AR532" s="9">
        <f t="shared" si="17"/>
        <v>1</v>
      </c>
      <c r="AS532" s="60">
        <f>IF(Tabla1[[#This Row],[MESES DE ADEUDO DEL AÑO EN CURSO ]]&gt;0,1,0)</f>
        <v>1</v>
      </c>
    </row>
    <row r="533" spans="1:49" ht="21" x14ac:dyDescent="0.3">
      <c r="A533" s="109">
        <v>527</v>
      </c>
      <c r="B533" s="5" t="s">
        <v>541</v>
      </c>
      <c r="C533" s="2" t="s">
        <v>530</v>
      </c>
      <c r="D533" s="32"/>
      <c r="E533" s="35" t="s">
        <v>455</v>
      </c>
      <c r="F533" s="52">
        <v>0</v>
      </c>
      <c r="G533" s="53">
        <v>0</v>
      </c>
      <c r="H533" s="53">
        <v>0</v>
      </c>
      <c r="I533" s="53">
        <v>0</v>
      </c>
      <c r="J533" s="53">
        <v>0</v>
      </c>
      <c r="K533" s="53">
        <v>0</v>
      </c>
      <c r="L533" s="53">
        <v>0</v>
      </c>
      <c r="M533" s="53">
        <v>0</v>
      </c>
      <c r="N533" s="53">
        <v>0</v>
      </c>
      <c r="O533" s="53">
        <v>0</v>
      </c>
      <c r="P533" s="53">
        <v>0</v>
      </c>
      <c r="Q533" s="54">
        <v>0</v>
      </c>
      <c r="R533" s="55">
        <f>SUM(Tabla1[[#This Row],[ENERO ]:[DICIEMBRE]])</f>
        <v>0</v>
      </c>
      <c r="W533" s="65">
        <v>10</v>
      </c>
      <c r="X533" s="21">
        <f>COUNTIF(Tabla1[[#This Row],[ENERO ]:[DICIEMBRE]],0)-(AQ533)-IF(Tabla1[[#This Row],[BAJAS]]="BAJA",IF(Tabla1[[#This Row],[ALTAS]]="ALTA",VLOOKUP(Tabla1[[#This Row],[MES DE ALTA ]],$AT$6:$AU$17,2,FALSE),12)-VLOOKUP(Tabla1[[#This Row],[MES DE BAJA ]],$AT$6:$AU$17,2,FALSE),0)</f>
        <v>12</v>
      </c>
      <c r="Y533" s="69">
        <f>SUM(Tabla1[[#This Row],[MES ADEUDO DE AÑOS PASADOS ]:[MESES DE ADEUDO DEL AÑO EN CURSO ]])</f>
        <v>22</v>
      </c>
      <c r="Z533" s="15">
        <f>IF(Tabla1[[#This Row],[TIPO DE CONSUMIDOR]]="COMPLETO",W533*$T$2,W533*($T$2/2))</f>
        <v>450</v>
      </c>
      <c r="AA533" s="15">
        <f>IF(Tabla1[[#This Row],[TIPO DE CONSUMIDOR]]="COMPLETO",Tabla1[[#This Row],[MESES DE ADEUDO DEL AÑO EN CURSO ]]*$T$2,Tabla1[[#This Row],[MESES DE ADEUDO DEL AÑO EN CURSO ]]*($T$2/2))</f>
        <v>540</v>
      </c>
      <c r="AB533" s="70">
        <f>SUM(Tabla1[[#This Row],[DEUDA DE LOS MESES PASADOS EN $$]:[DEUDA DEL AÑO 2013 $$ ]])</f>
        <v>990</v>
      </c>
      <c r="AE533" s="103">
        <f>IF(Tabla1[[#This Row],[TIPO DE CONSUMIDOR]]="MEDIO",IF(Tabla1[[#This Row],[ENERO ]]&gt;22.5,Tabla1[[#This Row],[ENERO ]]/22.5-1,0),IF(Tabla1[[#This Row],[ENERO ]]&gt;45,Tabla1[[#This Row],[ENERO ]]/45-1,0))</f>
        <v>0</v>
      </c>
      <c r="AF53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3" s="103">
        <f>IF(Tabla1[[#This Row],[TIPO DE CONSUMIDOR]]="MEDIO",IF(Tabla1[[#This Row],[MARZO]]&gt;22.5,Tabla1[[#This Row],[MARZO]]/22.5-1,0),IF(Tabla1[[#This Row],[MARZO]]&gt;45,Tabla1[[#This Row],[MARZO]]/45-1,0))</f>
        <v>0</v>
      </c>
      <c r="AH533" s="103">
        <f>IF(Tabla1[[#This Row],[TIPO DE CONSUMIDOR]]="MEDIO",IF(Tabla1[[#This Row],[ABRIL]]&gt;22.5,Tabla1[[#This Row],[ABRIL]]/22.5-1,0),IF(Tabla1[[#This Row],[ABRIL]]&gt;45,Tabla1[[#This Row],[ABRIL]]/45-1,0))</f>
        <v>0</v>
      </c>
      <c r="AI533" s="103">
        <f>IF(Tabla1[[#This Row],[TIPO DE CONSUMIDOR]]="MEDIO",IF(Tabla1[[#This Row],[MAYO ]]&gt;22.5,Tabla1[[#This Row],[MAYO ]]/22.5-1,0),IF(Tabla1[[#This Row],[MAYO ]]&gt;45,Tabla1[[#This Row],[MAYO ]]/45-1,0))</f>
        <v>0</v>
      </c>
      <c r="AJ533" s="103">
        <f>IF(Tabla1[[#This Row],[TIPO DE CONSUMIDOR]]="MEDIO",IF(Tabla1[[#This Row],[JUNIO ]]&gt;22.5,Tabla1[[#This Row],[JUNIO ]]/22.5-1,0),IF(Tabla1[[#This Row],[JUNIO ]]&gt;45,Tabla1[[#This Row],[JUNIO ]]/45-1,0))</f>
        <v>0</v>
      </c>
      <c r="AK533" s="103">
        <f>IF(Tabla1[[#This Row],[TIPO DE CONSUMIDOR]]="MEDIO",IF(Tabla1[[#This Row],[JULIO ]]&gt;22.5,Tabla1[[#This Row],[JULIO ]]/22.5-1,0),IF(Tabla1[[#This Row],[JULIO ]]&gt;45,Tabla1[[#This Row],[JULIO ]]/45-1,0))</f>
        <v>0</v>
      </c>
      <c r="AL533" s="103">
        <f>IF(Tabla1[[#This Row],[TIPO DE CONSUMIDOR]]="MEDIO",IF(Tabla1[[#This Row],[AGOSTO]]&gt;22.5,Tabla1[[#This Row],[AGOSTO]]/22.5-1,0),IF(Tabla1[[#This Row],[AGOSTO]]&gt;45,Tabla1[[#This Row],[AGOSTO]]/45-1,0))</f>
        <v>0</v>
      </c>
      <c r="AM53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3" s="104">
        <f t="shared" si="18"/>
        <v>0</v>
      </c>
      <c r="AR533" s="9">
        <f t="shared" si="17"/>
        <v>1</v>
      </c>
      <c r="AS533" s="60">
        <f>IF(Tabla1[[#This Row],[MESES DE ADEUDO DEL AÑO EN CURSO ]]&gt;0,1,0)</f>
        <v>1</v>
      </c>
    </row>
    <row r="534" spans="1:49" ht="21.75" thickBot="1" x14ac:dyDescent="0.35">
      <c r="A534" s="109">
        <v>528</v>
      </c>
      <c r="B534" s="5" t="s">
        <v>151</v>
      </c>
      <c r="C534" s="2"/>
      <c r="D534" s="46"/>
      <c r="E534" s="36" t="s">
        <v>455</v>
      </c>
      <c r="F534" s="52">
        <v>0</v>
      </c>
      <c r="G534" s="53">
        <v>0</v>
      </c>
      <c r="H534" s="53">
        <v>0</v>
      </c>
      <c r="I534" s="53">
        <v>0</v>
      </c>
      <c r="J534" s="53">
        <v>0</v>
      </c>
      <c r="K534" s="53">
        <v>0</v>
      </c>
      <c r="L534" s="53">
        <v>0</v>
      </c>
      <c r="M534" s="53">
        <v>0</v>
      </c>
      <c r="N534" s="53">
        <v>0</v>
      </c>
      <c r="O534" s="53">
        <v>0</v>
      </c>
      <c r="P534" s="53">
        <v>0</v>
      </c>
      <c r="Q534" s="54">
        <v>0</v>
      </c>
      <c r="R534" s="59">
        <f>SUM(Tabla1[[#This Row],[ENERO ]:[DICIEMBRE]])</f>
        <v>0</v>
      </c>
      <c r="W534" s="65">
        <v>10</v>
      </c>
      <c r="X534" s="21">
        <f>COUNTIF(Tabla1[[#This Row],[ENERO ]:[DICIEMBRE]],0)-(AQ534)-IF(Tabla1[[#This Row],[BAJAS]]="BAJA",IF(Tabla1[[#This Row],[ALTAS]]="ALTA",VLOOKUP(Tabla1[[#This Row],[MES DE ALTA ]],$AT$6:$AU$17,2,FALSE),12)-VLOOKUP(Tabla1[[#This Row],[MES DE BAJA ]],$AT$6:$AU$17,2,FALSE),0)</f>
        <v>12</v>
      </c>
      <c r="Y534" s="69">
        <f>SUM(Tabla1[[#This Row],[MES ADEUDO DE AÑOS PASADOS ]:[MESES DE ADEUDO DEL AÑO EN CURSO ]])</f>
        <v>22</v>
      </c>
      <c r="Z534" s="15">
        <f>IF(Tabla1[[#This Row],[TIPO DE CONSUMIDOR]]="COMPLETO",W534*$T$2,W534*($T$2/2))</f>
        <v>450</v>
      </c>
      <c r="AA534" s="15">
        <f>IF(Tabla1[[#This Row],[TIPO DE CONSUMIDOR]]="COMPLETO",Tabla1[[#This Row],[MESES DE ADEUDO DEL AÑO EN CURSO ]]*$T$2,Tabla1[[#This Row],[MESES DE ADEUDO DEL AÑO EN CURSO ]]*($T$2/2))</f>
        <v>540</v>
      </c>
      <c r="AB534" s="70">
        <f>SUM(Tabla1[[#This Row],[DEUDA DE LOS MESES PASADOS EN $$]:[DEUDA DEL AÑO 2013 $$ ]])</f>
        <v>990</v>
      </c>
      <c r="AE534" s="103">
        <f>IF(Tabla1[[#This Row],[TIPO DE CONSUMIDOR]]="MEDIO",IF(Tabla1[[#This Row],[ENERO ]]&gt;22.5,Tabla1[[#This Row],[ENERO ]]/22.5-1,0),IF(Tabla1[[#This Row],[ENERO ]]&gt;45,Tabla1[[#This Row],[ENERO ]]/45-1,0))</f>
        <v>0</v>
      </c>
      <c r="AF53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4" s="103">
        <f>IF(Tabla1[[#This Row],[TIPO DE CONSUMIDOR]]="MEDIO",IF(Tabla1[[#This Row],[MARZO]]&gt;22.5,Tabla1[[#This Row],[MARZO]]/22.5-1,0),IF(Tabla1[[#This Row],[MARZO]]&gt;45,Tabla1[[#This Row],[MARZO]]/45-1,0))</f>
        <v>0</v>
      </c>
      <c r="AH534" s="103">
        <f>IF(Tabla1[[#This Row],[TIPO DE CONSUMIDOR]]="MEDIO",IF(Tabla1[[#This Row],[ABRIL]]&gt;22.5,Tabla1[[#This Row],[ABRIL]]/22.5-1,0),IF(Tabla1[[#This Row],[ABRIL]]&gt;45,Tabla1[[#This Row],[ABRIL]]/45-1,0))</f>
        <v>0</v>
      </c>
      <c r="AI534" s="103">
        <f>IF(Tabla1[[#This Row],[TIPO DE CONSUMIDOR]]="MEDIO",IF(Tabla1[[#This Row],[MAYO ]]&gt;22.5,Tabla1[[#This Row],[MAYO ]]/22.5-1,0),IF(Tabla1[[#This Row],[MAYO ]]&gt;45,Tabla1[[#This Row],[MAYO ]]/45-1,0))</f>
        <v>0</v>
      </c>
      <c r="AJ534" s="103">
        <f>IF(Tabla1[[#This Row],[TIPO DE CONSUMIDOR]]="MEDIO",IF(Tabla1[[#This Row],[JUNIO ]]&gt;22.5,Tabla1[[#This Row],[JUNIO ]]/22.5-1,0),IF(Tabla1[[#This Row],[JUNIO ]]&gt;45,Tabla1[[#This Row],[JUNIO ]]/45-1,0))</f>
        <v>0</v>
      </c>
      <c r="AK534" s="103">
        <f>IF(Tabla1[[#This Row],[TIPO DE CONSUMIDOR]]="MEDIO",IF(Tabla1[[#This Row],[JULIO ]]&gt;22.5,Tabla1[[#This Row],[JULIO ]]/22.5-1,0),IF(Tabla1[[#This Row],[JULIO ]]&gt;45,Tabla1[[#This Row],[JULIO ]]/45-1,0))</f>
        <v>0</v>
      </c>
      <c r="AL534" s="103">
        <f>IF(Tabla1[[#This Row],[TIPO DE CONSUMIDOR]]="MEDIO",IF(Tabla1[[#This Row],[AGOSTO]]&gt;22.5,Tabla1[[#This Row],[AGOSTO]]/22.5-1,0),IF(Tabla1[[#This Row],[AGOSTO]]&gt;45,Tabla1[[#This Row],[AGOSTO]]/45-1,0))</f>
        <v>0</v>
      </c>
      <c r="AM53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4" s="104">
        <f t="shared" si="18"/>
        <v>0</v>
      </c>
      <c r="AR534" s="9">
        <f t="shared" si="17"/>
        <v>1</v>
      </c>
      <c r="AS534" s="60">
        <f>IF(Tabla1[[#This Row],[MESES DE ADEUDO DEL AÑO EN CURSO ]]&gt;0,1,0)</f>
        <v>1</v>
      </c>
    </row>
    <row r="535" spans="1:49" ht="21" x14ac:dyDescent="0.3">
      <c r="A535" s="109">
        <v>529</v>
      </c>
      <c r="B535" s="5" t="s">
        <v>622</v>
      </c>
      <c r="C535" s="2"/>
      <c r="D535" s="32"/>
      <c r="E535" s="35" t="s">
        <v>455</v>
      </c>
      <c r="F535" s="52">
        <v>0</v>
      </c>
      <c r="G535" s="53">
        <v>0</v>
      </c>
      <c r="H535" s="53">
        <v>0</v>
      </c>
      <c r="I535" s="53">
        <v>0</v>
      </c>
      <c r="J535" s="53">
        <v>0</v>
      </c>
      <c r="K535" s="53">
        <v>0</v>
      </c>
      <c r="L535" s="53">
        <v>0</v>
      </c>
      <c r="M535" s="53">
        <v>0</v>
      </c>
      <c r="N535" s="53">
        <v>0</v>
      </c>
      <c r="O535" s="53">
        <v>0</v>
      </c>
      <c r="P535" s="53">
        <v>0</v>
      </c>
      <c r="Q535" s="54">
        <v>0</v>
      </c>
      <c r="R535" s="59">
        <f>SUM(Tabla1[[#This Row],[ENERO ]:[DICIEMBRE]])</f>
        <v>0</v>
      </c>
      <c r="W535" s="65">
        <v>10</v>
      </c>
      <c r="X535" s="21">
        <f>COUNTIF(Tabla1[[#This Row],[ENERO ]:[DICIEMBRE]],0)-(AQ535)-IF(Tabla1[[#This Row],[BAJAS]]="BAJA",IF(Tabla1[[#This Row],[ALTAS]]="ALTA",VLOOKUP(Tabla1[[#This Row],[MES DE ALTA ]],$AT$6:$AU$17,2,FALSE),12)-VLOOKUP(Tabla1[[#This Row],[MES DE BAJA ]],$AT$6:$AU$17,2,FALSE),0)</f>
        <v>12</v>
      </c>
      <c r="Y535" s="69">
        <f>SUM(Tabla1[[#This Row],[MES ADEUDO DE AÑOS PASADOS ]:[MESES DE ADEUDO DEL AÑO EN CURSO ]])</f>
        <v>22</v>
      </c>
      <c r="Z535" s="15">
        <f>IF(Tabla1[[#This Row],[TIPO DE CONSUMIDOR]]="COMPLETO",W535*$T$2,W535*($T$2/2))</f>
        <v>450</v>
      </c>
      <c r="AA535" s="15">
        <f>IF(Tabla1[[#This Row],[TIPO DE CONSUMIDOR]]="COMPLETO",Tabla1[[#This Row],[MESES DE ADEUDO DEL AÑO EN CURSO ]]*$T$2,Tabla1[[#This Row],[MESES DE ADEUDO DEL AÑO EN CURSO ]]*($T$2/2))</f>
        <v>540</v>
      </c>
      <c r="AB535" s="70">
        <f>SUM(Tabla1[[#This Row],[DEUDA DE LOS MESES PASADOS EN $$]:[DEUDA DEL AÑO 2013 $$ ]])</f>
        <v>990</v>
      </c>
      <c r="AE535" s="103">
        <f>IF(Tabla1[[#This Row],[TIPO DE CONSUMIDOR]]="MEDIO",IF(Tabla1[[#This Row],[ENERO ]]&gt;22.5,Tabla1[[#This Row],[ENERO ]]/22.5-1,0),IF(Tabla1[[#This Row],[ENERO ]]&gt;45,Tabla1[[#This Row],[ENERO ]]/45-1,0))</f>
        <v>0</v>
      </c>
      <c r="AF53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5" s="103">
        <f>IF(Tabla1[[#This Row],[TIPO DE CONSUMIDOR]]="MEDIO",IF(Tabla1[[#This Row],[MARZO]]&gt;22.5,Tabla1[[#This Row],[MARZO]]/22.5-1,0),IF(Tabla1[[#This Row],[MARZO]]&gt;45,Tabla1[[#This Row],[MARZO]]/45-1,0))</f>
        <v>0</v>
      </c>
      <c r="AH535" s="103">
        <f>IF(Tabla1[[#This Row],[TIPO DE CONSUMIDOR]]="MEDIO",IF(Tabla1[[#This Row],[ABRIL]]&gt;22.5,Tabla1[[#This Row],[ABRIL]]/22.5-1,0),IF(Tabla1[[#This Row],[ABRIL]]&gt;45,Tabla1[[#This Row],[ABRIL]]/45-1,0))</f>
        <v>0</v>
      </c>
      <c r="AI535" s="103">
        <f>IF(Tabla1[[#This Row],[TIPO DE CONSUMIDOR]]="MEDIO",IF(Tabla1[[#This Row],[MAYO ]]&gt;22.5,Tabla1[[#This Row],[MAYO ]]/22.5-1,0),IF(Tabla1[[#This Row],[MAYO ]]&gt;45,Tabla1[[#This Row],[MAYO ]]/45-1,0))</f>
        <v>0</v>
      </c>
      <c r="AJ535" s="103">
        <f>IF(Tabla1[[#This Row],[TIPO DE CONSUMIDOR]]="MEDIO",IF(Tabla1[[#This Row],[JUNIO ]]&gt;22.5,Tabla1[[#This Row],[JUNIO ]]/22.5-1,0),IF(Tabla1[[#This Row],[JUNIO ]]&gt;45,Tabla1[[#This Row],[JUNIO ]]/45-1,0))</f>
        <v>0</v>
      </c>
      <c r="AK535" s="103">
        <f>IF(Tabla1[[#This Row],[TIPO DE CONSUMIDOR]]="MEDIO",IF(Tabla1[[#This Row],[JULIO ]]&gt;22.5,Tabla1[[#This Row],[JULIO ]]/22.5-1,0),IF(Tabla1[[#This Row],[JULIO ]]&gt;45,Tabla1[[#This Row],[JULIO ]]/45-1,0))</f>
        <v>0</v>
      </c>
      <c r="AL535" s="103">
        <f>IF(Tabla1[[#This Row],[TIPO DE CONSUMIDOR]]="MEDIO",IF(Tabla1[[#This Row],[AGOSTO]]&gt;22.5,Tabla1[[#This Row],[AGOSTO]]/22.5-1,0),IF(Tabla1[[#This Row],[AGOSTO]]&gt;45,Tabla1[[#This Row],[AGOSTO]]/45-1,0))</f>
        <v>0</v>
      </c>
      <c r="AM53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5" s="104">
        <f t="shared" si="18"/>
        <v>0</v>
      </c>
      <c r="AR535" s="9">
        <f t="shared" si="17"/>
        <v>1</v>
      </c>
      <c r="AS535" s="60">
        <f>IF(Tabla1[[#This Row],[MESES DE ADEUDO DEL AÑO EN CURSO ]]&gt;0,1,0)</f>
        <v>1</v>
      </c>
    </row>
    <row r="536" spans="1:49" ht="21" x14ac:dyDescent="0.3">
      <c r="A536" s="109">
        <v>530</v>
      </c>
      <c r="B536" s="5" t="s">
        <v>658</v>
      </c>
      <c r="C536" s="97"/>
      <c r="D536" s="46"/>
      <c r="E536" s="36" t="s">
        <v>455</v>
      </c>
      <c r="F536" s="52">
        <v>0</v>
      </c>
      <c r="G536" s="52">
        <v>0</v>
      </c>
      <c r="H536" s="52">
        <v>0</v>
      </c>
      <c r="I536" s="52">
        <v>0</v>
      </c>
      <c r="J536" s="52">
        <v>0</v>
      </c>
      <c r="K536" s="52">
        <v>0</v>
      </c>
      <c r="L536" s="52">
        <v>0</v>
      </c>
      <c r="M536" s="52">
        <v>0</v>
      </c>
      <c r="N536" s="52">
        <v>0</v>
      </c>
      <c r="O536" s="52">
        <v>0</v>
      </c>
      <c r="P536" s="52">
        <v>0</v>
      </c>
      <c r="Q536" s="52">
        <v>0</v>
      </c>
      <c r="R536" s="95">
        <f>SUM(Tabla1[[#This Row],[ENERO ]:[DICIEMBRE]])</f>
        <v>0</v>
      </c>
      <c r="W536" s="65">
        <v>10</v>
      </c>
      <c r="X536" s="21">
        <f>COUNTIF(Tabla1[[#This Row],[ENERO ]:[DICIEMBRE]],0)-(AQ536)-IF(Tabla1[[#This Row],[BAJAS]]="BAJA",IF(Tabla1[[#This Row],[ALTAS]]="ALTA",VLOOKUP(Tabla1[[#This Row],[MES DE ALTA ]],$AT$6:$AU$17,2,FALSE),12)-VLOOKUP(Tabla1[[#This Row],[MES DE BAJA ]],$AT$6:$AU$17,2,FALSE),0)</f>
        <v>12</v>
      </c>
      <c r="Y536" s="94">
        <f>SUM(Tabla1[[#This Row],[MES ADEUDO DE AÑOS PASADOS ]:[MESES DE ADEUDO DEL AÑO EN CURSO ]])</f>
        <v>22</v>
      </c>
      <c r="Z536" s="15">
        <f>IF(Tabla1[[#This Row],[TIPO DE CONSUMIDOR]]="COMPLETO",W536*$T$2,W536*($T$2/2))</f>
        <v>450</v>
      </c>
      <c r="AA536" s="15">
        <f>IF(Tabla1[[#This Row],[TIPO DE CONSUMIDOR]]="COMPLETO",Tabla1[[#This Row],[MESES DE ADEUDO DEL AÑO EN CURSO ]]*$T$2,Tabla1[[#This Row],[MESES DE ADEUDO DEL AÑO EN CURSO ]]*($T$2/2))</f>
        <v>540</v>
      </c>
      <c r="AB536" s="70">
        <f>SUM(Tabla1[[#This Row],[DEUDA DE LOS MESES PASADOS EN $$]:[DEUDA DEL AÑO 2013 $$ ]])</f>
        <v>990</v>
      </c>
      <c r="AE536" s="103">
        <f>IF(Tabla1[[#This Row],[TIPO DE CONSUMIDOR]]="MEDIO",IF(Tabla1[[#This Row],[ENERO ]]&gt;22.5,Tabla1[[#This Row],[ENERO ]]/22.5-1,0),IF(Tabla1[[#This Row],[ENERO ]]&gt;45,Tabla1[[#This Row],[ENERO ]]/45-1,0))</f>
        <v>0</v>
      </c>
      <c r="AF53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6" s="103">
        <f>IF(Tabla1[[#This Row],[TIPO DE CONSUMIDOR]]="MEDIO",IF(Tabla1[[#This Row],[MARZO]]&gt;22.5,Tabla1[[#This Row],[MARZO]]/22.5-1,0),IF(Tabla1[[#This Row],[MARZO]]&gt;45,Tabla1[[#This Row],[MARZO]]/45-1,0))</f>
        <v>0</v>
      </c>
      <c r="AH536" s="103">
        <f>IF(Tabla1[[#This Row],[TIPO DE CONSUMIDOR]]="MEDIO",IF(Tabla1[[#This Row],[ABRIL]]&gt;22.5,Tabla1[[#This Row],[ABRIL]]/22.5-1,0),IF(Tabla1[[#This Row],[ABRIL]]&gt;45,Tabla1[[#This Row],[ABRIL]]/45-1,0))</f>
        <v>0</v>
      </c>
      <c r="AI536" s="103">
        <f>IF(Tabla1[[#This Row],[TIPO DE CONSUMIDOR]]="MEDIO",IF(Tabla1[[#This Row],[MAYO ]]&gt;22.5,Tabla1[[#This Row],[MAYO ]]/22.5-1,0),IF(Tabla1[[#This Row],[MAYO ]]&gt;45,Tabla1[[#This Row],[MAYO ]]/45-1,0))</f>
        <v>0</v>
      </c>
      <c r="AJ536" s="103">
        <f>IF(Tabla1[[#This Row],[TIPO DE CONSUMIDOR]]="MEDIO",IF(Tabla1[[#This Row],[JUNIO ]]&gt;22.5,Tabla1[[#This Row],[JUNIO ]]/22.5-1,0),IF(Tabla1[[#This Row],[JUNIO ]]&gt;45,Tabla1[[#This Row],[JUNIO ]]/45-1,0))</f>
        <v>0</v>
      </c>
      <c r="AK536" s="103">
        <f>IF(Tabla1[[#This Row],[TIPO DE CONSUMIDOR]]="MEDIO",IF(Tabla1[[#This Row],[JULIO ]]&gt;22.5,Tabla1[[#This Row],[JULIO ]]/22.5-1,0),IF(Tabla1[[#This Row],[JULIO ]]&gt;45,Tabla1[[#This Row],[JULIO ]]/45-1,0))</f>
        <v>0</v>
      </c>
      <c r="AL536" s="103">
        <f>IF(Tabla1[[#This Row],[TIPO DE CONSUMIDOR]]="MEDIO",IF(Tabla1[[#This Row],[AGOSTO]]&gt;22.5,Tabla1[[#This Row],[AGOSTO]]/22.5-1,0),IF(Tabla1[[#This Row],[AGOSTO]]&gt;45,Tabla1[[#This Row],[AGOSTO]]/45-1,0))</f>
        <v>0</v>
      </c>
      <c r="AM53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6" s="104">
        <f t="shared" si="18"/>
        <v>0</v>
      </c>
      <c r="AR536" s="9">
        <f t="shared" si="17"/>
        <v>1</v>
      </c>
      <c r="AS536" s="60">
        <f>IF(Tabla1[[#This Row],[MESES DE ADEUDO DEL AÑO EN CURSO ]]&gt;0,1,0)</f>
        <v>1</v>
      </c>
    </row>
    <row r="537" spans="1:49" ht="21.75" thickBot="1" x14ac:dyDescent="0.35">
      <c r="A537" s="109">
        <v>531</v>
      </c>
      <c r="B537" s="5" t="s">
        <v>470</v>
      </c>
      <c r="C537" s="2" t="s">
        <v>461</v>
      </c>
      <c r="D537" s="46"/>
      <c r="E537" s="36" t="s">
        <v>455</v>
      </c>
      <c r="F537" s="52">
        <v>0</v>
      </c>
      <c r="G537" s="53">
        <v>0</v>
      </c>
      <c r="H537" s="53">
        <v>0</v>
      </c>
      <c r="I537" s="53">
        <v>0</v>
      </c>
      <c r="J537" s="53">
        <v>0</v>
      </c>
      <c r="K537" s="53">
        <v>0</v>
      </c>
      <c r="L537" s="53">
        <v>0</v>
      </c>
      <c r="M537" s="53">
        <v>0</v>
      </c>
      <c r="N537" s="53">
        <v>0</v>
      </c>
      <c r="O537" s="53">
        <v>0</v>
      </c>
      <c r="P537" s="53">
        <v>0</v>
      </c>
      <c r="Q537" s="54">
        <v>0</v>
      </c>
      <c r="R537" s="59">
        <f>SUM(Tabla1[[#This Row],[ENERO ]:[DICIEMBRE]])</f>
        <v>0</v>
      </c>
      <c r="W537" s="65">
        <v>11</v>
      </c>
      <c r="X537" s="21">
        <f>COUNTIF(Tabla1[[#This Row],[ENERO ]:[DICIEMBRE]],0)-(AQ537)-IF(Tabla1[[#This Row],[BAJAS]]="BAJA",IF(Tabla1[[#This Row],[ALTAS]]="ALTA",VLOOKUP(Tabla1[[#This Row],[MES DE ALTA ]],$AT$6:$AU$17,2,FALSE),12)-VLOOKUP(Tabla1[[#This Row],[MES DE BAJA ]],$AT$6:$AU$17,2,FALSE),0)</f>
        <v>12</v>
      </c>
      <c r="Y537" s="69">
        <f>SUM(Tabla1[[#This Row],[MES ADEUDO DE AÑOS PASADOS ]:[MESES DE ADEUDO DEL AÑO EN CURSO ]])</f>
        <v>23</v>
      </c>
      <c r="Z537" s="15">
        <f>IF(Tabla1[[#This Row],[TIPO DE CONSUMIDOR]]="COMPLETO",W537*$T$2,W537*($T$2/2))</f>
        <v>495</v>
      </c>
      <c r="AA537" s="15">
        <f>IF(Tabla1[[#This Row],[TIPO DE CONSUMIDOR]]="COMPLETO",Tabla1[[#This Row],[MESES DE ADEUDO DEL AÑO EN CURSO ]]*$T$2,Tabla1[[#This Row],[MESES DE ADEUDO DEL AÑO EN CURSO ]]*($T$2/2))</f>
        <v>540</v>
      </c>
      <c r="AB537" s="70">
        <f>SUM(Tabla1[[#This Row],[DEUDA DE LOS MESES PASADOS EN $$]:[DEUDA DEL AÑO 2013 $$ ]])</f>
        <v>1035</v>
      </c>
      <c r="AE537" s="103">
        <f>IF(Tabla1[[#This Row],[TIPO DE CONSUMIDOR]]="MEDIO",IF(Tabla1[[#This Row],[ENERO ]]&gt;22.5,Tabla1[[#This Row],[ENERO ]]/22.5-1,0),IF(Tabla1[[#This Row],[ENERO ]]&gt;45,Tabla1[[#This Row],[ENERO ]]/45-1,0))</f>
        <v>0</v>
      </c>
      <c r="AF53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7" s="103">
        <f>IF(Tabla1[[#This Row],[TIPO DE CONSUMIDOR]]="MEDIO",IF(Tabla1[[#This Row],[MARZO]]&gt;22.5,Tabla1[[#This Row],[MARZO]]/22.5-1,0),IF(Tabla1[[#This Row],[MARZO]]&gt;45,Tabla1[[#This Row],[MARZO]]/45-1,0))</f>
        <v>0</v>
      </c>
      <c r="AH537" s="103">
        <f>IF(Tabla1[[#This Row],[TIPO DE CONSUMIDOR]]="MEDIO",IF(Tabla1[[#This Row],[ABRIL]]&gt;22.5,Tabla1[[#This Row],[ABRIL]]/22.5-1,0),IF(Tabla1[[#This Row],[ABRIL]]&gt;45,Tabla1[[#This Row],[ABRIL]]/45-1,0))</f>
        <v>0</v>
      </c>
      <c r="AI537" s="103">
        <f>IF(Tabla1[[#This Row],[TIPO DE CONSUMIDOR]]="MEDIO",IF(Tabla1[[#This Row],[MAYO ]]&gt;22.5,Tabla1[[#This Row],[MAYO ]]/22.5-1,0),IF(Tabla1[[#This Row],[MAYO ]]&gt;45,Tabla1[[#This Row],[MAYO ]]/45-1,0))</f>
        <v>0</v>
      </c>
      <c r="AJ537" s="103">
        <f>IF(Tabla1[[#This Row],[TIPO DE CONSUMIDOR]]="MEDIO",IF(Tabla1[[#This Row],[JUNIO ]]&gt;22.5,Tabla1[[#This Row],[JUNIO ]]/22.5-1,0),IF(Tabla1[[#This Row],[JUNIO ]]&gt;45,Tabla1[[#This Row],[JUNIO ]]/45-1,0))</f>
        <v>0</v>
      </c>
      <c r="AK537" s="103">
        <f>IF(Tabla1[[#This Row],[TIPO DE CONSUMIDOR]]="MEDIO",IF(Tabla1[[#This Row],[JULIO ]]&gt;22.5,Tabla1[[#This Row],[JULIO ]]/22.5-1,0),IF(Tabla1[[#This Row],[JULIO ]]&gt;45,Tabla1[[#This Row],[JULIO ]]/45-1,0))</f>
        <v>0</v>
      </c>
      <c r="AL537" s="103">
        <f>IF(Tabla1[[#This Row],[TIPO DE CONSUMIDOR]]="MEDIO",IF(Tabla1[[#This Row],[AGOSTO]]&gt;22.5,Tabla1[[#This Row],[AGOSTO]]/22.5-1,0),IF(Tabla1[[#This Row],[AGOSTO]]&gt;45,Tabla1[[#This Row],[AGOSTO]]/45-1,0))</f>
        <v>0</v>
      </c>
      <c r="AM53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7" s="104">
        <f t="shared" si="18"/>
        <v>0</v>
      </c>
      <c r="AR537" s="9">
        <f t="shared" si="17"/>
        <v>1</v>
      </c>
      <c r="AS537" s="60">
        <f>IF(Tabla1[[#This Row],[MESES DE ADEUDO DEL AÑO EN CURSO ]]&gt;0,1,0)</f>
        <v>1</v>
      </c>
    </row>
    <row r="538" spans="1:49" ht="21.75" thickBot="1" x14ac:dyDescent="0.35">
      <c r="A538" s="109">
        <v>532</v>
      </c>
      <c r="B538" s="5" t="s">
        <v>471</v>
      </c>
      <c r="C538" s="2" t="s">
        <v>461</v>
      </c>
      <c r="D538" s="32"/>
      <c r="E538" s="35" t="s">
        <v>455</v>
      </c>
      <c r="F538" s="52">
        <v>0</v>
      </c>
      <c r="G538" s="53">
        <v>0</v>
      </c>
      <c r="H538" s="53">
        <v>0</v>
      </c>
      <c r="I538" s="53">
        <v>0</v>
      </c>
      <c r="J538" s="53">
        <v>0</v>
      </c>
      <c r="K538" s="53">
        <v>0</v>
      </c>
      <c r="L538" s="53">
        <v>0</v>
      </c>
      <c r="M538" s="53">
        <v>0</v>
      </c>
      <c r="N538" s="53">
        <v>0</v>
      </c>
      <c r="O538" s="53">
        <v>0</v>
      </c>
      <c r="P538" s="53">
        <v>0</v>
      </c>
      <c r="Q538" s="54">
        <v>0</v>
      </c>
      <c r="R538" s="59">
        <f>SUM(Tabla1[[#This Row],[ENERO ]:[DICIEMBRE]])</f>
        <v>0</v>
      </c>
      <c r="W538" s="65">
        <v>11</v>
      </c>
      <c r="X538" s="21">
        <f>COUNTIF(Tabla1[[#This Row],[ENERO ]:[DICIEMBRE]],0)-(AQ538)-IF(Tabla1[[#This Row],[BAJAS]]="BAJA",IF(Tabla1[[#This Row],[ALTAS]]="ALTA",VLOOKUP(Tabla1[[#This Row],[MES DE ALTA ]],$AT$6:$AU$17,2,FALSE),12)-VLOOKUP(Tabla1[[#This Row],[MES DE BAJA ]],$AT$6:$AU$17,2,FALSE),0)</f>
        <v>12</v>
      </c>
      <c r="Y538" s="69">
        <f>SUM(Tabla1[[#This Row],[MES ADEUDO DE AÑOS PASADOS ]:[MESES DE ADEUDO DEL AÑO EN CURSO ]])</f>
        <v>23</v>
      </c>
      <c r="Z538" s="15">
        <f>IF(Tabla1[[#This Row],[TIPO DE CONSUMIDOR]]="COMPLETO",W538*$T$2,W538*($T$2/2))</f>
        <v>495</v>
      </c>
      <c r="AA538" s="15">
        <f>IF(Tabla1[[#This Row],[TIPO DE CONSUMIDOR]]="COMPLETO",Tabla1[[#This Row],[MESES DE ADEUDO DEL AÑO EN CURSO ]]*$T$2,Tabla1[[#This Row],[MESES DE ADEUDO DEL AÑO EN CURSO ]]*($T$2/2))</f>
        <v>540</v>
      </c>
      <c r="AB538" s="70">
        <f>SUM(Tabla1[[#This Row],[DEUDA DE LOS MESES PASADOS EN $$]:[DEUDA DEL AÑO 2013 $$ ]])</f>
        <v>1035</v>
      </c>
      <c r="AE538" s="103">
        <f>IF(Tabla1[[#This Row],[TIPO DE CONSUMIDOR]]="MEDIO",IF(Tabla1[[#This Row],[ENERO ]]&gt;22.5,Tabla1[[#This Row],[ENERO ]]/22.5-1,0),IF(Tabla1[[#This Row],[ENERO ]]&gt;45,Tabla1[[#This Row],[ENERO ]]/45-1,0))</f>
        <v>0</v>
      </c>
      <c r="AF53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8" s="103">
        <f>IF(Tabla1[[#This Row],[TIPO DE CONSUMIDOR]]="MEDIO",IF(Tabla1[[#This Row],[MARZO]]&gt;22.5,Tabla1[[#This Row],[MARZO]]/22.5-1,0),IF(Tabla1[[#This Row],[MARZO]]&gt;45,Tabla1[[#This Row],[MARZO]]/45-1,0))</f>
        <v>0</v>
      </c>
      <c r="AH538" s="103">
        <f>IF(Tabla1[[#This Row],[TIPO DE CONSUMIDOR]]="MEDIO",IF(Tabla1[[#This Row],[ABRIL]]&gt;22.5,Tabla1[[#This Row],[ABRIL]]/22.5-1,0),IF(Tabla1[[#This Row],[ABRIL]]&gt;45,Tabla1[[#This Row],[ABRIL]]/45-1,0))</f>
        <v>0</v>
      </c>
      <c r="AI538" s="103">
        <f>IF(Tabla1[[#This Row],[TIPO DE CONSUMIDOR]]="MEDIO",IF(Tabla1[[#This Row],[MAYO ]]&gt;22.5,Tabla1[[#This Row],[MAYO ]]/22.5-1,0),IF(Tabla1[[#This Row],[MAYO ]]&gt;45,Tabla1[[#This Row],[MAYO ]]/45-1,0))</f>
        <v>0</v>
      </c>
      <c r="AJ538" s="103">
        <f>IF(Tabla1[[#This Row],[TIPO DE CONSUMIDOR]]="MEDIO",IF(Tabla1[[#This Row],[JUNIO ]]&gt;22.5,Tabla1[[#This Row],[JUNIO ]]/22.5-1,0),IF(Tabla1[[#This Row],[JUNIO ]]&gt;45,Tabla1[[#This Row],[JUNIO ]]/45-1,0))</f>
        <v>0</v>
      </c>
      <c r="AK538" s="103">
        <f>IF(Tabla1[[#This Row],[TIPO DE CONSUMIDOR]]="MEDIO",IF(Tabla1[[#This Row],[JULIO ]]&gt;22.5,Tabla1[[#This Row],[JULIO ]]/22.5-1,0),IF(Tabla1[[#This Row],[JULIO ]]&gt;45,Tabla1[[#This Row],[JULIO ]]/45-1,0))</f>
        <v>0</v>
      </c>
      <c r="AL538" s="103">
        <f>IF(Tabla1[[#This Row],[TIPO DE CONSUMIDOR]]="MEDIO",IF(Tabla1[[#This Row],[AGOSTO]]&gt;22.5,Tabla1[[#This Row],[AGOSTO]]/22.5-1,0),IF(Tabla1[[#This Row],[AGOSTO]]&gt;45,Tabla1[[#This Row],[AGOSTO]]/45-1,0))</f>
        <v>0</v>
      </c>
      <c r="AM53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8" s="104">
        <f t="shared" si="18"/>
        <v>0</v>
      </c>
      <c r="AR538" s="9">
        <f t="shared" si="17"/>
        <v>1</v>
      </c>
      <c r="AS538" s="60">
        <f>IF(Tabla1[[#This Row],[MESES DE ADEUDO DEL AÑO EN CURSO ]]&gt;0,1,0)</f>
        <v>1</v>
      </c>
    </row>
    <row r="539" spans="1:49" ht="21.75" thickBot="1" x14ac:dyDescent="0.35">
      <c r="A539" s="109">
        <v>533</v>
      </c>
      <c r="B539" s="5" t="s">
        <v>495</v>
      </c>
      <c r="C539" s="2" t="s">
        <v>493</v>
      </c>
      <c r="D539" s="32"/>
      <c r="E539" s="35" t="s">
        <v>455</v>
      </c>
      <c r="F539" s="52">
        <v>0</v>
      </c>
      <c r="G539" s="52">
        <v>0</v>
      </c>
      <c r="H539" s="52">
        <v>0</v>
      </c>
      <c r="I539" s="52">
        <v>0</v>
      </c>
      <c r="J539" s="52">
        <v>0</v>
      </c>
      <c r="K539" s="52">
        <v>0</v>
      </c>
      <c r="L539" s="52">
        <v>0</v>
      </c>
      <c r="M539" s="52">
        <v>0</v>
      </c>
      <c r="N539" s="52">
        <v>0</v>
      </c>
      <c r="O539" s="52">
        <v>0</v>
      </c>
      <c r="P539" s="52">
        <v>0</v>
      </c>
      <c r="Q539" s="52">
        <v>0</v>
      </c>
      <c r="R539" s="59">
        <f>SUM(Tabla1[[#This Row],[ENERO ]:[DICIEMBRE]])</f>
        <v>0</v>
      </c>
      <c r="W539" s="65">
        <v>11</v>
      </c>
      <c r="X539" s="21">
        <f>COUNTIF(Tabla1[[#This Row],[ENERO ]:[DICIEMBRE]],0)-(AQ539)-IF(Tabla1[[#This Row],[BAJAS]]="BAJA",IF(Tabla1[[#This Row],[ALTAS]]="ALTA",VLOOKUP(Tabla1[[#This Row],[MES DE ALTA ]],$AT$6:$AU$17,2,FALSE),12)-VLOOKUP(Tabla1[[#This Row],[MES DE BAJA ]],$AT$6:$AU$17,2,FALSE),0)</f>
        <v>12</v>
      </c>
      <c r="Y539" s="69">
        <f>SUM(Tabla1[[#This Row],[MES ADEUDO DE AÑOS PASADOS ]:[MESES DE ADEUDO DEL AÑO EN CURSO ]])</f>
        <v>23</v>
      </c>
      <c r="Z539" s="15">
        <f>IF(Tabla1[[#This Row],[TIPO DE CONSUMIDOR]]="COMPLETO",W539*$T$2,W539*($T$2/2))</f>
        <v>495</v>
      </c>
      <c r="AA539" s="15">
        <f>IF(Tabla1[[#This Row],[TIPO DE CONSUMIDOR]]="COMPLETO",Tabla1[[#This Row],[MESES DE ADEUDO DEL AÑO EN CURSO ]]*$T$2,Tabla1[[#This Row],[MESES DE ADEUDO DEL AÑO EN CURSO ]]*($T$2/2))</f>
        <v>540</v>
      </c>
      <c r="AB539" s="70">
        <f>SUM(Tabla1[[#This Row],[DEUDA DE LOS MESES PASADOS EN $$]:[DEUDA DEL AÑO 2013 $$ ]])</f>
        <v>1035</v>
      </c>
      <c r="AE539" s="103">
        <f>IF(Tabla1[[#This Row],[TIPO DE CONSUMIDOR]]="MEDIO",IF(Tabla1[[#This Row],[ENERO ]]&gt;22.5,Tabla1[[#This Row],[ENERO ]]/22.5-1,0),IF(Tabla1[[#This Row],[ENERO ]]&gt;45,Tabla1[[#This Row],[ENERO ]]/45-1,0))</f>
        <v>0</v>
      </c>
      <c r="AF53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39" s="103">
        <f>IF(Tabla1[[#This Row],[TIPO DE CONSUMIDOR]]="MEDIO",IF(Tabla1[[#This Row],[MARZO]]&gt;22.5,Tabla1[[#This Row],[MARZO]]/22.5-1,0),IF(Tabla1[[#This Row],[MARZO]]&gt;45,Tabla1[[#This Row],[MARZO]]/45-1,0))</f>
        <v>0</v>
      </c>
      <c r="AH539" s="103">
        <f>IF(Tabla1[[#This Row],[TIPO DE CONSUMIDOR]]="MEDIO",IF(Tabla1[[#This Row],[ABRIL]]&gt;22.5,Tabla1[[#This Row],[ABRIL]]/22.5-1,0),IF(Tabla1[[#This Row],[ABRIL]]&gt;45,Tabla1[[#This Row],[ABRIL]]/45-1,0))</f>
        <v>0</v>
      </c>
      <c r="AI539" s="103">
        <f>IF(Tabla1[[#This Row],[TIPO DE CONSUMIDOR]]="MEDIO",IF(Tabla1[[#This Row],[MAYO ]]&gt;22.5,Tabla1[[#This Row],[MAYO ]]/22.5-1,0),IF(Tabla1[[#This Row],[MAYO ]]&gt;45,Tabla1[[#This Row],[MAYO ]]/45-1,0))</f>
        <v>0</v>
      </c>
      <c r="AJ539" s="103">
        <f>IF(Tabla1[[#This Row],[TIPO DE CONSUMIDOR]]="MEDIO",IF(Tabla1[[#This Row],[JUNIO ]]&gt;22.5,Tabla1[[#This Row],[JUNIO ]]/22.5-1,0),IF(Tabla1[[#This Row],[JUNIO ]]&gt;45,Tabla1[[#This Row],[JUNIO ]]/45-1,0))</f>
        <v>0</v>
      </c>
      <c r="AK539" s="103">
        <f>IF(Tabla1[[#This Row],[TIPO DE CONSUMIDOR]]="MEDIO",IF(Tabla1[[#This Row],[JULIO ]]&gt;22.5,Tabla1[[#This Row],[JULIO ]]/22.5-1,0),IF(Tabla1[[#This Row],[JULIO ]]&gt;45,Tabla1[[#This Row],[JULIO ]]/45-1,0))</f>
        <v>0</v>
      </c>
      <c r="AL539" s="103">
        <f>IF(Tabla1[[#This Row],[TIPO DE CONSUMIDOR]]="MEDIO",IF(Tabla1[[#This Row],[AGOSTO]]&gt;22.5,Tabla1[[#This Row],[AGOSTO]]/22.5-1,0),IF(Tabla1[[#This Row],[AGOSTO]]&gt;45,Tabla1[[#This Row],[AGOSTO]]/45-1,0))</f>
        <v>0</v>
      </c>
      <c r="AM53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3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3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3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39" s="104">
        <f t="shared" si="18"/>
        <v>0</v>
      </c>
      <c r="AR539" s="9">
        <f t="shared" si="17"/>
        <v>1</v>
      </c>
      <c r="AS539" s="60">
        <f>IF(Tabla1[[#This Row],[MESES DE ADEUDO DEL AÑO EN CURSO ]]&gt;0,1,0)</f>
        <v>1</v>
      </c>
    </row>
    <row r="540" spans="1:49" ht="21.75" thickBot="1" x14ac:dyDescent="0.35">
      <c r="A540" s="109">
        <v>534</v>
      </c>
      <c r="B540" s="5" t="s">
        <v>550</v>
      </c>
      <c r="C540" s="2" t="s">
        <v>549</v>
      </c>
      <c r="D540" s="32"/>
      <c r="E540" s="35" t="s">
        <v>455</v>
      </c>
      <c r="F540" s="52">
        <v>0</v>
      </c>
      <c r="G540" s="52">
        <v>0</v>
      </c>
      <c r="H540" s="52">
        <v>0</v>
      </c>
      <c r="I540" s="52">
        <v>0</v>
      </c>
      <c r="J540" s="52">
        <v>0</v>
      </c>
      <c r="K540" s="52">
        <v>0</v>
      </c>
      <c r="L540" s="52">
        <v>0</v>
      </c>
      <c r="M540" s="52">
        <v>0</v>
      </c>
      <c r="N540" s="52">
        <v>0</v>
      </c>
      <c r="O540" s="52">
        <v>0</v>
      </c>
      <c r="P540" s="52">
        <v>0</v>
      </c>
      <c r="Q540" s="52">
        <v>0</v>
      </c>
      <c r="R540" s="59">
        <f>SUM(Tabla1[[#This Row],[ENERO ]:[DICIEMBRE]])</f>
        <v>0</v>
      </c>
      <c r="W540" s="65">
        <v>11</v>
      </c>
      <c r="X540" s="21">
        <f>COUNTIF(Tabla1[[#This Row],[ENERO ]:[DICIEMBRE]],0)-(AQ540)-IF(Tabla1[[#This Row],[BAJAS]]="BAJA",IF(Tabla1[[#This Row],[ALTAS]]="ALTA",VLOOKUP(Tabla1[[#This Row],[MES DE ALTA ]],$AT$6:$AU$17,2,FALSE),12)-VLOOKUP(Tabla1[[#This Row],[MES DE BAJA ]],$AT$6:$AU$17,2,FALSE),0)</f>
        <v>12</v>
      </c>
      <c r="Y540" s="69">
        <f>SUM(Tabla1[[#This Row],[MES ADEUDO DE AÑOS PASADOS ]:[MESES DE ADEUDO DEL AÑO EN CURSO ]])</f>
        <v>23</v>
      </c>
      <c r="Z540" s="15">
        <f>IF(Tabla1[[#This Row],[TIPO DE CONSUMIDOR]]="COMPLETO",W540*$T$2,W540*($T$2/2))</f>
        <v>495</v>
      </c>
      <c r="AA540" s="15">
        <f>IF(Tabla1[[#This Row],[TIPO DE CONSUMIDOR]]="COMPLETO",Tabla1[[#This Row],[MESES DE ADEUDO DEL AÑO EN CURSO ]]*$T$2,Tabla1[[#This Row],[MESES DE ADEUDO DEL AÑO EN CURSO ]]*($T$2/2))</f>
        <v>540</v>
      </c>
      <c r="AB540" s="70">
        <f>SUM(Tabla1[[#This Row],[DEUDA DE LOS MESES PASADOS EN $$]:[DEUDA DEL AÑO 2013 $$ ]])</f>
        <v>1035</v>
      </c>
      <c r="AE540" s="103">
        <f>IF(Tabla1[[#This Row],[TIPO DE CONSUMIDOR]]="MEDIO",IF(Tabla1[[#This Row],[ENERO ]]&gt;22.5,Tabla1[[#This Row],[ENERO ]]/22.5-1,0),IF(Tabla1[[#This Row],[ENERO ]]&gt;45,Tabla1[[#This Row],[ENERO ]]/45-1,0))</f>
        <v>0</v>
      </c>
      <c r="AF54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0" s="103">
        <f>IF(Tabla1[[#This Row],[TIPO DE CONSUMIDOR]]="MEDIO",IF(Tabla1[[#This Row],[MARZO]]&gt;22.5,Tabla1[[#This Row],[MARZO]]/22.5-1,0),IF(Tabla1[[#This Row],[MARZO]]&gt;45,Tabla1[[#This Row],[MARZO]]/45-1,0))</f>
        <v>0</v>
      </c>
      <c r="AH540" s="103">
        <f>IF(Tabla1[[#This Row],[TIPO DE CONSUMIDOR]]="MEDIO",IF(Tabla1[[#This Row],[ABRIL]]&gt;22.5,Tabla1[[#This Row],[ABRIL]]/22.5-1,0),IF(Tabla1[[#This Row],[ABRIL]]&gt;45,Tabla1[[#This Row],[ABRIL]]/45-1,0))</f>
        <v>0</v>
      </c>
      <c r="AI540" s="103">
        <f>IF(Tabla1[[#This Row],[TIPO DE CONSUMIDOR]]="MEDIO",IF(Tabla1[[#This Row],[MAYO ]]&gt;22.5,Tabla1[[#This Row],[MAYO ]]/22.5-1,0),IF(Tabla1[[#This Row],[MAYO ]]&gt;45,Tabla1[[#This Row],[MAYO ]]/45-1,0))</f>
        <v>0</v>
      </c>
      <c r="AJ540" s="103">
        <f>IF(Tabla1[[#This Row],[TIPO DE CONSUMIDOR]]="MEDIO",IF(Tabla1[[#This Row],[JUNIO ]]&gt;22.5,Tabla1[[#This Row],[JUNIO ]]/22.5-1,0),IF(Tabla1[[#This Row],[JUNIO ]]&gt;45,Tabla1[[#This Row],[JUNIO ]]/45-1,0))</f>
        <v>0</v>
      </c>
      <c r="AK540" s="103">
        <f>IF(Tabla1[[#This Row],[TIPO DE CONSUMIDOR]]="MEDIO",IF(Tabla1[[#This Row],[JULIO ]]&gt;22.5,Tabla1[[#This Row],[JULIO ]]/22.5-1,0),IF(Tabla1[[#This Row],[JULIO ]]&gt;45,Tabla1[[#This Row],[JULIO ]]/45-1,0))</f>
        <v>0</v>
      </c>
      <c r="AL540" s="103">
        <f>IF(Tabla1[[#This Row],[TIPO DE CONSUMIDOR]]="MEDIO",IF(Tabla1[[#This Row],[AGOSTO]]&gt;22.5,Tabla1[[#This Row],[AGOSTO]]/22.5-1,0),IF(Tabla1[[#This Row],[AGOSTO]]&gt;45,Tabla1[[#This Row],[AGOSTO]]/45-1,0))</f>
        <v>0</v>
      </c>
      <c r="AM54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0" s="104">
        <f t="shared" si="18"/>
        <v>0</v>
      </c>
      <c r="AR540" s="9">
        <f t="shared" si="17"/>
        <v>1</v>
      </c>
      <c r="AS540" s="60">
        <f>IF(Tabla1[[#This Row],[MESES DE ADEUDO DEL AÑO EN CURSO ]]&gt;0,1,0)</f>
        <v>1</v>
      </c>
    </row>
    <row r="541" spans="1:49" ht="21.75" thickBot="1" x14ac:dyDescent="0.35">
      <c r="A541" s="109">
        <v>535</v>
      </c>
      <c r="B541" s="5" t="s">
        <v>86</v>
      </c>
      <c r="C541" s="2" t="s">
        <v>461</v>
      </c>
      <c r="D541" s="32"/>
      <c r="E541" s="35" t="s">
        <v>455</v>
      </c>
      <c r="F541" s="52">
        <v>0</v>
      </c>
      <c r="G541" s="52">
        <v>0</v>
      </c>
      <c r="H541" s="52">
        <v>0</v>
      </c>
      <c r="I541" s="52">
        <v>0</v>
      </c>
      <c r="J541" s="52">
        <v>0</v>
      </c>
      <c r="K541" s="52">
        <v>0</v>
      </c>
      <c r="L541" s="52">
        <v>0</v>
      </c>
      <c r="M541" s="52">
        <v>0</v>
      </c>
      <c r="N541" s="52">
        <v>0</v>
      </c>
      <c r="O541" s="52">
        <v>0</v>
      </c>
      <c r="P541" s="52">
        <v>0</v>
      </c>
      <c r="Q541" s="52">
        <v>0</v>
      </c>
      <c r="R541" s="59">
        <f>SUM(Tabla1[[#This Row],[ENERO ]:[DICIEMBRE]])</f>
        <v>0</v>
      </c>
      <c r="W541" s="65">
        <v>12</v>
      </c>
      <c r="X541" s="21">
        <f>COUNTIF(Tabla1[[#This Row],[ENERO ]:[DICIEMBRE]],0)-(AQ541)-IF(Tabla1[[#This Row],[BAJAS]]="BAJA",IF(Tabla1[[#This Row],[ALTAS]]="ALTA",VLOOKUP(Tabla1[[#This Row],[MES DE ALTA ]],$AT$6:$AU$17,2,FALSE),12)-VLOOKUP(Tabla1[[#This Row],[MES DE BAJA ]],$AT$6:$AU$17,2,FALSE),0)</f>
        <v>12</v>
      </c>
      <c r="Y541" s="69">
        <f>SUM(Tabla1[[#This Row],[MES ADEUDO DE AÑOS PASADOS ]:[MESES DE ADEUDO DEL AÑO EN CURSO ]])</f>
        <v>24</v>
      </c>
      <c r="Z541" s="15">
        <f>IF(Tabla1[[#This Row],[TIPO DE CONSUMIDOR]]="COMPLETO",W541*$T$2,W541*($T$2/2))</f>
        <v>540</v>
      </c>
      <c r="AA541" s="15">
        <f>IF(Tabla1[[#This Row],[TIPO DE CONSUMIDOR]]="COMPLETO",Tabla1[[#This Row],[MESES DE ADEUDO DEL AÑO EN CURSO ]]*$T$2,Tabla1[[#This Row],[MESES DE ADEUDO DEL AÑO EN CURSO ]]*($T$2/2))</f>
        <v>540</v>
      </c>
      <c r="AB541" s="70">
        <f>SUM(Tabla1[[#This Row],[DEUDA DE LOS MESES PASADOS EN $$]:[DEUDA DEL AÑO 2013 $$ ]])</f>
        <v>1080</v>
      </c>
      <c r="AE541" s="103">
        <f>IF(Tabla1[[#This Row],[TIPO DE CONSUMIDOR]]="MEDIO",IF(Tabla1[[#This Row],[ENERO ]]&gt;22.5,Tabla1[[#This Row],[ENERO ]]/22.5-1,0),IF(Tabla1[[#This Row],[ENERO ]]&gt;45,Tabla1[[#This Row],[ENERO ]]/45-1,0))</f>
        <v>0</v>
      </c>
      <c r="AF54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1" s="103">
        <f>IF(Tabla1[[#This Row],[TIPO DE CONSUMIDOR]]="MEDIO",IF(Tabla1[[#This Row],[MARZO]]&gt;22.5,Tabla1[[#This Row],[MARZO]]/22.5-1,0),IF(Tabla1[[#This Row],[MARZO]]&gt;45,Tabla1[[#This Row],[MARZO]]/45-1,0))</f>
        <v>0</v>
      </c>
      <c r="AH541" s="103">
        <f>IF(Tabla1[[#This Row],[TIPO DE CONSUMIDOR]]="MEDIO",IF(Tabla1[[#This Row],[ABRIL]]&gt;22.5,Tabla1[[#This Row],[ABRIL]]/22.5-1,0),IF(Tabla1[[#This Row],[ABRIL]]&gt;45,Tabla1[[#This Row],[ABRIL]]/45-1,0))</f>
        <v>0</v>
      </c>
      <c r="AI541" s="103">
        <f>IF(Tabla1[[#This Row],[TIPO DE CONSUMIDOR]]="MEDIO",IF(Tabla1[[#This Row],[MAYO ]]&gt;22.5,Tabla1[[#This Row],[MAYO ]]/22.5-1,0),IF(Tabla1[[#This Row],[MAYO ]]&gt;45,Tabla1[[#This Row],[MAYO ]]/45-1,0))</f>
        <v>0</v>
      </c>
      <c r="AJ541" s="103">
        <f>IF(Tabla1[[#This Row],[TIPO DE CONSUMIDOR]]="MEDIO",IF(Tabla1[[#This Row],[JUNIO ]]&gt;22.5,Tabla1[[#This Row],[JUNIO ]]/22.5-1,0),IF(Tabla1[[#This Row],[JUNIO ]]&gt;45,Tabla1[[#This Row],[JUNIO ]]/45-1,0))</f>
        <v>0</v>
      </c>
      <c r="AK541" s="103">
        <f>IF(Tabla1[[#This Row],[TIPO DE CONSUMIDOR]]="MEDIO",IF(Tabla1[[#This Row],[JULIO ]]&gt;22.5,Tabla1[[#This Row],[JULIO ]]/22.5-1,0),IF(Tabla1[[#This Row],[JULIO ]]&gt;45,Tabla1[[#This Row],[JULIO ]]/45-1,0))</f>
        <v>0</v>
      </c>
      <c r="AL541" s="103">
        <f>IF(Tabla1[[#This Row],[TIPO DE CONSUMIDOR]]="MEDIO",IF(Tabla1[[#This Row],[AGOSTO]]&gt;22.5,Tabla1[[#This Row],[AGOSTO]]/22.5-1,0),IF(Tabla1[[#This Row],[AGOSTO]]&gt;45,Tabla1[[#This Row],[AGOSTO]]/45-1,0))</f>
        <v>0</v>
      </c>
      <c r="AM54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1" s="104">
        <f t="shared" si="18"/>
        <v>0</v>
      </c>
      <c r="AR541" s="9">
        <f t="shared" si="17"/>
        <v>1</v>
      </c>
      <c r="AS541" s="60">
        <f>IF(Tabla1[[#This Row],[MESES DE ADEUDO DEL AÑO EN CURSO ]]&gt;0,1,0)</f>
        <v>1</v>
      </c>
    </row>
    <row r="542" spans="1:49" ht="21.75" thickBot="1" x14ac:dyDescent="0.35">
      <c r="A542" s="109">
        <v>536</v>
      </c>
      <c r="B542" s="5" t="s">
        <v>564</v>
      </c>
      <c r="C542" s="2" t="s">
        <v>562</v>
      </c>
      <c r="D542" s="32"/>
      <c r="E542" s="35" t="s">
        <v>455</v>
      </c>
      <c r="F542" s="52">
        <v>0</v>
      </c>
      <c r="G542" s="53">
        <v>0</v>
      </c>
      <c r="H542" s="53">
        <v>0</v>
      </c>
      <c r="I542" s="53">
        <v>0</v>
      </c>
      <c r="J542" s="53">
        <v>0</v>
      </c>
      <c r="K542" s="53">
        <v>0</v>
      </c>
      <c r="L542" s="53">
        <v>0</v>
      </c>
      <c r="M542" s="53">
        <v>0</v>
      </c>
      <c r="N542" s="53">
        <v>0</v>
      </c>
      <c r="O542" s="53">
        <v>0</v>
      </c>
      <c r="P542" s="53">
        <v>0</v>
      </c>
      <c r="Q542" s="54">
        <v>0</v>
      </c>
      <c r="R542" s="59">
        <f>SUM(Tabla1[[#This Row],[ENERO ]:[DICIEMBRE]])</f>
        <v>0</v>
      </c>
      <c r="W542" s="65">
        <v>12</v>
      </c>
      <c r="X542" s="21">
        <f>COUNTIF(Tabla1[[#This Row],[ENERO ]:[DICIEMBRE]],0)-(AQ542)-IF(Tabla1[[#This Row],[BAJAS]]="BAJA",IF(Tabla1[[#This Row],[ALTAS]]="ALTA",VLOOKUP(Tabla1[[#This Row],[MES DE ALTA ]],$AT$6:$AU$17,2,FALSE),12)-VLOOKUP(Tabla1[[#This Row],[MES DE BAJA ]],$AT$6:$AU$17,2,FALSE),0)</f>
        <v>12</v>
      </c>
      <c r="Y542" s="69">
        <f>SUM(Tabla1[[#This Row],[MES ADEUDO DE AÑOS PASADOS ]:[MESES DE ADEUDO DEL AÑO EN CURSO ]])</f>
        <v>24</v>
      </c>
      <c r="Z542" s="15">
        <f>IF(Tabla1[[#This Row],[TIPO DE CONSUMIDOR]]="COMPLETO",W542*$T$2,W542*($T$2/2))</f>
        <v>540</v>
      </c>
      <c r="AA542" s="15">
        <f>IF(Tabla1[[#This Row],[TIPO DE CONSUMIDOR]]="COMPLETO",Tabla1[[#This Row],[MESES DE ADEUDO DEL AÑO EN CURSO ]]*$T$2,Tabla1[[#This Row],[MESES DE ADEUDO DEL AÑO EN CURSO ]]*($T$2/2))</f>
        <v>540</v>
      </c>
      <c r="AB542" s="70">
        <f>SUM(Tabla1[[#This Row],[DEUDA DE LOS MESES PASADOS EN $$]:[DEUDA DEL AÑO 2013 $$ ]])</f>
        <v>1080</v>
      </c>
      <c r="AE542" s="103">
        <f>IF(Tabla1[[#This Row],[TIPO DE CONSUMIDOR]]="MEDIO",IF(Tabla1[[#This Row],[ENERO ]]&gt;22.5,Tabla1[[#This Row],[ENERO ]]/22.5-1,0),IF(Tabla1[[#This Row],[ENERO ]]&gt;45,Tabla1[[#This Row],[ENERO ]]/45-1,0))</f>
        <v>0</v>
      </c>
      <c r="AF54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2" s="103">
        <f>IF(Tabla1[[#This Row],[TIPO DE CONSUMIDOR]]="MEDIO",IF(Tabla1[[#This Row],[MARZO]]&gt;22.5,Tabla1[[#This Row],[MARZO]]/22.5-1,0),IF(Tabla1[[#This Row],[MARZO]]&gt;45,Tabla1[[#This Row],[MARZO]]/45-1,0))</f>
        <v>0</v>
      </c>
      <c r="AH542" s="103">
        <f>IF(Tabla1[[#This Row],[TIPO DE CONSUMIDOR]]="MEDIO",IF(Tabla1[[#This Row],[ABRIL]]&gt;22.5,Tabla1[[#This Row],[ABRIL]]/22.5-1,0),IF(Tabla1[[#This Row],[ABRIL]]&gt;45,Tabla1[[#This Row],[ABRIL]]/45-1,0))</f>
        <v>0</v>
      </c>
      <c r="AI542" s="103">
        <f>IF(Tabla1[[#This Row],[TIPO DE CONSUMIDOR]]="MEDIO",IF(Tabla1[[#This Row],[MAYO ]]&gt;22.5,Tabla1[[#This Row],[MAYO ]]/22.5-1,0),IF(Tabla1[[#This Row],[MAYO ]]&gt;45,Tabla1[[#This Row],[MAYO ]]/45-1,0))</f>
        <v>0</v>
      </c>
      <c r="AJ542" s="103">
        <f>IF(Tabla1[[#This Row],[TIPO DE CONSUMIDOR]]="MEDIO",IF(Tabla1[[#This Row],[JUNIO ]]&gt;22.5,Tabla1[[#This Row],[JUNIO ]]/22.5-1,0),IF(Tabla1[[#This Row],[JUNIO ]]&gt;45,Tabla1[[#This Row],[JUNIO ]]/45-1,0))</f>
        <v>0</v>
      </c>
      <c r="AK542" s="103">
        <f>IF(Tabla1[[#This Row],[TIPO DE CONSUMIDOR]]="MEDIO",IF(Tabla1[[#This Row],[JULIO ]]&gt;22.5,Tabla1[[#This Row],[JULIO ]]/22.5-1,0),IF(Tabla1[[#This Row],[JULIO ]]&gt;45,Tabla1[[#This Row],[JULIO ]]/45-1,0))</f>
        <v>0</v>
      </c>
      <c r="AL542" s="103">
        <f>IF(Tabla1[[#This Row],[TIPO DE CONSUMIDOR]]="MEDIO",IF(Tabla1[[#This Row],[AGOSTO]]&gt;22.5,Tabla1[[#This Row],[AGOSTO]]/22.5-1,0),IF(Tabla1[[#This Row],[AGOSTO]]&gt;45,Tabla1[[#This Row],[AGOSTO]]/45-1,0))</f>
        <v>0</v>
      </c>
      <c r="AM54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2" s="104">
        <f t="shared" si="18"/>
        <v>0</v>
      </c>
      <c r="AR542" s="9">
        <f t="shared" si="17"/>
        <v>1</v>
      </c>
      <c r="AS542" s="60">
        <f>IF(Tabla1[[#This Row],[MESES DE ADEUDO DEL AÑO EN CURSO ]]&gt;0,1,0)</f>
        <v>1</v>
      </c>
    </row>
    <row r="543" spans="1:49" ht="21.75" thickBot="1" x14ac:dyDescent="0.35">
      <c r="A543" s="109">
        <v>537</v>
      </c>
      <c r="B543" s="5" t="s">
        <v>250</v>
      </c>
      <c r="C543" s="2" t="s">
        <v>504</v>
      </c>
      <c r="D543" s="32"/>
      <c r="E543" s="35" t="s">
        <v>455</v>
      </c>
      <c r="F543" s="52">
        <v>0</v>
      </c>
      <c r="G543" s="53">
        <v>0</v>
      </c>
      <c r="H543" s="53">
        <v>0</v>
      </c>
      <c r="I543" s="53">
        <v>0</v>
      </c>
      <c r="J543" s="53">
        <v>0</v>
      </c>
      <c r="K543" s="53">
        <v>0</v>
      </c>
      <c r="L543" s="53">
        <v>0</v>
      </c>
      <c r="M543" s="53">
        <v>0</v>
      </c>
      <c r="N543" s="53">
        <v>0</v>
      </c>
      <c r="O543" s="53">
        <v>0</v>
      </c>
      <c r="P543" s="53">
        <v>0</v>
      </c>
      <c r="Q543" s="54">
        <v>0</v>
      </c>
      <c r="R543" s="59">
        <f>SUM(Tabla1[[#This Row],[ENERO ]:[DICIEMBRE]])</f>
        <v>0</v>
      </c>
      <c r="W543" s="65">
        <v>13</v>
      </c>
      <c r="X543" s="21">
        <f>COUNTIF(Tabla1[[#This Row],[ENERO ]:[DICIEMBRE]],0)-(AQ543)-IF(Tabla1[[#This Row],[BAJAS]]="BAJA",IF(Tabla1[[#This Row],[ALTAS]]="ALTA",VLOOKUP(Tabla1[[#This Row],[MES DE ALTA ]],$AT$6:$AU$17,2,FALSE),12)-VLOOKUP(Tabla1[[#This Row],[MES DE BAJA ]],$AT$6:$AU$17,2,FALSE),0)</f>
        <v>12</v>
      </c>
      <c r="Y543" s="69">
        <f>SUM(Tabla1[[#This Row],[MES ADEUDO DE AÑOS PASADOS ]:[MESES DE ADEUDO DEL AÑO EN CURSO ]])</f>
        <v>25</v>
      </c>
      <c r="Z543" s="15">
        <f>IF(Tabla1[[#This Row],[TIPO DE CONSUMIDOR]]="COMPLETO",W543*$T$2,W543*($T$2/2))</f>
        <v>585</v>
      </c>
      <c r="AA543" s="15">
        <f>IF(Tabla1[[#This Row],[TIPO DE CONSUMIDOR]]="COMPLETO",Tabla1[[#This Row],[MESES DE ADEUDO DEL AÑO EN CURSO ]]*$T$2,Tabla1[[#This Row],[MESES DE ADEUDO DEL AÑO EN CURSO ]]*($T$2/2))</f>
        <v>540</v>
      </c>
      <c r="AB543" s="70">
        <f>SUM(Tabla1[[#This Row],[DEUDA DE LOS MESES PASADOS EN $$]:[DEUDA DEL AÑO 2013 $$ ]])</f>
        <v>1125</v>
      </c>
      <c r="AE543" s="103">
        <f>IF(Tabla1[[#This Row],[TIPO DE CONSUMIDOR]]="MEDIO",IF(Tabla1[[#This Row],[ENERO ]]&gt;22.5,Tabla1[[#This Row],[ENERO ]]/22.5-1,0),IF(Tabla1[[#This Row],[ENERO ]]&gt;45,Tabla1[[#This Row],[ENERO ]]/45-1,0))</f>
        <v>0</v>
      </c>
      <c r="AF54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3" s="103">
        <f>IF(Tabla1[[#This Row],[TIPO DE CONSUMIDOR]]="MEDIO",IF(Tabla1[[#This Row],[MARZO]]&gt;22.5,Tabla1[[#This Row],[MARZO]]/22.5-1,0),IF(Tabla1[[#This Row],[MARZO]]&gt;45,Tabla1[[#This Row],[MARZO]]/45-1,0))</f>
        <v>0</v>
      </c>
      <c r="AH543" s="103">
        <f>IF(Tabla1[[#This Row],[TIPO DE CONSUMIDOR]]="MEDIO",IF(Tabla1[[#This Row],[ABRIL]]&gt;22.5,Tabla1[[#This Row],[ABRIL]]/22.5-1,0),IF(Tabla1[[#This Row],[ABRIL]]&gt;45,Tabla1[[#This Row],[ABRIL]]/45-1,0))</f>
        <v>0</v>
      </c>
      <c r="AI543" s="103">
        <f>IF(Tabla1[[#This Row],[TIPO DE CONSUMIDOR]]="MEDIO",IF(Tabla1[[#This Row],[MAYO ]]&gt;22.5,Tabla1[[#This Row],[MAYO ]]/22.5-1,0),IF(Tabla1[[#This Row],[MAYO ]]&gt;45,Tabla1[[#This Row],[MAYO ]]/45-1,0))</f>
        <v>0</v>
      </c>
      <c r="AJ543" s="103">
        <f>IF(Tabla1[[#This Row],[TIPO DE CONSUMIDOR]]="MEDIO",IF(Tabla1[[#This Row],[JUNIO ]]&gt;22.5,Tabla1[[#This Row],[JUNIO ]]/22.5-1,0),IF(Tabla1[[#This Row],[JUNIO ]]&gt;45,Tabla1[[#This Row],[JUNIO ]]/45-1,0))</f>
        <v>0</v>
      </c>
      <c r="AK543" s="103">
        <f>IF(Tabla1[[#This Row],[TIPO DE CONSUMIDOR]]="MEDIO",IF(Tabla1[[#This Row],[JULIO ]]&gt;22.5,Tabla1[[#This Row],[JULIO ]]/22.5-1,0),IF(Tabla1[[#This Row],[JULIO ]]&gt;45,Tabla1[[#This Row],[JULIO ]]/45-1,0))</f>
        <v>0</v>
      </c>
      <c r="AL543" s="103">
        <f>IF(Tabla1[[#This Row],[TIPO DE CONSUMIDOR]]="MEDIO",IF(Tabla1[[#This Row],[AGOSTO]]&gt;22.5,Tabla1[[#This Row],[AGOSTO]]/22.5-1,0),IF(Tabla1[[#This Row],[AGOSTO]]&gt;45,Tabla1[[#This Row],[AGOSTO]]/45-1,0))</f>
        <v>0</v>
      </c>
      <c r="AM54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3" s="104">
        <f t="shared" si="18"/>
        <v>0</v>
      </c>
      <c r="AR543" s="9">
        <f t="shared" si="17"/>
        <v>1</v>
      </c>
      <c r="AS543" s="60">
        <f>IF(Tabla1[[#This Row],[MESES DE ADEUDO DEL AÑO EN CURSO ]]&gt;0,1,0)</f>
        <v>1</v>
      </c>
    </row>
    <row r="544" spans="1:49" ht="21.75" thickBot="1" x14ac:dyDescent="0.35">
      <c r="A544" s="109">
        <v>538</v>
      </c>
      <c r="B544" s="5" t="s">
        <v>43</v>
      </c>
      <c r="C544" s="2" t="s">
        <v>545</v>
      </c>
      <c r="D544" s="32"/>
      <c r="E544" s="35" t="s">
        <v>455</v>
      </c>
      <c r="F544" s="52">
        <v>0</v>
      </c>
      <c r="G544" s="52">
        <v>0</v>
      </c>
      <c r="H544" s="52">
        <v>0</v>
      </c>
      <c r="I544" s="52">
        <v>0</v>
      </c>
      <c r="J544" s="52">
        <v>0</v>
      </c>
      <c r="K544" s="52">
        <v>0</v>
      </c>
      <c r="L544" s="52">
        <v>0</v>
      </c>
      <c r="M544" s="52">
        <v>0</v>
      </c>
      <c r="N544" s="52">
        <v>0</v>
      </c>
      <c r="O544" s="52">
        <v>0</v>
      </c>
      <c r="P544" s="52">
        <v>0</v>
      </c>
      <c r="Q544" s="52">
        <v>0</v>
      </c>
      <c r="R544" s="59">
        <f>SUM(Tabla1[[#This Row],[ENERO ]:[DICIEMBRE]])</f>
        <v>0</v>
      </c>
      <c r="W544" s="65">
        <v>13</v>
      </c>
      <c r="X544" s="21">
        <f>COUNTIF(Tabla1[[#This Row],[ENERO ]:[DICIEMBRE]],0)-(AQ544)-IF(Tabla1[[#This Row],[BAJAS]]="BAJA",IF(Tabla1[[#This Row],[ALTAS]]="ALTA",VLOOKUP(Tabla1[[#This Row],[MES DE ALTA ]],$AT$6:$AU$17,2,FALSE),12)-VLOOKUP(Tabla1[[#This Row],[MES DE BAJA ]],$AT$6:$AU$17,2,FALSE),0)</f>
        <v>12</v>
      </c>
      <c r="Y544" s="69">
        <f>SUM(Tabla1[[#This Row],[MES ADEUDO DE AÑOS PASADOS ]:[MESES DE ADEUDO DEL AÑO EN CURSO ]])</f>
        <v>25</v>
      </c>
      <c r="Z544" s="15">
        <f>IF(Tabla1[[#This Row],[TIPO DE CONSUMIDOR]]="COMPLETO",W544*$T$2,W544*($T$2/2))</f>
        <v>585</v>
      </c>
      <c r="AA544" s="15">
        <f>IF(Tabla1[[#This Row],[TIPO DE CONSUMIDOR]]="COMPLETO",Tabla1[[#This Row],[MESES DE ADEUDO DEL AÑO EN CURSO ]]*$T$2,Tabla1[[#This Row],[MESES DE ADEUDO DEL AÑO EN CURSO ]]*($T$2/2))</f>
        <v>540</v>
      </c>
      <c r="AB544" s="70">
        <f>SUM(Tabla1[[#This Row],[DEUDA DE LOS MESES PASADOS EN $$]:[DEUDA DEL AÑO 2013 $$ ]])</f>
        <v>1125</v>
      </c>
      <c r="AE544" s="103">
        <f>IF(Tabla1[[#This Row],[TIPO DE CONSUMIDOR]]="MEDIO",IF(Tabla1[[#This Row],[ENERO ]]&gt;22.5,Tabla1[[#This Row],[ENERO ]]/22.5-1,0),IF(Tabla1[[#This Row],[ENERO ]]&gt;45,Tabla1[[#This Row],[ENERO ]]/45-1,0))</f>
        <v>0</v>
      </c>
      <c r="AF54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4" s="103">
        <f>IF(Tabla1[[#This Row],[TIPO DE CONSUMIDOR]]="MEDIO",IF(Tabla1[[#This Row],[MARZO]]&gt;22.5,Tabla1[[#This Row],[MARZO]]/22.5-1,0),IF(Tabla1[[#This Row],[MARZO]]&gt;45,Tabla1[[#This Row],[MARZO]]/45-1,0))</f>
        <v>0</v>
      </c>
      <c r="AH544" s="103">
        <f>IF(Tabla1[[#This Row],[TIPO DE CONSUMIDOR]]="MEDIO",IF(Tabla1[[#This Row],[ABRIL]]&gt;22.5,Tabla1[[#This Row],[ABRIL]]/22.5-1,0),IF(Tabla1[[#This Row],[ABRIL]]&gt;45,Tabla1[[#This Row],[ABRIL]]/45-1,0))</f>
        <v>0</v>
      </c>
      <c r="AI544" s="103">
        <f>IF(Tabla1[[#This Row],[TIPO DE CONSUMIDOR]]="MEDIO",IF(Tabla1[[#This Row],[MAYO ]]&gt;22.5,Tabla1[[#This Row],[MAYO ]]/22.5-1,0),IF(Tabla1[[#This Row],[MAYO ]]&gt;45,Tabla1[[#This Row],[MAYO ]]/45-1,0))</f>
        <v>0</v>
      </c>
      <c r="AJ544" s="103">
        <f>IF(Tabla1[[#This Row],[TIPO DE CONSUMIDOR]]="MEDIO",IF(Tabla1[[#This Row],[JUNIO ]]&gt;22.5,Tabla1[[#This Row],[JUNIO ]]/22.5-1,0),IF(Tabla1[[#This Row],[JUNIO ]]&gt;45,Tabla1[[#This Row],[JUNIO ]]/45-1,0))</f>
        <v>0</v>
      </c>
      <c r="AK544" s="103">
        <f>IF(Tabla1[[#This Row],[TIPO DE CONSUMIDOR]]="MEDIO",IF(Tabla1[[#This Row],[JULIO ]]&gt;22.5,Tabla1[[#This Row],[JULIO ]]/22.5-1,0),IF(Tabla1[[#This Row],[JULIO ]]&gt;45,Tabla1[[#This Row],[JULIO ]]/45-1,0))</f>
        <v>0</v>
      </c>
      <c r="AL544" s="103">
        <f>IF(Tabla1[[#This Row],[TIPO DE CONSUMIDOR]]="MEDIO",IF(Tabla1[[#This Row],[AGOSTO]]&gt;22.5,Tabla1[[#This Row],[AGOSTO]]/22.5-1,0),IF(Tabla1[[#This Row],[AGOSTO]]&gt;45,Tabla1[[#This Row],[AGOSTO]]/45-1,0))</f>
        <v>0</v>
      </c>
      <c r="AM54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4" s="104">
        <f t="shared" si="18"/>
        <v>0</v>
      </c>
      <c r="AR544" s="9">
        <f t="shared" si="17"/>
        <v>1</v>
      </c>
      <c r="AS544" s="60">
        <f>IF(Tabla1[[#This Row],[MESES DE ADEUDO DEL AÑO EN CURSO ]]&gt;0,1,0)</f>
        <v>1</v>
      </c>
    </row>
    <row r="545" spans="1:45" ht="21.75" thickBot="1" x14ac:dyDescent="0.35">
      <c r="A545" s="109">
        <v>539</v>
      </c>
      <c r="B545" s="5" t="s">
        <v>44</v>
      </c>
      <c r="C545" s="2" t="s">
        <v>575</v>
      </c>
      <c r="D545" s="32"/>
      <c r="E545" s="35" t="s">
        <v>455</v>
      </c>
      <c r="F545" s="52">
        <v>0</v>
      </c>
      <c r="G545" s="53">
        <v>0</v>
      </c>
      <c r="H545" s="53">
        <v>0</v>
      </c>
      <c r="I545" s="53">
        <v>0</v>
      </c>
      <c r="J545" s="53">
        <v>0</v>
      </c>
      <c r="K545" s="53">
        <v>0</v>
      </c>
      <c r="L545" s="53">
        <v>0</v>
      </c>
      <c r="M545" s="53">
        <v>0</v>
      </c>
      <c r="N545" s="53">
        <v>0</v>
      </c>
      <c r="O545" s="53">
        <v>0</v>
      </c>
      <c r="P545" s="53">
        <v>0</v>
      </c>
      <c r="Q545" s="54">
        <v>0</v>
      </c>
      <c r="R545" s="59">
        <f>SUM(Tabla1[[#This Row],[ENERO ]:[DICIEMBRE]])</f>
        <v>0</v>
      </c>
      <c r="W545" s="65">
        <v>13</v>
      </c>
      <c r="X545" s="21">
        <f>COUNTIF(Tabla1[[#This Row],[ENERO ]:[DICIEMBRE]],0)-(AQ545)-IF(Tabla1[[#This Row],[BAJAS]]="BAJA",IF(Tabla1[[#This Row],[ALTAS]]="ALTA",VLOOKUP(Tabla1[[#This Row],[MES DE ALTA ]],$AT$6:$AU$17,2,FALSE),12)-VLOOKUP(Tabla1[[#This Row],[MES DE BAJA ]],$AT$6:$AU$17,2,FALSE),0)</f>
        <v>12</v>
      </c>
      <c r="Y545" s="69">
        <f>SUM(Tabla1[[#This Row],[MES ADEUDO DE AÑOS PASADOS ]:[MESES DE ADEUDO DEL AÑO EN CURSO ]])</f>
        <v>25</v>
      </c>
      <c r="Z545" s="15">
        <f>IF(Tabla1[[#This Row],[TIPO DE CONSUMIDOR]]="COMPLETO",W545*$T$2,W545*($T$2/2))</f>
        <v>585</v>
      </c>
      <c r="AA545" s="15">
        <f>IF(Tabla1[[#This Row],[TIPO DE CONSUMIDOR]]="COMPLETO",Tabla1[[#This Row],[MESES DE ADEUDO DEL AÑO EN CURSO ]]*$T$2,Tabla1[[#This Row],[MESES DE ADEUDO DEL AÑO EN CURSO ]]*($T$2/2))</f>
        <v>540</v>
      </c>
      <c r="AB545" s="70">
        <f>SUM(Tabla1[[#This Row],[DEUDA DE LOS MESES PASADOS EN $$]:[DEUDA DEL AÑO 2013 $$ ]])</f>
        <v>1125</v>
      </c>
      <c r="AE545" s="103">
        <f>IF(Tabla1[[#This Row],[TIPO DE CONSUMIDOR]]="MEDIO",IF(Tabla1[[#This Row],[ENERO ]]&gt;22.5,Tabla1[[#This Row],[ENERO ]]/22.5-1,0),IF(Tabla1[[#This Row],[ENERO ]]&gt;45,Tabla1[[#This Row],[ENERO ]]/45-1,0))</f>
        <v>0</v>
      </c>
      <c r="AF54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5" s="103">
        <f>IF(Tabla1[[#This Row],[TIPO DE CONSUMIDOR]]="MEDIO",IF(Tabla1[[#This Row],[MARZO]]&gt;22.5,Tabla1[[#This Row],[MARZO]]/22.5-1,0),IF(Tabla1[[#This Row],[MARZO]]&gt;45,Tabla1[[#This Row],[MARZO]]/45-1,0))</f>
        <v>0</v>
      </c>
      <c r="AH545" s="103">
        <f>IF(Tabla1[[#This Row],[TIPO DE CONSUMIDOR]]="MEDIO",IF(Tabla1[[#This Row],[ABRIL]]&gt;22.5,Tabla1[[#This Row],[ABRIL]]/22.5-1,0),IF(Tabla1[[#This Row],[ABRIL]]&gt;45,Tabla1[[#This Row],[ABRIL]]/45-1,0))</f>
        <v>0</v>
      </c>
      <c r="AI545" s="103">
        <f>IF(Tabla1[[#This Row],[TIPO DE CONSUMIDOR]]="MEDIO",IF(Tabla1[[#This Row],[MAYO ]]&gt;22.5,Tabla1[[#This Row],[MAYO ]]/22.5-1,0),IF(Tabla1[[#This Row],[MAYO ]]&gt;45,Tabla1[[#This Row],[MAYO ]]/45-1,0))</f>
        <v>0</v>
      </c>
      <c r="AJ545" s="103">
        <f>IF(Tabla1[[#This Row],[TIPO DE CONSUMIDOR]]="MEDIO",IF(Tabla1[[#This Row],[JUNIO ]]&gt;22.5,Tabla1[[#This Row],[JUNIO ]]/22.5-1,0),IF(Tabla1[[#This Row],[JUNIO ]]&gt;45,Tabla1[[#This Row],[JUNIO ]]/45-1,0))</f>
        <v>0</v>
      </c>
      <c r="AK545" s="103">
        <f>IF(Tabla1[[#This Row],[TIPO DE CONSUMIDOR]]="MEDIO",IF(Tabla1[[#This Row],[JULIO ]]&gt;22.5,Tabla1[[#This Row],[JULIO ]]/22.5-1,0),IF(Tabla1[[#This Row],[JULIO ]]&gt;45,Tabla1[[#This Row],[JULIO ]]/45-1,0))</f>
        <v>0</v>
      </c>
      <c r="AL545" s="103">
        <f>IF(Tabla1[[#This Row],[TIPO DE CONSUMIDOR]]="MEDIO",IF(Tabla1[[#This Row],[AGOSTO]]&gt;22.5,Tabla1[[#This Row],[AGOSTO]]/22.5-1,0),IF(Tabla1[[#This Row],[AGOSTO]]&gt;45,Tabla1[[#This Row],[AGOSTO]]/45-1,0))</f>
        <v>0</v>
      </c>
      <c r="AM54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5" s="104">
        <f t="shared" si="18"/>
        <v>0</v>
      </c>
      <c r="AR545" s="9">
        <f t="shared" si="17"/>
        <v>1</v>
      </c>
      <c r="AS545" s="60">
        <f>IF(Tabla1[[#This Row],[MESES DE ADEUDO DEL AÑO EN CURSO ]]&gt;0,1,0)</f>
        <v>1</v>
      </c>
    </row>
    <row r="546" spans="1:45" ht="21.75" thickBot="1" x14ac:dyDescent="0.35">
      <c r="A546" s="109">
        <v>540</v>
      </c>
      <c r="B546" s="5" t="s">
        <v>203</v>
      </c>
      <c r="C546" s="2" t="s">
        <v>488</v>
      </c>
      <c r="D546" s="32"/>
      <c r="E546" s="35" t="s">
        <v>455</v>
      </c>
      <c r="F546" s="52">
        <v>0</v>
      </c>
      <c r="G546" s="52">
        <v>0</v>
      </c>
      <c r="H546" s="52">
        <v>0</v>
      </c>
      <c r="I546" s="52">
        <v>0</v>
      </c>
      <c r="J546" s="52">
        <v>0</v>
      </c>
      <c r="K546" s="52">
        <v>0</v>
      </c>
      <c r="L546" s="52">
        <v>0</v>
      </c>
      <c r="M546" s="52">
        <v>0</v>
      </c>
      <c r="N546" s="52">
        <v>0</v>
      </c>
      <c r="O546" s="52">
        <v>0</v>
      </c>
      <c r="P546" s="52">
        <v>0</v>
      </c>
      <c r="Q546" s="52">
        <v>0</v>
      </c>
      <c r="R546" s="59">
        <f>SUM(Tabla1[[#This Row],[ENERO ]:[DICIEMBRE]])</f>
        <v>0</v>
      </c>
      <c r="W546" s="65">
        <v>14</v>
      </c>
      <c r="X546" s="21">
        <f>COUNTIF(Tabla1[[#This Row],[ENERO ]:[DICIEMBRE]],0)-(AQ546)-IF(Tabla1[[#This Row],[BAJAS]]="BAJA",IF(Tabla1[[#This Row],[ALTAS]]="ALTA",VLOOKUP(Tabla1[[#This Row],[MES DE ALTA ]],$AT$6:$AU$17,2,FALSE),12)-VLOOKUP(Tabla1[[#This Row],[MES DE BAJA ]],$AT$6:$AU$17,2,FALSE),0)</f>
        <v>12</v>
      </c>
      <c r="Y546" s="69">
        <f>SUM(Tabla1[[#This Row],[MES ADEUDO DE AÑOS PASADOS ]:[MESES DE ADEUDO DEL AÑO EN CURSO ]])</f>
        <v>26</v>
      </c>
      <c r="Z546" s="15">
        <f>IF(Tabla1[[#This Row],[TIPO DE CONSUMIDOR]]="COMPLETO",W546*$T$2,W546*($T$2/2))</f>
        <v>630</v>
      </c>
      <c r="AA546" s="15">
        <f>IF(Tabla1[[#This Row],[TIPO DE CONSUMIDOR]]="COMPLETO",Tabla1[[#This Row],[MESES DE ADEUDO DEL AÑO EN CURSO ]]*$T$2,Tabla1[[#This Row],[MESES DE ADEUDO DEL AÑO EN CURSO ]]*($T$2/2))</f>
        <v>540</v>
      </c>
      <c r="AB546" s="70">
        <f>SUM(Tabla1[[#This Row],[DEUDA DE LOS MESES PASADOS EN $$]:[DEUDA DEL AÑO 2013 $$ ]])</f>
        <v>1170</v>
      </c>
      <c r="AE546" s="103">
        <f>IF(Tabla1[[#This Row],[TIPO DE CONSUMIDOR]]="MEDIO",IF(Tabla1[[#This Row],[ENERO ]]&gt;22.5,Tabla1[[#This Row],[ENERO ]]/22.5-1,0),IF(Tabla1[[#This Row],[ENERO ]]&gt;45,Tabla1[[#This Row],[ENERO ]]/45-1,0))</f>
        <v>0</v>
      </c>
      <c r="AF54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6" s="103">
        <f>IF(Tabla1[[#This Row],[TIPO DE CONSUMIDOR]]="MEDIO",IF(Tabla1[[#This Row],[MARZO]]&gt;22.5,Tabla1[[#This Row],[MARZO]]/22.5-1,0),IF(Tabla1[[#This Row],[MARZO]]&gt;45,Tabla1[[#This Row],[MARZO]]/45-1,0))</f>
        <v>0</v>
      </c>
      <c r="AH546" s="103">
        <f>IF(Tabla1[[#This Row],[TIPO DE CONSUMIDOR]]="MEDIO",IF(Tabla1[[#This Row],[ABRIL]]&gt;22.5,Tabla1[[#This Row],[ABRIL]]/22.5-1,0),IF(Tabla1[[#This Row],[ABRIL]]&gt;45,Tabla1[[#This Row],[ABRIL]]/45-1,0))</f>
        <v>0</v>
      </c>
      <c r="AI546" s="103">
        <f>IF(Tabla1[[#This Row],[TIPO DE CONSUMIDOR]]="MEDIO",IF(Tabla1[[#This Row],[MAYO ]]&gt;22.5,Tabla1[[#This Row],[MAYO ]]/22.5-1,0),IF(Tabla1[[#This Row],[MAYO ]]&gt;45,Tabla1[[#This Row],[MAYO ]]/45-1,0))</f>
        <v>0</v>
      </c>
      <c r="AJ546" s="103">
        <f>IF(Tabla1[[#This Row],[TIPO DE CONSUMIDOR]]="MEDIO",IF(Tabla1[[#This Row],[JUNIO ]]&gt;22.5,Tabla1[[#This Row],[JUNIO ]]/22.5-1,0),IF(Tabla1[[#This Row],[JUNIO ]]&gt;45,Tabla1[[#This Row],[JUNIO ]]/45-1,0))</f>
        <v>0</v>
      </c>
      <c r="AK546" s="103">
        <f>IF(Tabla1[[#This Row],[TIPO DE CONSUMIDOR]]="MEDIO",IF(Tabla1[[#This Row],[JULIO ]]&gt;22.5,Tabla1[[#This Row],[JULIO ]]/22.5-1,0),IF(Tabla1[[#This Row],[JULIO ]]&gt;45,Tabla1[[#This Row],[JULIO ]]/45-1,0))</f>
        <v>0</v>
      </c>
      <c r="AL546" s="103">
        <f>IF(Tabla1[[#This Row],[TIPO DE CONSUMIDOR]]="MEDIO",IF(Tabla1[[#This Row],[AGOSTO]]&gt;22.5,Tabla1[[#This Row],[AGOSTO]]/22.5-1,0),IF(Tabla1[[#This Row],[AGOSTO]]&gt;45,Tabla1[[#This Row],[AGOSTO]]/45-1,0))</f>
        <v>0</v>
      </c>
      <c r="AM54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6" s="104">
        <f t="shared" si="18"/>
        <v>0</v>
      </c>
      <c r="AR546" s="9">
        <f t="shared" si="17"/>
        <v>1</v>
      </c>
      <c r="AS546" s="60">
        <f>IF(Tabla1[[#This Row],[MESES DE ADEUDO DEL AÑO EN CURSO ]]&gt;0,1,0)</f>
        <v>1</v>
      </c>
    </row>
    <row r="547" spans="1:45" ht="21.75" thickBot="1" x14ac:dyDescent="0.35">
      <c r="A547" s="109">
        <v>541</v>
      </c>
      <c r="B547" s="5" t="s">
        <v>472</v>
      </c>
      <c r="C547" s="2" t="s">
        <v>461</v>
      </c>
      <c r="D547" s="32"/>
      <c r="E547" s="35" t="s">
        <v>455</v>
      </c>
      <c r="F547" s="52">
        <v>0</v>
      </c>
      <c r="G547" s="52">
        <v>0</v>
      </c>
      <c r="H547" s="52">
        <v>0</v>
      </c>
      <c r="I547" s="52">
        <v>0</v>
      </c>
      <c r="J547" s="52">
        <v>0</v>
      </c>
      <c r="K547" s="52">
        <v>0</v>
      </c>
      <c r="L547" s="52">
        <v>0</v>
      </c>
      <c r="M547" s="52">
        <v>0</v>
      </c>
      <c r="N547" s="52">
        <v>0</v>
      </c>
      <c r="O547" s="52">
        <v>0</v>
      </c>
      <c r="P547" s="52">
        <v>0</v>
      </c>
      <c r="Q547" s="52">
        <v>0</v>
      </c>
      <c r="R547" s="59">
        <f>SUM(Tabla1[[#This Row],[ENERO ]:[DICIEMBRE]])</f>
        <v>0</v>
      </c>
      <c r="W547" s="65">
        <v>15</v>
      </c>
      <c r="X547" s="21">
        <f>COUNTIF(Tabla1[[#This Row],[ENERO ]:[DICIEMBRE]],0)-(AQ547)-IF(Tabla1[[#This Row],[BAJAS]]="BAJA",IF(Tabla1[[#This Row],[ALTAS]]="ALTA",VLOOKUP(Tabla1[[#This Row],[MES DE ALTA ]],$AT$6:$AU$17,2,FALSE),12)-VLOOKUP(Tabla1[[#This Row],[MES DE BAJA ]],$AT$6:$AU$17,2,FALSE),0)</f>
        <v>12</v>
      </c>
      <c r="Y547" s="69">
        <f>SUM(Tabla1[[#This Row],[MES ADEUDO DE AÑOS PASADOS ]:[MESES DE ADEUDO DEL AÑO EN CURSO ]])</f>
        <v>27</v>
      </c>
      <c r="Z547" s="15">
        <f>IF(Tabla1[[#This Row],[TIPO DE CONSUMIDOR]]="COMPLETO",W547*$T$2,W547*($T$2/2))</f>
        <v>675</v>
      </c>
      <c r="AA547" s="15">
        <f>IF(Tabla1[[#This Row],[TIPO DE CONSUMIDOR]]="COMPLETO",Tabla1[[#This Row],[MESES DE ADEUDO DEL AÑO EN CURSO ]]*$T$2,Tabla1[[#This Row],[MESES DE ADEUDO DEL AÑO EN CURSO ]]*($T$2/2))</f>
        <v>540</v>
      </c>
      <c r="AB547" s="70">
        <f>SUM(Tabla1[[#This Row],[DEUDA DE LOS MESES PASADOS EN $$]:[DEUDA DEL AÑO 2013 $$ ]])</f>
        <v>1215</v>
      </c>
      <c r="AE547" s="103">
        <f>IF(Tabla1[[#This Row],[TIPO DE CONSUMIDOR]]="MEDIO",IF(Tabla1[[#This Row],[ENERO ]]&gt;22.5,Tabla1[[#This Row],[ENERO ]]/22.5-1,0),IF(Tabla1[[#This Row],[ENERO ]]&gt;45,Tabla1[[#This Row],[ENERO ]]/45-1,0))</f>
        <v>0</v>
      </c>
      <c r="AF54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7" s="103">
        <f>IF(Tabla1[[#This Row],[TIPO DE CONSUMIDOR]]="MEDIO",IF(Tabla1[[#This Row],[MARZO]]&gt;22.5,Tabla1[[#This Row],[MARZO]]/22.5-1,0),IF(Tabla1[[#This Row],[MARZO]]&gt;45,Tabla1[[#This Row],[MARZO]]/45-1,0))</f>
        <v>0</v>
      </c>
      <c r="AH547" s="103">
        <f>IF(Tabla1[[#This Row],[TIPO DE CONSUMIDOR]]="MEDIO",IF(Tabla1[[#This Row],[ABRIL]]&gt;22.5,Tabla1[[#This Row],[ABRIL]]/22.5-1,0),IF(Tabla1[[#This Row],[ABRIL]]&gt;45,Tabla1[[#This Row],[ABRIL]]/45-1,0))</f>
        <v>0</v>
      </c>
      <c r="AI547" s="103">
        <f>IF(Tabla1[[#This Row],[TIPO DE CONSUMIDOR]]="MEDIO",IF(Tabla1[[#This Row],[MAYO ]]&gt;22.5,Tabla1[[#This Row],[MAYO ]]/22.5-1,0),IF(Tabla1[[#This Row],[MAYO ]]&gt;45,Tabla1[[#This Row],[MAYO ]]/45-1,0))</f>
        <v>0</v>
      </c>
      <c r="AJ547" s="103">
        <f>IF(Tabla1[[#This Row],[TIPO DE CONSUMIDOR]]="MEDIO",IF(Tabla1[[#This Row],[JUNIO ]]&gt;22.5,Tabla1[[#This Row],[JUNIO ]]/22.5-1,0),IF(Tabla1[[#This Row],[JUNIO ]]&gt;45,Tabla1[[#This Row],[JUNIO ]]/45-1,0))</f>
        <v>0</v>
      </c>
      <c r="AK547" s="103">
        <f>IF(Tabla1[[#This Row],[TIPO DE CONSUMIDOR]]="MEDIO",IF(Tabla1[[#This Row],[JULIO ]]&gt;22.5,Tabla1[[#This Row],[JULIO ]]/22.5-1,0),IF(Tabla1[[#This Row],[JULIO ]]&gt;45,Tabla1[[#This Row],[JULIO ]]/45-1,0))</f>
        <v>0</v>
      </c>
      <c r="AL547" s="103">
        <f>IF(Tabla1[[#This Row],[TIPO DE CONSUMIDOR]]="MEDIO",IF(Tabla1[[#This Row],[AGOSTO]]&gt;22.5,Tabla1[[#This Row],[AGOSTO]]/22.5-1,0),IF(Tabla1[[#This Row],[AGOSTO]]&gt;45,Tabla1[[#This Row],[AGOSTO]]/45-1,0))</f>
        <v>0</v>
      </c>
      <c r="AM54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7" s="104">
        <f t="shared" si="18"/>
        <v>0</v>
      </c>
      <c r="AR547" s="9">
        <f t="shared" si="17"/>
        <v>1</v>
      </c>
      <c r="AS547" s="60">
        <f>IF(Tabla1[[#This Row],[MESES DE ADEUDO DEL AÑO EN CURSO ]]&gt;0,1,0)</f>
        <v>1</v>
      </c>
    </row>
    <row r="548" spans="1:45" ht="21.75" thickBot="1" x14ac:dyDescent="0.35">
      <c r="A548" s="109">
        <v>542</v>
      </c>
      <c r="B548" s="96" t="s">
        <v>649</v>
      </c>
      <c r="C548" s="97" t="s">
        <v>461</v>
      </c>
      <c r="D548" s="98"/>
      <c r="E548" s="35" t="s">
        <v>455</v>
      </c>
      <c r="F548" s="52">
        <v>0</v>
      </c>
      <c r="G548" s="52">
        <v>0</v>
      </c>
      <c r="H548" s="52">
        <v>0</v>
      </c>
      <c r="I548" s="52">
        <v>0</v>
      </c>
      <c r="J548" s="52">
        <v>0</v>
      </c>
      <c r="K548" s="52">
        <v>0</v>
      </c>
      <c r="L548" s="52">
        <v>0</v>
      </c>
      <c r="M548" s="52">
        <v>0</v>
      </c>
      <c r="N548" s="52">
        <v>0</v>
      </c>
      <c r="O548" s="52">
        <v>0</v>
      </c>
      <c r="P548" s="52">
        <v>0</v>
      </c>
      <c r="Q548" s="52">
        <v>0</v>
      </c>
      <c r="R548" s="95">
        <f>SUM(Tabla1[[#This Row],[ENERO ]:[DICIEMBRE]])</f>
        <v>0</v>
      </c>
      <c r="W548" s="65">
        <v>15</v>
      </c>
      <c r="X548" s="21">
        <f>COUNTIF(Tabla1[[#This Row],[ENERO ]:[DICIEMBRE]],0)-(AQ548)-IF(Tabla1[[#This Row],[BAJAS]]="BAJA",IF(Tabla1[[#This Row],[ALTAS]]="ALTA",VLOOKUP(Tabla1[[#This Row],[MES DE ALTA ]],$AT$6:$AU$17,2,FALSE),12)-VLOOKUP(Tabla1[[#This Row],[MES DE BAJA ]],$AT$6:$AU$17,2,FALSE),0)</f>
        <v>12</v>
      </c>
      <c r="Y548" s="94">
        <f>SUM(Tabla1[[#This Row],[MES ADEUDO DE AÑOS PASADOS ]:[MESES DE ADEUDO DEL AÑO EN CURSO ]])</f>
        <v>27</v>
      </c>
      <c r="Z548" s="15">
        <f>IF(Tabla1[[#This Row],[TIPO DE CONSUMIDOR]]="COMPLETO",W548*$T$2,W548*($T$2/2))</f>
        <v>675</v>
      </c>
      <c r="AA548" s="15">
        <f>IF(Tabla1[[#This Row],[TIPO DE CONSUMIDOR]]="COMPLETO",Tabla1[[#This Row],[MESES DE ADEUDO DEL AÑO EN CURSO ]]*$T$2,Tabla1[[#This Row],[MESES DE ADEUDO DEL AÑO EN CURSO ]]*($T$2/2))</f>
        <v>540</v>
      </c>
      <c r="AB548" s="70">
        <f>SUM(Tabla1[[#This Row],[DEUDA DE LOS MESES PASADOS EN $$]:[DEUDA DEL AÑO 2013 $$ ]])</f>
        <v>1215</v>
      </c>
      <c r="AE548" s="103">
        <f>IF(Tabla1[[#This Row],[TIPO DE CONSUMIDOR]]="MEDIO",IF(Tabla1[[#This Row],[ENERO ]]&gt;22.5,Tabla1[[#This Row],[ENERO ]]/22.5-1,0),IF(Tabla1[[#This Row],[ENERO ]]&gt;45,Tabla1[[#This Row],[ENERO ]]/45-1,0))</f>
        <v>0</v>
      </c>
      <c r="AF54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8" s="103">
        <f>IF(Tabla1[[#This Row],[TIPO DE CONSUMIDOR]]="MEDIO",IF(Tabla1[[#This Row],[MARZO]]&gt;22.5,Tabla1[[#This Row],[MARZO]]/22.5-1,0),IF(Tabla1[[#This Row],[MARZO]]&gt;45,Tabla1[[#This Row],[MARZO]]/45-1,0))</f>
        <v>0</v>
      </c>
      <c r="AH548" s="103">
        <f>IF(Tabla1[[#This Row],[TIPO DE CONSUMIDOR]]="MEDIO",IF(Tabla1[[#This Row],[ABRIL]]&gt;22.5,Tabla1[[#This Row],[ABRIL]]/22.5-1,0),IF(Tabla1[[#This Row],[ABRIL]]&gt;45,Tabla1[[#This Row],[ABRIL]]/45-1,0))</f>
        <v>0</v>
      </c>
      <c r="AI548" s="103">
        <f>IF(Tabla1[[#This Row],[TIPO DE CONSUMIDOR]]="MEDIO",IF(Tabla1[[#This Row],[MAYO ]]&gt;22.5,Tabla1[[#This Row],[MAYO ]]/22.5-1,0),IF(Tabla1[[#This Row],[MAYO ]]&gt;45,Tabla1[[#This Row],[MAYO ]]/45-1,0))</f>
        <v>0</v>
      </c>
      <c r="AJ548" s="103">
        <f>IF(Tabla1[[#This Row],[TIPO DE CONSUMIDOR]]="MEDIO",IF(Tabla1[[#This Row],[JUNIO ]]&gt;22.5,Tabla1[[#This Row],[JUNIO ]]/22.5-1,0),IF(Tabla1[[#This Row],[JUNIO ]]&gt;45,Tabla1[[#This Row],[JUNIO ]]/45-1,0))</f>
        <v>0</v>
      </c>
      <c r="AK548" s="103">
        <f>IF(Tabla1[[#This Row],[TIPO DE CONSUMIDOR]]="MEDIO",IF(Tabla1[[#This Row],[JULIO ]]&gt;22.5,Tabla1[[#This Row],[JULIO ]]/22.5-1,0),IF(Tabla1[[#This Row],[JULIO ]]&gt;45,Tabla1[[#This Row],[JULIO ]]/45-1,0))</f>
        <v>0</v>
      </c>
      <c r="AL548" s="103">
        <f>IF(Tabla1[[#This Row],[TIPO DE CONSUMIDOR]]="MEDIO",IF(Tabla1[[#This Row],[AGOSTO]]&gt;22.5,Tabla1[[#This Row],[AGOSTO]]/22.5-1,0),IF(Tabla1[[#This Row],[AGOSTO]]&gt;45,Tabla1[[#This Row],[AGOSTO]]/45-1,0))</f>
        <v>0</v>
      </c>
      <c r="AM54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8" s="104">
        <f t="shared" si="18"/>
        <v>0</v>
      </c>
      <c r="AR548" s="9">
        <f t="shared" si="17"/>
        <v>1</v>
      </c>
      <c r="AS548" s="60">
        <f>IF(Tabla1[[#This Row],[MESES DE ADEUDO DEL AÑO EN CURSO ]]&gt;0,1,0)</f>
        <v>1</v>
      </c>
    </row>
    <row r="549" spans="1:45" ht="21.75" thickBot="1" x14ac:dyDescent="0.35">
      <c r="A549" s="109">
        <v>543</v>
      </c>
      <c r="B549" s="5" t="s">
        <v>653</v>
      </c>
      <c r="C549" s="97" t="s">
        <v>530</v>
      </c>
      <c r="D549" s="32"/>
      <c r="E549" s="35" t="s">
        <v>455</v>
      </c>
      <c r="F549" s="52">
        <v>0</v>
      </c>
      <c r="G549" s="53">
        <v>0</v>
      </c>
      <c r="H549" s="53">
        <v>0</v>
      </c>
      <c r="I549" s="53">
        <v>0</v>
      </c>
      <c r="J549" s="53">
        <v>0</v>
      </c>
      <c r="K549" s="53">
        <v>0</v>
      </c>
      <c r="L549" s="53">
        <v>0</v>
      </c>
      <c r="M549" s="53">
        <v>0</v>
      </c>
      <c r="N549" s="53">
        <v>0</v>
      </c>
      <c r="O549" s="53">
        <v>0</v>
      </c>
      <c r="P549" s="53">
        <v>0</v>
      </c>
      <c r="Q549" s="54">
        <v>0</v>
      </c>
      <c r="R549" s="95">
        <f>SUM(Tabla1[[#This Row],[ENERO ]:[DICIEMBRE]])</f>
        <v>0</v>
      </c>
      <c r="W549" s="65">
        <v>15</v>
      </c>
      <c r="X549" s="21">
        <f>COUNTIF(Tabla1[[#This Row],[ENERO ]:[DICIEMBRE]],0)-(AQ549)-IF(Tabla1[[#This Row],[BAJAS]]="BAJA",IF(Tabla1[[#This Row],[ALTAS]]="ALTA",VLOOKUP(Tabla1[[#This Row],[MES DE ALTA ]],$AT$6:$AU$17,2,FALSE),12)-VLOOKUP(Tabla1[[#This Row],[MES DE BAJA ]],$AT$6:$AU$17,2,FALSE),0)</f>
        <v>12</v>
      </c>
      <c r="Y549" s="94">
        <f>SUM(Tabla1[[#This Row],[MES ADEUDO DE AÑOS PASADOS ]:[MESES DE ADEUDO DEL AÑO EN CURSO ]])</f>
        <v>27</v>
      </c>
      <c r="Z549" s="15">
        <f>IF(Tabla1[[#This Row],[TIPO DE CONSUMIDOR]]="COMPLETO",W549*$T$2,W549*($T$2/2))</f>
        <v>675</v>
      </c>
      <c r="AA549" s="15">
        <f>IF(Tabla1[[#This Row],[TIPO DE CONSUMIDOR]]="COMPLETO",Tabla1[[#This Row],[MESES DE ADEUDO DEL AÑO EN CURSO ]]*$T$2,Tabla1[[#This Row],[MESES DE ADEUDO DEL AÑO EN CURSO ]]*($T$2/2))</f>
        <v>540</v>
      </c>
      <c r="AB549" s="70">
        <f>SUM(Tabla1[[#This Row],[DEUDA DE LOS MESES PASADOS EN $$]:[DEUDA DEL AÑO 2013 $$ ]])</f>
        <v>1215</v>
      </c>
      <c r="AE549" s="103">
        <f>IF(Tabla1[[#This Row],[TIPO DE CONSUMIDOR]]="MEDIO",IF(Tabla1[[#This Row],[ENERO ]]&gt;22.5,Tabla1[[#This Row],[ENERO ]]/22.5-1,0),IF(Tabla1[[#This Row],[ENERO ]]&gt;45,Tabla1[[#This Row],[ENERO ]]/45-1,0))</f>
        <v>0</v>
      </c>
      <c r="AF54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49" s="103">
        <f>IF(Tabla1[[#This Row],[TIPO DE CONSUMIDOR]]="MEDIO",IF(Tabla1[[#This Row],[MARZO]]&gt;22.5,Tabla1[[#This Row],[MARZO]]/22.5-1,0),IF(Tabla1[[#This Row],[MARZO]]&gt;45,Tabla1[[#This Row],[MARZO]]/45-1,0))</f>
        <v>0</v>
      </c>
      <c r="AH549" s="103">
        <f>IF(Tabla1[[#This Row],[TIPO DE CONSUMIDOR]]="MEDIO",IF(Tabla1[[#This Row],[ABRIL]]&gt;22.5,Tabla1[[#This Row],[ABRIL]]/22.5-1,0),IF(Tabla1[[#This Row],[ABRIL]]&gt;45,Tabla1[[#This Row],[ABRIL]]/45-1,0))</f>
        <v>0</v>
      </c>
      <c r="AI549" s="103">
        <f>IF(Tabla1[[#This Row],[TIPO DE CONSUMIDOR]]="MEDIO",IF(Tabla1[[#This Row],[MAYO ]]&gt;22.5,Tabla1[[#This Row],[MAYO ]]/22.5-1,0),IF(Tabla1[[#This Row],[MAYO ]]&gt;45,Tabla1[[#This Row],[MAYO ]]/45-1,0))</f>
        <v>0</v>
      </c>
      <c r="AJ549" s="103">
        <f>IF(Tabla1[[#This Row],[TIPO DE CONSUMIDOR]]="MEDIO",IF(Tabla1[[#This Row],[JUNIO ]]&gt;22.5,Tabla1[[#This Row],[JUNIO ]]/22.5-1,0),IF(Tabla1[[#This Row],[JUNIO ]]&gt;45,Tabla1[[#This Row],[JUNIO ]]/45-1,0))</f>
        <v>0</v>
      </c>
      <c r="AK549" s="103">
        <f>IF(Tabla1[[#This Row],[TIPO DE CONSUMIDOR]]="MEDIO",IF(Tabla1[[#This Row],[JULIO ]]&gt;22.5,Tabla1[[#This Row],[JULIO ]]/22.5-1,0),IF(Tabla1[[#This Row],[JULIO ]]&gt;45,Tabla1[[#This Row],[JULIO ]]/45-1,0))</f>
        <v>0</v>
      </c>
      <c r="AL549" s="103">
        <f>IF(Tabla1[[#This Row],[TIPO DE CONSUMIDOR]]="MEDIO",IF(Tabla1[[#This Row],[AGOSTO]]&gt;22.5,Tabla1[[#This Row],[AGOSTO]]/22.5-1,0),IF(Tabla1[[#This Row],[AGOSTO]]&gt;45,Tabla1[[#This Row],[AGOSTO]]/45-1,0))</f>
        <v>0</v>
      </c>
      <c r="AM54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4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4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4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49" s="104">
        <f t="shared" si="18"/>
        <v>0</v>
      </c>
      <c r="AR549" s="9">
        <f t="shared" si="17"/>
        <v>1</v>
      </c>
      <c r="AS549" s="60">
        <f>IF(Tabla1[[#This Row],[MESES DE ADEUDO DEL AÑO EN CURSO ]]&gt;0,1,0)</f>
        <v>1</v>
      </c>
    </row>
    <row r="550" spans="1:45" ht="21.75" thickBot="1" x14ac:dyDescent="0.35">
      <c r="A550" s="109">
        <v>544</v>
      </c>
      <c r="B550" s="5" t="s">
        <v>566</v>
      </c>
      <c r="C550" s="2" t="s">
        <v>562</v>
      </c>
      <c r="D550" s="32"/>
      <c r="E550" s="35" t="s">
        <v>455</v>
      </c>
      <c r="F550" s="52">
        <v>0</v>
      </c>
      <c r="G550" s="52">
        <v>0</v>
      </c>
      <c r="H550" s="52">
        <v>0</v>
      </c>
      <c r="I550" s="52">
        <v>0</v>
      </c>
      <c r="J550" s="52">
        <v>0</v>
      </c>
      <c r="K550" s="52">
        <v>0</v>
      </c>
      <c r="L550" s="52">
        <v>0</v>
      </c>
      <c r="M550" s="52">
        <v>0</v>
      </c>
      <c r="N550" s="52">
        <v>0</v>
      </c>
      <c r="O550" s="52">
        <v>0</v>
      </c>
      <c r="P550" s="52">
        <v>0</v>
      </c>
      <c r="Q550" s="52">
        <v>0</v>
      </c>
      <c r="R550" s="59">
        <f>SUM(Tabla1[[#This Row],[ENERO ]:[DICIEMBRE]])</f>
        <v>0</v>
      </c>
      <c r="W550" s="65">
        <v>16</v>
      </c>
      <c r="X550" s="21">
        <f>COUNTIF(Tabla1[[#This Row],[ENERO ]:[DICIEMBRE]],0)-(AQ550)-IF(Tabla1[[#This Row],[BAJAS]]="BAJA",IF(Tabla1[[#This Row],[ALTAS]]="ALTA",VLOOKUP(Tabla1[[#This Row],[MES DE ALTA ]],$AT$6:$AU$17,2,FALSE),12)-VLOOKUP(Tabla1[[#This Row],[MES DE BAJA ]],$AT$6:$AU$17,2,FALSE),0)</f>
        <v>12</v>
      </c>
      <c r="Y550" s="69">
        <f>SUM(Tabla1[[#This Row],[MES ADEUDO DE AÑOS PASADOS ]:[MESES DE ADEUDO DEL AÑO EN CURSO ]])</f>
        <v>28</v>
      </c>
      <c r="Z550" s="15">
        <f>IF(Tabla1[[#This Row],[TIPO DE CONSUMIDOR]]="COMPLETO",W550*$T$2,W550*($T$2/2))</f>
        <v>720</v>
      </c>
      <c r="AA550" s="15">
        <f>IF(Tabla1[[#This Row],[TIPO DE CONSUMIDOR]]="COMPLETO",Tabla1[[#This Row],[MESES DE ADEUDO DEL AÑO EN CURSO ]]*$T$2,Tabla1[[#This Row],[MESES DE ADEUDO DEL AÑO EN CURSO ]]*($T$2/2))</f>
        <v>540</v>
      </c>
      <c r="AB550" s="70">
        <f>SUM(Tabla1[[#This Row],[DEUDA DE LOS MESES PASADOS EN $$]:[DEUDA DEL AÑO 2013 $$ ]])</f>
        <v>1260</v>
      </c>
      <c r="AE550" s="103">
        <f>IF(Tabla1[[#This Row],[TIPO DE CONSUMIDOR]]="MEDIO",IF(Tabla1[[#This Row],[ENERO ]]&gt;22.5,Tabla1[[#This Row],[ENERO ]]/22.5-1,0),IF(Tabla1[[#This Row],[ENERO ]]&gt;45,Tabla1[[#This Row],[ENERO ]]/45-1,0))</f>
        <v>0</v>
      </c>
      <c r="AF55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0" s="103">
        <f>IF(Tabla1[[#This Row],[TIPO DE CONSUMIDOR]]="MEDIO",IF(Tabla1[[#This Row],[MARZO]]&gt;22.5,Tabla1[[#This Row],[MARZO]]/22.5-1,0),IF(Tabla1[[#This Row],[MARZO]]&gt;45,Tabla1[[#This Row],[MARZO]]/45-1,0))</f>
        <v>0</v>
      </c>
      <c r="AH550" s="103">
        <f>IF(Tabla1[[#This Row],[TIPO DE CONSUMIDOR]]="MEDIO",IF(Tabla1[[#This Row],[ABRIL]]&gt;22.5,Tabla1[[#This Row],[ABRIL]]/22.5-1,0),IF(Tabla1[[#This Row],[ABRIL]]&gt;45,Tabla1[[#This Row],[ABRIL]]/45-1,0))</f>
        <v>0</v>
      </c>
      <c r="AI550" s="103">
        <f>IF(Tabla1[[#This Row],[TIPO DE CONSUMIDOR]]="MEDIO",IF(Tabla1[[#This Row],[MAYO ]]&gt;22.5,Tabla1[[#This Row],[MAYO ]]/22.5-1,0),IF(Tabla1[[#This Row],[MAYO ]]&gt;45,Tabla1[[#This Row],[MAYO ]]/45-1,0))</f>
        <v>0</v>
      </c>
      <c r="AJ550" s="103">
        <f>IF(Tabla1[[#This Row],[TIPO DE CONSUMIDOR]]="MEDIO",IF(Tabla1[[#This Row],[JUNIO ]]&gt;22.5,Tabla1[[#This Row],[JUNIO ]]/22.5-1,0),IF(Tabla1[[#This Row],[JUNIO ]]&gt;45,Tabla1[[#This Row],[JUNIO ]]/45-1,0))</f>
        <v>0</v>
      </c>
      <c r="AK550" s="103">
        <f>IF(Tabla1[[#This Row],[TIPO DE CONSUMIDOR]]="MEDIO",IF(Tabla1[[#This Row],[JULIO ]]&gt;22.5,Tabla1[[#This Row],[JULIO ]]/22.5-1,0),IF(Tabla1[[#This Row],[JULIO ]]&gt;45,Tabla1[[#This Row],[JULIO ]]/45-1,0))</f>
        <v>0</v>
      </c>
      <c r="AL550" s="103">
        <f>IF(Tabla1[[#This Row],[TIPO DE CONSUMIDOR]]="MEDIO",IF(Tabla1[[#This Row],[AGOSTO]]&gt;22.5,Tabla1[[#This Row],[AGOSTO]]/22.5-1,0),IF(Tabla1[[#This Row],[AGOSTO]]&gt;45,Tabla1[[#This Row],[AGOSTO]]/45-1,0))</f>
        <v>0</v>
      </c>
      <c r="AM55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0" s="104">
        <f t="shared" si="18"/>
        <v>0</v>
      </c>
      <c r="AR550" s="9">
        <f t="shared" si="17"/>
        <v>1</v>
      </c>
      <c r="AS550" s="60">
        <f>IF(Tabla1[[#This Row],[MESES DE ADEUDO DEL AÑO EN CURSO ]]&gt;0,1,0)</f>
        <v>1</v>
      </c>
    </row>
    <row r="551" spans="1:45" ht="21.75" thickBot="1" x14ac:dyDescent="0.35">
      <c r="A551" s="109">
        <v>545</v>
      </c>
      <c r="B551" s="5" t="s">
        <v>586</v>
      </c>
      <c r="C551" s="2"/>
      <c r="D551" s="32"/>
      <c r="E551" s="35" t="s">
        <v>455</v>
      </c>
      <c r="F551" s="52">
        <v>0</v>
      </c>
      <c r="G551" s="53">
        <v>0</v>
      </c>
      <c r="H551" s="53">
        <v>0</v>
      </c>
      <c r="I551" s="53">
        <v>0</v>
      </c>
      <c r="J551" s="53">
        <v>0</v>
      </c>
      <c r="K551" s="53">
        <v>0</v>
      </c>
      <c r="L551" s="53">
        <v>0</v>
      </c>
      <c r="M551" s="53">
        <v>0</v>
      </c>
      <c r="N551" s="53">
        <v>0</v>
      </c>
      <c r="O551" s="53">
        <v>0</v>
      </c>
      <c r="P551" s="53">
        <v>0</v>
      </c>
      <c r="Q551" s="54">
        <v>0</v>
      </c>
      <c r="R551" s="59">
        <f>SUM(Tabla1[[#This Row],[ENERO ]:[DICIEMBRE]])</f>
        <v>0</v>
      </c>
      <c r="W551" s="65">
        <v>16</v>
      </c>
      <c r="X551" s="21">
        <f>COUNTIF(Tabla1[[#This Row],[ENERO ]:[DICIEMBRE]],0)-(AQ551)-IF(Tabla1[[#This Row],[BAJAS]]="BAJA",IF(Tabla1[[#This Row],[ALTAS]]="ALTA",VLOOKUP(Tabla1[[#This Row],[MES DE ALTA ]],$AT$6:$AU$17,2,FALSE),12)-VLOOKUP(Tabla1[[#This Row],[MES DE BAJA ]],$AT$6:$AU$17,2,FALSE),0)</f>
        <v>12</v>
      </c>
      <c r="Y551" s="69">
        <f>SUM(Tabla1[[#This Row],[MES ADEUDO DE AÑOS PASADOS ]:[MESES DE ADEUDO DEL AÑO EN CURSO ]])</f>
        <v>28</v>
      </c>
      <c r="Z551" s="15">
        <f>IF(Tabla1[[#This Row],[TIPO DE CONSUMIDOR]]="COMPLETO",W551*$T$2,W551*($T$2/2))</f>
        <v>720</v>
      </c>
      <c r="AA551" s="15">
        <f>IF(Tabla1[[#This Row],[TIPO DE CONSUMIDOR]]="COMPLETO",Tabla1[[#This Row],[MESES DE ADEUDO DEL AÑO EN CURSO ]]*$T$2,Tabla1[[#This Row],[MESES DE ADEUDO DEL AÑO EN CURSO ]]*($T$2/2))</f>
        <v>540</v>
      </c>
      <c r="AB551" s="70">
        <f>SUM(Tabla1[[#This Row],[DEUDA DE LOS MESES PASADOS EN $$]:[DEUDA DEL AÑO 2013 $$ ]])</f>
        <v>1260</v>
      </c>
      <c r="AE551" s="103">
        <f>IF(Tabla1[[#This Row],[TIPO DE CONSUMIDOR]]="MEDIO",IF(Tabla1[[#This Row],[ENERO ]]&gt;22.5,Tabla1[[#This Row],[ENERO ]]/22.5-1,0),IF(Tabla1[[#This Row],[ENERO ]]&gt;45,Tabla1[[#This Row],[ENERO ]]/45-1,0))</f>
        <v>0</v>
      </c>
      <c r="AF55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1" s="103">
        <f>IF(Tabla1[[#This Row],[TIPO DE CONSUMIDOR]]="MEDIO",IF(Tabla1[[#This Row],[MARZO]]&gt;22.5,Tabla1[[#This Row],[MARZO]]/22.5-1,0),IF(Tabla1[[#This Row],[MARZO]]&gt;45,Tabla1[[#This Row],[MARZO]]/45-1,0))</f>
        <v>0</v>
      </c>
      <c r="AH551" s="103">
        <f>IF(Tabla1[[#This Row],[TIPO DE CONSUMIDOR]]="MEDIO",IF(Tabla1[[#This Row],[ABRIL]]&gt;22.5,Tabla1[[#This Row],[ABRIL]]/22.5-1,0),IF(Tabla1[[#This Row],[ABRIL]]&gt;45,Tabla1[[#This Row],[ABRIL]]/45-1,0))</f>
        <v>0</v>
      </c>
      <c r="AI551" s="103">
        <f>IF(Tabla1[[#This Row],[TIPO DE CONSUMIDOR]]="MEDIO",IF(Tabla1[[#This Row],[MAYO ]]&gt;22.5,Tabla1[[#This Row],[MAYO ]]/22.5-1,0),IF(Tabla1[[#This Row],[MAYO ]]&gt;45,Tabla1[[#This Row],[MAYO ]]/45-1,0))</f>
        <v>0</v>
      </c>
      <c r="AJ551" s="103">
        <f>IF(Tabla1[[#This Row],[TIPO DE CONSUMIDOR]]="MEDIO",IF(Tabla1[[#This Row],[JUNIO ]]&gt;22.5,Tabla1[[#This Row],[JUNIO ]]/22.5-1,0),IF(Tabla1[[#This Row],[JUNIO ]]&gt;45,Tabla1[[#This Row],[JUNIO ]]/45-1,0))</f>
        <v>0</v>
      </c>
      <c r="AK551" s="103">
        <f>IF(Tabla1[[#This Row],[TIPO DE CONSUMIDOR]]="MEDIO",IF(Tabla1[[#This Row],[JULIO ]]&gt;22.5,Tabla1[[#This Row],[JULIO ]]/22.5-1,0),IF(Tabla1[[#This Row],[JULIO ]]&gt;45,Tabla1[[#This Row],[JULIO ]]/45-1,0))</f>
        <v>0</v>
      </c>
      <c r="AL551" s="103">
        <f>IF(Tabla1[[#This Row],[TIPO DE CONSUMIDOR]]="MEDIO",IF(Tabla1[[#This Row],[AGOSTO]]&gt;22.5,Tabla1[[#This Row],[AGOSTO]]/22.5-1,0),IF(Tabla1[[#This Row],[AGOSTO]]&gt;45,Tabla1[[#This Row],[AGOSTO]]/45-1,0))</f>
        <v>0</v>
      </c>
      <c r="AM55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1" s="104">
        <f t="shared" si="18"/>
        <v>0</v>
      </c>
      <c r="AR551" s="9">
        <f t="shared" si="17"/>
        <v>1</v>
      </c>
      <c r="AS551" s="60">
        <f>IF(Tabla1[[#This Row],[MESES DE ADEUDO DEL AÑO EN CURSO ]]&gt;0,1,0)</f>
        <v>1</v>
      </c>
    </row>
    <row r="552" spans="1:45" ht="21.75" thickBot="1" x14ac:dyDescent="0.35">
      <c r="A552" s="109">
        <v>546</v>
      </c>
      <c r="B552" s="96" t="s">
        <v>648</v>
      </c>
      <c r="C552" s="97" t="s">
        <v>501</v>
      </c>
      <c r="D552" s="98"/>
      <c r="E552" s="35" t="s">
        <v>455</v>
      </c>
      <c r="F552" s="52">
        <v>0</v>
      </c>
      <c r="G552" s="52">
        <v>0</v>
      </c>
      <c r="H552" s="52">
        <v>0</v>
      </c>
      <c r="I552" s="52">
        <v>0</v>
      </c>
      <c r="J552" s="52">
        <v>0</v>
      </c>
      <c r="K552" s="52">
        <v>0</v>
      </c>
      <c r="L552" s="52">
        <v>0</v>
      </c>
      <c r="M552" s="52">
        <v>0</v>
      </c>
      <c r="N552" s="52">
        <v>0</v>
      </c>
      <c r="O552" s="52">
        <v>0</v>
      </c>
      <c r="P552" s="52">
        <v>0</v>
      </c>
      <c r="Q552" s="52">
        <v>0</v>
      </c>
      <c r="R552" s="95">
        <f>SUM(Tabla1[[#This Row],[ENERO ]:[DICIEMBRE]])</f>
        <v>0</v>
      </c>
      <c r="W552" s="65">
        <v>16</v>
      </c>
      <c r="X552" s="21">
        <f>COUNTIF(Tabla1[[#This Row],[ENERO ]:[DICIEMBRE]],0)-(AQ552)-IF(Tabla1[[#This Row],[BAJAS]]="BAJA",IF(Tabla1[[#This Row],[ALTAS]]="ALTA",VLOOKUP(Tabla1[[#This Row],[MES DE ALTA ]],$AT$6:$AU$17,2,FALSE),12)-VLOOKUP(Tabla1[[#This Row],[MES DE BAJA ]],$AT$6:$AU$17,2,FALSE),0)</f>
        <v>12</v>
      </c>
      <c r="Y552" s="94">
        <f>SUM(Tabla1[[#This Row],[MES ADEUDO DE AÑOS PASADOS ]:[MESES DE ADEUDO DEL AÑO EN CURSO ]])</f>
        <v>28</v>
      </c>
      <c r="Z552" s="15">
        <f>IF(Tabla1[[#This Row],[TIPO DE CONSUMIDOR]]="COMPLETO",W552*$T$2,W552*($T$2/2))</f>
        <v>720</v>
      </c>
      <c r="AA552" s="15">
        <f>IF(Tabla1[[#This Row],[TIPO DE CONSUMIDOR]]="COMPLETO",Tabla1[[#This Row],[MESES DE ADEUDO DEL AÑO EN CURSO ]]*$T$2,Tabla1[[#This Row],[MESES DE ADEUDO DEL AÑO EN CURSO ]]*($T$2/2))</f>
        <v>540</v>
      </c>
      <c r="AB552" s="70">
        <f>SUM(Tabla1[[#This Row],[DEUDA DE LOS MESES PASADOS EN $$]:[DEUDA DEL AÑO 2013 $$ ]])</f>
        <v>1260</v>
      </c>
      <c r="AE552" s="103">
        <f>IF(Tabla1[[#This Row],[TIPO DE CONSUMIDOR]]="MEDIO",IF(Tabla1[[#This Row],[ENERO ]]&gt;22.5,Tabla1[[#This Row],[ENERO ]]/22.5-1,0),IF(Tabla1[[#This Row],[ENERO ]]&gt;45,Tabla1[[#This Row],[ENERO ]]/45-1,0))</f>
        <v>0</v>
      </c>
      <c r="AF55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2" s="103">
        <f>IF(Tabla1[[#This Row],[TIPO DE CONSUMIDOR]]="MEDIO",IF(Tabla1[[#This Row],[MARZO]]&gt;22.5,Tabla1[[#This Row],[MARZO]]/22.5-1,0),IF(Tabla1[[#This Row],[MARZO]]&gt;45,Tabla1[[#This Row],[MARZO]]/45-1,0))</f>
        <v>0</v>
      </c>
      <c r="AH552" s="103">
        <f>IF(Tabla1[[#This Row],[TIPO DE CONSUMIDOR]]="MEDIO",IF(Tabla1[[#This Row],[ABRIL]]&gt;22.5,Tabla1[[#This Row],[ABRIL]]/22.5-1,0),IF(Tabla1[[#This Row],[ABRIL]]&gt;45,Tabla1[[#This Row],[ABRIL]]/45-1,0))</f>
        <v>0</v>
      </c>
      <c r="AI552" s="103">
        <f>IF(Tabla1[[#This Row],[TIPO DE CONSUMIDOR]]="MEDIO",IF(Tabla1[[#This Row],[MAYO ]]&gt;22.5,Tabla1[[#This Row],[MAYO ]]/22.5-1,0),IF(Tabla1[[#This Row],[MAYO ]]&gt;45,Tabla1[[#This Row],[MAYO ]]/45-1,0))</f>
        <v>0</v>
      </c>
      <c r="AJ552" s="103">
        <f>IF(Tabla1[[#This Row],[TIPO DE CONSUMIDOR]]="MEDIO",IF(Tabla1[[#This Row],[JUNIO ]]&gt;22.5,Tabla1[[#This Row],[JUNIO ]]/22.5-1,0),IF(Tabla1[[#This Row],[JUNIO ]]&gt;45,Tabla1[[#This Row],[JUNIO ]]/45-1,0))</f>
        <v>0</v>
      </c>
      <c r="AK552" s="103">
        <f>IF(Tabla1[[#This Row],[TIPO DE CONSUMIDOR]]="MEDIO",IF(Tabla1[[#This Row],[JULIO ]]&gt;22.5,Tabla1[[#This Row],[JULIO ]]/22.5-1,0),IF(Tabla1[[#This Row],[JULIO ]]&gt;45,Tabla1[[#This Row],[JULIO ]]/45-1,0))</f>
        <v>0</v>
      </c>
      <c r="AL552" s="103">
        <f>IF(Tabla1[[#This Row],[TIPO DE CONSUMIDOR]]="MEDIO",IF(Tabla1[[#This Row],[AGOSTO]]&gt;22.5,Tabla1[[#This Row],[AGOSTO]]/22.5-1,0),IF(Tabla1[[#This Row],[AGOSTO]]&gt;45,Tabla1[[#This Row],[AGOSTO]]/45-1,0))</f>
        <v>0</v>
      </c>
      <c r="AM55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2" s="104">
        <f t="shared" si="18"/>
        <v>0</v>
      </c>
      <c r="AR552" s="9">
        <f t="shared" si="17"/>
        <v>1</v>
      </c>
      <c r="AS552" s="60">
        <f>IF(Tabla1[[#This Row],[MESES DE ADEUDO DEL AÑO EN CURSO ]]&gt;0,1,0)</f>
        <v>1</v>
      </c>
    </row>
    <row r="553" spans="1:45" ht="21.75" thickBot="1" x14ac:dyDescent="0.35">
      <c r="A553" s="109">
        <v>547</v>
      </c>
      <c r="B553" s="5" t="s">
        <v>654</v>
      </c>
      <c r="C553" s="97" t="s">
        <v>575</v>
      </c>
      <c r="D553" s="32"/>
      <c r="E553" s="35" t="s">
        <v>455</v>
      </c>
      <c r="F553" s="52">
        <v>0</v>
      </c>
      <c r="G553" s="52">
        <v>0</v>
      </c>
      <c r="H553" s="52">
        <v>0</v>
      </c>
      <c r="I553" s="52">
        <v>0</v>
      </c>
      <c r="J553" s="52">
        <v>0</v>
      </c>
      <c r="K553" s="52">
        <v>0</v>
      </c>
      <c r="L553" s="52">
        <v>0</v>
      </c>
      <c r="M553" s="52">
        <v>0</v>
      </c>
      <c r="N553" s="52">
        <v>0</v>
      </c>
      <c r="O553" s="52">
        <v>0</v>
      </c>
      <c r="P553" s="52">
        <v>0</v>
      </c>
      <c r="Q553" s="52">
        <v>0</v>
      </c>
      <c r="R553" s="95">
        <f>SUM(Tabla1[[#This Row],[ENERO ]:[DICIEMBRE]])</f>
        <v>0</v>
      </c>
      <c r="W553" s="65">
        <v>16</v>
      </c>
      <c r="X553" s="21">
        <f>COUNTIF(Tabla1[[#This Row],[ENERO ]:[DICIEMBRE]],0)-(AQ553)-IF(Tabla1[[#This Row],[BAJAS]]="BAJA",IF(Tabla1[[#This Row],[ALTAS]]="ALTA",VLOOKUP(Tabla1[[#This Row],[MES DE ALTA ]],$AT$6:$AU$17,2,FALSE),12)-VLOOKUP(Tabla1[[#This Row],[MES DE BAJA ]],$AT$6:$AU$17,2,FALSE),0)</f>
        <v>12</v>
      </c>
      <c r="Y553" s="94">
        <f>SUM(Tabla1[[#This Row],[MES ADEUDO DE AÑOS PASADOS ]:[MESES DE ADEUDO DEL AÑO EN CURSO ]])</f>
        <v>28</v>
      </c>
      <c r="Z553" s="15">
        <f>IF(Tabla1[[#This Row],[TIPO DE CONSUMIDOR]]="COMPLETO",W553*$T$2,W553*($T$2/2))</f>
        <v>720</v>
      </c>
      <c r="AA553" s="15">
        <f>IF(Tabla1[[#This Row],[TIPO DE CONSUMIDOR]]="COMPLETO",Tabla1[[#This Row],[MESES DE ADEUDO DEL AÑO EN CURSO ]]*$T$2,Tabla1[[#This Row],[MESES DE ADEUDO DEL AÑO EN CURSO ]]*($T$2/2))</f>
        <v>540</v>
      </c>
      <c r="AB553" s="70">
        <f>SUM(Tabla1[[#This Row],[DEUDA DE LOS MESES PASADOS EN $$]:[DEUDA DEL AÑO 2013 $$ ]])</f>
        <v>1260</v>
      </c>
      <c r="AE553" s="103">
        <f>IF(Tabla1[[#This Row],[TIPO DE CONSUMIDOR]]="MEDIO",IF(Tabla1[[#This Row],[ENERO ]]&gt;22.5,Tabla1[[#This Row],[ENERO ]]/22.5-1,0),IF(Tabla1[[#This Row],[ENERO ]]&gt;45,Tabla1[[#This Row],[ENERO ]]/45-1,0))</f>
        <v>0</v>
      </c>
      <c r="AF55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3" s="103">
        <f>IF(Tabla1[[#This Row],[TIPO DE CONSUMIDOR]]="MEDIO",IF(Tabla1[[#This Row],[MARZO]]&gt;22.5,Tabla1[[#This Row],[MARZO]]/22.5-1,0),IF(Tabla1[[#This Row],[MARZO]]&gt;45,Tabla1[[#This Row],[MARZO]]/45-1,0))</f>
        <v>0</v>
      </c>
      <c r="AH553" s="103">
        <f>IF(Tabla1[[#This Row],[TIPO DE CONSUMIDOR]]="MEDIO",IF(Tabla1[[#This Row],[ABRIL]]&gt;22.5,Tabla1[[#This Row],[ABRIL]]/22.5-1,0),IF(Tabla1[[#This Row],[ABRIL]]&gt;45,Tabla1[[#This Row],[ABRIL]]/45-1,0))</f>
        <v>0</v>
      </c>
      <c r="AI553" s="103">
        <f>IF(Tabla1[[#This Row],[TIPO DE CONSUMIDOR]]="MEDIO",IF(Tabla1[[#This Row],[MAYO ]]&gt;22.5,Tabla1[[#This Row],[MAYO ]]/22.5-1,0),IF(Tabla1[[#This Row],[MAYO ]]&gt;45,Tabla1[[#This Row],[MAYO ]]/45-1,0))</f>
        <v>0</v>
      </c>
      <c r="AJ553" s="103">
        <f>IF(Tabla1[[#This Row],[TIPO DE CONSUMIDOR]]="MEDIO",IF(Tabla1[[#This Row],[JUNIO ]]&gt;22.5,Tabla1[[#This Row],[JUNIO ]]/22.5-1,0),IF(Tabla1[[#This Row],[JUNIO ]]&gt;45,Tabla1[[#This Row],[JUNIO ]]/45-1,0))</f>
        <v>0</v>
      </c>
      <c r="AK553" s="103">
        <f>IF(Tabla1[[#This Row],[TIPO DE CONSUMIDOR]]="MEDIO",IF(Tabla1[[#This Row],[JULIO ]]&gt;22.5,Tabla1[[#This Row],[JULIO ]]/22.5-1,0),IF(Tabla1[[#This Row],[JULIO ]]&gt;45,Tabla1[[#This Row],[JULIO ]]/45-1,0))</f>
        <v>0</v>
      </c>
      <c r="AL553" s="103">
        <f>IF(Tabla1[[#This Row],[TIPO DE CONSUMIDOR]]="MEDIO",IF(Tabla1[[#This Row],[AGOSTO]]&gt;22.5,Tabla1[[#This Row],[AGOSTO]]/22.5-1,0),IF(Tabla1[[#This Row],[AGOSTO]]&gt;45,Tabla1[[#This Row],[AGOSTO]]/45-1,0))</f>
        <v>0</v>
      </c>
      <c r="AM55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3" s="104">
        <f t="shared" si="18"/>
        <v>0</v>
      </c>
      <c r="AR553" s="9">
        <f t="shared" si="17"/>
        <v>1</v>
      </c>
      <c r="AS553" s="60">
        <f>IF(Tabla1[[#This Row],[MESES DE ADEUDO DEL AÑO EN CURSO ]]&gt;0,1,0)</f>
        <v>1</v>
      </c>
    </row>
    <row r="554" spans="1:45" ht="21.75" thickBot="1" x14ac:dyDescent="0.35">
      <c r="A554" s="109">
        <v>548</v>
      </c>
      <c r="B554" s="5" t="s">
        <v>318</v>
      </c>
      <c r="C554" s="2" t="s">
        <v>530</v>
      </c>
      <c r="D554" s="32"/>
      <c r="E554" s="35" t="s">
        <v>455</v>
      </c>
      <c r="F554" s="52">
        <v>0</v>
      </c>
      <c r="G554" s="53">
        <v>0</v>
      </c>
      <c r="H554" s="53">
        <v>0</v>
      </c>
      <c r="I554" s="53">
        <v>0</v>
      </c>
      <c r="J554" s="53">
        <v>0</v>
      </c>
      <c r="K554" s="53">
        <v>0</v>
      </c>
      <c r="L554" s="53">
        <v>0</v>
      </c>
      <c r="M554" s="53">
        <v>0</v>
      </c>
      <c r="N554" s="53">
        <v>0</v>
      </c>
      <c r="O554" s="53">
        <v>0</v>
      </c>
      <c r="P554" s="53">
        <v>0</v>
      </c>
      <c r="Q554" s="54">
        <v>0</v>
      </c>
      <c r="R554" s="59">
        <f>SUM(Tabla1[[#This Row],[ENERO ]:[DICIEMBRE]])</f>
        <v>0</v>
      </c>
      <c r="W554" s="65">
        <v>17</v>
      </c>
      <c r="X554" s="21">
        <f>COUNTIF(Tabla1[[#This Row],[ENERO ]:[DICIEMBRE]],0)-(AQ554)-IF(Tabla1[[#This Row],[BAJAS]]="BAJA",IF(Tabla1[[#This Row],[ALTAS]]="ALTA",VLOOKUP(Tabla1[[#This Row],[MES DE ALTA ]],$AT$6:$AU$17,2,FALSE),12)-VLOOKUP(Tabla1[[#This Row],[MES DE BAJA ]],$AT$6:$AU$17,2,FALSE),0)</f>
        <v>12</v>
      </c>
      <c r="Y554" s="69">
        <f>SUM(Tabla1[[#This Row],[MES ADEUDO DE AÑOS PASADOS ]:[MESES DE ADEUDO DEL AÑO EN CURSO ]])</f>
        <v>29</v>
      </c>
      <c r="Z554" s="15">
        <f>IF(Tabla1[[#This Row],[TIPO DE CONSUMIDOR]]="COMPLETO",W554*$T$2,W554*($T$2/2))</f>
        <v>765</v>
      </c>
      <c r="AA554" s="15">
        <f>IF(Tabla1[[#This Row],[TIPO DE CONSUMIDOR]]="COMPLETO",Tabla1[[#This Row],[MESES DE ADEUDO DEL AÑO EN CURSO ]]*$T$2,Tabla1[[#This Row],[MESES DE ADEUDO DEL AÑO EN CURSO ]]*($T$2/2))</f>
        <v>540</v>
      </c>
      <c r="AB554" s="70">
        <f>SUM(Tabla1[[#This Row],[DEUDA DE LOS MESES PASADOS EN $$]:[DEUDA DEL AÑO 2013 $$ ]])</f>
        <v>1305</v>
      </c>
      <c r="AE554" s="103">
        <f>IF(Tabla1[[#This Row],[TIPO DE CONSUMIDOR]]="MEDIO",IF(Tabla1[[#This Row],[ENERO ]]&gt;22.5,Tabla1[[#This Row],[ENERO ]]/22.5-1,0),IF(Tabla1[[#This Row],[ENERO ]]&gt;45,Tabla1[[#This Row],[ENERO ]]/45-1,0))</f>
        <v>0</v>
      </c>
      <c r="AF55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4" s="103">
        <f>IF(Tabla1[[#This Row],[TIPO DE CONSUMIDOR]]="MEDIO",IF(Tabla1[[#This Row],[MARZO]]&gt;22.5,Tabla1[[#This Row],[MARZO]]/22.5-1,0),IF(Tabla1[[#This Row],[MARZO]]&gt;45,Tabla1[[#This Row],[MARZO]]/45-1,0))</f>
        <v>0</v>
      </c>
      <c r="AH554" s="103">
        <f>IF(Tabla1[[#This Row],[TIPO DE CONSUMIDOR]]="MEDIO",IF(Tabla1[[#This Row],[ABRIL]]&gt;22.5,Tabla1[[#This Row],[ABRIL]]/22.5-1,0),IF(Tabla1[[#This Row],[ABRIL]]&gt;45,Tabla1[[#This Row],[ABRIL]]/45-1,0))</f>
        <v>0</v>
      </c>
      <c r="AI554" s="103">
        <f>IF(Tabla1[[#This Row],[TIPO DE CONSUMIDOR]]="MEDIO",IF(Tabla1[[#This Row],[MAYO ]]&gt;22.5,Tabla1[[#This Row],[MAYO ]]/22.5-1,0),IF(Tabla1[[#This Row],[MAYO ]]&gt;45,Tabla1[[#This Row],[MAYO ]]/45-1,0))</f>
        <v>0</v>
      </c>
      <c r="AJ554" s="103">
        <f>IF(Tabla1[[#This Row],[TIPO DE CONSUMIDOR]]="MEDIO",IF(Tabla1[[#This Row],[JUNIO ]]&gt;22.5,Tabla1[[#This Row],[JUNIO ]]/22.5-1,0),IF(Tabla1[[#This Row],[JUNIO ]]&gt;45,Tabla1[[#This Row],[JUNIO ]]/45-1,0))</f>
        <v>0</v>
      </c>
      <c r="AK554" s="103">
        <f>IF(Tabla1[[#This Row],[TIPO DE CONSUMIDOR]]="MEDIO",IF(Tabla1[[#This Row],[JULIO ]]&gt;22.5,Tabla1[[#This Row],[JULIO ]]/22.5-1,0),IF(Tabla1[[#This Row],[JULIO ]]&gt;45,Tabla1[[#This Row],[JULIO ]]/45-1,0))</f>
        <v>0</v>
      </c>
      <c r="AL554" s="103">
        <f>IF(Tabla1[[#This Row],[TIPO DE CONSUMIDOR]]="MEDIO",IF(Tabla1[[#This Row],[AGOSTO]]&gt;22.5,Tabla1[[#This Row],[AGOSTO]]/22.5-1,0),IF(Tabla1[[#This Row],[AGOSTO]]&gt;45,Tabla1[[#This Row],[AGOSTO]]/45-1,0))</f>
        <v>0</v>
      </c>
      <c r="AM55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4" s="104">
        <f t="shared" si="18"/>
        <v>0</v>
      </c>
      <c r="AR554" s="9">
        <f t="shared" si="17"/>
        <v>1</v>
      </c>
      <c r="AS554" s="60">
        <f>IF(Tabla1[[#This Row],[MESES DE ADEUDO DEL AÑO EN CURSO ]]&gt;0,1,0)</f>
        <v>1</v>
      </c>
    </row>
    <row r="555" spans="1:45" ht="21.75" thickBot="1" x14ac:dyDescent="0.35">
      <c r="A555" s="109">
        <v>549</v>
      </c>
      <c r="B555" s="5" t="s">
        <v>652</v>
      </c>
      <c r="C555" s="97"/>
      <c r="D555" s="32"/>
      <c r="E555" s="35" t="s">
        <v>455</v>
      </c>
      <c r="F555" s="52">
        <v>0</v>
      </c>
      <c r="G555" s="52">
        <v>0</v>
      </c>
      <c r="H555" s="52">
        <v>0</v>
      </c>
      <c r="I555" s="52">
        <v>0</v>
      </c>
      <c r="J555" s="52">
        <v>0</v>
      </c>
      <c r="K555" s="52">
        <v>0</v>
      </c>
      <c r="L555" s="52">
        <v>0</v>
      </c>
      <c r="M555" s="53">
        <v>0</v>
      </c>
      <c r="N555" s="53">
        <v>0</v>
      </c>
      <c r="O555" s="53">
        <v>0</v>
      </c>
      <c r="P555" s="53">
        <v>0</v>
      </c>
      <c r="Q555" s="54">
        <v>0</v>
      </c>
      <c r="R555" s="95">
        <f>SUM(Tabla1[[#This Row],[ENERO ]:[DICIEMBRE]])</f>
        <v>0</v>
      </c>
      <c r="W555" s="65">
        <v>18</v>
      </c>
      <c r="X555" s="21">
        <f>COUNTIF(Tabla1[[#This Row],[ENERO ]:[DICIEMBRE]],0)-(AQ555)-IF(Tabla1[[#This Row],[BAJAS]]="BAJA",IF(Tabla1[[#This Row],[ALTAS]]="ALTA",VLOOKUP(Tabla1[[#This Row],[MES DE ALTA ]],$AT$6:$AU$17,2,FALSE),12)-VLOOKUP(Tabla1[[#This Row],[MES DE BAJA ]],$AT$6:$AU$17,2,FALSE),0)</f>
        <v>12</v>
      </c>
      <c r="Y555" s="94">
        <f>SUM(Tabla1[[#This Row],[MES ADEUDO DE AÑOS PASADOS ]:[MESES DE ADEUDO DEL AÑO EN CURSO ]])</f>
        <v>30</v>
      </c>
      <c r="Z555" s="15">
        <f>IF(Tabla1[[#This Row],[TIPO DE CONSUMIDOR]]="COMPLETO",W555*$T$2,W555*($T$2/2))</f>
        <v>810</v>
      </c>
      <c r="AA555" s="15">
        <f>IF(Tabla1[[#This Row],[TIPO DE CONSUMIDOR]]="COMPLETO",Tabla1[[#This Row],[MESES DE ADEUDO DEL AÑO EN CURSO ]]*$T$2,Tabla1[[#This Row],[MESES DE ADEUDO DEL AÑO EN CURSO ]]*($T$2/2))</f>
        <v>540</v>
      </c>
      <c r="AB555" s="70">
        <f>SUM(Tabla1[[#This Row],[DEUDA DE LOS MESES PASADOS EN $$]:[DEUDA DEL AÑO 2013 $$ ]])</f>
        <v>1350</v>
      </c>
      <c r="AE555" s="103">
        <f>IF(Tabla1[[#This Row],[TIPO DE CONSUMIDOR]]="MEDIO",IF(Tabla1[[#This Row],[ENERO ]]&gt;22.5,Tabla1[[#This Row],[ENERO ]]/22.5-1,0),IF(Tabla1[[#This Row],[ENERO ]]&gt;45,Tabla1[[#This Row],[ENERO ]]/45-1,0))</f>
        <v>0</v>
      </c>
      <c r="AF55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5" s="103">
        <f>IF(Tabla1[[#This Row],[TIPO DE CONSUMIDOR]]="MEDIO",IF(Tabla1[[#This Row],[MARZO]]&gt;22.5,Tabla1[[#This Row],[MARZO]]/22.5-1,0),IF(Tabla1[[#This Row],[MARZO]]&gt;45,Tabla1[[#This Row],[MARZO]]/45-1,0))</f>
        <v>0</v>
      </c>
      <c r="AH555" s="103">
        <f>IF(Tabla1[[#This Row],[TIPO DE CONSUMIDOR]]="MEDIO",IF(Tabla1[[#This Row],[ABRIL]]&gt;22.5,Tabla1[[#This Row],[ABRIL]]/22.5-1,0),IF(Tabla1[[#This Row],[ABRIL]]&gt;45,Tabla1[[#This Row],[ABRIL]]/45-1,0))</f>
        <v>0</v>
      </c>
      <c r="AI555" s="103">
        <f>IF(Tabla1[[#This Row],[TIPO DE CONSUMIDOR]]="MEDIO",IF(Tabla1[[#This Row],[MAYO ]]&gt;22.5,Tabla1[[#This Row],[MAYO ]]/22.5-1,0),IF(Tabla1[[#This Row],[MAYO ]]&gt;45,Tabla1[[#This Row],[MAYO ]]/45-1,0))</f>
        <v>0</v>
      </c>
      <c r="AJ555" s="103">
        <f>IF(Tabla1[[#This Row],[TIPO DE CONSUMIDOR]]="MEDIO",IF(Tabla1[[#This Row],[JUNIO ]]&gt;22.5,Tabla1[[#This Row],[JUNIO ]]/22.5-1,0),IF(Tabla1[[#This Row],[JUNIO ]]&gt;45,Tabla1[[#This Row],[JUNIO ]]/45-1,0))</f>
        <v>0</v>
      </c>
      <c r="AK555" s="103">
        <f>IF(Tabla1[[#This Row],[TIPO DE CONSUMIDOR]]="MEDIO",IF(Tabla1[[#This Row],[JULIO ]]&gt;22.5,Tabla1[[#This Row],[JULIO ]]/22.5-1,0),IF(Tabla1[[#This Row],[JULIO ]]&gt;45,Tabla1[[#This Row],[JULIO ]]/45-1,0))</f>
        <v>0</v>
      </c>
      <c r="AL555" s="103">
        <f>IF(Tabla1[[#This Row],[TIPO DE CONSUMIDOR]]="MEDIO",IF(Tabla1[[#This Row],[AGOSTO]]&gt;22.5,Tabla1[[#This Row],[AGOSTO]]/22.5-1,0),IF(Tabla1[[#This Row],[AGOSTO]]&gt;45,Tabla1[[#This Row],[AGOSTO]]/45-1,0))</f>
        <v>0</v>
      </c>
      <c r="AM55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5" s="104">
        <f t="shared" si="18"/>
        <v>0</v>
      </c>
      <c r="AR555" s="9">
        <f t="shared" si="17"/>
        <v>1</v>
      </c>
      <c r="AS555" s="60">
        <f>IF(Tabla1[[#This Row],[MESES DE ADEUDO DEL AÑO EN CURSO ]]&gt;0,1,0)</f>
        <v>1</v>
      </c>
    </row>
    <row r="556" spans="1:45" ht="21" x14ac:dyDescent="0.3">
      <c r="A556" s="109">
        <v>550</v>
      </c>
      <c r="B556" s="5" t="s">
        <v>655</v>
      </c>
      <c r="C556" s="97"/>
      <c r="D556" s="32"/>
      <c r="E556" s="35" t="s">
        <v>455</v>
      </c>
      <c r="F556" s="52">
        <v>0</v>
      </c>
      <c r="G556" s="53">
        <v>0</v>
      </c>
      <c r="H556" s="53">
        <v>0</v>
      </c>
      <c r="I556" s="53">
        <v>0</v>
      </c>
      <c r="J556" s="53">
        <v>0</v>
      </c>
      <c r="K556" s="53">
        <v>0</v>
      </c>
      <c r="L556" s="53">
        <v>0</v>
      </c>
      <c r="M556" s="53">
        <v>0</v>
      </c>
      <c r="N556" s="53">
        <v>0</v>
      </c>
      <c r="O556" s="53">
        <v>0</v>
      </c>
      <c r="P556" s="53">
        <v>0</v>
      </c>
      <c r="Q556" s="54">
        <v>0</v>
      </c>
      <c r="R556" s="95">
        <f>SUM(Tabla1[[#This Row],[ENERO ]:[DICIEMBRE]])</f>
        <v>0</v>
      </c>
      <c r="W556" s="65">
        <v>19</v>
      </c>
      <c r="X556" s="21">
        <f>COUNTIF(Tabla1[[#This Row],[ENERO ]:[DICIEMBRE]],0)-(AQ556)-IF(Tabla1[[#This Row],[BAJAS]]="BAJA",IF(Tabla1[[#This Row],[ALTAS]]="ALTA",VLOOKUP(Tabla1[[#This Row],[MES DE ALTA ]],$AT$6:$AU$17,2,FALSE),12)-VLOOKUP(Tabla1[[#This Row],[MES DE BAJA ]],$AT$6:$AU$17,2,FALSE),0)</f>
        <v>12</v>
      </c>
      <c r="Y556" s="94">
        <f>SUM(Tabla1[[#This Row],[MES ADEUDO DE AÑOS PASADOS ]:[MESES DE ADEUDO DEL AÑO EN CURSO ]])</f>
        <v>31</v>
      </c>
      <c r="Z556" s="15">
        <f>IF(Tabla1[[#This Row],[TIPO DE CONSUMIDOR]]="COMPLETO",W556*$T$2,W556*($T$2/2))</f>
        <v>855</v>
      </c>
      <c r="AA556" s="15">
        <f>IF(Tabla1[[#This Row],[TIPO DE CONSUMIDOR]]="COMPLETO",Tabla1[[#This Row],[MESES DE ADEUDO DEL AÑO EN CURSO ]]*$T$2,Tabla1[[#This Row],[MESES DE ADEUDO DEL AÑO EN CURSO ]]*($T$2/2))</f>
        <v>540</v>
      </c>
      <c r="AB556" s="70">
        <f>SUM(Tabla1[[#This Row],[DEUDA DE LOS MESES PASADOS EN $$]:[DEUDA DEL AÑO 2013 $$ ]])</f>
        <v>1395</v>
      </c>
      <c r="AE556" s="103">
        <f>IF(Tabla1[[#This Row],[TIPO DE CONSUMIDOR]]="MEDIO",IF(Tabla1[[#This Row],[ENERO ]]&gt;22.5,Tabla1[[#This Row],[ENERO ]]/22.5-1,0),IF(Tabla1[[#This Row],[ENERO ]]&gt;45,Tabla1[[#This Row],[ENERO ]]/45-1,0))</f>
        <v>0</v>
      </c>
      <c r="AF55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6" s="103">
        <f>IF(Tabla1[[#This Row],[TIPO DE CONSUMIDOR]]="MEDIO",IF(Tabla1[[#This Row],[MARZO]]&gt;22.5,Tabla1[[#This Row],[MARZO]]/22.5-1,0),IF(Tabla1[[#This Row],[MARZO]]&gt;45,Tabla1[[#This Row],[MARZO]]/45-1,0))</f>
        <v>0</v>
      </c>
      <c r="AH556" s="103">
        <f>IF(Tabla1[[#This Row],[TIPO DE CONSUMIDOR]]="MEDIO",IF(Tabla1[[#This Row],[ABRIL]]&gt;22.5,Tabla1[[#This Row],[ABRIL]]/22.5-1,0),IF(Tabla1[[#This Row],[ABRIL]]&gt;45,Tabla1[[#This Row],[ABRIL]]/45-1,0))</f>
        <v>0</v>
      </c>
      <c r="AI556" s="103">
        <f>IF(Tabla1[[#This Row],[TIPO DE CONSUMIDOR]]="MEDIO",IF(Tabla1[[#This Row],[MAYO ]]&gt;22.5,Tabla1[[#This Row],[MAYO ]]/22.5-1,0),IF(Tabla1[[#This Row],[MAYO ]]&gt;45,Tabla1[[#This Row],[MAYO ]]/45-1,0))</f>
        <v>0</v>
      </c>
      <c r="AJ556" s="103">
        <f>IF(Tabla1[[#This Row],[TIPO DE CONSUMIDOR]]="MEDIO",IF(Tabla1[[#This Row],[JUNIO ]]&gt;22.5,Tabla1[[#This Row],[JUNIO ]]/22.5-1,0),IF(Tabla1[[#This Row],[JUNIO ]]&gt;45,Tabla1[[#This Row],[JUNIO ]]/45-1,0))</f>
        <v>0</v>
      </c>
      <c r="AK556" s="103">
        <f>IF(Tabla1[[#This Row],[TIPO DE CONSUMIDOR]]="MEDIO",IF(Tabla1[[#This Row],[JULIO ]]&gt;22.5,Tabla1[[#This Row],[JULIO ]]/22.5-1,0),IF(Tabla1[[#This Row],[JULIO ]]&gt;45,Tabla1[[#This Row],[JULIO ]]/45-1,0))</f>
        <v>0</v>
      </c>
      <c r="AL556" s="103">
        <f>IF(Tabla1[[#This Row],[TIPO DE CONSUMIDOR]]="MEDIO",IF(Tabla1[[#This Row],[AGOSTO]]&gt;22.5,Tabla1[[#This Row],[AGOSTO]]/22.5-1,0),IF(Tabla1[[#This Row],[AGOSTO]]&gt;45,Tabla1[[#This Row],[AGOSTO]]/45-1,0))</f>
        <v>0</v>
      </c>
      <c r="AM55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6" s="104">
        <f t="shared" si="18"/>
        <v>0</v>
      </c>
      <c r="AR556" s="9">
        <f t="shared" si="17"/>
        <v>1</v>
      </c>
      <c r="AS556" s="60">
        <f>IF(Tabla1[[#This Row],[MESES DE ADEUDO DEL AÑO EN CURSO ]]&gt;0,1,0)</f>
        <v>1</v>
      </c>
    </row>
    <row r="557" spans="1:45" ht="21.75" thickBot="1" x14ac:dyDescent="0.35">
      <c r="A557" s="109">
        <v>551</v>
      </c>
      <c r="B557" s="5" t="s">
        <v>72</v>
      </c>
      <c r="C557" s="2" t="s">
        <v>456</v>
      </c>
      <c r="D557" s="46"/>
      <c r="E557" s="36" t="s">
        <v>455</v>
      </c>
      <c r="F557" s="52">
        <v>0</v>
      </c>
      <c r="G557" s="52">
        <v>0</v>
      </c>
      <c r="H557" s="52">
        <v>0</v>
      </c>
      <c r="I557" s="52">
        <v>0</v>
      </c>
      <c r="J557" s="52">
        <v>0</v>
      </c>
      <c r="K557" s="52">
        <v>0</v>
      </c>
      <c r="L557" s="52">
        <v>0</v>
      </c>
      <c r="M557" s="52">
        <v>0</v>
      </c>
      <c r="N557" s="52">
        <v>0</v>
      </c>
      <c r="O557" s="52">
        <v>0</v>
      </c>
      <c r="P557" s="52">
        <v>0</v>
      </c>
      <c r="Q557" s="52">
        <v>0</v>
      </c>
      <c r="R557" s="59">
        <f>SUM(Tabla1[[#This Row],[ENERO ]:[DICIEMBRE]])</f>
        <v>0</v>
      </c>
      <c r="W557" s="65">
        <v>20</v>
      </c>
      <c r="X557" s="21">
        <f>COUNTIF(Tabla1[[#This Row],[ENERO ]:[DICIEMBRE]],0)-(AQ557)-IF(Tabla1[[#This Row],[BAJAS]]="BAJA",IF(Tabla1[[#This Row],[ALTAS]]="ALTA",VLOOKUP(Tabla1[[#This Row],[MES DE ALTA ]],$AT$6:$AU$17,2,FALSE),12)-VLOOKUP(Tabla1[[#This Row],[MES DE BAJA ]],$AT$6:$AU$17,2,FALSE),0)</f>
        <v>12</v>
      </c>
      <c r="Y557" s="69">
        <f>SUM(Tabla1[[#This Row],[MES ADEUDO DE AÑOS PASADOS ]:[MESES DE ADEUDO DEL AÑO EN CURSO ]])</f>
        <v>32</v>
      </c>
      <c r="Z557" s="15">
        <f>IF(Tabla1[[#This Row],[TIPO DE CONSUMIDOR]]="COMPLETO",W557*$T$2,W557*($T$2/2))</f>
        <v>900</v>
      </c>
      <c r="AA557" s="15">
        <f>IF(Tabla1[[#This Row],[TIPO DE CONSUMIDOR]]="COMPLETO",Tabla1[[#This Row],[MESES DE ADEUDO DEL AÑO EN CURSO ]]*$T$2,Tabla1[[#This Row],[MESES DE ADEUDO DEL AÑO EN CURSO ]]*($T$2/2))</f>
        <v>540</v>
      </c>
      <c r="AB557" s="70">
        <f>SUM(Tabla1[[#This Row],[DEUDA DE LOS MESES PASADOS EN $$]:[DEUDA DEL AÑO 2013 $$ ]])</f>
        <v>1440</v>
      </c>
      <c r="AE557" s="103">
        <f>IF(Tabla1[[#This Row],[TIPO DE CONSUMIDOR]]="MEDIO",IF(Tabla1[[#This Row],[ENERO ]]&gt;22.5,Tabla1[[#This Row],[ENERO ]]/22.5-1,0),IF(Tabla1[[#This Row],[ENERO ]]&gt;45,Tabla1[[#This Row],[ENERO ]]/45-1,0))</f>
        <v>0</v>
      </c>
      <c r="AF55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7" s="103">
        <f>IF(Tabla1[[#This Row],[TIPO DE CONSUMIDOR]]="MEDIO",IF(Tabla1[[#This Row],[MARZO]]&gt;22.5,Tabla1[[#This Row],[MARZO]]/22.5-1,0),IF(Tabla1[[#This Row],[MARZO]]&gt;45,Tabla1[[#This Row],[MARZO]]/45-1,0))</f>
        <v>0</v>
      </c>
      <c r="AH557" s="103">
        <f>IF(Tabla1[[#This Row],[TIPO DE CONSUMIDOR]]="MEDIO",IF(Tabla1[[#This Row],[ABRIL]]&gt;22.5,Tabla1[[#This Row],[ABRIL]]/22.5-1,0),IF(Tabla1[[#This Row],[ABRIL]]&gt;45,Tabla1[[#This Row],[ABRIL]]/45-1,0))</f>
        <v>0</v>
      </c>
      <c r="AI557" s="103">
        <f>IF(Tabla1[[#This Row],[TIPO DE CONSUMIDOR]]="MEDIO",IF(Tabla1[[#This Row],[MAYO ]]&gt;22.5,Tabla1[[#This Row],[MAYO ]]/22.5-1,0),IF(Tabla1[[#This Row],[MAYO ]]&gt;45,Tabla1[[#This Row],[MAYO ]]/45-1,0))</f>
        <v>0</v>
      </c>
      <c r="AJ557" s="103">
        <f>IF(Tabla1[[#This Row],[TIPO DE CONSUMIDOR]]="MEDIO",IF(Tabla1[[#This Row],[JUNIO ]]&gt;22.5,Tabla1[[#This Row],[JUNIO ]]/22.5-1,0),IF(Tabla1[[#This Row],[JUNIO ]]&gt;45,Tabla1[[#This Row],[JUNIO ]]/45-1,0))</f>
        <v>0</v>
      </c>
      <c r="AK557" s="103">
        <f>IF(Tabla1[[#This Row],[TIPO DE CONSUMIDOR]]="MEDIO",IF(Tabla1[[#This Row],[JULIO ]]&gt;22.5,Tabla1[[#This Row],[JULIO ]]/22.5-1,0),IF(Tabla1[[#This Row],[JULIO ]]&gt;45,Tabla1[[#This Row],[JULIO ]]/45-1,0))</f>
        <v>0</v>
      </c>
      <c r="AL557" s="103">
        <f>IF(Tabla1[[#This Row],[TIPO DE CONSUMIDOR]]="MEDIO",IF(Tabla1[[#This Row],[AGOSTO]]&gt;22.5,Tabla1[[#This Row],[AGOSTO]]/22.5-1,0),IF(Tabla1[[#This Row],[AGOSTO]]&gt;45,Tabla1[[#This Row],[AGOSTO]]/45-1,0))</f>
        <v>0</v>
      </c>
      <c r="AM55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7" s="104">
        <f t="shared" si="18"/>
        <v>0</v>
      </c>
      <c r="AR557" s="9">
        <f t="shared" si="17"/>
        <v>1</v>
      </c>
      <c r="AS557" s="60">
        <f>IF(Tabla1[[#This Row],[MESES DE ADEUDO DEL AÑO EN CURSO ]]&gt;0,1,0)</f>
        <v>1</v>
      </c>
    </row>
    <row r="558" spans="1:45" ht="21.75" thickBot="1" x14ac:dyDescent="0.35">
      <c r="A558" s="109">
        <v>552</v>
      </c>
      <c r="B558" s="5" t="s">
        <v>121</v>
      </c>
      <c r="C558" s="2" t="s">
        <v>530</v>
      </c>
      <c r="D558" s="32"/>
      <c r="E558" s="35" t="s">
        <v>455</v>
      </c>
      <c r="F558" s="52">
        <v>0</v>
      </c>
      <c r="G558" s="52">
        <v>0</v>
      </c>
      <c r="H558" s="52">
        <v>0</v>
      </c>
      <c r="I558" s="52">
        <v>0</v>
      </c>
      <c r="J558" s="52">
        <v>0</v>
      </c>
      <c r="K558" s="52">
        <v>0</v>
      </c>
      <c r="L558" s="52">
        <v>0</v>
      </c>
      <c r="M558" s="52">
        <v>0</v>
      </c>
      <c r="N558" s="52">
        <v>0</v>
      </c>
      <c r="O558" s="52">
        <v>0</v>
      </c>
      <c r="P558" s="52">
        <v>0</v>
      </c>
      <c r="Q558" s="52">
        <v>0</v>
      </c>
      <c r="R558" s="59">
        <f>SUM(Tabla1[[#This Row],[ENERO ]:[DICIEMBRE]])</f>
        <v>0</v>
      </c>
      <c r="W558" s="65">
        <v>20</v>
      </c>
      <c r="X558" s="21">
        <f>COUNTIF(Tabla1[[#This Row],[ENERO ]:[DICIEMBRE]],0)-(AQ558)-IF(Tabla1[[#This Row],[BAJAS]]="BAJA",IF(Tabla1[[#This Row],[ALTAS]]="ALTA",VLOOKUP(Tabla1[[#This Row],[MES DE ALTA ]],$AT$6:$AU$17,2,FALSE),12)-VLOOKUP(Tabla1[[#This Row],[MES DE BAJA ]],$AT$6:$AU$17,2,FALSE),0)</f>
        <v>12</v>
      </c>
      <c r="Y558" s="69">
        <f>SUM(Tabla1[[#This Row],[MES ADEUDO DE AÑOS PASADOS ]:[MESES DE ADEUDO DEL AÑO EN CURSO ]])</f>
        <v>32</v>
      </c>
      <c r="Z558" s="15">
        <f>IF(Tabla1[[#This Row],[TIPO DE CONSUMIDOR]]="COMPLETO",W558*$T$2,W558*($T$2/2))</f>
        <v>900</v>
      </c>
      <c r="AA558" s="15">
        <f>IF(Tabla1[[#This Row],[TIPO DE CONSUMIDOR]]="COMPLETO",Tabla1[[#This Row],[MESES DE ADEUDO DEL AÑO EN CURSO ]]*$T$2,Tabla1[[#This Row],[MESES DE ADEUDO DEL AÑO EN CURSO ]]*($T$2/2))</f>
        <v>540</v>
      </c>
      <c r="AB558" s="70">
        <f>SUM(Tabla1[[#This Row],[DEUDA DE LOS MESES PASADOS EN $$]:[DEUDA DEL AÑO 2013 $$ ]])</f>
        <v>1440</v>
      </c>
      <c r="AE558" s="103">
        <f>IF(Tabla1[[#This Row],[TIPO DE CONSUMIDOR]]="MEDIO",IF(Tabla1[[#This Row],[ENERO ]]&gt;22.5,Tabla1[[#This Row],[ENERO ]]/22.5-1,0),IF(Tabla1[[#This Row],[ENERO ]]&gt;45,Tabla1[[#This Row],[ENERO ]]/45-1,0))</f>
        <v>0</v>
      </c>
      <c r="AF55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8" s="103">
        <f>IF(Tabla1[[#This Row],[TIPO DE CONSUMIDOR]]="MEDIO",IF(Tabla1[[#This Row],[MARZO]]&gt;22.5,Tabla1[[#This Row],[MARZO]]/22.5-1,0),IF(Tabla1[[#This Row],[MARZO]]&gt;45,Tabla1[[#This Row],[MARZO]]/45-1,0))</f>
        <v>0</v>
      </c>
      <c r="AH558" s="103">
        <f>IF(Tabla1[[#This Row],[TIPO DE CONSUMIDOR]]="MEDIO",IF(Tabla1[[#This Row],[ABRIL]]&gt;22.5,Tabla1[[#This Row],[ABRIL]]/22.5-1,0),IF(Tabla1[[#This Row],[ABRIL]]&gt;45,Tabla1[[#This Row],[ABRIL]]/45-1,0))</f>
        <v>0</v>
      </c>
      <c r="AI558" s="103">
        <f>IF(Tabla1[[#This Row],[TIPO DE CONSUMIDOR]]="MEDIO",IF(Tabla1[[#This Row],[MAYO ]]&gt;22.5,Tabla1[[#This Row],[MAYO ]]/22.5-1,0),IF(Tabla1[[#This Row],[MAYO ]]&gt;45,Tabla1[[#This Row],[MAYO ]]/45-1,0))</f>
        <v>0</v>
      </c>
      <c r="AJ558" s="103">
        <f>IF(Tabla1[[#This Row],[TIPO DE CONSUMIDOR]]="MEDIO",IF(Tabla1[[#This Row],[JUNIO ]]&gt;22.5,Tabla1[[#This Row],[JUNIO ]]/22.5-1,0),IF(Tabla1[[#This Row],[JUNIO ]]&gt;45,Tabla1[[#This Row],[JUNIO ]]/45-1,0))</f>
        <v>0</v>
      </c>
      <c r="AK558" s="103">
        <f>IF(Tabla1[[#This Row],[TIPO DE CONSUMIDOR]]="MEDIO",IF(Tabla1[[#This Row],[JULIO ]]&gt;22.5,Tabla1[[#This Row],[JULIO ]]/22.5-1,0),IF(Tabla1[[#This Row],[JULIO ]]&gt;45,Tabla1[[#This Row],[JULIO ]]/45-1,0))</f>
        <v>0</v>
      </c>
      <c r="AL558" s="103">
        <f>IF(Tabla1[[#This Row],[TIPO DE CONSUMIDOR]]="MEDIO",IF(Tabla1[[#This Row],[AGOSTO]]&gt;22.5,Tabla1[[#This Row],[AGOSTO]]/22.5-1,0),IF(Tabla1[[#This Row],[AGOSTO]]&gt;45,Tabla1[[#This Row],[AGOSTO]]/45-1,0))</f>
        <v>0</v>
      </c>
      <c r="AM55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8" s="104">
        <f t="shared" si="18"/>
        <v>0</v>
      </c>
      <c r="AR558" s="9">
        <f t="shared" si="17"/>
        <v>1</v>
      </c>
      <c r="AS558" s="60">
        <f>IF(Tabla1[[#This Row],[MESES DE ADEUDO DEL AÑO EN CURSO ]]&gt;0,1,0)</f>
        <v>1</v>
      </c>
    </row>
    <row r="559" spans="1:45" ht="21.75" thickBot="1" x14ac:dyDescent="0.35">
      <c r="A559" s="109">
        <v>553</v>
      </c>
      <c r="B559" s="5" t="s">
        <v>656</v>
      </c>
      <c r="C559" s="97" t="s">
        <v>501</v>
      </c>
      <c r="D559" s="32"/>
      <c r="E559" s="35" t="s">
        <v>455</v>
      </c>
      <c r="F559" s="52">
        <v>0</v>
      </c>
      <c r="G559" s="53">
        <v>0</v>
      </c>
      <c r="H559" s="53">
        <v>0</v>
      </c>
      <c r="I559" s="53">
        <v>0</v>
      </c>
      <c r="J559" s="53">
        <v>0</v>
      </c>
      <c r="K559" s="53">
        <v>0</v>
      </c>
      <c r="L559" s="53">
        <v>0</v>
      </c>
      <c r="M559" s="53">
        <v>0</v>
      </c>
      <c r="N559" s="53">
        <v>0</v>
      </c>
      <c r="O559" s="53">
        <v>0</v>
      </c>
      <c r="P559" s="53">
        <v>0</v>
      </c>
      <c r="Q559" s="54">
        <v>0</v>
      </c>
      <c r="R559" s="95">
        <f>SUM(Tabla1[[#This Row],[ENERO ]:[DICIEMBRE]])</f>
        <v>0</v>
      </c>
      <c r="W559" s="65">
        <v>20</v>
      </c>
      <c r="X559" s="21">
        <f>COUNTIF(Tabla1[[#This Row],[ENERO ]:[DICIEMBRE]],0)-(AQ559)-IF(Tabla1[[#This Row],[BAJAS]]="BAJA",IF(Tabla1[[#This Row],[ALTAS]]="ALTA",VLOOKUP(Tabla1[[#This Row],[MES DE ALTA ]],$AT$6:$AU$17,2,FALSE),12)-VLOOKUP(Tabla1[[#This Row],[MES DE BAJA ]],$AT$6:$AU$17,2,FALSE),0)</f>
        <v>12</v>
      </c>
      <c r="Y559" s="94">
        <f>SUM(Tabla1[[#This Row],[MES ADEUDO DE AÑOS PASADOS ]:[MESES DE ADEUDO DEL AÑO EN CURSO ]])</f>
        <v>32</v>
      </c>
      <c r="Z559" s="15">
        <f>IF(Tabla1[[#This Row],[TIPO DE CONSUMIDOR]]="COMPLETO",W559*$T$2,W559*($T$2/2))</f>
        <v>900</v>
      </c>
      <c r="AA559" s="15">
        <f>IF(Tabla1[[#This Row],[TIPO DE CONSUMIDOR]]="COMPLETO",Tabla1[[#This Row],[MESES DE ADEUDO DEL AÑO EN CURSO ]]*$T$2,Tabla1[[#This Row],[MESES DE ADEUDO DEL AÑO EN CURSO ]]*($T$2/2))</f>
        <v>540</v>
      </c>
      <c r="AB559" s="70">
        <f>SUM(Tabla1[[#This Row],[DEUDA DE LOS MESES PASADOS EN $$]:[DEUDA DEL AÑO 2013 $$ ]])</f>
        <v>1440</v>
      </c>
      <c r="AE559" s="103">
        <f>IF(Tabla1[[#This Row],[TIPO DE CONSUMIDOR]]="MEDIO",IF(Tabla1[[#This Row],[ENERO ]]&gt;22.5,Tabla1[[#This Row],[ENERO ]]/22.5-1,0),IF(Tabla1[[#This Row],[ENERO ]]&gt;45,Tabla1[[#This Row],[ENERO ]]/45-1,0))</f>
        <v>0</v>
      </c>
      <c r="AF55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59" s="103">
        <f>IF(Tabla1[[#This Row],[TIPO DE CONSUMIDOR]]="MEDIO",IF(Tabla1[[#This Row],[MARZO]]&gt;22.5,Tabla1[[#This Row],[MARZO]]/22.5-1,0),IF(Tabla1[[#This Row],[MARZO]]&gt;45,Tabla1[[#This Row],[MARZO]]/45-1,0))</f>
        <v>0</v>
      </c>
      <c r="AH559" s="103">
        <f>IF(Tabla1[[#This Row],[TIPO DE CONSUMIDOR]]="MEDIO",IF(Tabla1[[#This Row],[ABRIL]]&gt;22.5,Tabla1[[#This Row],[ABRIL]]/22.5-1,0),IF(Tabla1[[#This Row],[ABRIL]]&gt;45,Tabla1[[#This Row],[ABRIL]]/45-1,0))</f>
        <v>0</v>
      </c>
      <c r="AI559" s="103">
        <f>IF(Tabla1[[#This Row],[TIPO DE CONSUMIDOR]]="MEDIO",IF(Tabla1[[#This Row],[MAYO ]]&gt;22.5,Tabla1[[#This Row],[MAYO ]]/22.5-1,0),IF(Tabla1[[#This Row],[MAYO ]]&gt;45,Tabla1[[#This Row],[MAYO ]]/45-1,0))</f>
        <v>0</v>
      </c>
      <c r="AJ559" s="103">
        <f>IF(Tabla1[[#This Row],[TIPO DE CONSUMIDOR]]="MEDIO",IF(Tabla1[[#This Row],[JUNIO ]]&gt;22.5,Tabla1[[#This Row],[JUNIO ]]/22.5-1,0),IF(Tabla1[[#This Row],[JUNIO ]]&gt;45,Tabla1[[#This Row],[JUNIO ]]/45-1,0))</f>
        <v>0</v>
      </c>
      <c r="AK559" s="103">
        <f>IF(Tabla1[[#This Row],[TIPO DE CONSUMIDOR]]="MEDIO",IF(Tabla1[[#This Row],[JULIO ]]&gt;22.5,Tabla1[[#This Row],[JULIO ]]/22.5-1,0),IF(Tabla1[[#This Row],[JULIO ]]&gt;45,Tabla1[[#This Row],[JULIO ]]/45-1,0))</f>
        <v>0</v>
      </c>
      <c r="AL559" s="103">
        <f>IF(Tabla1[[#This Row],[TIPO DE CONSUMIDOR]]="MEDIO",IF(Tabla1[[#This Row],[AGOSTO]]&gt;22.5,Tabla1[[#This Row],[AGOSTO]]/22.5-1,0),IF(Tabla1[[#This Row],[AGOSTO]]&gt;45,Tabla1[[#This Row],[AGOSTO]]/45-1,0))</f>
        <v>0</v>
      </c>
      <c r="AM55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5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5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5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59" s="104">
        <f t="shared" si="18"/>
        <v>0</v>
      </c>
      <c r="AR559" s="9">
        <f t="shared" si="17"/>
        <v>1</v>
      </c>
      <c r="AS559" s="60">
        <f>IF(Tabla1[[#This Row],[MESES DE ADEUDO DEL AÑO EN CURSO ]]&gt;0,1,0)</f>
        <v>1</v>
      </c>
    </row>
    <row r="560" spans="1:45" ht="21.75" thickBot="1" x14ac:dyDescent="0.35">
      <c r="A560" s="109">
        <v>554</v>
      </c>
      <c r="B560" s="5" t="s">
        <v>657</v>
      </c>
      <c r="C560" s="97"/>
      <c r="D560" s="32"/>
      <c r="E560" s="35" t="s">
        <v>455</v>
      </c>
      <c r="F560" s="52">
        <v>0</v>
      </c>
      <c r="G560" s="53">
        <v>0</v>
      </c>
      <c r="H560" s="53">
        <v>0</v>
      </c>
      <c r="I560" s="53">
        <v>0</v>
      </c>
      <c r="J560" s="53">
        <v>0</v>
      </c>
      <c r="K560" s="53">
        <v>0</v>
      </c>
      <c r="L560" s="53">
        <v>0</v>
      </c>
      <c r="M560" s="53">
        <v>0</v>
      </c>
      <c r="N560" s="53">
        <v>0</v>
      </c>
      <c r="O560" s="53">
        <v>0</v>
      </c>
      <c r="P560" s="53">
        <v>0</v>
      </c>
      <c r="Q560" s="54">
        <v>0</v>
      </c>
      <c r="R560" s="95">
        <f>SUM(Tabla1[[#This Row],[ENERO ]:[DICIEMBRE]])</f>
        <v>0</v>
      </c>
      <c r="W560" s="65">
        <v>20</v>
      </c>
      <c r="X560" s="21">
        <f>COUNTIF(Tabla1[[#This Row],[ENERO ]:[DICIEMBRE]],0)-(AQ560)-IF(Tabla1[[#This Row],[BAJAS]]="BAJA",IF(Tabla1[[#This Row],[ALTAS]]="ALTA",VLOOKUP(Tabla1[[#This Row],[MES DE ALTA ]],$AT$6:$AU$17,2,FALSE),12)-VLOOKUP(Tabla1[[#This Row],[MES DE BAJA ]],$AT$6:$AU$17,2,FALSE),0)</f>
        <v>12</v>
      </c>
      <c r="Y560" s="94">
        <f>SUM(Tabla1[[#This Row],[MES ADEUDO DE AÑOS PASADOS ]:[MESES DE ADEUDO DEL AÑO EN CURSO ]])</f>
        <v>32</v>
      </c>
      <c r="Z560" s="15">
        <f>IF(Tabla1[[#This Row],[TIPO DE CONSUMIDOR]]="COMPLETO",W560*$T$2,W560*($T$2/2))</f>
        <v>900</v>
      </c>
      <c r="AA560" s="15">
        <f>IF(Tabla1[[#This Row],[TIPO DE CONSUMIDOR]]="COMPLETO",Tabla1[[#This Row],[MESES DE ADEUDO DEL AÑO EN CURSO ]]*$T$2,Tabla1[[#This Row],[MESES DE ADEUDO DEL AÑO EN CURSO ]]*($T$2/2))</f>
        <v>540</v>
      </c>
      <c r="AB560" s="70">
        <f>SUM(Tabla1[[#This Row],[DEUDA DE LOS MESES PASADOS EN $$]:[DEUDA DEL AÑO 2013 $$ ]])</f>
        <v>1440</v>
      </c>
      <c r="AE560" s="103">
        <f>IF(Tabla1[[#This Row],[TIPO DE CONSUMIDOR]]="MEDIO",IF(Tabla1[[#This Row],[ENERO ]]&gt;22.5,Tabla1[[#This Row],[ENERO ]]/22.5-1,0),IF(Tabla1[[#This Row],[ENERO ]]&gt;45,Tabla1[[#This Row],[ENERO ]]/45-1,0))</f>
        <v>0</v>
      </c>
      <c r="AF56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0" s="103">
        <f>IF(Tabla1[[#This Row],[TIPO DE CONSUMIDOR]]="MEDIO",IF(Tabla1[[#This Row],[MARZO]]&gt;22.5,Tabla1[[#This Row],[MARZO]]/22.5-1,0),IF(Tabla1[[#This Row],[MARZO]]&gt;45,Tabla1[[#This Row],[MARZO]]/45-1,0))</f>
        <v>0</v>
      </c>
      <c r="AH560" s="103">
        <f>IF(Tabla1[[#This Row],[TIPO DE CONSUMIDOR]]="MEDIO",IF(Tabla1[[#This Row],[ABRIL]]&gt;22.5,Tabla1[[#This Row],[ABRIL]]/22.5-1,0),IF(Tabla1[[#This Row],[ABRIL]]&gt;45,Tabla1[[#This Row],[ABRIL]]/45-1,0))</f>
        <v>0</v>
      </c>
      <c r="AI560" s="103">
        <f>IF(Tabla1[[#This Row],[TIPO DE CONSUMIDOR]]="MEDIO",IF(Tabla1[[#This Row],[MAYO ]]&gt;22.5,Tabla1[[#This Row],[MAYO ]]/22.5-1,0),IF(Tabla1[[#This Row],[MAYO ]]&gt;45,Tabla1[[#This Row],[MAYO ]]/45-1,0))</f>
        <v>0</v>
      </c>
      <c r="AJ560" s="103">
        <f>IF(Tabla1[[#This Row],[TIPO DE CONSUMIDOR]]="MEDIO",IF(Tabla1[[#This Row],[JUNIO ]]&gt;22.5,Tabla1[[#This Row],[JUNIO ]]/22.5-1,0),IF(Tabla1[[#This Row],[JUNIO ]]&gt;45,Tabla1[[#This Row],[JUNIO ]]/45-1,0))</f>
        <v>0</v>
      </c>
      <c r="AK560" s="103">
        <f>IF(Tabla1[[#This Row],[TIPO DE CONSUMIDOR]]="MEDIO",IF(Tabla1[[#This Row],[JULIO ]]&gt;22.5,Tabla1[[#This Row],[JULIO ]]/22.5-1,0),IF(Tabla1[[#This Row],[JULIO ]]&gt;45,Tabla1[[#This Row],[JULIO ]]/45-1,0))</f>
        <v>0</v>
      </c>
      <c r="AL560" s="103">
        <f>IF(Tabla1[[#This Row],[TIPO DE CONSUMIDOR]]="MEDIO",IF(Tabla1[[#This Row],[AGOSTO]]&gt;22.5,Tabla1[[#This Row],[AGOSTO]]/22.5-1,0),IF(Tabla1[[#This Row],[AGOSTO]]&gt;45,Tabla1[[#This Row],[AGOSTO]]/45-1,0))</f>
        <v>0</v>
      </c>
      <c r="AM56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0" s="104">
        <f t="shared" si="18"/>
        <v>0</v>
      </c>
      <c r="AR560" s="9">
        <f t="shared" si="17"/>
        <v>1</v>
      </c>
      <c r="AS560" s="60">
        <f>IF(Tabla1[[#This Row],[MESES DE ADEUDO DEL AÑO EN CURSO ]]&gt;0,1,0)</f>
        <v>1</v>
      </c>
    </row>
    <row r="561" spans="1:45" ht="21" x14ac:dyDescent="0.3">
      <c r="A561" s="109">
        <v>555</v>
      </c>
      <c r="B561" s="5" t="s">
        <v>567</v>
      </c>
      <c r="C561" s="2" t="s">
        <v>562</v>
      </c>
      <c r="D561" s="32"/>
      <c r="E561" s="35" t="s">
        <v>455</v>
      </c>
      <c r="F561" s="52">
        <v>0</v>
      </c>
      <c r="G561" s="53">
        <v>0</v>
      </c>
      <c r="H561" s="53">
        <v>0</v>
      </c>
      <c r="I561" s="53">
        <v>0</v>
      </c>
      <c r="J561" s="53">
        <v>0</v>
      </c>
      <c r="K561" s="53">
        <v>0</v>
      </c>
      <c r="L561" s="53">
        <v>0</v>
      </c>
      <c r="M561" s="53">
        <v>0</v>
      </c>
      <c r="N561" s="53">
        <v>0</v>
      </c>
      <c r="O561" s="53">
        <v>0</v>
      </c>
      <c r="P561" s="53">
        <v>0</v>
      </c>
      <c r="Q561" s="54">
        <v>0</v>
      </c>
      <c r="R561" s="59">
        <f>SUM(Tabla1[[#This Row],[ENERO ]:[DICIEMBRE]])</f>
        <v>0</v>
      </c>
      <c r="W561" s="65">
        <v>21</v>
      </c>
      <c r="X561" s="21">
        <f>COUNTIF(Tabla1[[#This Row],[ENERO ]:[DICIEMBRE]],0)-(AQ561)-IF(Tabla1[[#This Row],[BAJAS]]="BAJA",IF(Tabla1[[#This Row],[ALTAS]]="ALTA",VLOOKUP(Tabla1[[#This Row],[MES DE ALTA ]],$AT$6:$AU$17,2,FALSE),12)-VLOOKUP(Tabla1[[#This Row],[MES DE BAJA ]],$AT$6:$AU$17,2,FALSE),0)</f>
        <v>12</v>
      </c>
      <c r="Y561" s="69">
        <f>SUM(Tabla1[[#This Row],[MES ADEUDO DE AÑOS PASADOS ]:[MESES DE ADEUDO DEL AÑO EN CURSO ]])</f>
        <v>33</v>
      </c>
      <c r="Z561" s="15">
        <f>IF(Tabla1[[#This Row],[TIPO DE CONSUMIDOR]]="COMPLETO",W561*$T$2,W561*($T$2/2))</f>
        <v>945</v>
      </c>
      <c r="AA561" s="15">
        <f>IF(Tabla1[[#This Row],[TIPO DE CONSUMIDOR]]="COMPLETO",Tabla1[[#This Row],[MESES DE ADEUDO DEL AÑO EN CURSO ]]*$T$2,Tabla1[[#This Row],[MESES DE ADEUDO DEL AÑO EN CURSO ]]*($T$2/2))</f>
        <v>540</v>
      </c>
      <c r="AB561" s="70">
        <f>SUM(Tabla1[[#This Row],[DEUDA DE LOS MESES PASADOS EN $$]:[DEUDA DEL AÑO 2013 $$ ]])</f>
        <v>1485</v>
      </c>
      <c r="AE561" s="103">
        <f>IF(Tabla1[[#This Row],[TIPO DE CONSUMIDOR]]="MEDIO",IF(Tabla1[[#This Row],[ENERO ]]&gt;22.5,Tabla1[[#This Row],[ENERO ]]/22.5-1,0),IF(Tabla1[[#This Row],[ENERO ]]&gt;45,Tabla1[[#This Row],[ENERO ]]/45-1,0))</f>
        <v>0</v>
      </c>
      <c r="AF56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1" s="103">
        <f>IF(Tabla1[[#This Row],[TIPO DE CONSUMIDOR]]="MEDIO",IF(Tabla1[[#This Row],[MARZO]]&gt;22.5,Tabla1[[#This Row],[MARZO]]/22.5-1,0),IF(Tabla1[[#This Row],[MARZO]]&gt;45,Tabla1[[#This Row],[MARZO]]/45-1,0))</f>
        <v>0</v>
      </c>
      <c r="AH561" s="103">
        <f>IF(Tabla1[[#This Row],[TIPO DE CONSUMIDOR]]="MEDIO",IF(Tabla1[[#This Row],[ABRIL]]&gt;22.5,Tabla1[[#This Row],[ABRIL]]/22.5-1,0),IF(Tabla1[[#This Row],[ABRIL]]&gt;45,Tabla1[[#This Row],[ABRIL]]/45-1,0))</f>
        <v>0</v>
      </c>
      <c r="AI561" s="103">
        <f>IF(Tabla1[[#This Row],[TIPO DE CONSUMIDOR]]="MEDIO",IF(Tabla1[[#This Row],[MAYO ]]&gt;22.5,Tabla1[[#This Row],[MAYO ]]/22.5-1,0),IF(Tabla1[[#This Row],[MAYO ]]&gt;45,Tabla1[[#This Row],[MAYO ]]/45-1,0))</f>
        <v>0</v>
      </c>
      <c r="AJ561" s="103">
        <f>IF(Tabla1[[#This Row],[TIPO DE CONSUMIDOR]]="MEDIO",IF(Tabla1[[#This Row],[JUNIO ]]&gt;22.5,Tabla1[[#This Row],[JUNIO ]]/22.5-1,0),IF(Tabla1[[#This Row],[JUNIO ]]&gt;45,Tabla1[[#This Row],[JUNIO ]]/45-1,0))</f>
        <v>0</v>
      </c>
      <c r="AK561" s="103">
        <f>IF(Tabla1[[#This Row],[TIPO DE CONSUMIDOR]]="MEDIO",IF(Tabla1[[#This Row],[JULIO ]]&gt;22.5,Tabla1[[#This Row],[JULIO ]]/22.5-1,0),IF(Tabla1[[#This Row],[JULIO ]]&gt;45,Tabla1[[#This Row],[JULIO ]]/45-1,0))</f>
        <v>0</v>
      </c>
      <c r="AL561" s="103">
        <f>IF(Tabla1[[#This Row],[TIPO DE CONSUMIDOR]]="MEDIO",IF(Tabla1[[#This Row],[AGOSTO]]&gt;22.5,Tabla1[[#This Row],[AGOSTO]]/22.5-1,0),IF(Tabla1[[#This Row],[AGOSTO]]&gt;45,Tabla1[[#This Row],[AGOSTO]]/45-1,0))</f>
        <v>0</v>
      </c>
      <c r="AM56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1" s="104">
        <f t="shared" si="18"/>
        <v>0</v>
      </c>
      <c r="AR561" s="9">
        <f t="shared" si="17"/>
        <v>1</v>
      </c>
      <c r="AS561" s="60">
        <f>IF(Tabla1[[#This Row],[MESES DE ADEUDO DEL AÑO EN CURSO ]]&gt;0,1,0)</f>
        <v>1</v>
      </c>
    </row>
    <row r="562" spans="1:45" ht="21.75" thickBot="1" x14ac:dyDescent="0.35">
      <c r="A562" s="109">
        <v>556</v>
      </c>
      <c r="B562" s="5" t="s">
        <v>614</v>
      </c>
      <c r="C562" s="2" t="s">
        <v>530</v>
      </c>
      <c r="D562" s="46"/>
      <c r="E562" s="36" t="s">
        <v>455</v>
      </c>
      <c r="F562" s="52">
        <v>0</v>
      </c>
      <c r="G562" s="53">
        <v>0</v>
      </c>
      <c r="H562" s="53">
        <v>0</v>
      </c>
      <c r="I562" s="53">
        <v>0</v>
      </c>
      <c r="J562" s="53">
        <v>0</v>
      </c>
      <c r="K562" s="53">
        <v>0</v>
      </c>
      <c r="L562" s="53">
        <v>0</v>
      </c>
      <c r="M562" s="53">
        <v>0</v>
      </c>
      <c r="N562" s="53">
        <v>0</v>
      </c>
      <c r="O562" s="53">
        <v>0</v>
      </c>
      <c r="P562" s="53">
        <v>0</v>
      </c>
      <c r="Q562" s="54">
        <v>0</v>
      </c>
      <c r="R562" s="59">
        <f>SUM(Tabla1[[#This Row],[ENERO ]:[DICIEMBRE]])</f>
        <v>0</v>
      </c>
      <c r="W562" s="65">
        <v>22</v>
      </c>
      <c r="X562" s="21">
        <f>COUNTIF(Tabla1[[#This Row],[ENERO ]:[DICIEMBRE]],0)-(AQ562)-IF(Tabla1[[#This Row],[BAJAS]]="BAJA",IF(Tabla1[[#This Row],[ALTAS]]="ALTA",VLOOKUP(Tabla1[[#This Row],[MES DE ALTA ]],$AT$6:$AU$17,2,FALSE),12)-VLOOKUP(Tabla1[[#This Row],[MES DE BAJA ]],$AT$6:$AU$17,2,FALSE),0)</f>
        <v>12</v>
      </c>
      <c r="Y562" s="69">
        <f>SUM(Tabla1[[#This Row],[MES ADEUDO DE AÑOS PASADOS ]:[MESES DE ADEUDO DEL AÑO EN CURSO ]])</f>
        <v>34</v>
      </c>
      <c r="Z562" s="15">
        <f>IF(Tabla1[[#This Row],[TIPO DE CONSUMIDOR]]="COMPLETO",W562*$T$2,W562*($T$2/2))</f>
        <v>990</v>
      </c>
      <c r="AA562" s="15">
        <f>IF(Tabla1[[#This Row],[TIPO DE CONSUMIDOR]]="COMPLETO",Tabla1[[#This Row],[MESES DE ADEUDO DEL AÑO EN CURSO ]]*$T$2,Tabla1[[#This Row],[MESES DE ADEUDO DEL AÑO EN CURSO ]]*($T$2/2))</f>
        <v>540</v>
      </c>
      <c r="AB562" s="70">
        <f>SUM(Tabla1[[#This Row],[DEUDA DE LOS MESES PASADOS EN $$]:[DEUDA DEL AÑO 2013 $$ ]])</f>
        <v>1530</v>
      </c>
      <c r="AE562" s="103">
        <f>IF(Tabla1[[#This Row],[TIPO DE CONSUMIDOR]]="MEDIO",IF(Tabla1[[#This Row],[ENERO ]]&gt;22.5,Tabla1[[#This Row],[ENERO ]]/22.5-1,0),IF(Tabla1[[#This Row],[ENERO ]]&gt;45,Tabla1[[#This Row],[ENERO ]]/45-1,0))</f>
        <v>0</v>
      </c>
      <c r="AF56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2" s="103">
        <f>IF(Tabla1[[#This Row],[TIPO DE CONSUMIDOR]]="MEDIO",IF(Tabla1[[#This Row],[MARZO]]&gt;22.5,Tabla1[[#This Row],[MARZO]]/22.5-1,0),IF(Tabla1[[#This Row],[MARZO]]&gt;45,Tabla1[[#This Row],[MARZO]]/45-1,0))</f>
        <v>0</v>
      </c>
      <c r="AH562" s="103">
        <f>IF(Tabla1[[#This Row],[TIPO DE CONSUMIDOR]]="MEDIO",IF(Tabla1[[#This Row],[ABRIL]]&gt;22.5,Tabla1[[#This Row],[ABRIL]]/22.5-1,0),IF(Tabla1[[#This Row],[ABRIL]]&gt;45,Tabla1[[#This Row],[ABRIL]]/45-1,0))</f>
        <v>0</v>
      </c>
      <c r="AI562" s="103">
        <f>IF(Tabla1[[#This Row],[TIPO DE CONSUMIDOR]]="MEDIO",IF(Tabla1[[#This Row],[MAYO ]]&gt;22.5,Tabla1[[#This Row],[MAYO ]]/22.5-1,0),IF(Tabla1[[#This Row],[MAYO ]]&gt;45,Tabla1[[#This Row],[MAYO ]]/45-1,0))</f>
        <v>0</v>
      </c>
      <c r="AJ562" s="103">
        <f>IF(Tabla1[[#This Row],[TIPO DE CONSUMIDOR]]="MEDIO",IF(Tabla1[[#This Row],[JUNIO ]]&gt;22.5,Tabla1[[#This Row],[JUNIO ]]/22.5-1,0),IF(Tabla1[[#This Row],[JUNIO ]]&gt;45,Tabla1[[#This Row],[JUNIO ]]/45-1,0))</f>
        <v>0</v>
      </c>
      <c r="AK562" s="103">
        <f>IF(Tabla1[[#This Row],[TIPO DE CONSUMIDOR]]="MEDIO",IF(Tabla1[[#This Row],[JULIO ]]&gt;22.5,Tabla1[[#This Row],[JULIO ]]/22.5-1,0),IF(Tabla1[[#This Row],[JULIO ]]&gt;45,Tabla1[[#This Row],[JULIO ]]/45-1,0))</f>
        <v>0</v>
      </c>
      <c r="AL562" s="103">
        <f>IF(Tabla1[[#This Row],[TIPO DE CONSUMIDOR]]="MEDIO",IF(Tabla1[[#This Row],[AGOSTO]]&gt;22.5,Tabla1[[#This Row],[AGOSTO]]/22.5-1,0),IF(Tabla1[[#This Row],[AGOSTO]]&gt;45,Tabla1[[#This Row],[AGOSTO]]/45-1,0))</f>
        <v>0</v>
      </c>
      <c r="AM56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2" s="104">
        <f t="shared" si="18"/>
        <v>0</v>
      </c>
      <c r="AR562" s="9">
        <f t="shared" si="17"/>
        <v>1</v>
      </c>
      <c r="AS562" s="60">
        <f>IF(Tabla1[[#This Row],[MESES DE ADEUDO DEL AÑO EN CURSO ]]&gt;0,1,0)</f>
        <v>1</v>
      </c>
    </row>
    <row r="563" spans="1:45" ht="21.75" thickBot="1" x14ac:dyDescent="0.35">
      <c r="A563" s="109">
        <v>557</v>
      </c>
      <c r="B563" s="5" t="s">
        <v>579</v>
      </c>
      <c r="C563" s="2"/>
      <c r="D563" s="32"/>
      <c r="E563" s="35" t="s">
        <v>455</v>
      </c>
      <c r="F563" s="52">
        <v>0</v>
      </c>
      <c r="G563" s="52">
        <v>0</v>
      </c>
      <c r="H563" s="52">
        <v>0</v>
      </c>
      <c r="I563" s="52">
        <v>0</v>
      </c>
      <c r="J563" s="52">
        <v>0</v>
      </c>
      <c r="K563" s="52">
        <v>0</v>
      </c>
      <c r="L563" s="52">
        <v>0</v>
      </c>
      <c r="M563" s="52">
        <v>0</v>
      </c>
      <c r="N563" s="52">
        <v>0</v>
      </c>
      <c r="O563" s="52">
        <v>0</v>
      </c>
      <c r="P563" s="52">
        <v>0</v>
      </c>
      <c r="Q563" s="52">
        <v>0</v>
      </c>
      <c r="R563" s="55">
        <f>SUM(Tabla1[[#This Row],[ENERO ]:[DICIEMBRE]])</f>
        <v>0</v>
      </c>
      <c r="W563" s="65">
        <v>22</v>
      </c>
      <c r="X563" s="21">
        <f>COUNTIF(Tabla1[[#This Row],[ENERO ]:[DICIEMBRE]],0)-(AQ563)-IF(Tabla1[[#This Row],[BAJAS]]="BAJA",IF(Tabla1[[#This Row],[ALTAS]]="ALTA",VLOOKUP(Tabla1[[#This Row],[MES DE ALTA ]],$AT$6:$AU$17,2,FALSE),12)-VLOOKUP(Tabla1[[#This Row],[MES DE BAJA ]],$AT$6:$AU$17,2,FALSE),0)</f>
        <v>12</v>
      </c>
      <c r="Y563" s="69">
        <f>SUM(Tabla1[[#This Row],[MES ADEUDO DE AÑOS PASADOS ]:[MESES DE ADEUDO DEL AÑO EN CURSO ]])</f>
        <v>34</v>
      </c>
      <c r="Z563" s="15">
        <f>IF(Tabla1[[#This Row],[TIPO DE CONSUMIDOR]]="COMPLETO",W563*$T$2,W563*($T$2/2))</f>
        <v>990</v>
      </c>
      <c r="AA563" s="15">
        <f>IF(Tabla1[[#This Row],[TIPO DE CONSUMIDOR]]="COMPLETO",Tabla1[[#This Row],[MESES DE ADEUDO DEL AÑO EN CURSO ]]*$T$2,Tabla1[[#This Row],[MESES DE ADEUDO DEL AÑO EN CURSO ]]*($T$2/2))</f>
        <v>540</v>
      </c>
      <c r="AB563" s="70">
        <f>SUM(Tabla1[[#This Row],[DEUDA DE LOS MESES PASADOS EN $$]:[DEUDA DEL AÑO 2013 $$ ]])</f>
        <v>1530</v>
      </c>
      <c r="AE563" s="103">
        <f>IF(Tabla1[[#This Row],[TIPO DE CONSUMIDOR]]="MEDIO",IF(Tabla1[[#This Row],[ENERO ]]&gt;22.5,Tabla1[[#This Row],[ENERO ]]/22.5-1,0),IF(Tabla1[[#This Row],[ENERO ]]&gt;45,Tabla1[[#This Row],[ENERO ]]/45-1,0))</f>
        <v>0</v>
      </c>
      <c r="AF56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3" s="103">
        <f>IF(Tabla1[[#This Row],[TIPO DE CONSUMIDOR]]="MEDIO",IF(Tabla1[[#This Row],[MARZO]]&gt;22.5,Tabla1[[#This Row],[MARZO]]/22.5-1,0),IF(Tabla1[[#This Row],[MARZO]]&gt;45,Tabla1[[#This Row],[MARZO]]/45-1,0))</f>
        <v>0</v>
      </c>
      <c r="AH563" s="103">
        <f>IF(Tabla1[[#This Row],[TIPO DE CONSUMIDOR]]="MEDIO",IF(Tabla1[[#This Row],[ABRIL]]&gt;22.5,Tabla1[[#This Row],[ABRIL]]/22.5-1,0),IF(Tabla1[[#This Row],[ABRIL]]&gt;45,Tabla1[[#This Row],[ABRIL]]/45-1,0))</f>
        <v>0</v>
      </c>
      <c r="AI563" s="103">
        <f>IF(Tabla1[[#This Row],[TIPO DE CONSUMIDOR]]="MEDIO",IF(Tabla1[[#This Row],[MAYO ]]&gt;22.5,Tabla1[[#This Row],[MAYO ]]/22.5-1,0),IF(Tabla1[[#This Row],[MAYO ]]&gt;45,Tabla1[[#This Row],[MAYO ]]/45-1,0))</f>
        <v>0</v>
      </c>
      <c r="AJ563" s="103">
        <f>IF(Tabla1[[#This Row],[TIPO DE CONSUMIDOR]]="MEDIO",IF(Tabla1[[#This Row],[JUNIO ]]&gt;22.5,Tabla1[[#This Row],[JUNIO ]]/22.5-1,0),IF(Tabla1[[#This Row],[JUNIO ]]&gt;45,Tabla1[[#This Row],[JUNIO ]]/45-1,0))</f>
        <v>0</v>
      </c>
      <c r="AK563" s="103">
        <f>IF(Tabla1[[#This Row],[TIPO DE CONSUMIDOR]]="MEDIO",IF(Tabla1[[#This Row],[JULIO ]]&gt;22.5,Tabla1[[#This Row],[JULIO ]]/22.5-1,0),IF(Tabla1[[#This Row],[JULIO ]]&gt;45,Tabla1[[#This Row],[JULIO ]]/45-1,0))</f>
        <v>0</v>
      </c>
      <c r="AL563" s="103">
        <f>IF(Tabla1[[#This Row],[TIPO DE CONSUMIDOR]]="MEDIO",IF(Tabla1[[#This Row],[AGOSTO]]&gt;22.5,Tabla1[[#This Row],[AGOSTO]]/22.5-1,0),IF(Tabla1[[#This Row],[AGOSTO]]&gt;45,Tabla1[[#This Row],[AGOSTO]]/45-1,0))</f>
        <v>0</v>
      </c>
      <c r="AM56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3" s="104">
        <f t="shared" si="18"/>
        <v>0</v>
      </c>
      <c r="AR563" s="9">
        <f t="shared" si="17"/>
        <v>1</v>
      </c>
      <c r="AS563" s="60">
        <f>IF(Tabla1[[#This Row],[MESES DE ADEUDO DEL AÑO EN CURSO ]]&gt;0,1,0)</f>
        <v>1</v>
      </c>
    </row>
    <row r="564" spans="1:45" ht="21.75" thickBot="1" x14ac:dyDescent="0.35">
      <c r="A564" s="109">
        <v>558</v>
      </c>
      <c r="B564" s="5" t="s">
        <v>616</v>
      </c>
      <c r="C564" s="2" t="s">
        <v>549</v>
      </c>
      <c r="D564" s="32"/>
      <c r="E564" s="35" t="s">
        <v>455</v>
      </c>
      <c r="F564" s="53">
        <v>0</v>
      </c>
      <c r="G564" s="53">
        <v>0</v>
      </c>
      <c r="H564" s="53">
        <v>0</v>
      </c>
      <c r="I564" s="53">
        <v>0</v>
      </c>
      <c r="J564" s="53">
        <v>0</v>
      </c>
      <c r="K564" s="53">
        <v>0</v>
      </c>
      <c r="L564" s="53">
        <v>0</v>
      </c>
      <c r="M564" s="53">
        <v>0</v>
      </c>
      <c r="N564" s="53">
        <v>0</v>
      </c>
      <c r="O564" s="53">
        <v>0</v>
      </c>
      <c r="P564" s="53">
        <v>0</v>
      </c>
      <c r="Q564" s="53">
        <v>0</v>
      </c>
      <c r="R564" s="55">
        <f>SUM(Tabla1[[#This Row],[ENERO ]:[DICIEMBRE]])</f>
        <v>0</v>
      </c>
      <c r="W564" s="65">
        <v>24</v>
      </c>
      <c r="X564" s="21">
        <f>COUNTIF(Tabla1[[#This Row],[ENERO ]:[DICIEMBRE]],0)-(AQ564)-IF(Tabla1[[#This Row],[BAJAS]]="BAJA",IF(Tabla1[[#This Row],[ALTAS]]="ALTA",VLOOKUP(Tabla1[[#This Row],[MES DE ALTA ]],$AT$6:$AU$17,2,FALSE),12)-VLOOKUP(Tabla1[[#This Row],[MES DE BAJA ]],$AT$6:$AU$17,2,FALSE),0)</f>
        <v>12</v>
      </c>
      <c r="Y564" s="69">
        <f>SUM(Tabla1[[#This Row],[MES ADEUDO DE AÑOS PASADOS ]:[MESES DE ADEUDO DEL AÑO EN CURSO ]])</f>
        <v>36</v>
      </c>
      <c r="Z564" s="15">
        <f>IF(Tabla1[[#This Row],[TIPO DE CONSUMIDOR]]="COMPLETO",W564*$T$2,W564*($T$2/2))</f>
        <v>1080</v>
      </c>
      <c r="AA564" s="15">
        <f>IF(Tabla1[[#This Row],[TIPO DE CONSUMIDOR]]="COMPLETO",Tabla1[[#This Row],[MESES DE ADEUDO DEL AÑO EN CURSO ]]*$T$2,Tabla1[[#This Row],[MESES DE ADEUDO DEL AÑO EN CURSO ]]*($T$2/2))</f>
        <v>540</v>
      </c>
      <c r="AB564" s="70">
        <f>SUM(Tabla1[[#This Row],[DEUDA DE LOS MESES PASADOS EN $$]:[DEUDA DEL AÑO 2013 $$ ]])</f>
        <v>1620</v>
      </c>
      <c r="AE564" s="103">
        <f>IF(Tabla1[[#This Row],[TIPO DE CONSUMIDOR]]="MEDIO",IF(Tabla1[[#This Row],[ENERO ]]&gt;22.5,Tabla1[[#This Row],[ENERO ]]/22.5-1,0),IF(Tabla1[[#This Row],[ENERO ]]&gt;45,Tabla1[[#This Row],[ENERO ]]/45-1,0))</f>
        <v>0</v>
      </c>
      <c r="AF56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4" s="103">
        <f>IF(Tabla1[[#This Row],[TIPO DE CONSUMIDOR]]="MEDIO",IF(Tabla1[[#This Row],[MARZO]]&gt;22.5,Tabla1[[#This Row],[MARZO]]/22.5-1,0),IF(Tabla1[[#This Row],[MARZO]]&gt;45,Tabla1[[#This Row],[MARZO]]/45-1,0))</f>
        <v>0</v>
      </c>
      <c r="AH564" s="103">
        <f>IF(Tabla1[[#This Row],[TIPO DE CONSUMIDOR]]="MEDIO",IF(Tabla1[[#This Row],[ABRIL]]&gt;22.5,Tabla1[[#This Row],[ABRIL]]/22.5-1,0),IF(Tabla1[[#This Row],[ABRIL]]&gt;45,Tabla1[[#This Row],[ABRIL]]/45-1,0))</f>
        <v>0</v>
      </c>
      <c r="AI564" s="103">
        <f>IF(Tabla1[[#This Row],[TIPO DE CONSUMIDOR]]="MEDIO",IF(Tabla1[[#This Row],[MAYO ]]&gt;22.5,Tabla1[[#This Row],[MAYO ]]/22.5-1,0),IF(Tabla1[[#This Row],[MAYO ]]&gt;45,Tabla1[[#This Row],[MAYO ]]/45-1,0))</f>
        <v>0</v>
      </c>
      <c r="AJ564" s="103">
        <f>IF(Tabla1[[#This Row],[TIPO DE CONSUMIDOR]]="MEDIO",IF(Tabla1[[#This Row],[JUNIO ]]&gt;22.5,Tabla1[[#This Row],[JUNIO ]]/22.5-1,0),IF(Tabla1[[#This Row],[JUNIO ]]&gt;45,Tabla1[[#This Row],[JUNIO ]]/45-1,0))</f>
        <v>0</v>
      </c>
      <c r="AK564" s="103">
        <f>IF(Tabla1[[#This Row],[TIPO DE CONSUMIDOR]]="MEDIO",IF(Tabla1[[#This Row],[JULIO ]]&gt;22.5,Tabla1[[#This Row],[JULIO ]]/22.5-1,0),IF(Tabla1[[#This Row],[JULIO ]]&gt;45,Tabla1[[#This Row],[JULIO ]]/45-1,0))</f>
        <v>0</v>
      </c>
      <c r="AL564" s="103">
        <f>IF(Tabla1[[#This Row],[TIPO DE CONSUMIDOR]]="MEDIO",IF(Tabla1[[#This Row],[AGOSTO]]&gt;22.5,Tabla1[[#This Row],[AGOSTO]]/22.5-1,0),IF(Tabla1[[#This Row],[AGOSTO]]&gt;45,Tabla1[[#This Row],[AGOSTO]]/45-1,0))</f>
        <v>0</v>
      </c>
      <c r="AM56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4" s="104">
        <f t="shared" si="18"/>
        <v>0</v>
      </c>
      <c r="AR564" s="9">
        <f t="shared" si="17"/>
        <v>1</v>
      </c>
      <c r="AS564" s="60">
        <f>IF(Tabla1[[#This Row],[MESES DE ADEUDO DEL AÑO EN CURSO ]]&gt;0,1,0)</f>
        <v>1</v>
      </c>
    </row>
    <row r="565" spans="1:45" ht="21.75" thickBot="1" x14ac:dyDescent="0.35">
      <c r="A565" s="109">
        <v>559</v>
      </c>
      <c r="B565" s="11" t="s">
        <v>320</v>
      </c>
      <c r="C565" s="4" t="s">
        <v>493</v>
      </c>
      <c r="D565" s="33"/>
      <c r="E565" s="35" t="s">
        <v>455</v>
      </c>
      <c r="F565" s="52">
        <v>0</v>
      </c>
      <c r="G565" s="52">
        <v>0</v>
      </c>
      <c r="H565" s="52">
        <v>0</v>
      </c>
      <c r="I565" s="52">
        <v>0</v>
      </c>
      <c r="J565" s="52">
        <v>0</v>
      </c>
      <c r="K565" s="52">
        <v>0</v>
      </c>
      <c r="L565" s="52">
        <v>0</v>
      </c>
      <c r="M565" s="52">
        <v>0</v>
      </c>
      <c r="N565" s="52">
        <v>0</v>
      </c>
      <c r="O565" s="52">
        <v>0</v>
      </c>
      <c r="P565" s="52">
        <v>0</v>
      </c>
      <c r="Q565" s="52">
        <v>0</v>
      </c>
      <c r="R565" s="59">
        <f>SUM(Tabla1[[#This Row],[ENERO ]:[DICIEMBRE]])</f>
        <v>0</v>
      </c>
      <c r="W565" s="65">
        <v>25</v>
      </c>
      <c r="X565" s="21">
        <f>COUNTIF(Tabla1[[#This Row],[ENERO ]:[DICIEMBRE]],0)-(AQ565)-IF(Tabla1[[#This Row],[BAJAS]]="BAJA",IF(Tabla1[[#This Row],[ALTAS]]="ALTA",VLOOKUP(Tabla1[[#This Row],[MES DE ALTA ]],$AT$6:$AU$17,2,FALSE),12)-VLOOKUP(Tabla1[[#This Row],[MES DE BAJA ]],$AT$6:$AU$17,2,FALSE),0)</f>
        <v>12</v>
      </c>
      <c r="Y565" s="69">
        <f>SUM(Tabla1[[#This Row],[MES ADEUDO DE AÑOS PASADOS ]:[MESES DE ADEUDO DEL AÑO EN CURSO ]])</f>
        <v>37</v>
      </c>
      <c r="Z565" s="15">
        <f>IF(Tabla1[[#This Row],[TIPO DE CONSUMIDOR]]="COMPLETO",W565*$T$2,W565*($T$2/2))</f>
        <v>1125</v>
      </c>
      <c r="AA565" s="15">
        <f>IF(Tabla1[[#This Row],[TIPO DE CONSUMIDOR]]="COMPLETO",Tabla1[[#This Row],[MESES DE ADEUDO DEL AÑO EN CURSO ]]*$T$2,Tabla1[[#This Row],[MESES DE ADEUDO DEL AÑO EN CURSO ]]*($T$2/2))</f>
        <v>540</v>
      </c>
      <c r="AB565" s="70">
        <f>SUM(Tabla1[[#This Row],[DEUDA DE LOS MESES PASADOS EN $$]:[DEUDA DEL AÑO 2013 $$ ]])</f>
        <v>1665</v>
      </c>
      <c r="AE565" s="103">
        <f>IF(Tabla1[[#This Row],[TIPO DE CONSUMIDOR]]="MEDIO",IF(Tabla1[[#This Row],[ENERO ]]&gt;22.5,Tabla1[[#This Row],[ENERO ]]/22.5-1,0),IF(Tabla1[[#This Row],[ENERO ]]&gt;45,Tabla1[[#This Row],[ENERO ]]/45-1,0))</f>
        <v>0</v>
      </c>
      <c r="AF56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5" s="103">
        <f>IF(Tabla1[[#This Row],[TIPO DE CONSUMIDOR]]="MEDIO",IF(Tabla1[[#This Row],[MARZO]]&gt;22.5,Tabla1[[#This Row],[MARZO]]/22.5-1,0),IF(Tabla1[[#This Row],[MARZO]]&gt;45,Tabla1[[#This Row],[MARZO]]/45-1,0))</f>
        <v>0</v>
      </c>
      <c r="AH565" s="103">
        <f>IF(Tabla1[[#This Row],[TIPO DE CONSUMIDOR]]="MEDIO",IF(Tabla1[[#This Row],[ABRIL]]&gt;22.5,Tabla1[[#This Row],[ABRIL]]/22.5-1,0),IF(Tabla1[[#This Row],[ABRIL]]&gt;45,Tabla1[[#This Row],[ABRIL]]/45-1,0))</f>
        <v>0</v>
      </c>
      <c r="AI565" s="103">
        <f>IF(Tabla1[[#This Row],[TIPO DE CONSUMIDOR]]="MEDIO",IF(Tabla1[[#This Row],[MAYO ]]&gt;22.5,Tabla1[[#This Row],[MAYO ]]/22.5-1,0),IF(Tabla1[[#This Row],[MAYO ]]&gt;45,Tabla1[[#This Row],[MAYO ]]/45-1,0))</f>
        <v>0</v>
      </c>
      <c r="AJ565" s="103">
        <f>IF(Tabla1[[#This Row],[TIPO DE CONSUMIDOR]]="MEDIO",IF(Tabla1[[#This Row],[JUNIO ]]&gt;22.5,Tabla1[[#This Row],[JUNIO ]]/22.5-1,0),IF(Tabla1[[#This Row],[JUNIO ]]&gt;45,Tabla1[[#This Row],[JUNIO ]]/45-1,0))</f>
        <v>0</v>
      </c>
      <c r="AK565" s="103">
        <f>IF(Tabla1[[#This Row],[TIPO DE CONSUMIDOR]]="MEDIO",IF(Tabla1[[#This Row],[JULIO ]]&gt;22.5,Tabla1[[#This Row],[JULIO ]]/22.5-1,0),IF(Tabla1[[#This Row],[JULIO ]]&gt;45,Tabla1[[#This Row],[JULIO ]]/45-1,0))</f>
        <v>0</v>
      </c>
      <c r="AL565" s="103">
        <f>IF(Tabla1[[#This Row],[TIPO DE CONSUMIDOR]]="MEDIO",IF(Tabla1[[#This Row],[AGOSTO]]&gt;22.5,Tabla1[[#This Row],[AGOSTO]]/22.5-1,0),IF(Tabla1[[#This Row],[AGOSTO]]&gt;45,Tabla1[[#This Row],[AGOSTO]]/45-1,0))</f>
        <v>0</v>
      </c>
      <c r="AM56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5" s="104">
        <f t="shared" si="18"/>
        <v>0</v>
      </c>
      <c r="AR565" s="9">
        <f t="shared" si="17"/>
        <v>1</v>
      </c>
      <c r="AS565" s="60">
        <f>IF(Tabla1[[#This Row],[MESES DE ADEUDO DEL AÑO EN CURSO ]]&gt;0,1,0)</f>
        <v>1</v>
      </c>
    </row>
    <row r="566" spans="1:45" ht="21.75" thickBot="1" x14ac:dyDescent="0.35">
      <c r="A566" s="109">
        <v>560</v>
      </c>
      <c r="B566" s="5" t="s">
        <v>473</v>
      </c>
      <c r="C566" s="2" t="s">
        <v>461</v>
      </c>
      <c r="D566" s="32"/>
      <c r="E566" s="35" t="s">
        <v>455</v>
      </c>
      <c r="F566" s="52">
        <v>0</v>
      </c>
      <c r="G566" s="53">
        <v>0</v>
      </c>
      <c r="H566" s="53">
        <v>0</v>
      </c>
      <c r="I566" s="53">
        <v>0</v>
      </c>
      <c r="J566" s="53">
        <v>0</v>
      </c>
      <c r="K566" s="53">
        <v>0</v>
      </c>
      <c r="L566" s="53">
        <v>0</v>
      </c>
      <c r="M566" s="53">
        <v>0</v>
      </c>
      <c r="N566" s="53">
        <v>0</v>
      </c>
      <c r="O566" s="53">
        <v>0</v>
      </c>
      <c r="P566" s="53">
        <v>0</v>
      </c>
      <c r="Q566" s="54">
        <v>0</v>
      </c>
      <c r="R566" s="59">
        <f>SUM(Tabla1[[#This Row],[ENERO ]:[DICIEMBRE]])</f>
        <v>0</v>
      </c>
      <c r="W566" s="65">
        <v>27</v>
      </c>
      <c r="X566" s="21">
        <f>COUNTIF(Tabla1[[#This Row],[ENERO ]:[DICIEMBRE]],0)-(AQ566)-IF(Tabla1[[#This Row],[BAJAS]]="BAJA",IF(Tabla1[[#This Row],[ALTAS]]="ALTA",VLOOKUP(Tabla1[[#This Row],[MES DE ALTA ]],$AT$6:$AU$17,2,FALSE),12)-VLOOKUP(Tabla1[[#This Row],[MES DE BAJA ]],$AT$6:$AU$17,2,FALSE),0)</f>
        <v>12</v>
      </c>
      <c r="Y566" s="69">
        <f>SUM(Tabla1[[#This Row],[MES ADEUDO DE AÑOS PASADOS ]:[MESES DE ADEUDO DEL AÑO EN CURSO ]])</f>
        <v>39</v>
      </c>
      <c r="Z566" s="15">
        <f>IF(Tabla1[[#This Row],[TIPO DE CONSUMIDOR]]="COMPLETO",W566*$T$2,W566*($T$2/2))</f>
        <v>1215</v>
      </c>
      <c r="AA566" s="15">
        <f>IF(Tabla1[[#This Row],[TIPO DE CONSUMIDOR]]="COMPLETO",Tabla1[[#This Row],[MESES DE ADEUDO DEL AÑO EN CURSO ]]*$T$2,Tabla1[[#This Row],[MESES DE ADEUDO DEL AÑO EN CURSO ]]*($T$2/2))</f>
        <v>540</v>
      </c>
      <c r="AB566" s="70">
        <f>SUM(Tabla1[[#This Row],[DEUDA DE LOS MESES PASADOS EN $$]:[DEUDA DEL AÑO 2013 $$ ]])</f>
        <v>1755</v>
      </c>
      <c r="AE566" s="103">
        <f>IF(Tabla1[[#This Row],[TIPO DE CONSUMIDOR]]="MEDIO",IF(Tabla1[[#This Row],[ENERO ]]&gt;22.5,Tabla1[[#This Row],[ENERO ]]/22.5-1,0),IF(Tabla1[[#This Row],[ENERO ]]&gt;45,Tabla1[[#This Row],[ENERO ]]/45-1,0))</f>
        <v>0</v>
      </c>
      <c r="AF56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6" s="103">
        <f>IF(Tabla1[[#This Row],[TIPO DE CONSUMIDOR]]="MEDIO",IF(Tabla1[[#This Row],[MARZO]]&gt;22.5,Tabla1[[#This Row],[MARZO]]/22.5-1,0),IF(Tabla1[[#This Row],[MARZO]]&gt;45,Tabla1[[#This Row],[MARZO]]/45-1,0))</f>
        <v>0</v>
      </c>
      <c r="AH566" s="103">
        <f>IF(Tabla1[[#This Row],[TIPO DE CONSUMIDOR]]="MEDIO",IF(Tabla1[[#This Row],[ABRIL]]&gt;22.5,Tabla1[[#This Row],[ABRIL]]/22.5-1,0),IF(Tabla1[[#This Row],[ABRIL]]&gt;45,Tabla1[[#This Row],[ABRIL]]/45-1,0))</f>
        <v>0</v>
      </c>
      <c r="AI566" s="103">
        <f>IF(Tabla1[[#This Row],[TIPO DE CONSUMIDOR]]="MEDIO",IF(Tabla1[[#This Row],[MAYO ]]&gt;22.5,Tabla1[[#This Row],[MAYO ]]/22.5-1,0),IF(Tabla1[[#This Row],[MAYO ]]&gt;45,Tabla1[[#This Row],[MAYO ]]/45-1,0))</f>
        <v>0</v>
      </c>
      <c r="AJ566" s="103">
        <f>IF(Tabla1[[#This Row],[TIPO DE CONSUMIDOR]]="MEDIO",IF(Tabla1[[#This Row],[JUNIO ]]&gt;22.5,Tabla1[[#This Row],[JUNIO ]]/22.5-1,0),IF(Tabla1[[#This Row],[JUNIO ]]&gt;45,Tabla1[[#This Row],[JUNIO ]]/45-1,0))</f>
        <v>0</v>
      </c>
      <c r="AK566" s="103">
        <f>IF(Tabla1[[#This Row],[TIPO DE CONSUMIDOR]]="MEDIO",IF(Tabla1[[#This Row],[JULIO ]]&gt;22.5,Tabla1[[#This Row],[JULIO ]]/22.5-1,0),IF(Tabla1[[#This Row],[JULIO ]]&gt;45,Tabla1[[#This Row],[JULIO ]]/45-1,0))</f>
        <v>0</v>
      </c>
      <c r="AL566" s="103">
        <f>IF(Tabla1[[#This Row],[TIPO DE CONSUMIDOR]]="MEDIO",IF(Tabla1[[#This Row],[AGOSTO]]&gt;22.5,Tabla1[[#This Row],[AGOSTO]]/22.5-1,0),IF(Tabla1[[#This Row],[AGOSTO]]&gt;45,Tabla1[[#This Row],[AGOSTO]]/45-1,0))</f>
        <v>0</v>
      </c>
      <c r="AM56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6" s="104">
        <f t="shared" si="18"/>
        <v>0</v>
      </c>
      <c r="AR566" s="9">
        <f t="shared" si="17"/>
        <v>1</v>
      </c>
      <c r="AS566" s="60">
        <f>IF(Tabla1[[#This Row],[MESES DE ADEUDO DEL AÑO EN CURSO ]]&gt;0,1,0)</f>
        <v>1</v>
      </c>
    </row>
    <row r="567" spans="1:45" ht="21.75" thickBot="1" x14ac:dyDescent="0.35">
      <c r="A567" s="109">
        <v>561</v>
      </c>
      <c r="B567" s="11" t="s">
        <v>508</v>
      </c>
      <c r="C567" s="4" t="s">
        <v>504</v>
      </c>
      <c r="D567" s="33"/>
      <c r="E567" s="35" t="s">
        <v>455</v>
      </c>
      <c r="F567" s="52">
        <v>0</v>
      </c>
      <c r="G567" s="53">
        <v>0</v>
      </c>
      <c r="H567" s="53">
        <v>0</v>
      </c>
      <c r="I567" s="53">
        <v>0</v>
      </c>
      <c r="J567" s="53">
        <v>0</v>
      </c>
      <c r="K567" s="53">
        <v>0</v>
      </c>
      <c r="L567" s="53">
        <v>0</v>
      </c>
      <c r="M567" s="53">
        <v>0</v>
      </c>
      <c r="N567" s="53">
        <v>0</v>
      </c>
      <c r="O567" s="53">
        <v>0</v>
      </c>
      <c r="P567" s="53">
        <v>0</v>
      </c>
      <c r="Q567" s="54">
        <v>0</v>
      </c>
      <c r="R567" s="59">
        <f>SUM(Tabla1[[#This Row],[ENERO ]:[DICIEMBRE]])</f>
        <v>0</v>
      </c>
      <c r="W567" s="65">
        <v>27</v>
      </c>
      <c r="X567" s="21">
        <f>COUNTIF(Tabla1[[#This Row],[ENERO ]:[DICIEMBRE]],0)-(AQ567)-IF(Tabla1[[#This Row],[BAJAS]]="BAJA",IF(Tabla1[[#This Row],[ALTAS]]="ALTA",VLOOKUP(Tabla1[[#This Row],[MES DE ALTA ]],$AT$6:$AU$17,2,FALSE),12)-VLOOKUP(Tabla1[[#This Row],[MES DE BAJA ]],$AT$6:$AU$17,2,FALSE),0)</f>
        <v>12</v>
      </c>
      <c r="Y567" s="69">
        <f>SUM(Tabla1[[#This Row],[MES ADEUDO DE AÑOS PASADOS ]:[MESES DE ADEUDO DEL AÑO EN CURSO ]])</f>
        <v>39</v>
      </c>
      <c r="Z567" s="15">
        <f>IF(Tabla1[[#This Row],[TIPO DE CONSUMIDOR]]="COMPLETO",W567*$T$2,W567*($T$2/2))</f>
        <v>1215</v>
      </c>
      <c r="AA567" s="15">
        <f>IF(Tabla1[[#This Row],[TIPO DE CONSUMIDOR]]="COMPLETO",Tabla1[[#This Row],[MESES DE ADEUDO DEL AÑO EN CURSO ]]*$T$2,Tabla1[[#This Row],[MESES DE ADEUDO DEL AÑO EN CURSO ]]*($T$2/2))</f>
        <v>540</v>
      </c>
      <c r="AB567" s="70">
        <f>SUM(Tabla1[[#This Row],[DEUDA DE LOS MESES PASADOS EN $$]:[DEUDA DEL AÑO 2013 $$ ]])</f>
        <v>1755</v>
      </c>
      <c r="AE567" s="103">
        <f>IF(Tabla1[[#This Row],[TIPO DE CONSUMIDOR]]="MEDIO",IF(Tabla1[[#This Row],[ENERO ]]&gt;22.5,Tabla1[[#This Row],[ENERO ]]/22.5-1,0),IF(Tabla1[[#This Row],[ENERO ]]&gt;45,Tabla1[[#This Row],[ENERO ]]/45-1,0))</f>
        <v>0</v>
      </c>
      <c r="AF56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7" s="103">
        <f>IF(Tabla1[[#This Row],[TIPO DE CONSUMIDOR]]="MEDIO",IF(Tabla1[[#This Row],[MARZO]]&gt;22.5,Tabla1[[#This Row],[MARZO]]/22.5-1,0),IF(Tabla1[[#This Row],[MARZO]]&gt;45,Tabla1[[#This Row],[MARZO]]/45-1,0))</f>
        <v>0</v>
      </c>
      <c r="AH567" s="103">
        <f>IF(Tabla1[[#This Row],[TIPO DE CONSUMIDOR]]="MEDIO",IF(Tabla1[[#This Row],[ABRIL]]&gt;22.5,Tabla1[[#This Row],[ABRIL]]/22.5-1,0),IF(Tabla1[[#This Row],[ABRIL]]&gt;45,Tabla1[[#This Row],[ABRIL]]/45-1,0))</f>
        <v>0</v>
      </c>
      <c r="AI567" s="103">
        <f>IF(Tabla1[[#This Row],[TIPO DE CONSUMIDOR]]="MEDIO",IF(Tabla1[[#This Row],[MAYO ]]&gt;22.5,Tabla1[[#This Row],[MAYO ]]/22.5-1,0),IF(Tabla1[[#This Row],[MAYO ]]&gt;45,Tabla1[[#This Row],[MAYO ]]/45-1,0))</f>
        <v>0</v>
      </c>
      <c r="AJ567" s="103">
        <f>IF(Tabla1[[#This Row],[TIPO DE CONSUMIDOR]]="MEDIO",IF(Tabla1[[#This Row],[JUNIO ]]&gt;22.5,Tabla1[[#This Row],[JUNIO ]]/22.5-1,0),IF(Tabla1[[#This Row],[JUNIO ]]&gt;45,Tabla1[[#This Row],[JUNIO ]]/45-1,0))</f>
        <v>0</v>
      </c>
      <c r="AK567" s="103">
        <f>IF(Tabla1[[#This Row],[TIPO DE CONSUMIDOR]]="MEDIO",IF(Tabla1[[#This Row],[JULIO ]]&gt;22.5,Tabla1[[#This Row],[JULIO ]]/22.5-1,0),IF(Tabla1[[#This Row],[JULIO ]]&gt;45,Tabla1[[#This Row],[JULIO ]]/45-1,0))</f>
        <v>0</v>
      </c>
      <c r="AL567" s="103">
        <f>IF(Tabla1[[#This Row],[TIPO DE CONSUMIDOR]]="MEDIO",IF(Tabla1[[#This Row],[AGOSTO]]&gt;22.5,Tabla1[[#This Row],[AGOSTO]]/22.5-1,0),IF(Tabla1[[#This Row],[AGOSTO]]&gt;45,Tabla1[[#This Row],[AGOSTO]]/45-1,0))</f>
        <v>0</v>
      </c>
      <c r="AM56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7" s="104">
        <f t="shared" si="18"/>
        <v>0</v>
      </c>
      <c r="AR567" s="9">
        <f t="shared" si="17"/>
        <v>1</v>
      </c>
      <c r="AS567" s="60">
        <f>IF(Tabla1[[#This Row],[MESES DE ADEUDO DEL AÑO EN CURSO ]]&gt;0,1,0)</f>
        <v>1</v>
      </c>
    </row>
    <row r="568" spans="1:45" ht="27.75" customHeight="1" thickBot="1" x14ac:dyDescent="0.35">
      <c r="A568" s="109">
        <v>562</v>
      </c>
      <c r="B568" s="5" t="s">
        <v>41</v>
      </c>
      <c r="C568" s="2"/>
      <c r="D568" s="32"/>
      <c r="E568" s="35" t="s">
        <v>455</v>
      </c>
      <c r="F568" s="52">
        <v>0</v>
      </c>
      <c r="G568" s="53">
        <v>0</v>
      </c>
      <c r="H568" s="53">
        <v>0</v>
      </c>
      <c r="I568" s="53">
        <v>0</v>
      </c>
      <c r="J568" s="53">
        <v>0</v>
      </c>
      <c r="K568" s="53">
        <v>0</v>
      </c>
      <c r="L568" s="53">
        <v>0</v>
      </c>
      <c r="M568" s="53">
        <v>0</v>
      </c>
      <c r="N568" s="53">
        <v>0</v>
      </c>
      <c r="O568" s="53">
        <v>0</v>
      </c>
      <c r="P568" s="53">
        <v>0</v>
      </c>
      <c r="Q568" s="54">
        <v>0</v>
      </c>
      <c r="R568" s="59">
        <f>SUM(Tabla1[[#This Row],[ENERO ]:[DICIEMBRE]])</f>
        <v>0</v>
      </c>
      <c r="W568" s="65">
        <v>27</v>
      </c>
      <c r="X568" s="93">
        <f>COUNTIF(Tabla1[[#This Row],[ENERO ]:[DICIEMBRE]],0)-(AQ568)-IF(Tabla1[[#This Row],[BAJAS]]="BAJA",IF(Tabla1[[#This Row],[ALTAS]]="ALTA",VLOOKUP(Tabla1[[#This Row],[MES DE ALTA ]],$AT$6:$AU$17,2,FALSE),12)-VLOOKUP(Tabla1[[#This Row],[MES DE BAJA ]],$AT$6:$AU$17,2,FALSE),0)</f>
        <v>12</v>
      </c>
      <c r="Y568" s="69">
        <f>SUM(Tabla1[[#This Row],[MES ADEUDO DE AÑOS PASADOS ]:[MESES DE ADEUDO DEL AÑO EN CURSO ]])</f>
        <v>39</v>
      </c>
      <c r="Z568" s="15">
        <f>IF(Tabla1[[#This Row],[TIPO DE CONSUMIDOR]]="COMPLETO",W568*$T$2,W568*($T$2/2))</f>
        <v>1215</v>
      </c>
      <c r="AA568" s="15">
        <f>IF(Tabla1[[#This Row],[TIPO DE CONSUMIDOR]]="COMPLETO",Tabla1[[#This Row],[MESES DE ADEUDO DEL AÑO EN CURSO ]]*$T$2,Tabla1[[#This Row],[MESES DE ADEUDO DEL AÑO EN CURSO ]]*($T$2/2))</f>
        <v>540</v>
      </c>
      <c r="AB568" s="70">
        <f>SUM(Tabla1[[#This Row],[DEUDA DE LOS MESES PASADOS EN $$]:[DEUDA DEL AÑO 2013 $$ ]])</f>
        <v>1755</v>
      </c>
      <c r="AE568" s="103">
        <f>IF(Tabla1[[#This Row],[TIPO DE CONSUMIDOR]]="MEDIO",IF(Tabla1[[#This Row],[ENERO ]]&gt;22.5,Tabla1[[#This Row],[ENERO ]]/22.5-1,0),IF(Tabla1[[#This Row],[ENERO ]]&gt;45,Tabla1[[#This Row],[ENERO ]]/45-1,0))</f>
        <v>0</v>
      </c>
      <c r="AF56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8" s="103">
        <f>IF(Tabla1[[#This Row],[TIPO DE CONSUMIDOR]]="MEDIO",IF(Tabla1[[#This Row],[MARZO]]&gt;22.5,Tabla1[[#This Row],[MARZO]]/22.5-1,0),IF(Tabla1[[#This Row],[MARZO]]&gt;45,Tabla1[[#This Row],[MARZO]]/45-1,0))</f>
        <v>0</v>
      </c>
      <c r="AH568" s="103">
        <f>IF(Tabla1[[#This Row],[TIPO DE CONSUMIDOR]]="MEDIO",IF(Tabla1[[#This Row],[ABRIL]]&gt;22.5,Tabla1[[#This Row],[ABRIL]]/22.5-1,0),IF(Tabla1[[#This Row],[ABRIL]]&gt;45,Tabla1[[#This Row],[ABRIL]]/45-1,0))</f>
        <v>0</v>
      </c>
      <c r="AI568" s="103">
        <f>IF(Tabla1[[#This Row],[TIPO DE CONSUMIDOR]]="MEDIO",IF(Tabla1[[#This Row],[MAYO ]]&gt;22.5,Tabla1[[#This Row],[MAYO ]]/22.5-1,0),IF(Tabla1[[#This Row],[MAYO ]]&gt;45,Tabla1[[#This Row],[MAYO ]]/45-1,0))</f>
        <v>0</v>
      </c>
      <c r="AJ568" s="103">
        <f>IF(Tabla1[[#This Row],[TIPO DE CONSUMIDOR]]="MEDIO",IF(Tabla1[[#This Row],[JUNIO ]]&gt;22.5,Tabla1[[#This Row],[JUNIO ]]/22.5-1,0),IF(Tabla1[[#This Row],[JUNIO ]]&gt;45,Tabla1[[#This Row],[JUNIO ]]/45-1,0))</f>
        <v>0</v>
      </c>
      <c r="AK568" s="103">
        <f>IF(Tabla1[[#This Row],[TIPO DE CONSUMIDOR]]="MEDIO",IF(Tabla1[[#This Row],[JULIO ]]&gt;22.5,Tabla1[[#This Row],[JULIO ]]/22.5-1,0),IF(Tabla1[[#This Row],[JULIO ]]&gt;45,Tabla1[[#This Row],[JULIO ]]/45-1,0))</f>
        <v>0</v>
      </c>
      <c r="AL568" s="103">
        <f>IF(Tabla1[[#This Row],[TIPO DE CONSUMIDOR]]="MEDIO",IF(Tabla1[[#This Row],[AGOSTO]]&gt;22.5,Tabla1[[#This Row],[AGOSTO]]/22.5-1,0),IF(Tabla1[[#This Row],[AGOSTO]]&gt;45,Tabla1[[#This Row],[AGOSTO]]/45-1,0))</f>
        <v>0</v>
      </c>
      <c r="AM56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8" s="104">
        <f t="shared" si="18"/>
        <v>0</v>
      </c>
      <c r="AR568" s="9">
        <f t="shared" si="17"/>
        <v>1</v>
      </c>
      <c r="AS568" s="60">
        <f>IF(Tabla1[[#This Row],[MESES DE ADEUDO DEL AÑO EN CURSO ]]&gt;0,1,0)</f>
        <v>1</v>
      </c>
    </row>
    <row r="569" spans="1:45" ht="21.75" thickBot="1" x14ac:dyDescent="0.35">
      <c r="A569" s="109">
        <v>563</v>
      </c>
      <c r="B569" s="5" t="s">
        <v>464</v>
      </c>
      <c r="C569" s="2" t="s">
        <v>461</v>
      </c>
      <c r="D569" s="32"/>
      <c r="E569" s="35" t="s">
        <v>455</v>
      </c>
      <c r="F569" s="52">
        <v>0</v>
      </c>
      <c r="G569" s="53">
        <v>0</v>
      </c>
      <c r="H569" s="53">
        <v>0</v>
      </c>
      <c r="I569" s="53">
        <v>0</v>
      </c>
      <c r="J569" s="53">
        <v>0</v>
      </c>
      <c r="K569" s="53">
        <v>0</v>
      </c>
      <c r="L569" s="53">
        <v>0</v>
      </c>
      <c r="M569" s="53">
        <v>0</v>
      </c>
      <c r="N569" s="53">
        <v>0</v>
      </c>
      <c r="O569" s="53">
        <v>0</v>
      </c>
      <c r="P569" s="53">
        <v>0</v>
      </c>
      <c r="Q569" s="54">
        <v>0</v>
      </c>
      <c r="R569" s="59">
        <f>SUM(Tabla1[[#This Row],[ENERO ]:[DICIEMBRE]])</f>
        <v>0</v>
      </c>
      <c r="W569" s="65">
        <v>28</v>
      </c>
      <c r="X569" s="93">
        <f>COUNTIF(Tabla1[[#This Row],[ENERO ]:[DICIEMBRE]],0)-(AQ569)-IF(Tabla1[[#This Row],[BAJAS]]="BAJA",IF(Tabla1[[#This Row],[ALTAS]]="ALTA",VLOOKUP(Tabla1[[#This Row],[MES DE ALTA ]],$AT$6:$AU$17,2,FALSE),12)-VLOOKUP(Tabla1[[#This Row],[MES DE BAJA ]],$AT$6:$AU$17,2,FALSE),0)</f>
        <v>12</v>
      </c>
      <c r="Y569" s="69">
        <f>SUM(Tabla1[[#This Row],[MES ADEUDO DE AÑOS PASADOS ]:[MESES DE ADEUDO DEL AÑO EN CURSO ]])</f>
        <v>40</v>
      </c>
      <c r="Z569" s="15">
        <f>IF(Tabla1[[#This Row],[TIPO DE CONSUMIDOR]]="COMPLETO",W569*$T$2,W569*($T$2/2))</f>
        <v>1260</v>
      </c>
      <c r="AA569" s="15">
        <f>IF(Tabla1[[#This Row],[TIPO DE CONSUMIDOR]]="COMPLETO",Tabla1[[#This Row],[MESES DE ADEUDO DEL AÑO EN CURSO ]]*$T$2,Tabla1[[#This Row],[MESES DE ADEUDO DEL AÑO EN CURSO ]]*($T$2/2))</f>
        <v>540</v>
      </c>
      <c r="AB569" s="70">
        <f>SUM(Tabla1[[#This Row],[DEUDA DE LOS MESES PASADOS EN $$]:[DEUDA DEL AÑO 2013 $$ ]])</f>
        <v>1800</v>
      </c>
      <c r="AE569" s="103">
        <f>IF(Tabla1[[#This Row],[TIPO DE CONSUMIDOR]]="MEDIO",IF(Tabla1[[#This Row],[ENERO ]]&gt;22.5,Tabla1[[#This Row],[ENERO ]]/22.5-1,0),IF(Tabla1[[#This Row],[ENERO ]]&gt;45,Tabla1[[#This Row],[ENERO ]]/45-1,0))</f>
        <v>0</v>
      </c>
      <c r="AF56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69" s="103">
        <f>IF(Tabla1[[#This Row],[TIPO DE CONSUMIDOR]]="MEDIO",IF(Tabla1[[#This Row],[MARZO]]&gt;22.5,Tabla1[[#This Row],[MARZO]]/22.5-1,0),IF(Tabla1[[#This Row],[MARZO]]&gt;45,Tabla1[[#This Row],[MARZO]]/45-1,0))</f>
        <v>0</v>
      </c>
      <c r="AH569" s="103">
        <f>IF(Tabla1[[#This Row],[TIPO DE CONSUMIDOR]]="MEDIO",IF(Tabla1[[#This Row],[ABRIL]]&gt;22.5,Tabla1[[#This Row],[ABRIL]]/22.5-1,0),IF(Tabla1[[#This Row],[ABRIL]]&gt;45,Tabla1[[#This Row],[ABRIL]]/45-1,0))</f>
        <v>0</v>
      </c>
      <c r="AI569" s="103">
        <f>IF(Tabla1[[#This Row],[TIPO DE CONSUMIDOR]]="MEDIO",IF(Tabla1[[#This Row],[MAYO ]]&gt;22.5,Tabla1[[#This Row],[MAYO ]]/22.5-1,0),IF(Tabla1[[#This Row],[MAYO ]]&gt;45,Tabla1[[#This Row],[MAYO ]]/45-1,0))</f>
        <v>0</v>
      </c>
      <c r="AJ569" s="103">
        <f>IF(Tabla1[[#This Row],[TIPO DE CONSUMIDOR]]="MEDIO",IF(Tabla1[[#This Row],[JUNIO ]]&gt;22.5,Tabla1[[#This Row],[JUNIO ]]/22.5-1,0),IF(Tabla1[[#This Row],[JUNIO ]]&gt;45,Tabla1[[#This Row],[JUNIO ]]/45-1,0))</f>
        <v>0</v>
      </c>
      <c r="AK569" s="103">
        <f>IF(Tabla1[[#This Row],[TIPO DE CONSUMIDOR]]="MEDIO",IF(Tabla1[[#This Row],[JULIO ]]&gt;22.5,Tabla1[[#This Row],[JULIO ]]/22.5-1,0),IF(Tabla1[[#This Row],[JULIO ]]&gt;45,Tabla1[[#This Row],[JULIO ]]/45-1,0))</f>
        <v>0</v>
      </c>
      <c r="AL569" s="103">
        <f>IF(Tabla1[[#This Row],[TIPO DE CONSUMIDOR]]="MEDIO",IF(Tabla1[[#This Row],[AGOSTO]]&gt;22.5,Tabla1[[#This Row],[AGOSTO]]/22.5-1,0),IF(Tabla1[[#This Row],[AGOSTO]]&gt;45,Tabla1[[#This Row],[AGOSTO]]/45-1,0))</f>
        <v>0</v>
      </c>
      <c r="AM56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6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6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6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69" s="104">
        <f t="shared" si="18"/>
        <v>0</v>
      </c>
      <c r="AR569" s="9">
        <f t="shared" si="17"/>
        <v>1</v>
      </c>
      <c r="AS569" s="60">
        <f>IF(Tabla1[[#This Row],[MESES DE ADEUDO DEL AÑO EN CURSO ]]&gt;0,1,0)</f>
        <v>1</v>
      </c>
    </row>
    <row r="570" spans="1:45" ht="21.75" thickBot="1" x14ac:dyDescent="0.35">
      <c r="A570" s="109">
        <v>564</v>
      </c>
      <c r="B570" s="5" t="s">
        <v>570</v>
      </c>
      <c r="C570" s="2" t="s">
        <v>569</v>
      </c>
      <c r="D570" s="32"/>
      <c r="E570" s="35" t="s">
        <v>455</v>
      </c>
      <c r="F570" s="52">
        <v>0</v>
      </c>
      <c r="G570" s="53">
        <v>0</v>
      </c>
      <c r="H570" s="53">
        <v>0</v>
      </c>
      <c r="I570" s="53">
        <v>0</v>
      </c>
      <c r="J570" s="53">
        <v>0</v>
      </c>
      <c r="K570" s="53">
        <v>0</v>
      </c>
      <c r="L570" s="53">
        <v>0</v>
      </c>
      <c r="M570" s="53">
        <v>0</v>
      </c>
      <c r="N570" s="53">
        <v>0</v>
      </c>
      <c r="O570" s="53">
        <v>0</v>
      </c>
      <c r="P570" s="53">
        <v>0</v>
      </c>
      <c r="Q570" s="54">
        <v>0</v>
      </c>
      <c r="R570" s="59">
        <f>SUM(Tabla1[[#This Row],[ENERO ]:[DICIEMBRE]])</f>
        <v>0</v>
      </c>
      <c r="W570" s="65">
        <v>28</v>
      </c>
      <c r="X570" s="93">
        <f>COUNTIF(Tabla1[[#This Row],[ENERO ]:[DICIEMBRE]],0)-(AQ570)-IF(Tabla1[[#This Row],[BAJAS]]="BAJA",IF(Tabla1[[#This Row],[ALTAS]]="ALTA",VLOOKUP(Tabla1[[#This Row],[MES DE ALTA ]],$AT$6:$AU$17,2,FALSE),12)-VLOOKUP(Tabla1[[#This Row],[MES DE BAJA ]],$AT$6:$AU$17,2,FALSE),0)</f>
        <v>12</v>
      </c>
      <c r="Y570" s="69">
        <f>SUM(Tabla1[[#This Row],[MES ADEUDO DE AÑOS PASADOS ]:[MESES DE ADEUDO DEL AÑO EN CURSO ]])</f>
        <v>40</v>
      </c>
      <c r="Z570" s="15">
        <f>IF(Tabla1[[#This Row],[TIPO DE CONSUMIDOR]]="COMPLETO",W570*$T$2,W570*($T$2/2))</f>
        <v>1260</v>
      </c>
      <c r="AA570" s="15">
        <f>IF(Tabla1[[#This Row],[TIPO DE CONSUMIDOR]]="COMPLETO",Tabla1[[#This Row],[MESES DE ADEUDO DEL AÑO EN CURSO ]]*$T$2,Tabla1[[#This Row],[MESES DE ADEUDO DEL AÑO EN CURSO ]]*($T$2/2))</f>
        <v>540</v>
      </c>
      <c r="AB570" s="70">
        <f>SUM(Tabla1[[#This Row],[DEUDA DE LOS MESES PASADOS EN $$]:[DEUDA DEL AÑO 2013 $$ ]])</f>
        <v>1800</v>
      </c>
      <c r="AE570" s="103">
        <f>IF(Tabla1[[#This Row],[TIPO DE CONSUMIDOR]]="MEDIO",IF(Tabla1[[#This Row],[ENERO ]]&gt;22.5,Tabla1[[#This Row],[ENERO ]]/22.5-1,0),IF(Tabla1[[#This Row],[ENERO ]]&gt;45,Tabla1[[#This Row],[ENERO ]]/45-1,0))</f>
        <v>0</v>
      </c>
      <c r="AF57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0" s="103">
        <f>IF(Tabla1[[#This Row],[TIPO DE CONSUMIDOR]]="MEDIO",IF(Tabla1[[#This Row],[MARZO]]&gt;22.5,Tabla1[[#This Row],[MARZO]]/22.5-1,0),IF(Tabla1[[#This Row],[MARZO]]&gt;45,Tabla1[[#This Row],[MARZO]]/45-1,0))</f>
        <v>0</v>
      </c>
      <c r="AH570" s="103">
        <f>IF(Tabla1[[#This Row],[TIPO DE CONSUMIDOR]]="MEDIO",IF(Tabla1[[#This Row],[ABRIL]]&gt;22.5,Tabla1[[#This Row],[ABRIL]]/22.5-1,0),IF(Tabla1[[#This Row],[ABRIL]]&gt;45,Tabla1[[#This Row],[ABRIL]]/45-1,0))</f>
        <v>0</v>
      </c>
      <c r="AI570" s="103">
        <f>IF(Tabla1[[#This Row],[TIPO DE CONSUMIDOR]]="MEDIO",IF(Tabla1[[#This Row],[MAYO ]]&gt;22.5,Tabla1[[#This Row],[MAYO ]]/22.5-1,0),IF(Tabla1[[#This Row],[MAYO ]]&gt;45,Tabla1[[#This Row],[MAYO ]]/45-1,0))</f>
        <v>0</v>
      </c>
      <c r="AJ570" s="103">
        <f>IF(Tabla1[[#This Row],[TIPO DE CONSUMIDOR]]="MEDIO",IF(Tabla1[[#This Row],[JUNIO ]]&gt;22.5,Tabla1[[#This Row],[JUNIO ]]/22.5-1,0),IF(Tabla1[[#This Row],[JUNIO ]]&gt;45,Tabla1[[#This Row],[JUNIO ]]/45-1,0))</f>
        <v>0</v>
      </c>
      <c r="AK570" s="103">
        <f>IF(Tabla1[[#This Row],[TIPO DE CONSUMIDOR]]="MEDIO",IF(Tabla1[[#This Row],[JULIO ]]&gt;22.5,Tabla1[[#This Row],[JULIO ]]/22.5-1,0),IF(Tabla1[[#This Row],[JULIO ]]&gt;45,Tabla1[[#This Row],[JULIO ]]/45-1,0))</f>
        <v>0</v>
      </c>
      <c r="AL570" s="103">
        <f>IF(Tabla1[[#This Row],[TIPO DE CONSUMIDOR]]="MEDIO",IF(Tabla1[[#This Row],[AGOSTO]]&gt;22.5,Tabla1[[#This Row],[AGOSTO]]/22.5-1,0),IF(Tabla1[[#This Row],[AGOSTO]]&gt;45,Tabla1[[#This Row],[AGOSTO]]/45-1,0))</f>
        <v>0</v>
      </c>
      <c r="AM57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0" s="104">
        <f t="shared" si="18"/>
        <v>0</v>
      </c>
      <c r="AR570" s="9">
        <f t="shared" si="17"/>
        <v>1</v>
      </c>
      <c r="AS570" s="60">
        <f>IF(Tabla1[[#This Row],[MESES DE ADEUDO DEL AÑO EN CURSO ]]&gt;0,1,0)</f>
        <v>1</v>
      </c>
    </row>
    <row r="571" spans="1:45" ht="21.75" thickBot="1" x14ac:dyDescent="0.35">
      <c r="A571" s="109">
        <v>565</v>
      </c>
      <c r="B571" s="5" t="s">
        <v>45</v>
      </c>
      <c r="C571" s="2" t="s">
        <v>575</v>
      </c>
      <c r="D571" s="32"/>
      <c r="E571" s="35" t="s">
        <v>455</v>
      </c>
      <c r="F571" s="52">
        <v>0</v>
      </c>
      <c r="G571" s="53">
        <v>0</v>
      </c>
      <c r="H571" s="53">
        <v>0</v>
      </c>
      <c r="I571" s="53">
        <v>0</v>
      </c>
      <c r="J571" s="53">
        <v>0</v>
      </c>
      <c r="K571" s="53">
        <v>0</v>
      </c>
      <c r="L571" s="53">
        <v>0</v>
      </c>
      <c r="M571" s="53">
        <v>0</v>
      </c>
      <c r="N571" s="53">
        <v>0</v>
      </c>
      <c r="O571" s="53">
        <v>0</v>
      </c>
      <c r="P571" s="53">
        <v>0</v>
      </c>
      <c r="Q571" s="54">
        <v>0</v>
      </c>
      <c r="R571" s="59">
        <f>SUM(Tabla1[[#This Row],[ENERO ]:[DICIEMBRE]])</f>
        <v>0</v>
      </c>
      <c r="W571" s="65">
        <v>29</v>
      </c>
      <c r="X571" s="93">
        <f>COUNTIF(Tabla1[[#This Row],[ENERO ]:[DICIEMBRE]],0)-(AQ571)-IF(Tabla1[[#This Row],[BAJAS]]="BAJA",IF(Tabla1[[#This Row],[ALTAS]]="ALTA",VLOOKUP(Tabla1[[#This Row],[MES DE ALTA ]],$AT$6:$AU$17,2,FALSE),12)-VLOOKUP(Tabla1[[#This Row],[MES DE BAJA ]],$AT$6:$AU$17,2,FALSE),0)</f>
        <v>12</v>
      </c>
      <c r="Y571" s="69">
        <f>SUM(Tabla1[[#This Row],[MES ADEUDO DE AÑOS PASADOS ]:[MESES DE ADEUDO DEL AÑO EN CURSO ]])</f>
        <v>41</v>
      </c>
      <c r="Z571" s="15">
        <f>IF(Tabla1[[#This Row],[TIPO DE CONSUMIDOR]]="COMPLETO",W571*$T$2,W571*($T$2/2))</f>
        <v>1305</v>
      </c>
      <c r="AA571" s="15">
        <f>IF(Tabla1[[#This Row],[TIPO DE CONSUMIDOR]]="COMPLETO",Tabla1[[#This Row],[MESES DE ADEUDO DEL AÑO EN CURSO ]]*$T$2,Tabla1[[#This Row],[MESES DE ADEUDO DEL AÑO EN CURSO ]]*($T$2/2))</f>
        <v>540</v>
      </c>
      <c r="AB571" s="70">
        <f>SUM(Tabla1[[#This Row],[DEUDA DE LOS MESES PASADOS EN $$]:[DEUDA DEL AÑO 2013 $$ ]])</f>
        <v>1845</v>
      </c>
      <c r="AE571" s="103">
        <f>IF(Tabla1[[#This Row],[TIPO DE CONSUMIDOR]]="MEDIO",IF(Tabla1[[#This Row],[ENERO ]]&gt;22.5,Tabla1[[#This Row],[ENERO ]]/22.5-1,0),IF(Tabla1[[#This Row],[ENERO ]]&gt;45,Tabla1[[#This Row],[ENERO ]]/45-1,0))</f>
        <v>0</v>
      </c>
      <c r="AF57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1" s="103">
        <f>IF(Tabla1[[#This Row],[TIPO DE CONSUMIDOR]]="MEDIO",IF(Tabla1[[#This Row],[MARZO]]&gt;22.5,Tabla1[[#This Row],[MARZO]]/22.5-1,0),IF(Tabla1[[#This Row],[MARZO]]&gt;45,Tabla1[[#This Row],[MARZO]]/45-1,0))</f>
        <v>0</v>
      </c>
      <c r="AH571" s="103">
        <f>IF(Tabla1[[#This Row],[TIPO DE CONSUMIDOR]]="MEDIO",IF(Tabla1[[#This Row],[ABRIL]]&gt;22.5,Tabla1[[#This Row],[ABRIL]]/22.5-1,0),IF(Tabla1[[#This Row],[ABRIL]]&gt;45,Tabla1[[#This Row],[ABRIL]]/45-1,0))</f>
        <v>0</v>
      </c>
      <c r="AI571" s="103">
        <f>IF(Tabla1[[#This Row],[TIPO DE CONSUMIDOR]]="MEDIO",IF(Tabla1[[#This Row],[MAYO ]]&gt;22.5,Tabla1[[#This Row],[MAYO ]]/22.5-1,0),IF(Tabla1[[#This Row],[MAYO ]]&gt;45,Tabla1[[#This Row],[MAYO ]]/45-1,0))</f>
        <v>0</v>
      </c>
      <c r="AJ571" s="103">
        <f>IF(Tabla1[[#This Row],[TIPO DE CONSUMIDOR]]="MEDIO",IF(Tabla1[[#This Row],[JUNIO ]]&gt;22.5,Tabla1[[#This Row],[JUNIO ]]/22.5-1,0),IF(Tabla1[[#This Row],[JUNIO ]]&gt;45,Tabla1[[#This Row],[JUNIO ]]/45-1,0))</f>
        <v>0</v>
      </c>
      <c r="AK571" s="103">
        <f>IF(Tabla1[[#This Row],[TIPO DE CONSUMIDOR]]="MEDIO",IF(Tabla1[[#This Row],[JULIO ]]&gt;22.5,Tabla1[[#This Row],[JULIO ]]/22.5-1,0),IF(Tabla1[[#This Row],[JULIO ]]&gt;45,Tabla1[[#This Row],[JULIO ]]/45-1,0))</f>
        <v>0</v>
      </c>
      <c r="AL571" s="103">
        <f>IF(Tabla1[[#This Row],[TIPO DE CONSUMIDOR]]="MEDIO",IF(Tabla1[[#This Row],[AGOSTO]]&gt;22.5,Tabla1[[#This Row],[AGOSTO]]/22.5-1,0),IF(Tabla1[[#This Row],[AGOSTO]]&gt;45,Tabla1[[#This Row],[AGOSTO]]/45-1,0))</f>
        <v>0</v>
      </c>
      <c r="AM57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1" s="104">
        <f t="shared" si="18"/>
        <v>0</v>
      </c>
      <c r="AR571" s="9">
        <f t="shared" si="17"/>
        <v>1</v>
      </c>
      <c r="AS571" s="60">
        <f>IF(Tabla1[[#This Row],[MESES DE ADEUDO DEL AÑO EN CURSO ]]&gt;0,1,0)</f>
        <v>1</v>
      </c>
    </row>
    <row r="572" spans="1:45" ht="21.75" thickBot="1" x14ac:dyDescent="0.35">
      <c r="A572" s="109">
        <v>566</v>
      </c>
      <c r="B572" s="5" t="s">
        <v>647</v>
      </c>
      <c r="C572" s="2"/>
      <c r="D572" s="32"/>
      <c r="E572" s="35" t="s">
        <v>455</v>
      </c>
      <c r="F572" s="52">
        <v>0</v>
      </c>
      <c r="G572" s="53">
        <v>0</v>
      </c>
      <c r="H572" s="53">
        <v>0</v>
      </c>
      <c r="I572" s="53">
        <v>0</v>
      </c>
      <c r="J572" s="53">
        <v>0</v>
      </c>
      <c r="K572" s="53">
        <v>0</v>
      </c>
      <c r="L572" s="53">
        <v>0</v>
      </c>
      <c r="M572" s="53">
        <v>0</v>
      </c>
      <c r="N572" s="53">
        <v>0</v>
      </c>
      <c r="O572" s="53">
        <v>0</v>
      </c>
      <c r="P572" s="53">
        <v>0</v>
      </c>
      <c r="Q572" s="54">
        <v>0</v>
      </c>
      <c r="R572" s="95">
        <f>SUM(Tabla1[[#This Row],[ENERO ]:[DICIEMBRE]])</f>
        <v>0</v>
      </c>
      <c r="W572" s="65">
        <v>29</v>
      </c>
      <c r="X572" s="93">
        <f>COUNTIF(Tabla1[[#This Row],[ENERO ]:[DICIEMBRE]],0)-(AQ572)-IF(Tabla1[[#This Row],[BAJAS]]="BAJA",IF(Tabla1[[#This Row],[ALTAS]]="ALTA",VLOOKUP(Tabla1[[#This Row],[MES DE ALTA ]],$AT$6:$AU$17,2,FALSE),12)-VLOOKUP(Tabla1[[#This Row],[MES DE BAJA ]],$AT$6:$AU$17,2,FALSE),0)</f>
        <v>12</v>
      </c>
      <c r="Y572" s="94">
        <f>SUM(Tabla1[[#This Row],[MES ADEUDO DE AÑOS PASADOS ]:[MESES DE ADEUDO DEL AÑO EN CURSO ]])</f>
        <v>41</v>
      </c>
      <c r="Z572" s="15">
        <f>IF(Tabla1[[#This Row],[TIPO DE CONSUMIDOR]]="COMPLETO",W572*$T$2,W572*($T$2/2))</f>
        <v>1305</v>
      </c>
      <c r="AA572" s="15">
        <f>IF(Tabla1[[#This Row],[TIPO DE CONSUMIDOR]]="COMPLETO",Tabla1[[#This Row],[MESES DE ADEUDO DEL AÑO EN CURSO ]]*$T$2,Tabla1[[#This Row],[MESES DE ADEUDO DEL AÑO EN CURSO ]]*($T$2/2))</f>
        <v>540</v>
      </c>
      <c r="AB572" s="70">
        <f>SUM(Tabla1[[#This Row],[DEUDA DE LOS MESES PASADOS EN $$]:[DEUDA DEL AÑO 2013 $$ ]])</f>
        <v>1845</v>
      </c>
      <c r="AE572" s="103">
        <f>IF(Tabla1[[#This Row],[TIPO DE CONSUMIDOR]]="MEDIO",IF(Tabla1[[#This Row],[ENERO ]]&gt;22.5,Tabla1[[#This Row],[ENERO ]]/22.5-1,0),IF(Tabla1[[#This Row],[ENERO ]]&gt;45,Tabla1[[#This Row],[ENERO ]]/45-1,0))</f>
        <v>0</v>
      </c>
      <c r="AF57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2" s="103">
        <f>IF(Tabla1[[#This Row],[TIPO DE CONSUMIDOR]]="MEDIO",IF(Tabla1[[#This Row],[MARZO]]&gt;22.5,Tabla1[[#This Row],[MARZO]]/22.5-1,0),IF(Tabla1[[#This Row],[MARZO]]&gt;45,Tabla1[[#This Row],[MARZO]]/45-1,0))</f>
        <v>0</v>
      </c>
      <c r="AH572" s="103">
        <f>IF(Tabla1[[#This Row],[TIPO DE CONSUMIDOR]]="MEDIO",IF(Tabla1[[#This Row],[ABRIL]]&gt;22.5,Tabla1[[#This Row],[ABRIL]]/22.5-1,0),IF(Tabla1[[#This Row],[ABRIL]]&gt;45,Tabla1[[#This Row],[ABRIL]]/45-1,0))</f>
        <v>0</v>
      </c>
      <c r="AI572" s="103">
        <f>IF(Tabla1[[#This Row],[TIPO DE CONSUMIDOR]]="MEDIO",IF(Tabla1[[#This Row],[MAYO ]]&gt;22.5,Tabla1[[#This Row],[MAYO ]]/22.5-1,0),IF(Tabla1[[#This Row],[MAYO ]]&gt;45,Tabla1[[#This Row],[MAYO ]]/45-1,0))</f>
        <v>0</v>
      </c>
      <c r="AJ572" s="103">
        <f>IF(Tabla1[[#This Row],[TIPO DE CONSUMIDOR]]="MEDIO",IF(Tabla1[[#This Row],[JUNIO ]]&gt;22.5,Tabla1[[#This Row],[JUNIO ]]/22.5-1,0),IF(Tabla1[[#This Row],[JUNIO ]]&gt;45,Tabla1[[#This Row],[JUNIO ]]/45-1,0))</f>
        <v>0</v>
      </c>
      <c r="AK572" s="103">
        <f>IF(Tabla1[[#This Row],[TIPO DE CONSUMIDOR]]="MEDIO",IF(Tabla1[[#This Row],[JULIO ]]&gt;22.5,Tabla1[[#This Row],[JULIO ]]/22.5-1,0),IF(Tabla1[[#This Row],[JULIO ]]&gt;45,Tabla1[[#This Row],[JULIO ]]/45-1,0))</f>
        <v>0</v>
      </c>
      <c r="AL572" s="103">
        <f>IF(Tabla1[[#This Row],[TIPO DE CONSUMIDOR]]="MEDIO",IF(Tabla1[[#This Row],[AGOSTO]]&gt;22.5,Tabla1[[#This Row],[AGOSTO]]/22.5-1,0),IF(Tabla1[[#This Row],[AGOSTO]]&gt;45,Tabla1[[#This Row],[AGOSTO]]/45-1,0))</f>
        <v>0</v>
      </c>
      <c r="AM57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2" s="104">
        <f t="shared" si="18"/>
        <v>0</v>
      </c>
      <c r="AR572" s="9">
        <f t="shared" si="17"/>
        <v>1</v>
      </c>
      <c r="AS572" s="60">
        <f>IF(Tabla1[[#This Row],[MESES DE ADEUDO DEL AÑO EN CURSO ]]&gt;0,1,0)</f>
        <v>1</v>
      </c>
    </row>
    <row r="573" spans="1:45" ht="21.75" thickBot="1" x14ac:dyDescent="0.35">
      <c r="A573" s="109">
        <v>567</v>
      </c>
      <c r="B573" s="5" t="s">
        <v>467</v>
      </c>
      <c r="C573" s="2" t="s">
        <v>461</v>
      </c>
      <c r="D573" s="32"/>
      <c r="E573" s="35" t="s">
        <v>455</v>
      </c>
      <c r="F573" s="52">
        <v>0</v>
      </c>
      <c r="G573" s="53">
        <v>0</v>
      </c>
      <c r="H573" s="53">
        <v>0</v>
      </c>
      <c r="I573" s="53">
        <v>0</v>
      </c>
      <c r="J573" s="53">
        <v>0</v>
      </c>
      <c r="K573" s="53">
        <v>0</v>
      </c>
      <c r="L573" s="53">
        <v>0</v>
      </c>
      <c r="M573" s="53">
        <v>0</v>
      </c>
      <c r="N573" s="53">
        <v>0</v>
      </c>
      <c r="O573" s="53">
        <v>0</v>
      </c>
      <c r="P573" s="53">
        <v>0</v>
      </c>
      <c r="Q573" s="54">
        <v>0</v>
      </c>
      <c r="R573" s="59">
        <f>SUM(Tabla1[[#This Row],[ENERO ]:[DICIEMBRE]])</f>
        <v>0</v>
      </c>
      <c r="W573" s="65">
        <v>32</v>
      </c>
      <c r="X573" s="93">
        <f>COUNTIF(Tabla1[[#This Row],[ENERO ]:[DICIEMBRE]],0)-(AQ573)-IF(Tabla1[[#This Row],[BAJAS]]="BAJA",IF(Tabla1[[#This Row],[ALTAS]]="ALTA",VLOOKUP(Tabla1[[#This Row],[MES DE ALTA ]],$AT$6:$AU$17,2,FALSE),12)-VLOOKUP(Tabla1[[#This Row],[MES DE BAJA ]],$AT$6:$AU$17,2,FALSE),0)</f>
        <v>12</v>
      </c>
      <c r="Y573" s="69">
        <f>SUM(Tabla1[[#This Row],[MES ADEUDO DE AÑOS PASADOS ]:[MESES DE ADEUDO DEL AÑO EN CURSO ]])</f>
        <v>44</v>
      </c>
      <c r="Z573" s="15">
        <f>IF(Tabla1[[#This Row],[TIPO DE CONSUMIDOR]]="COMPLETO",W573*$T$2,W573*($T$2/2))</f>
        <v>1440</v>
      </c>
      <c r="AA573" s="15">
        <f>IF(Tabla1[[#This Row],[TIPO DE CONSUMIDOR]]="COMPLETO",Tabla1[[#This Row],[MESES DE ADEUDO DEL AÑO EN CURSO ]]*$T$2,Tabla1[[#This Row],[MESES DE ADEUDO DEL AÑO EN CURSO ]]*($T$2/2))</f>
        <v>540</v>
      </c>
      <c r="AB573" s="70">
        <f>SUM(Tabla1[[#This Row],[DEUDA DE LOS MESES PASADOS EN $$]:[DEUDA DEL AÑO 2013 $$ ]])</f>
        <v>1980</v>
      </c>
      <c r="AE573" s="103">
        <f>IF(Tabla1[[#This Row],[TIPO DE CONSUMIDOR]]="MEDIO",IF(Tabla1[[#This Row],[ENERO ]]&gt;22.5,Tabla1[[#This Row],[ENERO ]]/22.5-1,0),IF(Tabla1[[#This Row],[ENERO ]]&gt;45,Tabla1[[#This Row],[ENERO ]]/45-1,0))</f>
        <v>0</v>
      </c>
      <c r="AF57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3" s="103">
        <f>IF(Tabla1[[#This Row],[TIPO DE CONSUMIDOR]]="MEDIO",IF(Tabla1[[#This Row],[MARZO]]&gt;22.5,Tabla1[[#This Row],[MARZO]]/22.5-1,0),IF(Tabla1[[#This Row],[MARZO]]&gt;45,Tabla1[[#This Row],[MARZO]]/45-1,0))</f>
        <v>0</v>
      </c>
      <c r="AH573" s="103">
        <f>IF(Tabla1[[#This Row],[TIPO DE CONSUMIDOR]]="MEDIO",IF(Tabla1[[#This Row],[ABRIL]]&gt;22.5,Tabla1[[#This Row],[ABRIL]]/22.5-1,0),IF(Tabla1[[#This Row],[ABRIL]]&gt;45,Tabla1[[#This Row],[ABRIL]]/45-1,0))</f>
        <v>0</v>
      </c>
      <c r="AI573" s="103">
        <f>IF(Tabla1[[#This Row],[TIPO DE CONSUMIDOR]]="MEDIO",IF(Tabla1[[#This Row],[MAYO ]]&gt;22.5,Tabla1[[#This Row],[MAYO ]]/22.5-1,0),IF(Tabla1[[#This Row],[MAYO ]]&gt;45,Tabla1[[#This Row],[MAYO ]]/45-1,0))</f>
        <v>0</v>
      </c>
      <c r="AJ573" s="103">
        <f>IF(Tabla1[[#This Row],[TIPO DE CONSUMIDOR]]="MEDIO",IF(Tabla1[[#This Row],[JUNIO ]]&gt;22.5,Tabla1[[#This Row],[JUNIO ]]/22.5-1,0),IF(Tabla1[[#This Row],[JUNIO ]]&gt;45,Tabla1[[#This Row],[JUNIO ]]/45-1,0))</f>
        <v>0</v>
      </c>
      <c r="AK573" s="103">
        <f>IF(Tabla1[[#This Row],[TIPO DE CONSUMIDOR]]="MEDIO",IF(Tabla1[[#This Row],[JULIO ]]&gt;22.5,Tabla1[[#This Row],[JULIO ]]/22.5-1,0),IF(Tabla1[[#This Row],[JULIO ]]&gt;45,Tabla1[[#This Row],[JULIO ]]/45-1,0))</f>
        <v>0</v>
      </c>
      <c r="AL573" s="103">
        <f>IF(Tabla1[[#This Row],[TIPO DE CONSUMIDOR]]="MEDIO",IF(Tabla1[[#This Row],[AGOSTO]]&gt;22.5,Tabla1[[#This Row],[AGOSTO]]/22.5-1,0),IF(Tabla1[[#This Row],[AGOSTO]]&gt;45,Tabla1[[#This Row],[AGOSTO]]/45-1,0))</f>
        <v>0</v>
      </c>
      <c r="AM57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3" s="104">
        <f t="shared" si="18"/>
        <v>0</v>
      </c>
      <c r="AR573" s="9">
        <f t="shared" si="17"/>
        <v>1</v>
      </c>
      <c r="AS573" s="60">
        <f>IF(Tabla1[[#This Row],[MESES DE ADEUDO DEL AÑO EN CURSO ]]&gt;0,1,0)</f>
        <v>1</v>
      </c>
    </row>
    <row r="574" spans="1:45" ht="21.75" thickBot="1" x14ac:dyDescent="0.35">
      <c r="A574" s="109">
        <v>568</v>
      </c>
      <c r="B574" s="96" t="s">
        <v>645</v>
      </c>
      <c r="C574" s="2" t="s">
        <v>549</v>
      </c>
      <c r="D574" s="32"/>
      <c r="E574" s="35" t="s">
        <v>455</v>
      </c>
      <c r="F574" s="52">
        <v>0</v>
      </c>
      <c r="G574" s="53">
        <v>0</v>
      </c>
      <c r="H574" s="53">
        <v>0</v>
      </c>
      <c r="I574" s="53">
        <v>0</v>
      </c>
      <c r="J574" s="53">
        <v>0</v>
      </c>
      <c r="K574" s="53">
        <v>0</v>
      </c>
      <c r="L574" s="53">
        <v>0</v>
      </c>
      <c r="M574" s="53">
        <v>0</v>
      </c>
      <c r="N574" s="53">
        <v>0</v>
      </c>
      <c r="O574" s="53">
        <v>0</v>
      </c>
      <c r="P574" s="53">
        <v>0</v>
      </c>
      <c r="Q574" s="54">
        <v>0</v>
      </c>
      <c r="R574" s="95">
        <f>SUM(Tabla1[[#This Row],[ENERO ]:[DICIEMBRE]])</f>
        <v>0</v>
      </c>
      <c r="V574" s="37"/>
      <c r="W574" s="65">
        <v>32</v>
      </c>
      <c r="X574" s="93">
        <f>COUNTIF(Tabla1[[#This Row],[ENERO ]:[DICIEMBRE]],0)-(AQ574)-IF(Tabla1[[#This Row],[BAJAS]]="BAJA",IF(Tabla1[[#This Row],[ALTAS]]="ALTA",VLOOKUP(Tabla1[[#This Row],[MES DE ALTA ]],$AT$6:$AU$17,2,FALSE),12)-VLOOKUP(Tabla1[[#This Row],[MES DE BAJA ]],$AT$6:$AU$17,2,FALSE),0)</f>
        <v>12</v>
      </c>
      <c r="Y574" s="94">
        <f>SUM(Tabla1[[#This Row],[MES ADEUDO DE AÑOS PASADOS ]:[MESES DE ADEUDO DEL AÑO EN CURSO ]])</f>
        <v>44</v>
      </c>
      <c r="Z574" s="15">
        <f>IF(Tabla1[[#This Row],[TIPO DE CONSUMIDOR]]="COMPLETO",W574*$T$2,W574*($T$2/2))</f>
        <v>1440</v>
      </c>
      <c r="AA574" s="15">
        <f>IF(Tabla1[[#This Row],[TIPO DE CONSUMIDOR]]="COMPLETO",Tabla1[[#This Row],[MESES DE ADEUDO DEL AÑO EN CURSO ]]*$T$2,Tabla1[[#This Row],[MESES DE ADEUDO DEL AÑO EN CURSO ]]*($T$2/2))</f>
        <v>540</v>
      </c>
      <c r="AB574" s="70">
        <f>SUM(Tabla1[[#This Row],[DEUDA DE LOS MESES PASADOS EN $$]:[DEUDA DEL AÑO 2013 $$ ]])</f>
        <v>1980</v>
      </c>
      <c r="AE574" s="103">
        <f>IF(Tabla1[[#This Row],[TIPO DE CONSUMIDOR]]="MEDIO",IF(Tabla1[[#This Row],[ENERO ]]&gt;22.5,Tabla1[[#This Row],[ENERO ]]/22.5-1,0),IF(Tabla1[[#This Row],[ENERO ]]&gt;45,Tabla1[[#This Row],[ENERO ]]/45-1,0))</f>
        <v>0</v>
      </c>
      <c r="AF57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4" s="103">
        <f>IF(Tabla1[[#This Row],[TIPO DE CONSUMIDOR]]="MEDIO",IF(Tabla1[[#This Row],[MARZO]]&gt;22.5,Tabla1[[#This Row],[MARZO]]/22.5-1,0),IF(Tabla1[[#This Row],[MARZO]]&gt;45,Tabla1[[#This Row],[MARZO]]/45-1,0))</f>
        <v>0</v>
      </c>
      <c r="AH574" s="103">
        <f>IF(Tabla1[[#This Row],[TIPO DE CONSUMIDOR]]="MEDIO",IF(Tabla1[[#This Row],[ABRIL]]&gt;22.5,Tabla1[[#This Row],[ABRIL]]/22.5-1,0),IF(Tabla1[[#This Row],[ABRIL]]&gt;45,Tabla1[[#This Row],[ABRIL]]/45-1,0))</f>
        <v>0</v>
      </c>
      <c r="AI574" s="103">
        <f>IF(Tabla1[[#This Row],[TIPO DE CONSUMIDOR]]="MEDIO",IF(Tabla1[[#This Row],[MAYO ]]&gt;22.5,Tabla1[[#This Row],[MAYO ]]/22.5-1,0),IF(Tabla1[[#This Row],[MAYO ]]&gt;45,Tabla1[[#This Row],[MAYO ]]/45-1,0))</f>
        <v>0</v>
      </c>
      <c r="AJ574" s="103">
        <f>IF(Tabla1[[#This Row],[TIPO DE CONSUMIDOR]]="MEDIO",IF(Tabla1[[#This Row],[JUNIO ]]&gt;22.5,Tabla1[[#This Row],[JUNIO ]]/22.5-1,0),IF(Tabla1[[#This Row],[JUNIO ]]&gt;45,Tabla1[[#This Row],[JUNIO ]]/45-1,0))</f>
        <v>0</v>
      </c>
      <c r="AK574" s="103">
        <f>IF(Tabla1[[#This Row],[TIPO DE CONSUMIDOR]]="MEDIO",IF(Tabla1[[#This Row],[JULIO ]]&gt;22.5,Tabla1[[#This Row],[JULIO ]]/22.5-1,0),IF(Tabla1[[#This Row],[JULIO ]]&gt;45,Tabla1[[#This Row],[JULIO ]]/45-1,0))</f>
        <v>0</v>
      </c>
      <c r="AL574" s="103">
        <f>IF(Tabla1[[#This Row],[TIPO DE CONSUMIDOR]]="MEDIO",IF(Tabla1[[#This Row],[AGOSTO]]&gt;22.5,Tabla1[[#This Row],[AGOSTO]]/22.5-1,0),IF(Tabla1[[#This Row],[AGOSTO]]&gt;45,Tabla1[[#This Row],[AGOSTO]]/45-1,0))</f>
        <v>0</v>
      </c>
      <c r="AM57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4" s="104">
        <f t="shared" si="18"/>
        <v>0</v>
      </c>
      <c r="AR574" s="9">
        <f t="shared" si="17"/>
        <v>1</v>
      </c>
      <c r="AS574" s="60">
        <f>IF(Tabla1[[#This Row],[MESES DE ADEUDO DEL AÑO EN CURSO ]]&gt;0,1,0)</f>
        <v>1</v>
      </c>
    </row>
    <row r="575" spans="1:45" ht="21.75" thickBot="1" x14ac:dyDescent="0.35">
      <c r="A575" s="109">
        <v>569</v>
      </c>
      <c r="B575" s="5" t="s">
        <v>565</v>
      </c>
      <c r="C575" s="2" t="s">
        <v>562</v>
      </c>
      <c r="D575" s="32"/>
      <c r="E575" s="35" t="s">
        <v>455</v>
      </c>
      <c r="F575" s="52">
        <v>0</v>
      </c>
      <c r="G575" s="53">
        <v>0</v>
      </c>
      <c r="H575" s="53">
        <v>0</v>
      </c>
      <c r="I575" s="53">
        <v>0</v>
      </c>
      <c r="J575" s="53">
        <v>0</v>
      </c>
      <c r="K575" s="53">
        <v>0</v>
      </c>
      <c r="L575" s="53">
        <v>0</v>
      </c>
      <c r="M575" s="53">
        <v>0</v>
      </c>
      <c r="N575" s="53">
        <v>0</v>
      </c>
      <c r="O575" s="53">
        <v>0</v>
      </c>
      <c r="P575" s="53">
        <v>0</v>
      </c>
      <c r="Q575" s="54">
        <v>0</v>
      </c>
      <c r="R575" s="59">
        <f>SUM(Tabla1[[#This Row],[ENERO ]:[DICIEMBRE]])</f>
        <v>0</v>
      </c>
      <c r="W575" s="65">
        <v>33</v>
      </c>
      <c r="X575" s="93">
        <f>COUNTIF(Tabla1[[#This Row],[ENERO ]:[DICIEMBRE]],0)-(AQ575)-IF(Tabla1[[#This Row],[BAJAS]]="BAJA",IF(Tabla1[[#This Row],[ALTAS]]="ALTA",VLOOKUP(Tabla1[[#This Row],[MES DE ALTA ]],$AT$6:$AU$17,2,FALSE),12)-VLOOKUP(Tabla1[[#This Row],[MES DE BAJA ]],$AT$6:$AU$17,2,FALSE),0)</f>
        <v>12</v>
      </c>
      <c r="Y575" s="69">
        <f>SUM(Tabla1[[#This Row],[MES ADEUDO DE AÑOS PASADOS ]:[MESES DE ADEUDO DEL AÑO EN CURSO ]])</f>
        <v>45</v>
      </c>
      <c r="Z575" s="15">
        <f>IF(Tabla1[[#This Row],[TIPO DE CONSUMIDOR]]="COMPLETO",W575*$T$2,W575*($T$2/2))</f>
        <v>1485</v>
      </c>
      <c r="AA575" s="15">
        <f>IF(Tabla1[[#This Row],[TIPO DE CONSUMIDOR]]="COMPLETO",Tabla1[[#This Row],[MESES DE ADEUDO DEL AÑO EN CURSO ]]*$T$2,Tabla1[[#This Row],[MESES DE ADEUDO DEL AÑO EN CURSO ]]*($T$2/2))</f>
        <v>540</v>
      </c>
      <c r="AB575" s="70">
        <f>SUM(Tabla1[[#This Row],[DEUDA DE LOS MESES PASADOS EN $$]:[DEUDA DEL AÑO 2013 $$ ]])</f>
        <v>2025</v>
      </c>
      <c r="AE575" s="103">
        <f>IF(Tabla1[[#This Row],[TIPO DE CONSUMIDOR]]="MEDIO",IF(Tabla1[[#This Row],[ENERO ]]&gt;22.5,Tabla1[[#This Row],[ENERO ]]/22.5-1,0),IF(Tabla1[[#This Row],[ENERO ]]&gt;45,Tabla1[[#This Row],[ENERO ]]/45-1,0))</f>
        <v>0</v>
      </c>
      <c r="AF575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5" s="103">
        <f>IF(Tabla1[[#This Row],[TIPO DE CONSUMIDOR]]="MEDIO",IF(Tabla1[[#This Row],[MARZO]]&gt;22.5,Tabla1[[#This Row],[MARZO]]/22.5-1,0),IF(Tabla1[[#This Row],[MARZO]]&gt;45,Tabla1[[#This Row],[MARZO]]/45-1,0))</f>
        <v>0</v>
      </c>
      <c r="AH575" s="103">
        <f>IF(Tabla1[[#This Row],[TIPO DE CONSUMIDOR]]="MEDIO",IF(Tabla1[[#This Row],[ABRIL]]&gt;22.5,Tabla1[[#This Row],[ABRIL]]/22.5-1,0),IF(Tabla1[[#This Row],[ABRIL]]&gt;45,Tabla1[[#This Row],[ABRIL]]/45-1,0))</f>
        <v>0</v>
      </c>
      <c r="AI575" s="103">
        <f>IF(Tabla1[[#This Row],[TIPO DE CONSUMIDOR]]="MEDIO",IF(Tabla1[[#This Row],[MAYO ]]&gt;22.5,Tabla1[[#This Row],[MAYO ]]/22.5-1,0),IF(Tabla1[[#This Row],[MAYO ]]&gt;45,Tabla1[[#This Row],[MAYO ]]/45-1,0))</f>
        <v>0</v>
      </c>
      <c r="AJ575" s="103">
        <f>IF(Tabla1[[#This Row],[TIPO DE CONSUMIDOR]]="MEDIO",IF(Tabla1[[#This Row],[JUNIO ]]&gt;22.5,Tabla1[[#This Row],[JUNIO ]]/22.5-1,0),IF(Tabla1[[#This Row],[JUNIO ]]&gt;45,Tabla1[[#This Row],[JUNIO ]]/45-1,0))</f>
        <v>0</v>
      </c>
      <c r="AK575" s="103">
        <f>IF(Tabla1[[#This Row],[TIPO DE CONSUMIDOR]]="MEDIO",IF(Tabla1[[#This Row],[JULIO ]]&gt;22.5,Tabla1[[#This Row],[JULIO ]]/22.5-1,0),IF(Tabla1[[#This Row],[JULIO ]]&gt;45,Tabla1[[#This Row],[JULIO ]]/45-1,0))</f>
        <v>0</v>
      </c>
      <c r="AL575" s="103">
        <f>IF(Tabla1[[#This Row],[TIPO DE CONSUMIDOR]]="MEDIO",IF(Tabla1[[#This Row],[AGOSTO]]&gt;22.5,Tabla1[[#This Row],[AGOSTO]]/22.5-1,0),IF(Tabla1[[#This Row],[AGOSTO]]&gt;45,Tabla1[[#This Row],[AGOSTO]]/45-1,0))</f>
        <v>0</v>
      </c>
      <c r="AM575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5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5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5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5" s="104">
        <f t="shared" si="18"/>
        <v>0</v>
      </c>
      <c r="AR575" s="9">
        <f t="shared" si="17"/>
        <v>1</v>
      </c>
      <c r="AS575" s="60">
        <f>IF(Tabla1[[#This Row],[MESES DE ADEUDO DEL AÑO EN CURSO ]]&gt;0,1,0)</f>
        <v>1</v>
      </c>
    </row>
    <row r="576" spans="1:45" ht="21.75" thickBot="1" x14ac:dyDescent="0.35">
      <c r="A576" s="109">
        <v>570</v>
      </c>
      <c r="B576" s="5" t="s">
        <v>643</v>
      </c>
      <c r="C576" s="2" t="s">
        <v>575</v>
      </c>
      <c r="D576" s="32"/>
      <c r="E576" s="35" t="s">
        <v>455</v>
      </c>
      <c r="F576" s="52">
        <v>0</v>
      </c>
      <c r="G576" s="53">
        <v>0</v>
      </c>
      <c r="H576" s="53">
        <v>0</v>
      </c>
      <c r="I576" s="53">
        <v>0</v>
      </c>
      <c r="J576" s="53">
        <v>0</v>
      </c>
      <c r="K576" s="53">
        <v>0</v>
      </c>
      <c r="L576" s="53">
        <v>0</v>
      </c>
      <c r="M576" s="53">
        <v>0</v>
      </c>
      <c r="N576" s="53">
        <v>0</v>
      </c>
      <c r="O576" s="53">
        <v>0</v>
      </c>
      <c r="P576" s="53">
        <v>0</v>
      </c>
      <c r="Q576" s="54">
        <v>0</v>
      </c>
      <c r="R576" s="59">
        <f>SUM(Tabla1[[#This Row],[ENERO ]:[DICIEMBRE]])</f>
        <v>0</v>
      </c>
      <c r="W576" s="65">
        <v>33</v>
      </c>
      <c r="X576" s="93">
        <f>COUNTIF(Tabla1[[#This Row],[ENERO ]:[DICIEMBRE]],0)-(AQ576)-IF(Tabla1[[#This Row],[BAJAS]]="BAJA",IF(Tabla1[[#This Row],[ALTAS]]="ALTA",VLOOKUP(Tabla1[[#This Row],[MES DE ALTA ]],$AT$6:$AU$17,2,FALSE),12)-VLOOKUP(Tabla1[[#This Row],[MES DE BAJA ]],$AT$6:$AU$17,2,FALSE),0)</f>
        <v>12</v>
      </c>
      <c r="Y576" s="69">
        <f>SUM(Tabla1[[#This Row],[MES ADEUDO DE AÑOS PASADOS ]:[MESES DE ADEUDO DEL AÑO EN CURSO ]])</f>
        <v>45</v>
      </c>
      <c r="Z576" s="15">
        <f>IF(Tabla1[[#This Row],[TIPO DE CONSUMIDOR]]="COMPLETO",W576*$T$2,W576*($T$2/2))</f>
        <v>1485</v>
      </c>
      <c r="AA576" s="15">
        <f>IF(Tabla1[[#This Row],[TIPO DE CONSUMIDOR]]="COMPLETO",Tabla1[[#This Row],[MESES DE ADEUDO DEL AÑO EN CURSO ]]*$T$2,Tabla1[[#This Row],[MESES DE ADEUDO DEL AÑO EN CURSO ]]*($T$2/2))</f>
        <v>540</v>
      </c>
      <c r="AB576" s="70">
        <f>SUM(Tabla1[[#This Row],[DEUDA DE LOS MESES PASADOS EN $$]:[DEUDA DEL AÑO 2013 $$ ]])</f>
        <v>2025</v>
      </c>
      <c r="AE576" s="103">
        <f>IF(Tabla1[[#This Row],[TIPO DE CONSUMIDOR]]="MEDIO",IF(Tabla1[[#This Row],[ENERO ]]&gt;22.5,Tabla1[[#This Row],[ENERO ]]/22.5-1,0),IF(Tabla1[[#This Row],[ENERO ]]&gt;45,Tabla1[[#This Row],[ENERO ]]/45-1,0))</f>
        <v>0</v>
      </c>
      <c r="AF576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6" s="103">
        <f>IF(Tabla1[[#This Row],[TIPO DE CONSUMIDOR]]="MEDIO",IF(Tabla1[[#This Row],[MARZO]]&gt;22.5,Tabla1[[#This Row],[MARZO]]/22.5-1,0),IF(Tabla1[[#This Row],[MARZO]]&gt;45,Tabla1[[#This Row],[MARZO]]/45-1,0))</f>
        <v>0</v>
      </c>
      <c r="AH576" s="103">
        <f>IF(Tabla1[[#This Row],[TIPO DE CONSUMIDOR]]="MEDIO",IF(Tabla1[[#This Row],[ABRIL]]&gt;22.5,Tabla1[[#This Row],[ABRIL]]/22.5-1,0),IF(Tabla1[[#This Row],[ABRIL]]&gt;45,Tabla1[[#This Row],[ABRIL]]/45-1,0))</f>
        <v>0</v>
      </c>
      <c r="AI576" s="103">
        <f>IF(Tabla1[[#This Row],[TIPO DE CONSUMIDOR]]="MEDIO",IF(Tabla1[[#This Row],[MAYO ]]&gt;22.5,Tabla1[[#This Row],[MAYO ]]/22.5-1,0),IF(Tabla1[[#This Row],[MAYO ]]&gt;45,Tabla1[[#This Row],[MAYO ]]/45-1,0))</f>
        <v>0</v>
      </c>
      <c r="AJ576" s="103">
        <f>IF(Tabla1[[#This Row],[TIPO DE CONSUMIDOR]]="MEDIO",IF(Tabla1[[#This Row],[JUNIO ]]&gt;22.5,Tabla1[[#This Row],[JUNIO ]]/22.5-1,0),IF(Tabla1[[#This Row],[JUNIO ]]&gt;45,Tabla1[[#This Row],[JUNIO ]]/45-1,0))</f>
        <v>0</v>
      </c>
      <c r="AK576" s="103">
        <f>IF(Tabla1[[#This Row],[TIPO DE CONSUMIDOR]]="MEDIO",IF(Tabla1[[#This Row],[JULIO ]]&gt;22.5,Tabla1[[#This Row],[JULIO ]]/22.5-1,0),IF(Tabla1[[#This Row],[JULIO ]]&gt;45,Tabla1[[#This Row],[JULIO ]]/45-1,0))</f>
        <v>0</v>
      </c>
      <c r="AL576" s="103">
        <f>IF(Tabla1[[#This Row],[TIPO DE CONSUMIDOR]]="MEDIO",IF(Tabla1[[#This Row],[AGOSTO]]&gt;22.5,Tabla1[[#This Row],[AGOSTO]]/22.5-1,0),IF(Tabla1[[#This Row],[AGOSTO]]&gt;45,Tabla1[[#This Row],[AGOSTO]]/45-1,0))</f>
        <v>0</v>
      </c>
      <c r="AM576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6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6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6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6" s="104">
        <f t="shared" si="18"/>
        <v>0</v>
      </c>
      <c r="AR576" s="9">
        <f t="shared" si="17"/>
        <v>1</v>
      </c>
      <c r="AS576" s="60">
        <f>IF(Tabla1[[#This Row],[MESES DE ADEUDO DEL AÑO EN CURSO ]]&gt;0,1,0)</f>
        <v>1</v>
      </c>
    </row>
    <row r="577" spans="1:45" ht="21.75" thickBot="1" x14ac:dyDescent="0.35">
      <c r="A577" s="109">
        <v>571</v>
      </c>
      <c r="B577" s="5" t="s">
        <v>463</v>
      </c>
      <c r="C577" s="2" t="s">
        <v>461</v>
      </c>
      <c r="D577" s="32"/>
      <c r="E577" s="35" t="s">
        <v>455</v>
      </c>
      <c r="F577" s="52">
        <v>0</v>
      </c>
      <c r="G577" s="53">
        <v>0</v>
      </c>
      <c r="H577" s="53">
        <v>0</v>
      </c>
      <c r="I577" s="53">
        <v>0</v>
      </c>
      <c r="J577" s="53">
        <v>0</v>
      </c>
      <c r="K577" s="53">
        <v>0</v>
      </c>
      <c r="L577" s="53">
        <v>0</v>
      </c>
      <c r="M577" s="53">
        <v>0</v>
      </c>
      <c r="N577" s="53">
        <v>0</v>
      </c>
      <c r="O577" s="53">
        <v>0</v>
      </c>
      <c r="P577" s="53">
        <v>0</v>
      </c>
      <c r="Q577" s="54">
        <v>0</v>
      </c>
      <c r="R577" s="59">
        <f>SUM(Tabla1[[#This Row],[ENERO ]:[DICIEMBRE]])</f>
        <v>0</v>
      </c>
      <c r="W577" s="65">
        <v>34</v>
      </c>
      <c r="X577" s="93">
        <f>COUNTIF(Tabla1[[#This Row],[ENERO ]:[DICIEMBRE]],0)-(AQ577)-IF(Tabla1[[#This Row],[BAJAS]]="BAJA",IF(Tabla1[[#This Row],[ALTAS]]="ALTA",VLOOKUP(Tabla1[[#This Row],[MES DE ALTA ]],$AT$6:$AU$17,2,FALSE),12)-VLOOKUP(Tabla1[[#This Row],[MES DE BAJA ]],$AT$6:$AU$17,2,FALSE),0)</f>
        <v>12</v>
      </c>
      <c r="Y577" s="69">
        <f>SUM(Tabla1[[#This Row],[MES ADEUDO DE AÑOS PASADOS ]:[MESES DE ADEUDO DEL AÑO EN CURSO ]])</f>
        <v>46</v>
      </c>
      <c r="Z577" s="15">
        <f>IF(Tabla1[[#This Row],[TIPO DE CONSUMIDOR]]="COMPLETO",W577*$T$2,W577*($T$2/2))</f>
        <v>1530</v>
      </c>
      <c r="AA577" s="15">
        <f>IF(Tabla1[[#This Row],[TIPO DE CONSUMIDOR]]="COMPLETO",Tabla1[[#This Row],[MESES DE ADEUDO DEL AÑO EN CURSO ]]*$T$2,Tabla1[[#This Row],[MESES DE ADEUDO DEL AÑO EN CURSO ]]*($T$2/2))</f>
        <v>540</v>
      </c>
      <c r="AB577" s="70">
        <f>SUM(Tabla1[[#This Row],[DEUDA DE LOS MESES PASADOS EN $$]:[DEUDA DEL AÑO 2013 $$ ]])</f>
        <v>2070</v>
      </c>
      <c r="AE577" s="103">
        <f>IF(Tabla1[[#This Row],[TIPO DE CONSUMIDOR]]="MEDIO",IF(Tabla1[[#This Row],[ENERO ]]&gt;22.5,Tabla1[[#This Row],[ENERO ]]/22.5-1,0),IF(Tabla1[[#This Row],[ENERO ]]&gt;45,Tabla1[[#This Row],[ENERO ]]/45-1,0))</f>
        <v>0</v>
      </c>
      <c r="AF577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7" s="103">
        <f>IF(Tabla1[[#This Row],[TIPO DE CONSUMIDOR]]="MEDIO",IF(Tabla1[[#This Row],[MARZO]]&gt;22.5,Tabla1[[#This Row],[MARZO]]/22.5-1,0),IF(Tabla1[[#This Row],[MARZO]]&gt;45,Tabla1[[#This Row],[MARZO]]/45-1,0))</f>
        <v>0</v>
      </c>
      <c r="AH577" s="103">
        <f>IF(Tabla1[[#This Row],[TIPO DE CONSUMIDOR]]="MEDIO",IF(Tabla1[[#This Row],[ABRIL]]&gt;22.5,Tabla1[[#This Row],[ABRIL]]/22.5-1,0),IF(Tabla1[[#This Row],[ABRIL]]&gt;45,Tabla1[[#This Row],[ABRIL]]/45-1,0))</f>
        <v>0</v>
      </c>
      <c r="AI577" s="103">
        <f>IF(Tabla1[[#This Row],[TIPO DE CONSUMIDOR]]="MEDIO",IF(Tabla1[[#This Row],[MAYO ]]&gt;22.5,Tabla1[[#This Row],[MAYO ]]/22.5-1,0),IF(Tabla1[[#This Row],[MAYO ]]&gt;45,Tabla1[[#This Row],[MAYO ]]/45-1,0))</f>
        <v>0</v>
      </c>
      <c r="AJ577" s="103">
        <f>IF(Tabla1[[#This Row],[TIPO DE CONSUMIDOR]]="MEDIO",IF(Tabla1[[#This Row],[JUNIO ]]&gt;22.5,Tabla1[[#This Row],[JUNIO ]]/22.5-1,0),IF(Tabla1[[#This Row],[JUNIO ]]&gt;45,Tabla1[[#This Row],[JUNIO ]]/45-1,0))</f>
        <v>0</v>
      </c>
      <c r="AK577" s="103">
        <f>IF(Tabla1[[#This Row],[TIPO DE CONSUMIDOR]]="MEDIO",IF(Tabla1[[#This Row],[JULIO ]]&gt;22.5,Tabla1[[#This Row],[JULIO ]]/22.5-1,0),IF(Tabla1[[#This Row],[JULIO ]]&gt;45,Tabla1[[#This Row],[JULIO ]]/45-1,0))</f>
        <v>0</v>
      </c>
      <c r="AL577" s="103">
        <f>IF(Tabla1[[#This Row],[TIPO DE CONSUMIDOR]]="MEDIO",IF(Tabla1[[#This Row],[AGOSTO]]&gt;22.5,Tabla1[[#This Row],[AGOSTO]]/22.5-1,0),IF(Tabla1[[#This Row],[AGOSTO]]&gt;45,Tabla1[[#This Row],[AGOSTO]]/45-1,0))</f>
        <v>0</v>
      </c>
      <c r="AM577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7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7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7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7" s="104">
        <f t="shared" si="18"/>
        <v>0</v>
      </c>
      <c r="AR577" s="9">
        <f t="shared" si="17"/>
        <v>1</v>
      </c>
      <c r="AS577" s="60">
        <f>IF(Tabla1[[#This Row],[MESES DE ADEUDO DEL AÑO EN CURSO ]]&gt;0,1,0)</f>
        <v>1</v>
      </c>
    </row>
    <row r="578" spans="1:45" ht="21.75" thickBot="1" x14ac:dyDescent="0.35">
      <c r="A578" s="109">
        <v>572</v>
      </c>
      <c r="B578" s="5" t="s">
        <v>34</v>
      </c>
      <c r="C578" s="2" t="s">
        <v>504</v>
      </c>
      <c r="D578" s="32"/>
      <c r="E578" s="35" t="s">
        <v>455</v>
      </c>
      <c r="F578" s="52">
        <v>0</v>
      </c>
      <c r="G578" s="53">
        <v>0</v>
      </c>
      <c r="H578" s="53">
        <v>0</v>
      </c>
      <c r="I578" s="53">
        <v>0</v>
      </c>
      <c r="J578" s="53">
        <v>0</v>
      </c>
      <c r="K578" s="53">
        <v>0</v>
      </c>
      <c r="L578" s="53">
        <v>0</v>
      </c>
      <c r="M578" s="53">
        <v>0</v>
      </c>
      <c r="N578" s="53">
        <v>0</v>
      </c>
      <c r="O578" s="53">
        <v>0</v>
      </c>
      <c r="P578" s="53">
        <v>0</v>
      </c>
      <c r="Q578" s="54">
        <v>0</v>
      </c>
      <c r="R578" s="59">
        <f>SUM(Tabla1[[#This Row],[ENERO ]:[DICIEMBRE]])</f>
        <v>0</v>
      </c>
      <c r="W578" s="65">
        <v>34</v>
      </c>
      <c r="X578" s="93">
        <f>COUNTIF(Tabla1[[#This Row],[ENERO ]:[DICIEMBRE]],0)-(AQ578)-IF(Tabla1[[#This Row],[BAJAS]]="BAJA",IF(Tabla1[[#This Row],[ALTAS]]="ALTA",VLOOKUP(Tabla1[[#This Row],[MES DE ALTA ]],$AT$6:$AU$17,2,FALSE),12)-VLOOKUP(Tabla1[[#This Row],[MES DE BAJA ]],$AT$6:$AU$17,2,FALSE),0)</f>
        <v>12</v>
      </c>
      <c r="Y578" s="69">
        <f>SUM(Tabla1[[#This Row],[MES ADEUDO DE AÑOS PASADOS ]:[MESES DE ADEUDO DEL AÑO EN CURSO ]])</f>
        <v>46</v>
      </c>
      <c r="Z578" s="15">
        <f>IF(Tabla1[[#This Row],[TIPO DE CONSUMIDOR]]="COMPLETO",W578*$T$2,W578*($T$2/2))</f>
        <v>1530</v>
      </c>
      <c r="AA578" s="15">
        <f>IF(Tabla1[[#This Row],[TIPO DE CONSUMIDOR]]="COMPLETO",Tabla1[[#This Row],[MESES DE ADEUDO DEL AÑO EN CURSO ]]*$T$2,Tabla1[[#This Row],[MESES DE ADEUDO DEL AÑO EN CURSO ]]*($T$2/2))</f>
        <v>540</v>
      </c>
      <c r="AB578" s="70">
        <f>SUM(Tabla1[[#This Row],[DEUDA DE LOS MESES PASADOS EN $$]:[DEUDA DEL AÑO 2013 $$ ]])</f>
        <v>2070</v>
      </c>
      <c r="AE578" s="103">
        <f>IF(Tabla1[[#This Row],[TIPO DE CONSUMIDOR]]="MEDIO",IF(Tabla1[[#This Row],[ENERO ]]&gt;22.5,Tabla1[[#This Row],[ENERO ]]/22.5-1,0),IF(Tabla1[[#This Row],[ENERO ]]&gt;45,Tabla1[[#This Row],[ENERO ]]/45-1,0))</f>
        <v>0</v>
      </c>
      <c r="AF578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8" s="103">
        <f>IF(Tabla1[[#This Row],[TIPO DE CONSUMIDOR]]="MEDIO",IF(Tabla1[[#This Row],[MARZO]]&gt;22.5,Tabla1[[#This Row],[MARZO]]/22.5-1,0),IF(Tabla1[[#This Row],[MARZO]]&gt;45,Tabla1[[#This Row],[MARZO]]/45-1,0))</f>
        <v>0</v>
      </c>
      <c r="AH578" s="103">
        <f>IF(Tabla1[[#This Row],[TIPO DE CONSUMIDOR]]="MEDIO",IF(Tabla1[[#This Row],[ABRIL]]&gt;22.5,Tabla1[[#This Row],[ABRIL]]/22.5-1,0),IF(Tabla1[[#This Row],[ABRIL]]&gt;45,Tabla1[[#This Row],[ABRIL]]/45-1,0))</f>
        <v>0</v>
      </c>
      <c r="AI578" s="103">
        <f>IF(Tabla1[[#This Row],[TIPO DE CONSUMIDOR]]="MEDIO",IF(Tabla1[[#This Row],[MAYO ]]&gt;22.5,Tabla1[[#This Row],[MAYO ]]/22.5-1,0),IF(Tabla1[[#This Row],[MAYO ]]&gt;45,Tabla1[[#This Row],[MAYO ]]/45-1,0))</f>
        <v>0</v>
      </c>
      <c r="AJ578" s="103">
        <f>IF(Tabla1[[#This Row],[TIPO DE CONSUMIDOR]]="MEDIO",IF(Tabla1[[#This Row],[JUNIO ]]&gt;22.5,Tabla1[[#This Row],[JUNIO ]]/22.5-1,0),IF(Tabla1[[#This Row],[JUNIO ]]&gt;45,Tabla1[[#This Row],[JUNIO ]]/45-1,0))</f>
        <v>0</v>
      </c>
      <c r="AK578" s="103">
        <f>IF(Tabla1[[#This Row],[TIPO DE CONSUMIDOR]]="MEDIO",IF(Tabla1[[#This Row],[JULIO ]]&gt;22.5,Tabla1[[#This Row],[JULIO ]]/22.5-1,0),IF(Tabla1[[#This Row],[JULIO ]]&gt;45,Tabla1[[#This Row],[JULIO ]]/45-1,0))</f>
        <v>0</v>
      </c>
      <c r="AL578" s="103">
        <f>IF(Tabla1[[#This Row],[TIPO DE CONSUMIDOR]]="MEDIO",IF(Tabla1[[#This Row],[AGOSTO]]&gt;22.5,Tabla1[[#This Row],[AGOSTO]]/22.5-1,0),IF(Tabla1[[#This Row],[AGOSTO]]&gt;45,Tabla1[[#This Row],[AGOSTO]]/45-1,0))</f>
        <v>0</v>
      </c>
      <c r="AM578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8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8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8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8" s="104">
        <f t="shared" si="18"/>
        <v>0</v>
      </c>
      <c r="AR578" s="9">
        <f t="shared" si="17"/>
        <v>1</v>
      </c>
      <c r="AS578" s="60">
        <f>IF(Tabla1[[#This Row],[MESES DE ADEUDO DEL AÑO EN CURSO ]]&gt;0,1,0)</f>
        <v>1</v>
      </c>
    </row>
    <row r="579" spans="1:45" ht="21.75" thickBot="1" x14ac:dyDescent="0.35">
      <c r="A579" s="109">
        <v>573</v>
      </c>
      <c r="B579" s="5" t="s">
        <v>644</v>
      </c>
      <c r="C579" s="2" t="s">
        <v>549</v>
      </c>
      <c r="D579" s="32"/>
      <c r="E579" s="35" t="s">
        <v>455</v>
      </c>
      <c r="F579" s="52">
        <v>0</v>
      </c>
      <c r="G579" s="53">
        <v>0</v>
      </c>
      <c r="H579" s="53">
        <v>0</v>
      </c>
      <c r="I579" s="53">
        <v>0</v>
      </c>
      <c r="J579" s="53">
        <v>0</v>
      </c>
      <c r="K579" s="53">
        <v>0</v>
      </c>
      <c r="L579" s="53">
        <v>0</v>
      </c>
      <c r="M579" s="53">
        <v>0</v>
      </c>
      <c r="N579" s="53">
        <v>0</v>
      </c>
      <c r="O579" s="53">
        <v>0</v>
      </c>
      <c r="P579" s="53">
        <v>0</v>
      </c>
      <c r="Q579" s="54">
        <v>0</v>
      </c>
      <c r="R579" s="59">
        <f>SUM(Tabla1[[#This Row],[ENERO ]:[DICIEMBRE]])</f>
        <v>0</v>
      </c>
      <c r="W579" s="65">
        <v>34</v>
      </c>
      <c r="X579" s="93">
        <f>COUNTIF(Tabla1[[#This Row],[ENERO ]:[DICIEMBRE]],0)-(AQ579)-IF(Tabla1[[#This Row],[BAJAS]]="BAJA",IF(Tabla1[[#This Row],[ALTAS]]="ALTA",VLOOKUP(Tabla1[[#This Row],[MES DE ALTA ]],$AT$6:$AU$17,2,FALSE),12)-VLOOKUP(Tabla1[[#This Row],[MES DE BAJA ]],$AT$6:$AU$17,2,FALSE),0)</f>
        <v>12</v>
      </c>
      <c r="Y579" s="69">
        <f>SUM(Tabla1[[#This Row],[MES ADEUDO DE AÑOS PASADOS ]:[MESES DE ADEUDO DEL AÑO EN CURSO ]])</f>
        <v>46</v>
      </c>
      <c r="Z579" s="15">
        <f>IF(Tabla1[[#This Row],[TIPO DE CONSUMIDOR]]="COMPLETO",W579*$T$2,W579*($T$2/2))</f>
        <v>1530</v>
      </c>
      <c r="AA579" s="15">
        <f>IF(Tabla1[[#This Row],[TIPO DE CONSUMIDOR]]="COMPLETO",Tabla1[[#This Row],[MESES DE ADEUDO DEL AÑO EN CURSO ]]*$T$2,Tabla1[[#This Row],[MESES DE ADEUDO DEL AÑO EN CURSO ]]*($T$2/2))</f>
        <v>540</v>
      </c>
      <c r="AB579" s="70">
        <f>SUM(Tabla1[[#This Row],[DEUDA DE LOS MESES PASADOS EN $$]:[DEUDA DEL AÑO 2013 $$ ]])</f>
        <v>2070</v>
      </c>
      <c r="AE579" s="103">
        <f>IF(Tabla1[[#This Row],[TIPO DE CONSUMIDOR]]="MEDIO",IF(Tabla1[[#This Row],[ENERO ]]&gt;22.5,Tabla1[[#This Row],[ENERO ]]/22.5-1,0),IF(Tabla1[[#This Row],[ENERO ]]&gt;45,Tabla1[[#This Row],[ENERO ]]/45-1,0))</f>
        <v>0</v>
      </c>
      <c r="AF579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79" s="103">
        <f>IF(Tabla1[[#This Row],[TIPO DE CONSUMIDOR]]="MEDIO",IF(Tabla1[[#This Row],[MARZO]]&gt;22.5,Tabla1[[#This Row],[MARZO]]/22.5-1,0),IF(Tabla1[[#This Row],[MARZO]]&gt;45,Tabla1[[#This Row],[MARZO]]/45-1,0))</f>
        <v>0</v>
      </c>
      <c r="AH579" s="103">
        <f>IF(Tabla1[[#This Row],[TIPO DE CONSUMIDOR]]="MEDIO",IF(Tabla1[[#This Row],[ABRIL]]&gt;22.5,Tabla1[[#This Row],[ABRIL]]/22.5-1,0),IF(Tabla1[[#This Row],[ABRIL]]&gt;45,Tabla1[[#This Row],[ABRIL]]/45-1,0))</f>
        <v>0</v>
      </c>
      <c r="AI579" s="103">
        <f>IF(Tabla1[[#This Row],[TIPO DE CONSUMIDOR]]="MEDIO",IF(Tabla1[[#This Row],[MAYO ]]&gt;22.5,Tabla1[[#This Row],[MAYO ]]/22.5-1,0),IF(Tabla1[[#This Row],[MAYO ]]&gt;45,Tabla1[[#This Row],[MAYO ]]/45-1,0))</f>
        <v>0</v>
      </c>
      <c r="AJ579" s="103">
        <f>IF(Tabla1[[#This Row],[TIPO DE CONSUMIDOR]]="MEDIO",IF(Tabla1[[#This Row],[JUNIO ]]&gt;22.5,Tabla1[[#This Row],[JUNIO ]]/22.5-1,0),IF(Tabla1[[#This Row],[JUNIO ]]&gt;45,Tabla1[[#This Row],[JUNIO ]]/45-1,0))</f>
        <v>0</v>
      </c>
      <c r="AK579" s="103">
        <f>IF(Tabla1[[#This Row],[TIPO DE CONSUMIDOR]]="MEDIO",IF(Tabla1[[#This Row],[JULIO ]]&gt;22.5,Tabla1[[#This Row],[JULIO ]]/22.5-1,0),IF(Tabla1[[#This Row],[JULIO ]]&gt;45,Tabla1[[#This Row],[JULIO ]]/45-1,0))</f>
        <v>0</v>
      </c>
      <c r="AL579" s="103">
        <f>IF(Tabla1[[#This Row],[TIPO DE CONSUMIDOR]]="MEDIO",IF(Tabla1[[#This Row],[AGOSTO]]&gt;22.5,Tabla1[[#This Row],[AGOSTO]]/22.5-1,0),IF(Tabla1[[#This Row],[AGOSTO]]&gt;45,Tabla1[[#This Row],[AGOSTO]]/45-1,0))</f>
        <v>0</v>
      </c>
      <c r="AM579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79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79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79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79" s="104">
        <f t="shared" si="18"/>
        <v>0</v>
      </c>
      <c r="AR579" s="9">
        <f t="shared" si="17"/>
        <v>1</v>
      </c>
      <c r="AS579" s="60">
        <f>IF(Tabla1[[#This Row],[MESES DE ADEUDO DEL AÑO EN CURSO ]]&gt;0,1,0)</f>
        <v>1</v>
      </c>
    </row>
    <row r="580" spans="1:45" ht="21.75" thickBot="1" x14ac:dyDescent="0.35">
      <c r="A580" s="109">
        <v>574</v>
      </c>
      <c r="B580" s="5" t="s">
        <v>646</v>
      </c>
      <c r="C580" s="2"/>
      <c r="D580" s="32"/>
      <c r="E580" s="35" t="s">
        <v>455</v>
      </c>
      <c r="F580" s="52">
        <v>0</v>
      </c>
      <c r="G580" s="53">
        <v>0</v>
      </c>
      <c r="H580" s="53">
        <v>0</v>
      </c>
      <c r="I580" s="53">
        <v>0</v>
      </c>
      <c r="J580" s="53">
        <v>0</v>
      </c>
      <c r="K580" s="53">
        <v>0</v>
      </c>
      <c r="L580" s="53">
        <v>0</v>
      </c>
      <c r="M580" s="53">
        <v>0</v>
      </c>
      <c r="N580" s="53">
        <v>0</v>
      </c>
      <c r="O580" s="53">
        <v>0</v>
      </c>
      <c r="P580" s="53">
        <v>0</v>
      </c>
      <c r="Q580" s="54">
        <v>0</v>
      </c>
      <c r="R580" s="95">
        <f>SUM(Tabla1[[#This Row],[ENERO ]:[DICIEMBRE]])</f>
        <v>0</v>
      </c>
      <c r="V580" s="37"/>
      <c r="W580" s="65">
        <v>34</v>
      </c>
      <c r="X580" s="93">
        <f>COUNTIF(Tabla1[[#This Row],[ENERO ]:[DICIEMBRE]],0)-(AQ580)-IF(Tabla1[[#This Row],[BAJAS]]="BAJA",IF(Tabla1[[#This Row],[ALTAS]]="ALTA",VLOOKUP(Tabla1[[#This Row],[MES DE ALTA ]],$AT$6:$AU$17,2,FALSE),12)-VLOOKUP(Tabla1[[#This Row],[MES DE BAJA ]],$AT$6:$AU$17,2,FALSE),0)</f>
        <v>12</v>
      </c>
      <c r="Y580" s="94">
        <f>SUM(Tabla1[[#This Row],[MES ADEUDO DE AÑOS PASADOS ]:[MESES DE ADEUDO DEL AÑO EN CURSO ]])</f>
        <v>46</v>
      </c>
      <c r="Z580" s="15">
        <f>IF(Tabla1[[#This Row],[TIPO DE CONSUMIDOR]]="COMPLETO",W580*$T$2,W580*($T$2/2))</f>
        <v>1530</v>
      </c>
      <c r="AA580" s="15">
        <f>IF(Tabla1[[#This Row],[TIPO DE CONSUMIDOR]]="COMPLETO",Tabla1[[#This Row],[MESES DE ADEUDO DEL AÑO EN CURSO ]]*$T$2,Tabla1[[#This Row],[MESES DE ADEUDO DEL AÑO EN CURSO ]]*($T$2/2))</f>
        <v>540</v>
      </c>
      <c r="AB580" s="70">
        <f>SUM(Tabla1[[#This Row],[DEUDA DE LOS MESES PASADOS EN $$]:[DEUDA DEL AÑO 2013 $$ ]])</f>
        <v>2070</v>
      </c>
      <c r="AE580" s="103">
        <f>IF(Tabla1[[#This Row],[TIPO DE CONSUMIDOR]]="MEDIO",IF(Tabla1[[#This Row],[ENERO ]]&gt;22.5,Tabla1[[#This Row],[ENERO ]]/22.5-1,0),IF(Tabla1[[#This Row],[ENERO ]]&gt;45,Tabla1[[#This Row],[ENERO ]]/45-1,0))</f>
        <v>0</v>
      </c>
      <c r="AF580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80" s="103">
        <f>IF(Tabla1[[#This Row],[TIPO DE CONSUMIDOR]]="MEDIO",IF(Tabla1[[#This Row],[MARZO]]&gt;22.5,Tabla1[[#This Row],[MARZO]]/22.5-1,0),IF(Tabla1[[#This Row],[MARZO]]&gt;45,Tabla1[[#This Row],[MARZO]]/45-1,0))</f>
        <v>0</v>
      </c>
      <c r="AH580" s="103">
        <f>IF(Tabla1[[#This Row],[TIPO DE CONSUMIDOR]]="MEDIO",IF(Tabla1[[#This Row],[ABRIL]]&gt;22.5,Tabla1[[#This Row],[ABRIL]]/22.5-1,0),IF(Tabla1[[#This Row],[ABRIL]]&gt;45,Tabla1[[#This Row],[ABRIL]]/45-1,0))</f>
        <v>0</v>
      </c>
      <c r="AI580" s="103">
        <f>IF(Tabla1[[#This Row],[TIPO DE CONSUMIDOR]]="MEDIO",IF(Tabla1[[#This Row],[MAYO ]]&gt;22.5,Tabla1[[#This Row],[MAYO ]]/22.5-1,0),IF(Tabla1[[#This Row],[MAYO ]]&gt;45,Tabla1[[#This Row],[MAYO ]]/45-1,0))</f>
        <v>0</v>
      </c>
      <c r="AJ580" s="103">
        <f>IF(Tabla1[[#This Row],[TIPO DE CONSUMIDOR]]="MEDIO",IF(Tabla1[[#This Row],[JUNIO ]]&gt;22.5,Tabla1[[#This Row],[JUNIO ]]/22.5-1,0),IF(Tabla1[[#This Row],[JUNIO ]]&gt;45,Tabla1[[#This Row],[JUNIO ]]/45-1,0))</f>
        <v>0</v>
      </c>
      <c r="AK580" s="103">
        <f>IF(Tabla1[[#This Row],[TIPO DE CONSUMIDOR]]="MEDIO",IF(Tabla1[[#This Row],[JULIO ]]&gt;22.5,Tabla1[[#This Row],[JULIO ]]/22.5-1,0),IF(Tabla1[[#This Row],[JULIO ]]&gt;45,Tabla1[[#This Row],[JULIO ]]/45-1,0))</f>
        <v>0</v>
      </c>
      <c r="AL580" s="103">
        <f>IF(Tabla1[[#This Row],[TIPO DE CONSUMIDOR]]="MEDIO",IF(Tabla1[[#This Row],[AGOSTO]]&gt;22.5,Tabla1[[#This Row],[AGOSTO]]/22.5-1,0),IF(Tabla1[[#This Row],[AGOSTO]]&gt;45,Tabla1[[#This Row],[AGOSTO]]/45-1,0))</f>
        <v>0</v>
      </c>
      <c r="AM580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80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80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80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80" s="104">
        <f t="shared" si="18"/>
        <v>0</v>
      </c>
      <c r="AR580" s="9">
        <f t="shared" si="17"/>
        <v>1</v>
      </c>
      <c r="AS580" s="60">
        <f>IF(Tabla1[[#This Row],[MESES DE ADEUDO DEL AÑO EN CURSO ]]&gt;0,1,0)</f>
        <v>1</v>
      </c>
    </row>
    <row r="581" spans="1:45" ht="21.75" thickBot="1" x14ac:dyDescent="0.35">
      <c r="A581" s="109">
        <v>575</v>
      </c>
      <c r="B581" s="5" t="s">
        <v>650</v>
      </c>
      <c r="C581" s="97"/>
      <c r="D581" s="32"/>
      <c r="E581" s="35" t="s">
        <v>455</v>
      </c>
      <c r="F581" s="52">
        <v>0</v>
      </c>
      <c r="G581" s="53">
        <v>0</v>
      </c>
      <c r="H581" s="53">
        <v>0</v>
      </c>
      <c r="I581" s="53">
        <v>0</v>
      </c>
      <c r="J581" s="53">
        <v>0</v>
      </c>
      <c r="K581" s="53">
        <v>0</v>
      </c>
      <c r="L581" s="53">
        <v>0</v>
      </c>
      <c r="M581" s="53">
        <v>0</v>
      </c>
      <c r="N581" s="53">
        <v>0</v>
      </c>
      <c r="O581" s="53">
        <v>0</v>
      </c>
      <c r="P581" s="53">
        <v>0</v>
      </c>
      <c r="Q581" s="54">
        <v>0</v>
      </c>
      <c r="R581" s="95">
        <f>SUM(Tabla1[[#This Row],[ENERO ]:[DICIEMBRE]])</f>
        <v>0</v>
      </c>
      <c r="W581" s="65">
        <v>34</v>
      </c>
      <c r="X581" s="93">
        <f>COUNTIF(Tabla1[[#This Row],[ENERO ]:[DICIEMBRE]],0)-(AQ581)-IF(Tabla1[[#This Row],[BAJAS]]="BAJA",IF(Tabla1[[#This Row],[ALTAS]]="ALTA",VLOOKUP(Tabla1[[#This Row],[MES DE ALTA ]],$AT$6:$AU$17,2,FALSE),12)-VLOOKUP(Tabla1[[#This Row],[MES DE BAJA ]],$AT$6:$AU$17,2,FALSE),0)</f>
        <v>12</v>
      </c>
      <c r="Y581" s="94">
        <f>SUM(Tabla1[[#This Row],[MES ADEUDO DE AÑOS PASADOS ]:[MESES DE ADEUDO DEL AÑO EN CURSO ]])</f>
        <v>46</v>
      </c>
      <c r="Z581" s="15">
        <f>IF(Tabla1[[#This Row],[TIPO DE CONSUMIDOR]]="COMPLETO",W581*$T$2,W581*($T$2/2))</f>
        <v>1530</v>
      </c>
      <c r="AA581" s="15">
        <f>IF(Tabla1[[#This Row],[TIPO DE CONSUMIDOR]]="COMPLETO",Tabla1[[#This Row],[MESES DE ADEUDO DEL AÑO EN CURSO ]]*$T$2,Tabla1[[#This Row],[MESES DE ADEUDO DEL AÑO EN CURSO ]]*($T$2/2))</f>
        <v>540</v>
      </c>
      <c r="AB581" s="70">
        <f>SUM(Tabla1[[#This Row],[DEUDA DE LOS MESES PASADOS EN $$]:[DEUDA DEL AÑO 2013 $$ ]])</f>
        <v>2070</v>
      </c>
      <c r="AE581" s="103">
        <f>IF(Tabla1[[#This Row],[TIPO DE CONSUMIDOR]]="MEDIO",IF(Tabla1[[#This Row],[ENERO ]]&gt;22.5,Tabla1[[#This Row],[ENERO ]]/22.5-1,0),IF(Tabla1[[#This Row],[ENERO ]]&gt;45,Tabla1[[#This Row],[ENERO ]]/45-1,0))</f>
        <v>0</v>
      </c>
      <c r="AF581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81" s="103">
        <f>IF(Tabla1[[#This Row],[TIPO DE CONSUMIDOR]]="MEDIO",IF(Tabla1[[#This Row],[MARZO]]&gt;22.5,Tabla1[[#This Row],[MARZO]]/22.5-1,0),IF(Tabla1[[#This Row],[MARZO]]&gt;45,Tabla1[[#This Row],[MARZO]]/45-1,0))</f>
        <v>0</v>
      </c>
      <c r="AH581" s="103">
        <f>IF(Tabla1[[#This Row],[TIPO DE CONSUMIDOR]]="MEDIO",IF(Tabla1[[#This Row],[ABRIL]]&gt;22.5,Tabla1[[#This Row],[ABRIL]]/22.5-1,0),IF(Tabla1[[#This Row],[ABRIL]]&gt;45,Tabla1[[#This Row],[ABRIL]]/45-1,0))</f>
        <v>0</v>
      </c>
      <c r="AI581" s="103">
        <f>IF(Tabla1[[#This Row],[TIPO DE CONSUMIDOR]]="MEDIO",IF(Tabla1[[#This Row],[MAYO ]]&gt;22.5,Tabla1[[#This Row],[MAYO ]]/22.5-1,0),IF(Tabla1[[#This Row],[MAYO ]]&gt;45,Tabla1[[#This Row],[MAYO ]]/45-1,0))</f>
        <v>0</v>
      </c>
      <c r="AJ581" s="103">
        <f>IF(Tabla1[[#This Row],[TIPO DE CONSUMIDOR]]="MEDIO",IF(Tabla1[[#This Row],[JUNIO ]]&gt;22.5,Tabla1[[#This Row],[JUNIO ]]/22.5-1,0),IF(Tabla1[[#This Row],[JUNIO ]]&gt;45,Tabla1[[#This Row],[JUNIO ]]/45-1,0))</f>
        <v>0</v>
      </c>
      <c r="AK581" s="103">
        <f>IF(Tabla1[[#This Row],[TIPO DE CONSUMIDOR]]="MEDIO",IF(Tabla1[[#This Row],[JULIO ]]&gt;22.5,Tabla1[[#This Row],[JULIO ]]/22.5-1,0),IF(Tabla1[[#This Row],[JULIO ]]&gt;45,Tabla1[[#This Row],[JULIO ]]/45-1,0))</f>
        <v>0</v>
      </c>
      <c r="AL581" s="103">
        <f>IF(Tabla1[[#This Row],[TIPO DE CONSUMIDOR]]="MEDIO",IF(Tabla1[[#This Row],[AGOSTO]]&gt;22.5,Tabla1[[#This Row],[AGOSTO]]/22.5-1,0),IF(Tabla1[[#This Row],[AGOSTO]]&gt;45,Tabla1[[#This Row],[AGOSTO]]/45-1,0))</f>
        <v>0</v>
      </c>
      <c r="AM581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81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81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81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81" s="104">
        <f t="shared" si="18"/>
        <v>0</v>
      </c>
      <c r="AR581" s="9">
        <f t="shared" si="17"/>
        <v>1</v>
      </c>
      <c r="AS581" s="60">
        <f>IF(Tabla1[[#This Row],[MESES DE ADEUDO DEL AÑO EN CURSO ]]&gt;0,1,0)</f>
        <v>1</v>
      </c>
    </row>
    <row r="582" spans="1:45" ht="21.75" thickBot="1" x14ac:dyDescent="0.35">
      <c r="A582" s="109">
        <v>576</v>
      </c>
      <c r="B582" s="5" t="s">
        <v>496</v>
      </c>
      <c r="C582" s="2" t="s">
        <v>493</v>
      </c>
      <c r="D582" s="32"/>
      <c r="E582" s="35" t="s">
        <v>455</v>
      </c>
      <c r="F582" s="52">
        <v>0</v>
      </c>
      <c r="G582" s="53">
        <v>0</v>
      </c>
      <c r="H582" s="53">
        <v>0</v>
      </c>
      <c r="I582" s="53">
        <v>0</v>
      </c>
      <c r="J582" s="53">
        <v>0</v>
      </c>
      <c r="K582" s="53">
        <v>0</v>
      </c>
      <c r="L582" s="53">
        <v>0</v>
      </c>
      <c r="M582" s="53">
        <v>0</v>
      </c>
      <c r="N582" s="53">
        <v>0</v>
      </c>
      <c r="O582" s="53">
        <v>0</v>
      </c>
      <c r="P582" s="53">
        <v>0</v>
      </c>
      <c r="Q582" s="54">
        <v>0</v>
      </c>
      <c r="R582" s="59">
        <f>SUM(Tabla1[[#This Row],[ENERO ]:[DICIEMBRE]])</f>
        <v>0</v>
      </c>
      <c r="W582" s="65">
        <v>41</v>
      </c>
      <c r="X582" s="93">
        <f>COUNTIF(Tabla1[[#This Row],[ENERO ]:[DICIEMBRE]],0)-(AQ582)-IF(Tabla1[[#This Row],[BAJAS]]="BAJA",IF(Tabla1[[#This Row],[ALTAS]]="ALTA",VLOOKUP(Tabla1[[#This Row],[MES DE ALTA ]],$AT$6:$AU$17,2,FALSE),12)-VLOOKUP(Tabla1[[#This Row],[MES DE BAJA ]],$AT$6:$AU$17,2,FALSE),0)</f>
        <v>12</v>
      </c>
      <c r="Y582" s="69">
        <f>SUM(Tabla1[[#This Row],[MES ADEUDO DE AÑOS PASADOS ]:[MESES DE ADEUDO DEL AÑO EN CURSO ]])</f>
        <v>53</v>
      </c>
      <c r="Z582" s="15">
        <f>IF(Tabla1[[#This Row],[TIPO DE CONSUMIDOR]]="COMPLETO",W582*$T$2,W582*($T$2/2))</f>
        <v>1845</v>
      </c>
      <c r="AA582" s="15">
        <f>IF(Tabla1[[#This Row],[TIPO DE CONSUMIDOR]]="COMPLETO",Tabla1[[#This Row],[MESES DE ADEUDO DEL AÑO EN CURSO ]]*$T$2,Tabla1[[#This Row],[MESES DE ADEUDO DEL AÑO EN CURSO ]]*($T$2/2))</f>
        <v>540</v>
      </c>
      <c r="AB582" s="70">
        <f>SUM(Tabla1[[#This Row],[DEUDA DE LOS MESES PASADOS EN $$]:[DEUDA DEL AÑO 2013 $$ ]])</f>
        <v>2385</v>
      </c>
      <c r="AE582" s="103">
        <f>IF(Tabla1[[#This Row],[TIPO DE CONSUMIDOR]]="MEDIO",IF(Tabla1[[#This Row],[ENERO ]]&gt;22.5,Tabla1[[#This Row],[ENERO ]]/22.5-1,0),IF(Tabla1[[#This Row],[ENERO ]]&gt;45,Tabla1[[#This Row],[ENERO ]]/45-1,0))</f>
        <v>0</v>
      </c>
      <c r="AF582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82" s="103">
        <f>IF(Tabla1[[#This Row],[TIPO DE CONSUMIDOR]]="MEDIO",IF(Tabla1[[#This Row],[MARZO]]&gt;22.5,Tabla1[[#This Row],[MARZO]]/22.5-1,0),IF(Tabla1[[#This Row],[MARZO]]&gt;45,Tabla1[[#This Row],[MARZO]]/45-1,0))</f>
        <v>0</v>
      </c>
      <c r="AH582" s="103">
        <f>IF(Tabla1[[#This Row],[TIPO DE CONSUMIDOR]]="MEDIO",IF(Tabla1[[#This Row],[ABRIL]]&gt;22.5,Tabla1[[#This Row],[ABRIL]]/22.5-1,0),IF(Tabla1[[#This Row],[ABRIL]]&gt;45,Tabla1[[#This Row],[ABRIL]]/45-1,0))</f>
        <v>0</v>
      </c>
      <c r="AI582" s="103">
        <f>IF(Tabla1[[#This Row],[TIPO DE CONSUMIDOR]]="MEDIO",IF(Tabla1[[#This Row],[MAYO ]]&gt;22.5,Tabla1[[#This Row],[MAYO ]]/22.5-1,0),IF(Tabla1[[#This Row],[MAYO ]]&gt;45,Tabla1[[#This Row],[MAYO ]]/45-1,0))</f>
        <v>0</v>
      </c>
      <c r="AJ582" s="103">
        <f>IF(Tabla1[[#This Row],[TIPO DE CONSUMIDOR]]="MEDIO",IF(Tabla1[[#This Row],[JUNIO ]]&gt;22.5,Tabla1[[#This Row],[JUNIO ]]/22.5-1,0),IF(Tabla1[[#This Row],[JUNIO ]]&gt;45,Tabla1[[#This Row],[JUNIO ]]/45-1,0))</f>
        <v>0</v>
      </c>
      <c r="AK582" s="103">
        <f>IF(Tabla1[[#This Row],[TIPO DE CONSUMIDOR]]="MEDIO",IF(Tabla1[[#This Row],[JULIO ]]&gt;22.5,Tabla1[[#This Row],[JULIO ]]/22.5-1,0),IF(Tabla1[[#This Row],[JULIO ]]&gt;45,Tabla1[[#This Row],[JULIO ]]/45-1,0))</f>
        <v>0</v>
      </c>
      <c r="AL582" s="103">
        <f>IF(Tabla1[[#This Row],[TIPO DE CONSUMIDOR]]="MEDIO",IF(Tabla1[[#This Row],[AGOSTO]]&gt;22.5,Tabla1[[#This Row],[AGOSTO]]/22.5-1,0),IF(Tabla1[[#This Row],[AGOSTO]]&gt;45,Tabla1[[#This Row],[AGOSTO]]/45-1,0))</f>
        <v>0</v>
      </c>
      <c r="AM582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82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82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82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82" s="104">
        <f t="shared" si="18"/>
        <v>0</v>
      </c>
      <c r="AR582" s="9">
        <f t="shared" si="17"/>
        <v>1</v>
      </c>
      <c r="AS582" s="60">
        <f>IF(Tabla1[[#This Row],[MESES DE ADEUDO DEL AÑO EN CURSO ]]&gt;0,1,0)</f>
        <v>1</v>
      </c>
    </row>
    <row r="583" spans="1:45" ht="21.75" thickBot="1" x14ac:dyDescent="0.35">
      <c r="A583" s="109">
        <v>577</v>
      </c>
      <c r="B583" s="5" t="s">
        <v>507</v>
      </c>
      <c r="C583" s="2" t="s">
        <v>504</v>
      </c>
      <c r="D583" s="32"/>
      <c r="E583" s="35" t="s">
        <v>455</v>
      </c>
      <c r="F583" s="52">
        <v>0</v>
      </c>
      <c r="G583" s="53">
        <v>0</v>
      </c>
      <c r="H583" s="53">
        <v>0</v>
      </c>
      <c r="I583" s="53">
        <v>0</v>
      </c>
      <c r="J583" s="53">
        <v>0</v>
      </c>
      <c r="K583" s="53">
        <v>0</v>
      </c>
      <c r="L583" s="53">
        <v>0</v>
      </c>
      <c r="M583" s="53">
        <v>0</v>
      </c>
      <c r="N583" s="53">
        <v>0</v>
      </c>
      <c r="O583" s="53">
        <v>0</v>
      </c>
      <c r="P583" s="53">
        <v>0</v>
      </c>
      <c r="Q583" s="54">
        <v>0</v>
      </c>
      <c r="R583" s="59">
        <f>SUM(Tabla1[[#This Row],[ENERO ]:[DICIEMBRE]])</f>
        <v>0</v>
      </c>
      <c r="W583" s="65">
        <v>61</v>
      </c>
      <c r="X583" s="93">
        <f>COUNTIF(Tabla1[[#This Row],[ENERO ]:[DICIEMBRE]],0)-(AQ583)-IF(Tabla1[[#This Row],[BAJAS]]="BAJA",IF(Tabla1[[#This Row],[ALTAS]]="ALTA",VLOOKUP(Tabla1[[#This Row],[MES DE ALTA ]],$AT$6:$AU$17,2,FALSE),12)-VLOOKUP(Tabla1[[#This Row],[MES DE BAJA ]],$AT$6:$AU$17,2,FALSE),0)</f>
        <v>12</v>
      </c>
      <c r="Y583" s="69">
        <f>SUM(Tabla1[[#This Row],[MES ADEUDO DE AÑOS PASADOS ]:[MESES DE ADEUDO DEL AÑO EN CURSO ]])</f>
        <v>73</v>
      </c>
      <c r="Z583" s="15">
        <f>IF(Tabla1[[#This Row],[TIPO DE CONSUMIDOR]]="COMPLETO",W583*$T$2,W583*($T$2/2))</f>
        <v>2745</v>
      </c>
      <c r="AA583" s="15">
        <f>IF(Tabla1[[#This Row],[TIPO DE CONSUMIDOR]]="COMPLETO",Tabla1[[#This Row],[MESES DE ADEUDO DEL AÑO EN CURSO ]]*$T$2,Tabla1[[#This Row],[MESES DE ADEUDO DEL AÑO EN CURSO ]]*($T$2/2))</f>
        <v>540</v>
      </c>
      <c r="AB583" s="70">
        <f>SUM(Tabla1[[#This Row],[DEUDA DE LOS MESES PASADOS EN $$]:[DEUDA DEL AÑO 2013 $$ ]])</f>
        <v>3285</v>
      </c>
      <c r="AE583" s="103">
        <f>IF(Tabla1[[#This Row],[TIPO DE CONSUMIDOR]]="MEDIO",IF(Tabla1[[#This Row],[ENERO ]]&gt;22.5,Tabla1[[#This Row],[ENERO ]]/22.5-1,0),IF(Tabla1[[#This Row],[ENERO ]]&gt;45,Tabla1[[#This Row],[ENERO ]]/45-1,0))</f>
        <v>0</v>
      </c>
      <c r="AF583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83" s="103">
        <f>IF(Tabla1[[#This Row],[TIPO DE CONSUMIDOR]]="MEDIO",IF(Tabla1[[#This Row],[MARZO]]&gt;22.5,Tabla1[[#This Row],[MARZO]]/22.5-1,0),IF(Tabla1[[#This Row],[MARZO]]&gt;45,Tabla1[[#This Row],[MARZO]]/45-1,0))</f>
        <v>0</v>
      </c>
      <c r="AH583" s="103">
        <f>IF(Tabla1[[#This Row],[TIPO DE CONSUMIDOR]]="MEDIO",IF(Tabla1[[#This Row],[ABRIL]]&gt;22.5,Tabla1[[#This Row],[ABRIL]]/22.5-1,0),IF(Tabla1[[#This Row],[ABRIL]]&gt;45,Tabla1[[#This Row],[ABRIL]]/45-1,0))</f>
        <v>0</v>
      </c>
      <c r="AI583" s="103">
        <f>IF(Tabla1[[#This Row],[TIPO DE CONSUMIDOR]]="MEDIO",IF(Tabla1[[#This Row],[MAYO ]]&gt;22.5,Tabla1[[#This Row],[MAYO ]]/22.5-1,0),IF(Tabla1[[#This Row],[MAYO ]]&gt;45,Tabla1[[#This Row],[MAYO ]]/45-1,0))</f>
        <v>0</v>
      </c>
      <c r="AJ583" s="103">
        <f>IF(Tabla1[[#This Row],[TIPO DE CONSUMIDOR]]="MEDIO",IF(Tabla1[[#This Row],[JUNIO ]]&gt;22.5,Tabla1[[#This Row],[JUNIO ]]/22.5-1,0),IF(Tabla1[[#This Row],[JUNIO ]]&gt;45,Tabla1[[#This Row],[JUNIO ]]/45-1,0))</f>
        <v>0</v>
      </c>
      <c r="AK583" s="103">
        <f>IF(Tabla1[[#This Row],[TIPO DE CONSUMIDOR]]="MEDIO",IF(Tabla1[[#This Row],[JULIO ]]&gt;22.5,Tabla1[[#This Row],[JULIO ]]/22.5-1,0),IF(Tabla1[[#This Row],[JULIO ]]&gt;45,Tabla1[[#This Row],[JULIO ]]/45-1,0))</f>
        <v>0</v>
      </c>
      <c r="AL583" s="103">
        <f>IF(Tabla1[[#This Row],[TIPO DE CONSUMIDOR]]="MEDIO",IF(Tabla1[[#This Row],[AGOSTO]]&gt;22.5,Tabla1[[#This Row],[AGOSTO]]/22.5-1,0),IF(Tabla1[[#This Row],[AGOSTO]]&gt;45,Tabla1[[#This Row],[AGOSTO]]/45-1,0))</f>
        <v>0</v>
      </c>
      <c r="AM583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83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83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83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83" s="104">
        <f t="shared" si="18"/>
        <v>0</v>
      </c>
      <c r="AR583" s="9">
        <f t="shared" si="17"/>
        <v>1</v>
      </c>
      <c r="AS583" s="60">
        <f>IF(Tabla1[[#This Row],[MESES DE ADEUDO DEL AÑO EN CURSO ]]&gt;0,1,0)</f>
        <v>1</v>
      </c>
    </row>
    <row r="584" spans="1:45" ht="21.75" thickBot="1" x14ac:dyDescent="0.35">
      <c r="A584" s="109">
        <v>578</v>
      </c>
      <c r="B584" s="5" t="s">
        <v>538</v>
      </c>
      <c r="C584" s="2" t="s">
        <v>530</v>
      </c>
      <c r="D584" s="32"/>
      <c r="E584" s="35" t="s">
        <v>455</v>
      </c>
      <c r="F584" s="52">
        <v>0</v>
      </c>
      <c r="G584" s="53">
        <v>0</v>
      </c>
      <c r="H584" s="53">
        <v>0</v>
      </c>
      <c r="I584" s="53">
        <v>0</v>
      </c>
      <c r="J584" s="53">
        <v>0</v>
      </c>
      <c r="K584" s="53">
        <v>0</v>
      </c>
      <c r="L584" s="53">
        <v>0</v>
      </c>
      <c r="M584" s="53">
        <v>0</v>
      </c>
      <c r="N584" s="53">
        <v>0</v>
      </c>
      <c r="O584" s="53">
        <v>0</v>
      </c>
      <c r="P584" s="53">
        <v>0</v>
      </c>
      <c r="Q584" s="54">
        <v>0</v>
      </c>
      <c r="R584" s="59">
        <f>SUM(Tabla1[[#This Row],[ENERO ]:[DICIEMBRE]])</f>
        <v>0</v>
      </c>
      <c r="W584" s="65">
        <v>70</v>
      </c>
      <c r="X584" s="93">
        <f>COUNTIF(Tabla1[[#This Row],[ENERO ]:[DICIEMBRE]],0)-(AQ584)-IF(Tabla1[[#This Row],[BAJAS]]="BAJA",IF(Tabla1[[#This Row],[ALTAS]]="ALTA",VLOOKUP(Tabla1[[#This Row],[MES DE ALTA ]],$AT$6:$AU$17,2,FALSE),12)-VLOOKUP(Tabla1[[#This Row],[MES DE BAJA ]],$AT$6:$AU$17,2,FALSE),0)</f>
        <v>12</v>
      </c>
      <c r="Y584" s="69">
        <f>SUM(Tabla1[[#This Row],[MES ADEUDO DE AÑOS PASADOS ]:[MESES DE ADEUDO DEL AÑO EN CURSO ]])</f>
        <v>82</v>
      </c>
      <c r="Z584" s="15">
        <f>IF(Tabla1[[#This Row],[TIPO DE CONSUMIDOR]]="COMPLETO",W584*$T$2,W584*($T$2/2))</f>
        <v>3150</v>
      </c>
      <c r="AA584" s="15">
        <f>IF(Tabla1[[#This Row],[TIPO DE CONSUMIDOR]]="COMPLETO",Tabla1[[#This Row],[MESES DE ADEUDO DEL AÑO EN CURSO ]]*$T$2,Tabla1[[#This Row],[MESES DE ADEUDO DEL AÑO EN CURSO ]]*($T$2/2))</f>
        <v>540</v>
      </c>
      <c r="AB584" s="70">
        <f>SUM(Tabla1[[#This Row],[DEUDA DE LOS MESES PASADOS EN $$]:[DEUDA DEL AÑO 2013 $$ ]])</f>
        <v>3690</v>
      </c>
      <c r="AE584" s="103">
        <f>IF(Tabla1[[#This Row],[TIPO DE CONSUMIDOR]]="MEDIO",IF(Tabla1[[#This Row],[ENERO ]]&gt;22.5,Tabla1[[#This Row],[ENERO ]]/22.5-1,0),IF(Tabla1[[#This Row],[ENERO ]]&gt;45,Tabla1[[#This Row],[ENERO ]]/45-1,0))</f>
        <v>0</v>
      </c>
      <c r="AF584" s="103">
        <f>IF(Tabla1[[#This Row],[TIPO DE CONSUMIDOR]]="MEDIO",IF(Tabla1[[#This Row],[FEBRERO]]&gt;22.5,Tabla1[[#This Row],[FEBRERO]]/22.5-1,0),IF(Tabla1[[#This Row],[FEBRERO]]&gt;45,Tabla1[[#This Row],[FEBRERO]]/45-1,0))</f>
        <v>0</v>
      </c>
      <c r="AG584" s="103">
        <f>IF(Tabla1[[#This Row],[TIPO DE CONSUMIDOR]]="MEDIO",IF(Tabla1[[#This Row],[MARZO]]&gt;22.5,Tabla1[[#This Row],[MARZO]]/22.5-1,0),IF(Tabla1[[#This Row],[MARZO]]&gt;45,Tabla1[[#This Row],[MARZO]]/45-1,0))</f>
        <v>0</v>
      </c>
      <c r="AH584" s="103">
        <f>IF(Tabla1[[#This Row],[TIPO DE CONSUMIDOR]]="MEDIO",IF(Tabla1[[#This Row],[ABRIL]]&gt;22.5,Tabla1[[#This Row],[ABRIL]]/22.5-1,0),IF(Tabla1[[#This Row],[ABRIL]]&gt;45,Tabla1[[#This Row],[ABRIL]]/45-1,0))</f>
        <v>0</v>
      </c>
      <c r="AI584" s="103">
        <f>IF(Tabla1[[#This Row],[TIPO DE CONSUMIDOR]]="MEDIO",IF(Tabla1[[#This Row],[MAYO ]]&gt;22.5,Tabla1[[#This Row],[MAYO ]]/22.5-1,0),IF(Tabla1[[#This Row],[MAYO ]]&gt;45,Tabla1[[#This Row],[MAYO ]]/45-1,0))</f>
        <v>0</v>
      </c>
      <c r="AJ584" s="103">
        <f>IF(Tabla1[[#This Row],[TIPO DE CONSUMIDOR]]="MEDIO",IF(Tabla1[[#This Row],[JUNIO ]]&gt;22.5,Tabla1[[#This Row],[JUNIO ]]/22.5-1,0),IF(Tabla1[[#This Row],[JUNIO ]]&gt;45,Tabla1[[#This Row],[JUNIO ]]/45-1,0))</f>
        <v>0</v>
      </c>
      <c r="AK584" s="103">
        <f>IF(Tabla1[[#This Row],[TIPO DE CONSUMIDOR]]="MEDIO",IF(Tabla1[[#This Row],[JULIO ]]&gt;22.5,Tabla1[[#This Row],[JULIO ]]/22.5-1,0),IF(Tabla1[[#This Row],[JULIO ]]&gt;45,Tabla1[[#This Row],[JULIO ]]/45-1,0))</f>
        <v>0</v>
      </c>
      <c r="AL584" s="103">
        <f>IF(Tabla1[[#This Row],[TIPO DE CONSUMIDOR]]="MEDIO",IF(Tabla1[[#This Row],[AGOSTO]]&gt;22.5,Tabla1[[#This Row],[AGOSTO]]/22.5-1,0),IF(Tabla1[[#This Row],[AGOSTO]]&gt;45,Tabla1[[#This Row],[AGOSTO]]/45-1,0))</f>
        <v>0</v>
      </c>
      <c r="AM584" s="103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N584" s="103">
        <f>IF(Tabla1[[#This Row],[TIPO DE CONSUMIDOR]]="MEDIO",IF(Tabla1[[#This Row],[OCTUBRE]]&gt;22.5,Tabla1[[#This Row],[OCTUBRE]]/22.5-1,0),IF(Tabla1[[#This Row],[OCTUBRE]]&gt;45,Tabla1[[#This Row],[OCTUBRE]]/45-1,0))</f>
        <v>0</v>
      </c>
      <c r="AO584" s="103">
        <f>IF(Tabla1[[#This Row],[TIPO DE CONSUMIDOR]]="MEDIO",IF(Tabla1[[#This Row],[NOVIEMBRE]]&gt;22.5,Tabla1[[#This Row],[NOVIEMBRE]]/22.5-1,0),IF(Tabla1[[#This Row],[NOVIEMBRE]]&gt;45,Tabla1[[#This Row],[NOVIEMBRE]]/45-1,0))</f>
        <v>0</v>
      </c>
      <c r="AP584" s="103">
        <f>IF(Tabla1[[#This Row],[TIPO DE CONSUMIDOR]]="MEDIO",IF(Tabla1[[#This Row],[DICIEMBRE]]&gt;22.5,Tabla1[[#This Row],[DICIEMBRE]]/22.5-1,0),IF(Tabla1[[#This Row],[DICIEMBRE]]&gt;45,Tabla1[[#This Row],[DICIEMBRE]]/45-1,0))</f>
        <v>0</v>
      </c>
      <c r="AQ584" s="104">
        <f>SUM(AE584:AP584)</f>
        <v>0</v>
      </c>
      <c r="AR584" s="9">
        <f t="shared" si="17"/>
        <v>1</v>
      </c>
      <c r="AS584" s="60">
        <f>IF(Tabla1[[#This Row],[MESES DE ADEUDO DEL AÑO EN CURSO ]]&gt;0,1,0)</f>
        <v>1</v>
      </c>
    </row>
    <row r="585" spans="1:45" ht="42.75" customHeight="1" thickBot="1" x14ac:dyDescent="0.4">
      <c r="B585" s="105" t="s">
        <v>440</v>
      </c>
      <c r="C585" s="106"/>
      <c r="D585" s="107"/>
      <c r="E585" s="30"/>
      <c r="F585" s="112">
        <f>SUM(Tabla1[[ENERO ]])</f>
        <v>16515</v>
      </c>
      <c r="G585" s="113">
        <f>SUM(Tabla1[FEBRERO])</f>
        <v>16290</v>
      </c>
      <c r="H585" s="114">
        <f>SUM(Tabla1[MARZO])</f>
        <v>15592.5</v>
      </c>
      <c r="I585" s="113">
        <f>SUM(Tabla1[ABRIL])</f>
        <v>15007.5</v>
      </c>
      <c r="J585" s="115">
        <f>SUM(Tabla1[[MAYO ]])</f>
        <v>14467.5</v>
      </c>
      <c r="K585" s="113">
        <f>SUM(Tabla1[[JUNIO ]])</f>
        <v>13972.5</v>
      </c>
      <c r="L585" s="115">
        <f>SUM(Tabla1[[JULIO ]])</f>
        <v>13365</v>
      </c>
      <c r="M585" s="113">
        <f>SUM(Tabla1[AGOSTO])</f>
        <v>12735</v>
      </c>
      <c r="N585" s="115">
        <f>SUM(Tabla1[SEPTIEMBRE])</f>
        <v>11880</v>
      </c>
      <c r="O585" s="113">
        <f>SUM(Tabla1[OCTUBRE])</f>
        <v>11542.5</v>
      </c>
      <c r="P585" s="115">
        <f>SUM(Tabla1[NOVIEMBRE])</f>
        <v>10845</v>
      </c>
      <c r="Q585" s="116">
        <f>SUM(Tabla1[DICIEMBRE])</f>
        <v>10215</v>
      </c>
      <c r="R585" s="92" t="s">
        <v>439</v>
      </c>
      <c r="W585" s="65">
        <f>SUM(Tabla1[[MES ADEUDO DE AÑOS PASADOS ]])</f>
        <v>1613</v>
      </c>
      <c r="X585" s="65">
        <f>SUM(Tabla1[[MESES DE ADEUDO DEL AÑO EN CURSO ]])</f>
        <v>2859</v>
      </c>
      <c r="Y585" s="126">
        <f>SUM(Tabla1[[MESES DE ADEUDO EN TOTAL HASTA EL AÑO EN CURSO ]])</f>
        <v>4472</v>
      </c>
      <c r="Z585" s="127">
        <f>SUM(Tabla1[DEUDA DE LOS MESES PASADOS EN $$])</f>
        <v>72247.5</v>
      </c>
      <c r="AA585" s="127">
        <f>SUM(Tabla1[DEUDA DEL AÑO 2013 $$ ])</f>
        <v>126720</v>
      </c>
      <c r="AB585" s="127">
        <f>SUM(Tabla1[DEUDA TOTAL  EL $$])</f>
        <v>198967.5</v>
      </c>
      <c r="AR585" s="117">
        <f>SUM(AR7:AR584)</f>
        <v>323</v>
      </c>
      <c r="AS585" s="61">
        <f>SUM(AS7:AS584)</f>
        <v>321</v>
      </c>
    </row>
    <row r="586" spans="1:45" ht="16.5" thickBot="1" x14ac:dyDescent="0.3">
      <c r="O586" s="6"/>
      <c r="P586" s="6"/>
      <c r="Q586" s="6"/>
      <c r="R586" s="110">
        <f>SUM(Tabla1[PAGO POR USUARIO])</f>
        <v>162427.5</v>
      </c>
    </row>
    <row r="587" spans="1:45" ht="16.5" thickBot="1" x14ac:dyDescent="0.3">
      <c r="R587" s="111">
        <f>SUM(Rmensual)</f>
        <v>162427.5</v>
      </c>
    </row>
    <row r="590" spans="1:45" x14ac:dyDescent="0.25">
      <c r="B590" t="s">
        <v>659</v>
      </c>
    </row>
    <row r="591" spans="1:45" x14ac:dyDescent="0.25">
      <c r="B591" t="s">
        <v>30</v>
      </c>
      <c r="C591" t="s">
        <v>519</v>
      </c>
      <c r="E591" t="s">
        <v>455</v>
      </c>
      <c r="F591">
        <v>45</v>
      </c>
      <c r="G591">
        <v>45</v>
      </c>
      <c r="H591">
        <v>45</v>
      </c>
      <c r="I591">
        <v>45</v>
      </c>
      <c r="J591">
        <v>45</v>
      </c>
      <c r="K591">
        <v>45</v>
      </c>
      <c r="L591">
        <v>45</v>
      </c>
      <c r="M591">
        <v>45</v>
      </c>
      <c r="N591">
        <v>45</v>
      </c>
      <c r="O591">
        <v>45</v>
      </c>
      <c r="P591">
        <v>45</v>
      </c>
      <c r="Q591">
        <v>45</v>
      </c>
      <c r="R591">
        <f>SUM(F591:Q591)</f>
        <v>540</v>
      </c>
    </row>
  </sheetData>
  <dataConsolidate/>
  <mergeCells count="3">
    <mergeCell ref="B3:Q3"/>
    <mergeCell ref="A1:Q2"/>
    <mergeCell ref="B4:Q4"/>
  </mergeCells>
  <conditionalFormatting sqref="E566:E584">
    <cfRule type="containsText" dxfId="88" priority="11" operator="containsText" text="MEDIO">
      <formula>NOT(ISERROR(SEARCH("MEDIO",E566)))</formula>
    </cfRule>
    <cfRule type="cellIs" dxfId="87" priority="12" operator="equal">
      <formula>"MEDIO"</formula>
    </cfRule>
    <cfRule type="cellIs" dxfId="86" priority="13" operator="equal">
      <formula>"COMPLETO"</formula>
    </cfRule>
  </conditionalFormatting>
  <conditionalFormatting sqref="F566:Q584">
    <cfRule type="cellIs" dxfId="85" priority="8" operator="equal">
      <formula>0</formula>
    </cfRule>
    <cfRule type="cellIs" dxfId="84" priority="9" operator="equal">
      <formula>22.5</formula>
    </cfRule>
    <cfRule type="cellIs" dxfId="83" priority="10" operator="equal">
      <formula>45</formula>
    </cfRule>
  </conditionalFormatting>
  <conditionalFormatting sqref="F7:Q565">
    <cfRule type="cellIs" dxfId="82" priority="5" operator="equal">
      <formula>0</formula>
    </cfRule>
    <cfRule type="cellIs" dxfId="81" priority="6" operator="equal">
      <formula>22.5</formula>
    </cfRule>
    <cfRule type="cellIs" dxfId="80" priority="7" operator="equal">
      <formula>45</formula>
    </cfRule>
  </conditionalFormatting>
  <conditionalFormatting sqref="E7:E565">
    <cfRule type="containsText" dxfId="79" priority="2" operator="containsText" text="MEDIO">
      <formula>NOT(ISERROR(SEARCH("MEDIO",E7)))</formula>
    </cfRule>
    <cfRule type="cellIs" dxfId="78" priority="3" operator="equal">
      <formula>"MEDIO"</formula>
    </cfRule>
    <cfRule type="cellIs" dxfId="77" priority="4" operator="equal">
      <formula>"COMPLETO"</formula>
    </cfRule>
  </conditionalFormatting>
  <conditionalFormatting sqref="Y7:Y584">
    <cfRule type="cellIs" dxfId="76" priority="1" operator="greaterThan">
      <formula>0</formula>
    </cfRule>
  </conditionalFormatting>
  <pageMargins left="0.7" right="0.7" top="0.75" bottom="0.75" header="0.3" footer="0.3"/>
  <pageSetup scale="31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Q31"/>
  <sheetViews>
    <sheetView workbookViewId="0">
      <selection activeCell="A8" sqref="A8"/>
    </sheetView>
  </sheetViews>
  <sheetFormatPr baseColWidth="10" defaultRowHeight="15" x14ac:dyDescent="0.25"/>
  <cols>
    <col min="1" max="1" width="30.5703125" customWidth="1"/>
    <col min="2" max="2" width="15.5703125" customWidth="1"/>
    <col min="3" max="3" width="12.7109375" customWidth="1"/>
    <col min="4" max="5" width="14.28515625" customWidth="1"/>
    <col min="6" max="6" width="13.28515625" customWidth="1"/>
    <col min="7" max="7" width="13.5703125" customWidth="1"/>
    <col min="8" max="8" width="13.28515625" customWidth="1"/>
    <col min="9" max="9" width="12.7109375" customWidth="1"/>
    <col min="10" max="10" width="13.5703125" customWidth="1"/>
    <col min="11" max="11" width="14.28515625" customWidth="1"/>
    <col min="12" max="12" width="13.85546875" customWidth="1"/>
    <col min="13" max="13" width="12.85546875" customWidth="1"/>
  </cols>
  <sheetData>
    <row r="1" spans="1:17" ht="15" customHeight="1" x14ac:dyDescent="0.25">
      <c r="A1" s="137" t="s">
        <v>12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23"/>
      <c r="O1" s="23"/>
      <c r="P1" s="23"/>
      <c r="Q1" s="23"/>
    </row>
    <row r="2" spans="1:17" ht="15" customHeight="1" x14ac:dyDescent="0.25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23"/>
      <c r="O2" s="23"/>
      <c r="P2" s="23"/>
      <c r="Q2" s="23"/>
    </row>
    <row r="3" spans="1:17" ht="20.25" thickBot="1" x14ac:dyDescent="0.35">
      <c r="A3" s="7" t="s">
        <v>430</v>
      </c>
      <c r="B3" s="136" t="str">
        <f>'Regis Usu.'!B3:Q3</f>
        <v xml:space="preserve">MIGUEL MIGUEL ANGELICA MARIA </v>
      </c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22"/>
      <c r="O3" s="22"/>
      <c r="P3" s="22"/>
      <c r="Q3" s="22"/>
    </row>
    <row r="4" spans="1:17" ht="21" thickTop="1" thickBot="1" x14ac:dyDescent="0.35">
      <c r="A4" s="7" t="s">
        <v>431</v>
      </c>
      <c r="B4" s="138">
        <f>'Regis Usu.'!B4:Q4</f>
        <v>2021</v>
      </c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25"/>
      <c r="O4" s="25"/>
      <c r="P4" s="25"/>
      <c r="Q4" s="25"/>
    </row>
    <row r="5" spans="1:17" ht="15.75" thickTop="1" x14ac:dyDescent="0.25"/>
    <row r="6" spans="1:17" ht="15.75" x14ac:dyDescent="0.25">
      <c r="A6" s="38" t="s">
        <v>441</v>
      </c>
      <c r="B6" t="s">
        <v>434</v>
      </c>
      <c r="C6" t="s">
        <v>442</v>
      </c>
      <c r="D6" t="s">
        <v>2</v>
      </c>
      <c r="E6" t="s">
        <v>3</v>
      </c>
      <c r="F6" t="s">
        <v>437</v>
      </c>
      <c r="G6" t="s">
        <v>443</v>
      </c>
      <c r="H6" t="s">
        <v>438</v>
      </c>
      <c r="I6" t="s">
        <v>7</v>
      </c>
      <c r="J6" t="s">
        <v>8</v>
      </c>
      <c r="K6" t="s">
        <v>9</v>
      </c>
      <c r="L6" t="s">
        <v>10</v>
      </c>
      <c r="M6" t="s">
        <v>11</v>
      </c>
    </row>
    <row r="7" spans="1:17" x14ac:dyDescent="0.25">
      <c r="A7" t="s">
        <v>638</v>
      </c>
      <c r="B7" s="15">
        <v>20733</v>
      </c>
      <c r="C7" s="15">
        <v>14574</v>
      </c>
      <c r="D7" s="15">
        <v>16163</v>
      </c>
      <c r="E7" s="15">
        <v>16389</v>
      </c>
      <c r="F7" s="15">
        <v>18867</v>
      </c>
      <c r="G7" s="15">
        <v>16268</v>
      </c>
      <c r="H7" s="15">
        <v>12284</v>
      </c>
      <c r="I7" s="15">
        <v>12704</v>
      </c>
      <c r="J7" s="15">
        <v>11205</v>
      </c>
      <c r="K7" s="15">
        <v>11797</v>
      </c>
      <c r="L7" s="15">
        <v>12601</v>
      </c>
      <c r="M7" s="15">
        <v>11538</v>
      </c>
    </row>
    <row r="8" spans="1:17" x14ac:dyDescent="0.25">
      <c r="A8" t="s">
        <v>639</v>
      </c>
      <c r="B8" s="15">
        <v>1300</v>
      </c>
      <c r="C8" s="15">
        <v>1300</v>
      </c>
      <c r="D8" s="15">
        <v>1300</v>
      </c>
      <c r="E8" s="15">
        <v>1300</v>
      </c>
      <c r="F8" s="15">
        <v>1300</v>
      </c>
      <c r="G8" s="15">
        <v>1300</v>
      </c>
      <c r="H8" s="15">
        <v>1300</v>
      </c>
      <c r="I8" s="15">
        <v>1300</v>
      </c>
      <c r="J8" s="15">
        <v>1300</v>
      </c>
      <c r="K8" s="15">
        <v>1300</v>
      </c>
      <c r="L8" s="15">
        <v>1300</v>
      </c>
      <c r="M8" s="15">
        <v>1300</v>
      </c>
    </row>
    <row r="9" spans="1:17" x14ac:dyDescent="0.25">
      <c r="A9" t="s">
        <v>640</v>
      </c>
      <c r="B9" s="15">
        <v>497</v>
      </c>
      <c r="C9" s="15">
        <v>200</v>
      </c>
      <c r="D9" s="15">
        <v>630</v>
      </c>
      <c r="E9" s="15">
        <v>200</v>
      </c>
      <c r="F9" s="15">
        <v>1240</v>
      </c>
      <c r="G9" s="15">
        <v>1445</v>
      </c>
      <c r="H9" s="15">
        <v>56</v>
      </c>
      <c r="I9" s="15"/>
      <c r="J9" s="15"/>
      <c r="K9" s="15">
        <v>266</v>
      </c>
      <c r="L9" s="15">
        <v>50</v>
      </c>
      <c r="M9" s="15">
        <v>100</v>
      </c>
    </row>
    <row r="10" spans="1:17" x14ac:dyDescent="0.25">
      <c r="A10" t="s">
        <v>640</v>
      </c>
      <c r="B10" s="15"/>
      <c r="C10" s="15"/>
      <c r="D10" s="15">
        <v>40</v>
      </c>
      <c r="E10" s="15">
        <v>39.5</v>
      </c>
      <c r="F10" s="15"/>
      <c r="G10" s="15"/>
      <c r="H10" s="15">
        <v>16.5</v>
      </c>
      <c r="I10" s="15">
        <v>55</v>
      </c>
      <c r="J10" s="15"/>
      <c r="K10" s="15">
        <v>1000</v>
      </c>
      <c r="L10" s="15">
        <v>379</v>
      </c>
      <c r="M10" s="15"/>
    </row>
    <row r="11" spans="1:17" x14ac:dyDescent="0.25">
      <c r="A11" t="s">
        <v>640</v>
      </c>
      <c r="B11" s="15"/>
      <c r="C11" s="15"/>
      <c r="D11" s="15"/>
      <c r="E11" s="15">
        <v>37</v>
      </c>
      <c r="F11" s="15"/>
      <c r="G11" s="15"/>
      <c r="H11" s="15"/>
      <c r="I11" s="15"/>
      <c r="J11" s="15"/>
      <c r="K11" s="15">
        <v>150</v>
      </c>
      <c r="L11" s="15">
        <v>200</v>
      </c>
      <c r="M11" s="15"/>
    </row>
    <row r="12" spans="1:17" x14ac:dyDescent="0.25">
      <c r="A12" t="s">
        <v>640</v>
      </c>
      <c r="B12" s="15"/>
      <c r="C12" s="15"/>
      <c r="D12" s="15"/>
      <c r="E12" s="15">
        <v>349</v>
      </c>
      <c r="F12" s="15"/>
      <c r="G12" s="15"/>
      <c r="H12" s="15"/>
      <c r="I12" s="15"/>
      <c r="J12" s="15"/>
      <c r="K12" s="15">
        <v>24</v>
      </c>
      <c r="L12" s="15"/>
      <c r="M12" s="15">
        <v>350</v>
      </c>
    </row>
    <row r="13" spans="1:17" x14ac:dyDescent="0.25">
      <c r="A13" t="s">
        <v>641</v>
      </c>
      <c r="B13" s="15"/>
      <c r="C13" s="15"/>
      <c r="D13" s="15">
        <v>3500</v>
      </c>
      <c r="E13" s="15"/>
      <c r="F13" s="15"/>
      <c r="G13" s="15"/>
      <c r="H13" s="15"/>
      <c r="I13" s="15"/>
      <c r="J13" s="15"/>
      <c r="K13" s="15"/>
      <c r="L13" s="15"/>
      <c r="M13" s="15"/>
    </row>
    <row r="14" spans="1:17" x14ac:dyDescent="0.25">
      <c r="A14" t="s">
        <v>642</v>
      </c>
      <c r="B14" s="15"/>
      <c r="C14" s="15"/>
      <c r="D14" s="15"/>
      <c r="E14" s="15"/>
      <c r="F14" s="15">
        <v>500</v>
      </c>
      <c r="G14" s="15"/>
      <c r="H14" s="15">
        <v>500</v>
      </c>
      <c r="I14" s="15"/>
      <c r="J14" s="15"/>
      <c r="K14" s="15"/>
      <c r="L14" s="15"/>
      <c r="M14" s="15"/>
    </row>
    <row r="15" spans="1:17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</row>
    <row r="16" spans="1:17" x14ac:dyDescent="0.25"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</row>
    <row r="17" spans="1:13" x14ac:dyDescent="0.25"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</row>
    <row r="18" spans="1:13" x14ac:dyDescent="0.25"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</row>
    <row r="19" spans="1:13" x14ac:dyDescent="0.2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</row>
    <row r="20" spans="1:13" x14ac:dyDescent="0.2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</row>
    <row r="21" spans="1:13" x14ac:dyDescent="0.2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</row>
    <row r="23" spans="1:13" x14ac:dyDescent="0.2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</row>
    <row r="24" spans="1:13" x14ac:dyDescent="0.2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</row>
    <row r="25" spans="1:13" x14ac:dyDescent="0.2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</row>
    <row r="26" spans="1:13" x14ac:dyDescent="0.2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</row>
    <row r="27" spans="1:13" x14ac:dyDescent="0.2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</row>
    <row r="28" spans="1:13" x14ac:dyDescent="0.2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</row>
    <row r="29" spans="1:13" x14ac:dyDescent="0.2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</row>
    <row r="30" spans="1:13" x14ac:dyDescent="0.2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</row>
    <row r="31" spans="1:13" ht="15.75" x14ac:dyDescent="0.25">
      <c r="A31" s="39" t="s">
        <v>444</v>
      </c>
      <c r="B31" s="130">
        <f>SUM(B7:B30)</f>
        <v>22530</v>
      </c>
      <c r="C31" s="130">
        <f>SUM(C7:C30)</f>
        <v>16074</v>
      </c>
      <c r="D31" s="130">
        <f t="shared" ref="D31:M31" si="0">SUM(D7:D30)</f>
        <v>21633</v>
      </c>
      <c r="E31" s="130">
        <f t="shared" si="0"/>
        <v>18314.5</v>
      </c>
      <c r="F31" s="130">
        <f t="shared" si="0"/>
        <v>21907</v>
      </c>
      <c r="G31" s="130">
        <f t="shared" si="0"/>
        <v>19013</v>
      </c>
      <c r="H31" s="130">
        <f t="shared" si="0"/>
        <v>14156.5</v>
      </c>
      <c r="I31" s="130">
        <f t="shared" si="0"/>
        <v>14059</v>
      </c>
      <c r="J31" s="130">
        <f t="shared" si="0"/>
        <v>12505</v>
      </c>
      <c r="K31" s="130">
        <f t="shared" si="0"/>
        <v>14537</v>
      </c>
      <c r="L31" s="130">
        <f t="shared" si="0"/>
        <v>14530</v>
      </c>
      <c r="M31" s="130">
        <f t="shared" si="0"/>
        <v>13288</v>
      </c>
    </row>
  </sheetData>
  <mergeCells count="3">
    <mergeCell ref="A1:M2"/>
    <mergeCell ref="B3:M3"/>
    <mergeCell ref="B4:M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Q13"/>
  <sheetViews>
    <sheetView workbookViewId="0">
      <selection activeCell="H14" sqref="H14"/>
    </sheetView>
  </sheetViews>
  <sheetFormatPr baseColWidth="10" defaultRowHeight="15" x14ac:dyDescent="0.25"/>
  <cols>
    <col min="1" max="1" width="22.28515625" customWidth="1"/>
    <col min="2" max="2" width="13.5703125" customWidth="1"/>
    <col min="3" max="3" width="17.7109375" customWidth="1"/>
    <col min="4" max="4" width="16.140625" customWidth="1"/>
    <col min="5" max="5" width="15.140625" customWidth="1"/>
    <col min="6" max="6" width="17.28515625" customWidth="1"/>
    <col min="7" max="7" width="19.85546875" customWidth="1"/>
    <col min="8" max="8" width="12" customWidth="1"/>
    <col min="9" max="9" width="14.85546875" customWidth="1"/>
    <col min="10" max="10" width="15.5703125" customWidth="1"/>
    <col min="11" max="11" width="11.5703125" bestFit="1" customWidth="1"/>
    <col min="12" max="12" width="16.28515625" customWidth="1"/>
    <col min="13" max="13" width="16.5703125" customWidth="1"/>
    <col min="14" max="14" width="13.7109375" customWidth="1"/>
  </cols>
  <sheetData>
    <row r="1" spans="1:17" ht="15" customHeight="1" x14ac:dyDescent="0.25">
      <c r="A1" s="137" t="s">
        <v>12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23"/>
      <c r="O1" s="23"/>
      <c r="P1" s="23"/>
      <c r="Q1" s="23"/>
    </row>
    <row r="2" spans="1:17" ht="15" customHeight="1" x14ac:dyDescent="0.25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23"/>
      <c r="O2" s="23"/>
      <c r="P2" s="23"/>
      <c r="Q2" s="23"/>
    </row>
    <row r="3" spans="1:17" ht="20.25" thickBot="1" x14ac:dyDescent="0.35">
      <c r="A3" s="29" t="s">
        <v>430</v>
      </c>
      <c r="B3" s="136" t="str">
        <f>'Regis Usu.'!B3:Q3</f>
        <v xml:space="preserve">MIGUEL MIGUEL ANGELICA MARIA </v>
      </c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22"/>
      <c r="O3" s="22"/>
      <c r="P3" s="22"/>
      <c r="Q3" s="22"/>
    </row>
    <row r="4" spans="1:17" ht="21" thickTop="1" thickBot="1" x14ac:dyDescent="0.35">
      <c r="A4" s="29" t="s">
        <v>431</v>
      </c>
      <c r="B4" s="138">
        <f>GASTOS!B4</f>
        <v>2021</v>
      </c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25"/>
      <c r="O4" s="25"/>
      <c r="P4" s="25"/>
      <c r="Q4" s="25"/>
    </row>
    <row r="5" spans="1:17" ht="15.75" thickTop="1" x14ac:dyDescent="0.25"/>
    <row r="6" spans="1:17" ht="15.75" x14ac:dyDescent="0.25">
      <c r="A6" t="s">
        <v>436</v>
      </c>
      <c r="B6" s="8" t="s">
        <v>434</v>
      </c>
      <c r="C6" s="9" t="s">
        <v>1</v>
      </c>
      <c r="D6" s="8" t="s">
        <v>2</v>
      </c>
      <c r="E6" s="9" t="s">
        <v>3</v>
      </c>
      <c r="F6" s="8" t="s">
        <v>437</v>
      </c>
      <c r="G6" s="9" t="s">
        <v>443</v>
      </c>
      <c r="H6" s="8" t="s">
        <v>438</v>
      </c>
      <c r="I6" s="9" t="s">
        <v>7</v>
      </c>
      <c r="J6" s="8" t="s">
        <v>8</v>
      </c>
      <c r="K6" s="9" t="s">
        <v>9</v>
      </c>
      <c r="L6" s="8" t="s">
        <v>10</v>
      </c>
      <c r="M6" s="8" t="s">
        <v>11</v>
      </c>
    </row>
    <row r="7" spans="1:17" x14ac:dyDescent="0.25">
      <c r="A7" s="9" t="s">
        <v>445</v>
      </c>
      <c r="B7" s="14">
        <f>'Regis Usu.'!F585</f>
        <v>16515</v>
      </c>
      <c r="C7" s="14">
        <f>'Regis Usu.'!G585</f>
        <v>16290</v>
      </c>
      <c r="D7" s="14">
        <f>'Regis Usu.'!H585</f>
        <v>15592.5</v>
      </c>
      <c r="E7" s="14">
        <f>'Regis Usu.'!I585</f>
        <v>15007.5</v>
      </c>
      <c r="F7" s="14">
        <f>'Regis Usu.'!J585</f>
        <v>14467.5</v>
      </c>
      <c r="G7" s="14">
        <f>'Regis Usu.'!K585</f>
        <v>13972.5</v>
      </c>
      <c r="H7" s="14">
        <f>'Regis Usu.'!L585</f>
        <v>13365</v>
      </c>
      <c r="I7" s="14">
        <f>'Regis Usu.'!M585</f>
        <v>12735</v>
      </c>
      <c r="J7" s="14">
        <f>'Regis Usu.'!N585</f>
        <v>11880</v>
      </c>
      <c r="K7" s="14">
        <f>'Regis Usu.'!O585</f>
        <v>11542.5</v>
      </c>
      <c r="L7" s="14">
        <f>'Regis Usu.'!P585</f>
        <v>10845</v>
      </c>
      <c r="M7" s="14">
        <f>'Regis Usu.'!Q585</f>
        <v>10215</v>
      </c>
    </row>
    <row r="8" spans="1:17" x14ac:dyDescent="0.25">
      <c r="A8" t="s">
        <v>446</v>
      </c>
      <c r="B8" s="10">
        <f>GASTOS!B31</f>
        <v>22530</v>
      </c>
      <c r="C8" s="10">
        <f>GASTOS!C31</f>
        <v>16074</v>
      </c>
      <c r="D8" s="10">
        <f>GASTOS!D31</f>
        <v>21633</v>
      </c>
      <c r="E8" s="10">
        <f>GASTOS!E31</f>
        <v>18314.5</v>
      </c>
      <c r="F8" s="10">
        <f>GASTOS!F31</f>
        <v>21907</v>
      </c>
      <c r="G8" s="10">
        <f>GASTOS!G31</f>
        <v>19013</v>
      </c>
      <c r="H8" s="10">
        <f>GASTOS!H31</f>
        <v>14156.5</v>
      </c>
      <c r="I8" s="10">
        <f>GASTOS!I31</f>
        <v>14059</v>
      </c>
      <c r="J8" s="10">
        <f>GASTOS!J31</f>
        <v>12505</v>
      </c>
      <c r="K8" s="10">
        <f>GASTOS!K31</f>
        <v>14537</v>
      </c>
      <c r="L8" s="10">
        <f>GASTOS!L31</f>
        <v>14530</v>
      </c>
      <c r="M8" s="10">
        <f>GASTOS!M31</f>
        <v>13288</v>
      </c>
    </row>
    <row r="9" spans="1:17" x14ac:dyDescent="0.25">
      <c r="A9" t="s">
        <v>447</v>
      </c>
      <c r="B9" s="129">
        <f>B7-B8</f>
        <v>-6015</v>
      </c>
      <c r="C9" s="129">
        <f t="shared" ref="C9:L9" si="0">C7-C8</f>
        <v>216</v>
      </c>
      <c r="D9" s="129">
        <f t="shared" si="0"/>
        <v>-6040.5</v>
      </c>
      <c r="E9" s="129">
        <f t="shared" si="0"/>
        <v>-3307</v>
      </c>
      <c r="F9" s="129">
        <f t="shared" si="0"/>
        <v>-7439.5</v>
      </c>
      <c r="G9" s="129">
        <f t="shared" si="0"/>
        <v>-5040.5</v>
      </c>
      <c r="H9" s="129">
        <f t="shared" si="0"/>
        <v>-791.5</v>
      </c>
      <c r="I9" s="129">
        <f t="shared" si="0"/>
        <v>-1324</v>
      </c>
      <c r="J9" s="129">
        <f t="shared" si="0"/>
        <v>-625</v>
      </c>
      <c r="K9" s="129">
        <f t="shared" si="0"/>
        <v>-2994.5</v>
      </c>
      <c r="L9" s="129">
        <f t="shared" si="0"/>
        <v>-3685</v>
      </c>
      <c r="M9" s="129">
        <f>M7-M8</f>
        <v>-3073</v>
      </c>
    </row>
    <row r="11" spans="1:17" x14ac:dyDescent="0.25">
      <c r="B11" s="139" t="s">
        <v>448</v>
      </c>
      <c r="C11" s="140"/>
      <c r="D11" s="140"/>
      <c r="E11" s="140"/>
      <c r="F11" s="141"/>
      <c r="G11" s="128">
        <f>SUM(B9:M9)</f>
        <v>-40119.5</v>
      </c>
    </row>
    <row r="12" spans="1:17" x14ac:dyDescent="0.25">
      <c r="B12" s="142" t="s">
        <v>449</v>
      </c>
      <c r="C12" s="143"/>
      <c r="D12" s="143"/>
      <c r="E12" s="143"/>
      <c r="F12" s="144"/>
      <c r="G12" s="27">
        <f>(SUM(Tabla1[[MESES DE ADEUDO DEL AÑO EN CURSO ]])*45)</f>
        <v>128655</v>
      </c>
    </row>
    <row r="13" spans="1:17" ht="18.75" x14ac:dyDescent="0.3">
      <c r="B13" s="142" t="s">
        <v>662</v>
      </c>
      <c r="C13" s="143"/>
      <c r="D13" s="143"/>
      <c r="E13" s="143"/>
      <c r="F13" s="144"/>
      <c r="G13" s="28"/>
      <c r="H13" s="26"/>
      <c r="I13" s="26"/>
      <c r="J13" s="26"/>
      <c r="K13" s="26"/>
      <c r="L13" s="26"/>
      <c r="M13" s="26"/>
    </row>
  </sheetData>
  <mergeCells count="6">
    <mergeCell ref="B3:M3"/>
    <mergeCell ref="A1:M2"/>
    <mergeCell ref="B11:F11"/>
    <mergeCell ref="B12:F12"/>
    <mergeCell ref="B13:F13"/>
    <mergeCell ref="B4:M4"/>
  </mergeCells>
  <conditionalFormatting sqref="B9:M9">
    <cfRule type="cellIs" dxfId="14" priority="1" operator="greaterThan">
      <formula>0</formula>
    </cfRule>
    <cfRule type="cellIs" dxfId="13" priority="2" operator="lessThan">
      <formula>0</formula>
    </cfRule>
  </conditionalFormatting>
  <pageMargins left="0.7" right="0.7" top="0.75" bottom="0.75" header="0.3" footer="0.3"/>
  <ignoredErrors>
    <ignoredError sqref="M8:M9" calculatedColum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</sheetPr>
  <dimension ref="C1:I580"/>
  <sheetViews>
    <sheetView workbookViewId="0">
      <selection activeCell="G8" sqref="G8"/>
    </sheetView>
  </sheetViews>
  <sheetFormatPr baseColWidth="10" defaultRowHeight="15" x14ac:dyDescent="0.25"/>
  <cols>
    <col min="3" max="3" width="12.28515625" customWidth="1"/>
    <col min="4" max="4" width="50.85546875" customWidth="1"/>
    <col min="5" max="5" width="22.85546875" customWidth="1"/>
    <col min="6" max="6" width="25.140625" customWidth="1"/>
    <col min="7" max="7" width="34.85546875" customWidth="1"/>
    <col min="8" max="8" width="29.28515625" customWidth="1"/>
    <col min="9" max="9" width="12.7109375" customWidth="1"/>
  </cols>
  <sheetData>
    <row r="1" spans="3:9" ht="18.75" x14ac:dyDescent="0.3">
      <c r="D1" s="145" t="s">
        <v>667</v>
      </c>
      <c r="E1" s="145"/>
      <c r="F1" s="145"/>
      <c r="G1" s="145"/>
      <c r="H1" s="145"/>
      <c r="I1" s="145"/>
    </row>
    <row r="2" spans="3:9" ht="21.75" thickBot="1" x14ac:dyDescent="0.4">
      <c r="C2" s="109" t="s">
        <v>660</v>
      </c>
      <c r="D2" s="16" t="s">
        <v>429</v>
      </c>
      <c r="E2" s="17" t="s">
        <v>427</v>
      </c>
      <c r="F2" s="18" t="s">
        <v>450</v>
      </c>
      <c r="G2" s="18" t="s">
        <v>666</v>
      </c>
      <c r="H2" s="18" t="s">
        <v>665</v>
      </c>
      <c r="I2" s="18" t="s">
        <v>664</v>
      </c>
    </row>
    <row r="3" spans="3:9" ht="19.5" thickBot="1" x14ac:dyDescent="0.35">
      <c r="C3" s="109">
        <f>1</f>
        <v>1</v>
      </c>
      <c r="D3" s="5" t="s">
        <v>29</v>
      </c>
      <c r="E3" s="2" t="s">
        <v>456</v>
      </c>
      <c r="F3" s="36" t="s">
        <v>455</v>
      </c>
      <c r="G3" s="10" t="s">
        <v>663</v>
      </c>
      <c r="H3" s="10"/>
      <c r="I3" s="10" t="s">
        <v>663</v>
      </c>
    </row>
    <row r="4" spans="3:9" ht="18.75" x14ac:dyDescent="0.3">
      <c r="C4" s="109">
        <v>2</v>
      </c>
      <c r="D4" s="67" t="s">
        <v>106</v>
      </c>
      <c r="E4" s="1" t="s">
        <v>456</v>
      </c>
      <c r="F4" s="35" t="s">
        <v>455</v>
      </c>
      <c r="G4" s="133"/>
      <c r="H4" s="133"/>
      <c r="I4" s="132"/>
    </row>
    <row r="5" spans="3:9" ht="18.75" x14ac:dyDescent="0.3">
      <c r="C5" s="109">
        <v>3</v>
      </c>
      <c r="D5" s="5" t="s">
        <v>204</v>
      </c>
      <c r="E5" s="2" t="s">
        <v>456</v>
      </c>
      <c r="F5" s="36" t="s">
        <v>455</v>
      </c>
      <c r="G5" s="10"/>
      <c r="H5" s="10"/>
      <c r="I5" s="10"/>
    </row>
    <row r="6" spans="3:9" ht="18.75" x14ac:dyDescent="0.3">
      <c r="C6" s="109">
        <v>4</v>
      </c>
      <c r="D6" s="5" t="s">
        <v>267</v>
      </c>
      <c r="E6" s="2" t="s">
        <v>456</v>
      </c>
      <c r="F6" s="36" t="s">
        <v>455</v>
      </c>
      <c r="G6" s="10"/>
      <c r="H6" s="10"/>
      <c r="I6" s="10"/>
    </row>
    <row r="7" spans="3:9" ht="18.75" x14ac:dyDescent="0.3">
      <c r="C7" s="109">
        <v>5</v>
      </c>
      <c r="D7" s="5" t="s">
        <v>308</v>
      </c>
      <c r="E7" s="2" t="s">
        <v>456</v>
      </c>
      <c r="F7" s="36" t="s">
        <v>455</v>
      </c>
      <c r="G7" s="10"/>
      <c r="H7" s="10"/>
      <c r="I7" s="10"/>
    </row>
    <row r="8" spans="3:9" ht="18.75" x14ac:dyDescent="0.3">
      <c r="C8" s="109">
        <v>6</v>
      </c>
      <c r="D8" s="5" t="s">
        <v>458</v>
      </c>
      <c r="E8" s="2" t="s">
        <v>456</v>
      </c>
      <c r="F8" s="36" t="s">
        <v>455</v>
      </c>
      <c r="G8" s="10"/>
      <c r="H8" s="10"/>
      <c r="I8" s="10"/>
    </row>
    <row r="9" spans="3:9" ht="18.75" x14ac:dyDescent="0.3">
      <c r="C9" s="109">
        <v>7</v>
      </c>
      <c r="D9" s="5" t="s">
        <v>424</v>
      </c>
      <c r="E9" s="2" t="s">
        <v>456</v>
      </c>
      <c r="F9" s="36" t="s">
        <v>455</v>
      </c>
      <c r="G9" s="10"/>
      <c r="H9" s="10"/>
      <c r="I9" s="10"/>
    </row>
    <row r="10" spans="3:9" ht="18.75" x14ac:dyDescent="0.3">
      <c r="C10" s="109">
        <v>8</v>
      </c>
      <c r="D10" s="47" t="s">
        <v>457</v>
      </c>
      <c r="E10" s="2" t="s">
        <v>456</v>
      </c>
      <c r="F10" s="36" t="s">
        <v>455</v>
      </c>
      <c r="G10" s="10"/>
      <c r="H10" s="10"/>
      <c r="I10" s="10"/>
    </row>
    <row r="11" spans="3:9" ht="19.5" thickBot="1" x14ac:dyDescent="0.35">
      <c r="C11" s="109">
        <v>9</v>
      </c>
      <c r="D11" s="5" t="s">
        <v>178</v>
      </c>
      <c r="E11" s="2" t="s">
        <v>459</v>
      </c>
      <c r="F11" s="36" t="s">
        <v>455</v>
      </c>
      <c r="G11" s="10"/>
      <c r="H11" s="10"/>
      <c r="I11" s="10"/>
    </row>
    <row r="12" spans="3:9" ht="19.5" thickBot="1" x14ac:dyDescent="0.35">
      <c r="C12" s="109">
        <v>10</v>
      </c>
      <c r="D12" s="5" t="s">
        <v>37</v>
      </c>
      <c r="E12" s="2" t="s">
        <v>461</v>
      </c>
      <c r="F12" s="35" t="s">
        <v>455</v>
      </c>
      <c r="G12" s="10"/>
      <c r="H12" s="10"/>
      <c r="I12" s="10"/>
    </row>
    <row r="13" spans="3:9" ht="19.5" thickBot="1" x14ac:dyDescent="0.35">
      <c r="C13" s="109">
        <v>11</v>
      </c>
      <c r="D13" s="5" t="s">
        <v>100</v>
      </c>
      <c r="E13" s="2" t="s">
        <v>461</v>
      </c>
      <c r="F13" s="35" t="s">
        <v>455</v>
      </c>
      <c r="G13" s="10"/>
      <c r="H13" s="10"/>
      <c r="I13" s="10"/>
    </row>
    <row r="14" spans="3:9" ht="18.75" x14ac:dyDescent="0.3">
      <c r="C14" s="109">
        <v>12</v>
      </c>
      <c r="D14" s="5" t="s">
        <v>469</v>
      </c>
      <c r="E14" s="2" t="s">
        <v>461</v>
      </c>
      <c r="F14" s="35" t="s">
        <v>455</v>
      </c>
      <c r="G14" s="10"/>
      <c r="H14" s="10"/>
      <c r="I14" s="10"/>
    </row>
    <row r="15" spans="3:9" ht="18.75" x14ac:dyDescent="0.3">
      <c r="C15" s="109">
        <v>13</v>
      </c>
      <c r="D15" s="5" t="s">
        <v>261</v>
      </c>
      <c r="E15" s="2" t="s">
        <v>461</v>
      </c>
      <c r="F15" s="36" t="s">
        <v>455</v>
      </c>
      <c r="G15" s="10"/>
      <c r="H15" s="10"/>
      <c r="I15" s="10"/>
    </row>
    <row r="16" spans="3:9" ht="18.75" x14ac:dyDescent="0.3">
      <c r="C16" s="109">
        <v>14</v>
      </c>
      <c r="D16" s="5" t="s">
        <v>233</v>
      </c>
      <c r="E16" s="2" t="s">
        <v>461</v>
      </c>
      <c r="F16" s="36" t="s">
        <v>455</v>
      </c>
      <c r="G16" s="10"/>
      <c r="H16" s="10"/>
      <c r="I16" s="10"/>
    </row>
    <row r="17" spans="3:9" ht="18.75" x14ac:dyDescent="0.3">
      <c r="C17" s="109">
        <v>15</v>
      </c>
      <c r="D17" s="5" t="s">
        <v>596</v>
      </c>
      <c r="E17" s="2" t="s">
        <v>461</v>
      </c>
      <c r="F17" s="36" t="s">
        <v>455</v>
      </c>
      <c r="G17" s="10"/>
      <c r="H17" s="10"/>
      <c r="I17" s="10"/>
    </row>
    <row r="18" spans="3:9" ht="19.5" thickBot="1" x14ac:dyDescent="0.35">
      <c r="C18" s="109">
        <v>16</v>
      </c>
      <c r="D18" s="5" t="s">
        <v>304</v>
      </c>
      <c r="E18" s="2" t="s">
        <v>461</v>
      </c>
      <c r="F18" s="36" t="s">
        <v>455</v>
      </c>
      <c r="G18" s="10"/>
      <c r="H18" s="10"/>
      <c r="I18" s="10"/>
    </row>
    <row r="19" spans="3:9" ht="18.75" x14ac:dyDescent="0.3">
      <c r="C19" s="109">
        <v>17</v>
      </c>
      <c r="D19" s="5" t="s">
        <v>325</v>
      </c>
      <c r="E19" s="2" t="s">
        <v>461</v>
      </c>
      <c r="F19" s="35" t="s">
        <v>455</v>
      </c>
      <c r="G19" s="10"/>
      <c r="H19" s="10"/>
      <c r="I19" s="10"/>
    </row>
    <row r="20" spans="3:9" ht="18.75" x14ac:dyDescent="0.3">
      <c r="C20" s="109">
        <v>18</v>
      </c>
      <c r="D20" s="5" t="s">
        <v>383</v>
      </c>
      <c r="E20" s="2" t="s">
        <v>461</v>
      </c>
      <c r="F20" s="36" t="s">
        <v>455</v>
      </c>
      <c r="G20" s="10"/>
      <c r="H20" s="10"/>
      <c r="I20" s="10"/>
    </row>
    <row r="21" spans="3:9" ht="18.75" x14ac:dyDescent="0.3">
      <c r="C21" s="109">
        <v>19</v>
      </c>
      <c r="D21" s="5" t="s">
        <v>403</v>
      </c>
      <c r="E21" s="2" t="s">
        <v>461</v>
      </c>
      <c r="F21" s="36" t="s">
        <v>455</v>
      </c>
      <c r="G21" s="10"/>
      <c r="H21" s="10"/>
      <c r="I21" s="10"/>
    </row>
    <row r="22" spans="3:9" ht="19.5" thickBot="1" x14ac:dyDescent="0.35">
      <c r="C22" s="109">
        <v>20</v>
      </c>
      <c r="D22" s="5" t="s">
        <v>426</v>
      </c>
      <c r="E22" s="2" t="s">
        <v>461</v>
      </c>
      <c r="F22" s="36" t="s">
        <v>455</v>
      </c>
      <c r="G22" s="10"/>
      <c r="H22" s="10"/>
      <c r="I22" s="10"/>
    </row>
    <row r="23" spans="3:9" ht="19.5" thickBot="1" x14ac:dyDescent="0.35">
      <c r="C23" s="109">
        <v>21</v>
      </c>
      <c r="D23" s="5" t="s">
        <v>226</v>
      </c>
      <c r="E23" s="2" t="s">
        <v>478</v>
      </c>
      <c r="F23" s="35" t="s">
        <v>455</v>
      </c>
      <c r="G23" s="10"/>
      <c r="H23" s="10"/>
      <c r="I23" s="10"/>
    </row>
    <row r="24" spans="3:9" ht="19.5" thickBot="1" x14ac:dyDescent="0.35">
      <c r="C24" s="109">
        <v>22</v>
      </c>
      <c r="D24" s="96" t="s">
        <v>30</v>
      </c>
      <c r="E24" s="122" t="s">
        <v>487</v>
      </c>
      <c r="F24" s="72" t="s">
        <v>455</v>
      </c>
      <c r="G24" s="10"/>
      <c r="H24" s="10"/>
      <c r="I24" s="10"/>
    </row>
    <row r="25" spans="3:9" ht="19.5" thickBot="1" x14ac:dyDescent="0.35">
      <c r="C25" s="109">
        <v>23</v>
      </c>
      <c r="D25" s="5" t="s">
        <v>218</v>
      </c>
      <c r="E25" s="2" t="s">
        <v>488</v>
      </c>
      <c r="F25" s="35" t="s">
        <v>455</v>
      </c>
      <c r="G25" s="10"/>
      <c r="H25" s="10"/>
      <c r="I25" s="10"/>
    </row>
    <row r="26" spans="3:9" ht="19.5" thickBot="1" x14ac:dyDescent="0.35">
      <c r="C26" s="109">
        <v>24</v>
      </c>
      <c r="D26" s="5" t="s">
        <v>229</v>
      </c>
      <c r="E26" s="2" t="s">
        <v>488</v>
      </c>
      <c r="F26" s="35" t="s">
        <v>455</v>
      </c>
      <c r="G26" s="10"/>
      <c r="H26" s="10"/>
      <c r="I26" s="10"/>
    </row>
    <row r="27" spans="3:9" ht="19.5" thickBot="1" x14ac:dyDescent="0.35">
      <c r="C27" s="109">
        <v>25</v>
      </c>
      <c r="D27" s="5" t="s">
        <v>597</v>
      </c>
      <c r="E27" s="2" t="s">
        <v>488</v>
      </c>
      <c r="F27" s="35" t="s">
        <v>455</v>
      </c>
      <c r="G27" s="10"/>
      <c r="H27" s="10"/>
      <c r="I27" s="10"/>
    </row>
    <row r="28" spans="3:9" ht="19.5" thickBot="1" x14ac:dyDescent="0.35">
      <c r="C28" s="109">
        <v>26</v>
      </c>
      <c r="D28" s="47" t="s">
        <v>477</v>
      </c>
      <c r="E28" s="2" t="s">
        <v>478</v>
      </c>
      <c r="F28" s="35" t="s">
        <v>455</v>
      </c>
      <c r="G28" s="10"/>
      <c r="H28" s="10"/>
      <c r="I28" s="10"/>
    </row>
    <row r="29" spans="3:9" ht="19.5" thickBot="1" x14ac:dyDescent="0.35">
      <c r="C29" s="109">
        <v>27</v>
      </c>
      <c r="D29" s="5" t="s">
        <v>277</v>
      </c>
      <c r="E29" s="2" t="s">
        <v>478</v>
      </c>
      <c r="F29" s="35" t="s">
        <v>455</v>
      </c>
      <c r="G29" s="10"/>
      <c r="H29" s="10"/>
      <c r="I29" s="10"/>
    </row>
    <row r="30" spans="3:9" ht="19.5" thickBot="1" x14ac:dyDescent="0.35">
      <c r="C30" s="109">
        <v>28</v>
      </c>
      <c r="D30" s="5" t="s">
        <v>598</v>
      </c>
      <c r="E30" s="2" t="s">
        <v>478</v>
      </c>
      <c r="F30" s="35" t="s">
        <v>455</v>
      </c>
      <c r="G30" s="10"/>
      <c r="H30" s="10"/>
      <c r="I30" s="10"/>
    </row>
    <row r="31" spans="3:9" ht="19.5" thickBot="1" x14ac:dyDescent="0.35">
      <c r="C31" s="109">
        <v>29</v>
      </c>
      <c r="D31" s="5" t="s">
        <v>403</v>
      </c>
      <c r="E31" s="2" t="s">
        <v>478</v>
      </c>
      <c r="F31" s="35" t="s">
        <v>455</v>
      </c>
      <c r="G31" s="10"/>
      <c r="H31" s="10"/>
      <c r="I31" s="10"/>
    </row>
    <row r="32" spans="3:9" ht="19.5" thickBot="1" x14ac:dyDescent="0.35">
      <c r="C32" s="109">
        <v>30</v>
      </c>
      <c r="D32" s="5" t="s">
        <v>479</v>
      </c>
      <c r="E32" s="2" t="s">
        <v>480</v>
      </c>
      <c r="F32" s="35" t="s">
        <v>455</v>
      </c>
      <c r="G32" s="10"/>
      <c r="H32" s="10"/>
      <c r="I32" s="10"/>
    </row>
    <row r="33" spans="3:9" ht="19.5" thickBot="1" x14ac:dyDescent="0.35">
      <c r="C33" s="109">
        <v>31</v>
      </c>
      <c r="D33" s="5" t="s">
        <v>481</v>
      </c>
      <c r="E33" s="2" t="s">
        <v>480</v>
      </c>
      <c r="F33" s="35" t="s">
        <v>455</v>
      </c>
      <c r="G33" s="10"/>
      <c r="H33" s="10"/>
      <c r="I33" s="10"/>
    </row>
    <row r="34" spans="3:9" ht="19.5" thickBot="1" x14ac:dyDescent="0.35">
      <c r="C34" s="109">
        <v>32</v>
      </c>
      <c r="D34" s="5" t="s">
        <v>482</v>
      </c>
      <c r="E34" s="2" t="s">
        <v>480</v>
      </c>
      <c r="F34" s="35" t="s">
        <v>455</v>
      </c>
      <c r="G34" s="10"/>
      <c r="H34" s="10"/>
      <c r="I34" s="10"/>
    </row>
    <row r="35" spans="3:9" ht="19.5" thickBot="1" x14ac:dyDescent="0.35">
      <c r="C35" s="109">
        <v>33</v>
      </c>
      <c r="D35" s="5" t="s">
        <v>20</v>
      </c>
      <c r="E35" s="2" t="s">
        <v>480</v>
      </c>
      <c r="F35" s="35" t="s">
        <v>455</v>
      </c>
      <c r="G35" s="10"/>
      <c r="H35" s="10"/>
      <c r="I35" s="10"/>
    </row>
    <row r="36" spans="3:9" ht="19.5" thickBot="1" x14ac:dyDescent="0.35">
      <c r="C36" s="109">
        <v>34</v>
      </c>
      <c r="D36" s="5" t="s">
        <v>67</v>
      </c>
      <c r="E36" s="2" t="s">
        <v>480</v>
      </c>
      <c r="F36" s="35" t="s">
        <v>455</v>
      </c>
      <c r="G36" s="10"/>
      <c r="H36" s="10"/>
      <c r="I36" s="10"/>
    </row>
    <row r="37" spans="3:9" ht="19.5" thickBot="1" x14ac:dyDescent="0.35">
      <c r="C37" s="109">
        <v>35</v>
      </c>
      <c r="D37" s="5" t="s">
        <v>65</v>
      </c>
      <c r="E37" s="2" t="s">
        <v>480</v>
      </c>
      <c r="F37" s="35" t="s">
        <v>455</v>
      </c>
      <c r="G37" s="10"/>
      <c r="H37" s="10"/>
      <c r="I37" s="10"/>
    </row>
    <row r="38" spans="3:9" ht="19.5" thickBot="1" x14ac:dyDescent="0.35">
      <c r="C38" s="109">
        <v>36</v>
      </c>
      <c r="D38" s="5" t="s">
        <v>84</v>
      </c>
      <c r="E38" s="2" t="s">
        <v>480</v>
      </c>
      <c r="F38" s="35" t="s">
        <v>455</v>
      </c>
      <c r="G38" s="10"/>
      <c r="H38" s="10"/>
      <c r="I38" s="10"/>
    </row>
    <row r="39" spans="3:9" ht="19.5" thickBot="1" x14ac:dyDescent="0.35">
      <c r="C39" s="109">
        <v>37</v>
      </c>
      <c r="D39" s="5" t="s">
        <v>77</v>
      </c>
      <c r="E39" s="2" t="s">
        <v>480</v>
      </c>
      <c r="F39" s="35" t="s">
        <v>455</v>
      </c>
      <c r="G39" s="10"/>
      <c r="H39" s="10"/>
      <c r="I39" s="10"/>
    </row>
    <row r="40" spans="3:9" ht="19.5" thickBot="1" x14ac:dyDescent="0.35">
      <c r="C40" s="109">
        <v>38</v>
      </c>
      <c r="D40" s="5" t="s">
        <v>483</v>
      </c>
      <c r="E40" s="2" t="s">
        <v>480</v>
      </c>
      <c r="F40" s="35" t="s">
        <v>455</v>
      </c>
      <c r="G40" s="10"/>
      <c r="H40" s="10"/>
      <c r="I40" s="10"/>
    </row>
    <row r="41" spans="3:9" ht="19.5" thickBot="1" x14ac:dyDescent="0.35">
      <c r="C41" s="109">
        <v>39</v>
      </c>
      <c r="D41" s="5" t="s">
        <v>141</v>
      </c>
      <c r="E41" s="2" t="s">
        <v>480</v>
      </c>
      <c r="F41" s="35" t="s">
        <v>455</v>
      </c>
      <c r="G41" s="10"/>
      <c r="H41" s="10"/>
      <c r="I41" s="10"/>
    </row>
    <row r="42" spans="3:9" ht="19.5" thickBot="1" x14ac:dyDescent="0.35">
      <c r="C42" s="109">
        <v>40</v>
      </c>
      <c r="D42" s="5" t="s">
        <v>142</v>
      </c>
      <c r="E42" s="2" t="s">
        <v>480</v>
      </c>
      <c r="F42" s="35" t="s">
        <v>455</v>
      </c>
      <c r="G42" s="10"/>
      <c r="H42" s="10"/>
      <c r="I42" s="10"/>
    </row>
    <row r="43" spans="3:9" ht="19.5" thickBot="1" x14ac:dyDescent="0.35">
      <c r="C43" s="109">
        <v>41</v>
      </c>
      <c r="D43" s="5" t="s">
        <v>248</v>
      </c>
      <c r="E43" s="2" t="s">
        <v>480</v>
      </c>
      <c r="F43" s="35" t="s">
        <v>455</v>
      </c>
      <c r="G43" s="10"/>
      <c r="H43" s="10"/>
      <c r="I43" s="10"/>
    </row>
    <row r="44" spans="3:9" ht="19.5" thickBot="1" x14ac:dyDescent="0.35">
      <c r="C44" s="109">
        <v>42</v>
      </c>
      <c r="D44" s="5" t="s">
        <v>258</v>
      </c>
      <c r="E44" s="2" t="s">
        <v>480</v>
      </c>
      <c r="F44" s="35" t="s">
        <v>489</v>
      </c>
      <c r="G44" s="10"/>
      <c r="H44" s="10"/>
      <c r="I44" s="10"/>
    </row>
    <row r="45" spans="3:9" ht="19.5" thickBot="1" x14ac:dyDescent="0.35">
      <c r="C45" s="109">
        <v>43</v>
      </c>
      <c r="D45" s="5" t="s">
        <v>219</v>
      </c>
      <c r="E45" s="2" t="s">
        <v>480</v>
      </c>
      <c r="F45" s="35" t="s">
        <v>455</v>
      </c>
      <c r="G45" s="10"/>
      <c r="H45" s="10"/>
      <c r="I45" s="10"/>
    </row>
    <row r="46" spans="3:9" ht="19.5" thickBot="1" x14ac:dyDescent="0.35">
      <c r="C46" s="109">
        <v>44</v>
      </c>
      <c r="D46" s="5" t="s">
        <v>271</v>
      </c>
      <c r="E46" s="2" t="s">
        <v>480</v>
      </c>
      <c r="F46" s="35" t="s">
        <v>455</v>
      </c>
      <c r="G46" s="10"/>
      <c r="H46" s="10"/>
      <c r="I46" s="10"/>
    </row>
    <row r="47" spans="3:9" ht="19.5" thickBot="1" x14ac:dyDescent="0.35">
      <c r="C47" s="109">
        <v>45</v>
      </c>
      <c r="D47" s="5" t="s">
        <v>484</v>
      </c>
      <c r="E47" s="2" t="s">
        <v>480</v>
      </c>
      <c r="F47" s="35" t="s">
        <v>455</v>
      </c>
      <c r="G47" s="10"/>
      <c r="H47" s="10"/>
      <c r="I47" s="10"/>
    </row>
    <row r="48" spans="3:9" ht="18.75" x14ac:dyDescent="0.3">
      <c r="C48" s="109">
        <v>46</v>
      </c>
      <c r="D48" s="5" t="s">
        <v>399</v>
      </c>
      <c r="E48" s="2" t="s">
        <v>480</v>
      </c>
      <c r="F48" s="35" t="s">
        <v>455</v>
      </c>
      <c r="G48" s="10"/>
      <c r="H48" s="10"/>
      <c r="I48" s="10"/>
    </row>
    <row r="49" spans="3:9" ht="19.5" thickBot="1" x14ac:dyDescent="0.35">
      <c r="C49" s="109">
        <v>47</v>
      </c>
      <c r="D49" s="5" t="s">
        <v>486</v>
      </c>
      <c r="E49" s="2" t="s">
        <v>487</v>
      </c>
      <c r="F49" s="36" t="s">
        <v>455</v>
      </c>
      <c r="G49" s="10"/>
      <c r="H49" s="10"/>
      <c r="I49" s="10"/>
    </row>
    <row r="50" spans="3:9" ht="19.5" thickBot="1" x14ac:dyDescent="0.35">
      <c r="C50" s="109">
        <v>48</v>
      </c>
      <c r="D50" s="5" t="s">
        <v>51</v>
      </c>
      <c r="E50" s="2" t="s">
        <v>488</v>
      </c>
      <c r="F50" s="35" t="s">
        <v>455</v>
      </c>
      <c r="G50" s="10"/>
      <c r="H50" s="10"/>
      <c r="I50" s="10"/>
    </row>
    <row r="51" spans="3:9" ht="19.5" thickBot="1" x14ac:dyDescent="0.35">
      <c r="C51" s="109">
        <v>49</v>
      </c>
      <c r="D51" s="5" t="s">
        <v>138</v>
      </c>
      <c r="E51" s="2" t="s">
        <v>488</v>
      </c>
      <c r="F51" s="35" t="s">
        <v>455</v>
      </c>
      <c r="G51" s="10"/>
      <c r="H51" s="10"/>
      <c r="I51" s="10"/>
    </row>
    <row r="52" spans="3:9" ht="19.5" thickBot="1" x14ac:dyDescent="0.35">
      <c r="C52" s="109">
        <v>50</v>
      </c>
      <c r="D52" s="5" t="s">
        <v>168</v>
      </c>
      <c r="E52" s="2" t="s">
        <v>488</v>
      </c>
      <c r="F52" s="35" t="s">
        <v>455</v>
      </c>
      <c r="G52" s="10"/>
      <c r="H52" s="10"/>
      <c r="I52" s="10"/>
    </row>
    <row r="53" spans="3:9" ht="19.5" thickBot="1" x14ac:dyDescent="0.35">
      <c r="C53" s="109">
        <v>51</v>
      </c>
      <c r="D53" s="5" t="s">
        <v>162</v>
      </c>
      <c r="E53" s="2" t="s">
        <v>488</v>
      </c>
      <c r="F53" s="35" t="s">
        <v>455</v>
      </c>
      <c r="G53" s="10"/>
      <c r="H53" s="10"/>
      <c r="I53" s="10"/>
    </row>
    <row r="54" spans="3:9" ht="19.5" thickBot="1" x14ac:dyDescent="0.35">
      <c r="C54" s="109">
        <v>52</v>
      </c>
      <c r="D54" s="5" t="s">
        <v>254</v>
      </c>
      <c r="E54" s="2" t="s">
        <v>488</v>
      </c>
      <c r="F54" s="35" t="s">
        <v>455</v>
      </c>
      <c r="G54" s="10"/>
      <c r="H54" s="10"/>
      <c r="I54" s="10"/>
    </row>
    <row r="55" spans="3:9" ht="19.5" thickBot="1" x14ac:dyDescent="0.35">
      <c r="C55" s="109">
        <v>53</v>
      </c>
      <c r="D55" s="5" t="s">
        <v>270</v>
      </c>
      <c r="E55" s="2" t="s">
        <v>488</v>
      </c>
      <c r="F55" s="35" t="s">
        <v>455</v>
      </c>
      <c r="G55" s="10"/>
      <c r="H55" s="10"/>
      <c r="I55" s="10"/>
    </row>
    <row r="56" spans="3:9" ht="19.5" thickBot="1" x14ac:dyDescent="0.35">
      <c r="C56" s="109">
        <v>54</v>
      </c>
      <c r="D56" s="5" t="s">
        <v>273</v>
      </c>
      <c r="E56" s="2" t="s">
        <v>488</v>
      </c>
      <c r="F56" s="35" t="s">
        <v>455</v>
      </c>
      <c r="G56" s="10"/>
      <c r="H56" s="10"/>
      <c r="I56" s="10"/>
    </row>
    <row r="57" spans="3:9" ht="19.5" thickBot="1" x14ac:dyDescent="0.35">
      <c r="C57" s="109">
        <v>55</v>
      </c>
      <c r="D57" s="5" t="s">
        <v>600</v>
      </c>
      <c r="E57" s="2" t="s">
        <v>488</v>
      </c>
      <c r="F57" s="35" t="s">
        <v>489</v>
      </c>
      <c r="G57" s="10"/>
      <c r="H57" s="10"/>
      <c r="I57" s="10"/>
    </row>
    <row r="58" spans="3:9" ht="18.75" x14ac:dyDescent="0.3">
      <c r="C58" s="109">
        <v>56</v>
      </c>
      <c r="D58" s="5" t="s">
        <v>313</v>
      </c>
      <c r="E58" s="2" t="s">
        <v>488</v>
      </c>
      <c r="F58" s="35" t="s">
        <v>455</v>
      </c>
      <c r="G58" s="10"/>
      <c r="H58" s="10"/>
      <c r="I58" s="10"/>
    </row>
    <row r="59" spans="3:9" ht="19.5" thickBot="1" x14ac:dyDescent="0.35">
      <c r="C59" s="109">
        <v>57</v>
      </c>
      <c r="D59" s="5" t="s">
        <v>346</v>
      </c>
      <c r="E59" s="2" t="s">
        <v>488</v>
      </c>
      <c r="F59" s="36" t="s">
        <v>455</v>
      </c>
      <c r="G59" s="10"/>
      <c r="H59" s="10"/>
      <c r="I59" s="10"/>
    </row>
    <row r="60" spans="3:9" ht="19.5" thickBot="1" x14ac:dyDescent="0.35">
      <c r="C60" s="109">
        <v>58</v>
      </c>
      <c r="D60" s="5" t="s">
        <v>390</v>
      </c>
      <c r="E60" s="2" t="s">
        <v>488</v>
      </c>
      <c r="F60" s="35" t="s">
        <v>455</v>
      </c>
      <c r="G60" s="10"/>
      <c r="H60" s="10"/>
      <c r="I60" s="10"/>
    </row>
    <row r="61" spans="3:9" ht="19.5" thickBot="1" x14ac:dyDescent="0.35">
      <c r="C61" s="109">
        <v>59</v>
      </c>
      <c r="D61" s="5" t="s">
        <v>410</v>
      </c>
      <c r="E61" s="2" t="s">
        <v>488</v>
      </c>
      <c r="F61" s="35" t="s">
        <v>455</v>
      </c>
      <c r="G61" s="10"/>
      <c r="H61" s="10"/>
      <c r="I61" s="10"/>
    </row>
    <row r="62" spans="3:9" ht="19.5" thickBot="1" x14ac:dyDescent="0.35">
      <c r="C62" s="109">
        <v>60</v>
      </c>
      <c r="D62" s="5" t="s">
        <v>31</v>
      </c>
      <c r="E62" s="2" t="s">
        <v>488</v>
      </c>
      <c r="F62" s="35" t="s">
        <v>455</v>
      </c>
      <c r="G62" s="10"/>
      <c r="H62" s="10"/>
      <c r="I62" s="10"/>
    </row>
    <row r="63" spans="3:9" ht="19.5" thickBot="1" x14ac:dyDescent="0.35">
      <c r="C63" s="109">
        <v>61</v>
      </c>
      <c r="D63" s="5" t="s">
        <v>490</v>
      </c>
      <c r="E63" s="2" t="s">
        <v>488</v>
      </c>
      <c r="F63" s="35" t="s">
        <v>455</v>
      </c>
      <c r="G63" s="10"/>
      <c r="H63" s="10"/>
      <c r="I63" s="10"/>
    </row>
    <row r="64" spans="3:9" ht="19.5" thickBot="1" x14ac:dyDescent="0.35">
      <c r="C64" s="109">
        <v>62</v>
      </c>
      <c r="D64" s="5" t="s">
        <v>494</v>
      </c>
      <c r="E64" s="2" t="s">
        <v>493</v>
      </c>
      <c r="F64" s="35" t="s">
        <v>455</v>
      </c>
      <c r="G64" s="10"/>
      <c r="H64" s="10"/>
      <c r="I64" s="10"/>
    </row>
    <row r="65" spans="3:9" ht="19.5" thickBot="1" x14ac:dyDescent="0.35">
      <c r="C65" s="109">
        <v>63</v>
      </c>
      <c r="D65" s="5" t="s">
        <v>187</v>
      </c>
      <c r="E65" s="2" t="s">
        <v>493</v>
      </c>
      <c r="F65" s="35" t="s">
        <v>455</v>
      </c>
      <c r="G65" s="10"/>
      <c r="H65" s="10"/>
      <c r="I65" s="10"/>
    </row>
    <row r="66" spans="3:9" ht="19.5" thickBot="1" x14ac:dyDescent="0.35">
      <c r="C66" s="109">
        <v>64</v>
      </c>
      <c r="D66" s="5" t="s">
        <v>172</v>
      </c>
      <c r="E66" s="2" t="s">
        <v>493</v>
      </c>
      <c r="F66" s="35" t="s">
        <v>455</v>
      </c>
      <c r="G66" s="10"/>
      <c r="H66" s="10"/>
      <c r="I66" s="10"/>
    </row>
    <row r="67" spans="3:9" ht="19.5" thickBot="1" x14ac:dyDescent="0.35">
      <c r="C67" s="109">
        <v>65</v>
      </c>
      <c r="D67" s="5" t="s">
        <v>602</v>
      </c>
      <c r="E67" s="2" t="s">
        <v>493</v>
      </c>
      <c r="F67" s="35" t="s">
        <v>455</v>
      </c>
      <c r="G67" s="10"/>
      <c r="H67" s="10"/>
      <c r="I67" s="10"/>
    </row>
    <row r="68" spans="3:9" ht="19.5" thickBot="1" x14ac:dyDescent="0.35">
      <c r="C68" s="109">
        <v>66</v>
      </c>
      <c r="D68" s="5" t="s">
        <v>230</v>
      </c>
      <c r="E68" s="2" t="s">
        <v>493</v>
      </c>
      <c r="F68" s="35" t="s">
        <v>455</v>
      </c>
      <c r="G68" s="10"/>
      <c r="H68" s="10"/>
      <c r="I68" s="10"/>
    </row>
    <row r="69" spans="3:9" ht="19.5" thickBot="1" x14ac:dyDescent="0.35">
      <c r="C69" s="109">
        <v>67</v>
      </c>
      <c r="D69" s="5" t="s">
        <v>232</v>
      </c>
      <c r="E69" s="2" t="s">
        <v>493</v>
      </c>
      <c r="F69" s="35" t="s">
        <v>455</v>
      </c>
      <c r="G69" s="10"/>
      <c r="H69" s="10"/>
      <c r="I69" s="10"/>
    </row>
    <row r="70" spans="3:9" ht="19.5" thickBot="1" x14ac:dyDescent="0.35">
      <c r="C70" s="109">
        <v>68</v>
      </c>
      <c r="D70" s="5" t="s">
        <v>370</v>
      </c>
      <c r="E70" s="2" t="s">
        <v>493</v>
      </c>
      <c r="F70" s="35" t="s">
        <v>455</v>
      </c>
      <c r="G70" s="10"/>
      <c r="H70" s="10"/>
      <c r="I70" s="10"/>
    </row>
    <row r="71" spans="3:9" ht="19.5" thickBot="1" x14ac:dyDescent="0.35">
      <c r="C71" s="109">
        <v>69</v>
      </c>
      <c r="D71" s="5" t="s">
        <v>603</v>
      </c>
      <c r="E71" s="2" t="s">
        <v>493</v>
      </c>
      <c r="F71" s="35" t="s">
        <v>455</v>
      </c>
      <c r="G71" s="10"/>
      <c r="H71" s="10"/>
      <c r="I71" s="10"/>
    </row>
    <row r="72" spans="3:9" ht="19.5" thickBot="1" x14ac:dyDescent="0.35">
      <c r="C72" s="109">
        <v>70</v>
      </c>
      <c r="D72" s="5" t="s">
        <v>497</v>
      </c>
      <c r="E72" s="2" t="s">
        <v>493</v>
      </c>
      <c r="F72" s="35" t="s">
        <v>455</v>
      </c>
      <c r="G72" s="10"/>
      <c r="H72" s="10"/>
      <c r="I72" s="10"/>
    </row>
    <row r="73" spans="3:9" ht="19.5" thickBot="1" x14ac:dyDescent="0.35">
      <c r="C73" s="109">
        <v>71</v>
      </c>
      <c r="D73" s="5" t="s">
        <v>280</v>
      </c>
      <c r="E73" s="2" t="s">
        <v>499</v>
      </c>
      <c r="F73" s="35" t="s">
        <v>489</v>
      </c>
      <c r="G73" s="10"/>
      <c r="H73" s="10"/>
      <c r="I73" s="10"/>
    </row>
    <row r="74" spans="3:9" ht="19.5" thickBot="1" x14ac:dyDescent="0.35">
      <c r="C74" s="109">
        <v>72</v>
      </c>
      <c r="D74" s="5" t="s">
        <v>500</v>
      </c>
      <c r="E74" s="2" t="s">
        <v>501</v>
      </c>
      <c r="F74" s="35" t="s">
        <v>455</v>
      </c>
      <c r="G74" s="10" t="s">
        <v>663</v>
      </c>
      <c r="H74" s="10" t="s">
        <v>663</v>
      </c>
      <c r="I74" s="10" t="s">
        <v>663</v>
      </c>
    </row>
    <row r="75" spans="3:9" ht="19.5" thickBot="1" x14ac:dyDescent="0.35">
      <c r="C75" s="109">
        <v>73</v>
      </c>
      <c r="D75" s="5" t="s">
        <v>502</v>
      </c>
      <c r="E75" s="2" t="s">
        <v>501</v>
      </c>
      <c r="F75" s="35" t="s">
        <v>455</v>
      </c>
      <c r="G75" s="10" t="s">
        <v>663</v>
      </c>
      <c r="H75" s="10" t="s">
        <v>663</v>
      </c>
      <c r="I75" s="10" t="s">
        <v>663</v>
      </c>
    </row>
    <row r="76" spans="3:9" ht="19.5" thickBot="1" x14ac:dyDescent="0.35">
      <c r="C76" s="109">
        <v>74</v>
      </c>
      <c r="D76" s="5" t="s">
        <v>90</v>
      </c>
      <c r="E76" s="2" t="s">
        <v>501</v>
      </c>
      <c r="F76" s="35" t="s">
        <v>455</v>
      </c>
      <c r="G76" s="10"/>
      <c r="H76" s="10"/>
      <c r="I76" s="10"/>
    </row>
    <row r="77" spans="3:9" ht="19.5" thickBot="1" x14ac:dyDescent="0.35">
      <c r="C77" s="109">
        <v>75</v>
      </c>
      <c r="D77" s="5" t="s">
        <v>244</v>
      </c>
      <c r="E77" s="2" t="s">
        <v>501</v>
      </c>
      <c r="F77" s="35" t="s">
        <v>455</v>
      </c>
      <c r="G77" s="10"/>
      <c r="H77" s="10"/>
      <c r="I77" s="10"/>
    </row>
    <row r="78" spans="3:9" ht="19.5" thickBot="1" x14ac:dyDescent="0.35">
      <c r="C78" s="109">
        <v>76</v>
      </c>
      <c r="D78" s="5" t="s">
        <v>353</v>
      </c>
      <c r="E78" s="2" t="s">
        <v>501</v>
      </c>
      <c r="F78" s="35" t="s">
        <v>455</v>
      </c>
      <c r="G78" s="10"/>
      <c r="H78" s="10"/>
      <c r="I78" s="10"/>
    </row>
    <row r="79" spans="3:9" ht="19.5" thickBot="1" x14ac:dyDescent="0.35">
      <c r="C79" s="109">
        <v>77</v>
      </c>
      <c r="D79" s="5" t="s">
        <v>505</v>
      </c>
      <c r="E79" s="2" t="s">
        <v>504</v>
      </c>
      <c r="F79" s="35" t="s">
        <v>455</v>
      </c>
      <c r="G79" s="10"/>
      <c r="H79" s="10"/>
      <c r="I79" s="10"/>
    </row>
    <row r="80" spans="3:9" ht="19.5" thickBot="1" x14ac:dyDescent="0.35">
      <c r="C80" s="109">
        <v>78</v>
      </c>
      <c r="D80" s="5" t="s">
        <v>506</v>
      </c>
      <c r="E80" s="2" t="s">
        <v>504</v>
      </c>
      <c r="F80" s="35" t="s">
        <v>455</v>
      </c>
      <c r="G80" s="10"/>
      <c r="H80" s="10"/>
      <c r="I80" s="10"/>
    </row>
    <row r="81" spans="3:9" ht="19.5" thickBot="1" x14ac:dyDescent="0.35">
      <c r="C81" s="109">
        <v>79</v>
      </c>
      <c r="D81" s="5" t="s">
        <v>176</v>
      </c>
      <c r="E81" s="2" t="s">
        <v>504</v>
      </c>
      <c r="F81" s="35" t="s">
        <v>455</v>
      </c>
      <c r="G81" s="10"/>
      <c r="H81" s="10"/>
      <c r="I81" s="10"/>
    </row>
    <row r="82" spans="3:9" ht="19.5" thickBot="1" x14ac:dyDescent="0.35">
      <c r="C82" s="109">
        <v>80</v>
      </c>
      <c r="D82" s="5" t="s">
        <v>173</v>
      </c>
      <c r="E82" s="2" t="s">
        <v>504</v>
      </c>
      <c r="F82" s="35" t="s">
        <v>455</v>
      </c>
      <c r="G82" s="10"/>
      <c r="H82" s="10"/>
      <c r="I82" s="10"/>
    </row>
    <row r="83" spans="3:9" ht="19.5" thickBot="1" x14ac:dyDescent="0.35">
      <c r="C83" s="109">
        <v>81</v>
      </c>
      <c r="D83" s="5" t="s">
        <v>311</v>
      </c>
      <c r="E83" s="2" t="s">
        <v>504</v>
      </c>
      <c r="F83" s="35" t="s">
        <v>455</v>
      </c>
      <c r="G83" s="10"/>
      <c r="H83" s="10"/>
      <c r="I83" s="10"/>
    </row>
    <row r="84" spans="3:9" ht="19.5" thickBot="1" x14ac:dyDescent="0.35">
      <c r="C84" s="109">
        <v>82</v>
      </c>
      <c r="D84" s="5" t="s">
        <v>509</v>
      </c>
      <c r="E84" s="2" t="s">
        <v>504</v>
      </c>
      <c r="F84" s="35" t="s">
        <v>455</v>
      </c>
      <c r="G84" s="10"/>
      <c r="H84" s="10"/>
      <c r="I84" s="10"/>
    </row>
    <row r="85" spans="3:9" ht="19.5" thickBot="1" x14ac:dyDescent="0.35">
      <c r="C85" s="109">
        <v>83</v>
      </c>
      <c r="D85" s="5" t="s">
        <v>379</v>
      </c>
      <c r="E85" s="2" t="s">
        <v>504</v>
      </c>
      <c r="F85" s="35" t="s">
        <v>455</v>
      </c>
      <c r="G85" s="10"/>
      <c r="H85" s="10"/>
      <c r="I85" s="10"/>
    </row>
    <row r="86" spans="3:9" ht="18.75" x14ac:dyDescent="0.3">
      <c r="C86" s="109">
        <v>84</v>
      </c>
      <c r="D86" s="5" t="s">
        <v>369</v>
      </c>
      <c r="E86" s="2" t="s">
        <v>504</v>
      </c>
      <c r="F86" s="35" t="s">
        <v>455</v>
      </c>
      <c r="G86" s="10"/>
      <c r="H86" s="10"/>
      <c r="I86" s="10"/>
    </row>
    <row r="87" spans="3:9" ht="18.75" x14ac:dyDescent="0.3">
      <c r="C87" s="109">
        <v>85</v>
      </c>
      <c r="D87" s="5" t="s">
        <v>27</v>
      </c>
      <c r="E87" s="2" t="s">
        <v>511</v>
      </c>
      <c r="F87" s="36" t="s">
        <v>455</v>
      </c>
      <c r="G87" s="10"/>
      <c r="H87" s="10"/>
      <c r="I87" s="10"/>
    </row>
    <row r="88" spans="3:9" ht="19.5" thickBot="1" x14ac:dyDescent="0.35">
      <c r="C88" s="109">
        <v>86</v>
      </c>
      <c r="D88" s="5" t="s">
        <v>513</v>
      </c>
      <c r="E88" s="2" t="s">
        <v>511</v>
      </c>
      <c r="F88" s="36" t="s">
        <v>455</v>
      </c>
      <c r="G88" s="10"/>
      <c r="H88" s="10"/>
      <c r="I88" s="10"/>
    </row>
    <row r="89" spans="3:9" ht="19.5" thickBot="1" x14ac:dyDescent="0.35">
      <c r="C89" s="109">
        <v>87</v>
      </c>
      <c r="D89" s="5" t="s">
        <v>512</v>
      </c>
      <c r="E89" s="2" t="s">
        <v>511</v>
      </c>
      <c r="F89" s="35" t="s">
        <v>455</v>
      </c>
      <c r="G89" s="10"/>
      <c r="H89" s="10"/>
      <c r="I89" s="10"/>
    </row>
    <row r="90" spans="3:9" ht="19.5" thickBot="1" x14ac:dyDescent="0.35">
      <c r="C90" s="109">
        <v>88</v>
      </c>
      <c r="D90" s="5" t="s">
        <v>60</v>
      </c>
      <c r="E90" s="2" t="s">
        <v>511</v>
      </c>
      <c r="F90" s="35" t="s">
        <v>455</v>
      </c>
      <c r="G90" s="10"/>
      <c r="H90" s="10"/>
      <c r="I90" s="10"/>
    </row>
    <row r="91" spans="3:9" ht="19.5" thickBot="1" x14ac:dyDescent="0.35">
      <c r="C91" s="109">
        <v>89</v>
      </c>
      <c r="D91" s="5" t="s">
        <v>515</v>
      </c>
      <c r="E91" s="2" t="s">
        <v>511</v>
      </c>
      <c r="F91" s="35" t="s">
        <v>455</v>
      </c>
      <c r="G91" s="10"/>
      <c r="H91" s="10"/>
      <c r="I91" s="10"/>
    </row>
    <row r="92" spans="3:9" ht="18.75" x14ac:dyDescent="0.3">
      <c r="C92" s="109">
        <v>90</v>
      </c>
      <c r="D92" s="5" t="s">
        <v>516</v>
      </c>
      <c r="E92" s="2" t="s">
        <v>511</v>
      </c>
      <c r="F92" s="35" t="s">
        <v>455</v>
      </c>
      <c r="G92" s="10"/>
      <c r="H92" s="10"/>
      <c r="I92" s="10"/>
    </row>
    <row r="93" spans="3:9" ht="18.75" x14ac:dyDescent="0.3">
      <c r="C93" s="109">
        <v>91</v>
      </c>
      <c r="D93" s="5" t="s">
        <v>112</v>
      </c>
      <c r="E93" s="2" t="s">
        <v>511</v>
      </c>
      <c r="F93" s="36" t="s">
        <v>455</v>
      </c>
      <c r="G93" s="10"/>
      <c r="H93" s="10"/>
      <c r="I93" s="10"/>
    </row>
    <row r="94" spans="3:9" ht="19.5" thickBot="1" x14ac:dyDescent="0.35">
      <c r="C94" s="109">
        <v>92</v>
      </c>
      <c r="D94" s="5" t="s">
        <v>185</v>
      </c>
      <c r="E94" s="2" t="s">
        <v>511</v>
      </c>
      <c r="F94" s="36" t="s">
        <v>455</v>
      </c>
      <c r="G94" s="10"/>
      <c r="H94" s="10"/>
      <c r="I94" s="10"/>
    </row>
    <row r="95" spans="3:9" ht="19.5" thickBot="1" x14ac:dyDescent="0.35">
      <c r="C95" s="109">
        <v>93</v>
      </c>
      <c r="D95" s="5" t="s">
        <v>517</v>
      </c>
      <c r="E95" s="2" t="s">
        <v>511</v>
      </c>
      <c r="F95" s="35" t="s">
        <v>455</v>
      </c>
      <c r="G95" s="10"/>
      <c r="H95" s="10"/>
      <c r="I95" s="10"/>
    </row>
    <row r="96" spans="3:9" ht="19.5" thickBot="1" x14ac:dyDescent="0.35">
      <c r="C96" s="109">
        <v>94</v>
      </c>
      <c r="D96" s="5" t="s">
        <v>194</v>
      </c>
      <c r="E96" s="2" t="s">
        <v>511</v>
      </c>
      <c r="F96" s="35" t="s">
        <v>489</v>
      </c>
      <c r="G96" s="10"/>
      <c r="H96" s="10"/>
      <c r="I96" s="10"/>
    </row>
    <row r="97" spans="3:9" ht="18.75" x14ac:dyDescent="0.3">
      <c r="C97" s="109">
        <v>95</v>
      </c>
      <c r="D97" s="5" t="s">
        <v>302</v>
      </c>
      <c r="E97" s="2" t="s">
        <v>511</v>
      </c>
      <c r="F97" s="35" t="s">
        <v>455</v>
      </c>
      <c r="G97" s="10"/>
      <c r="H97" s="10"/>
      <c r="I97" s="10"/>
    </row>
    <row r="98" spans="3:9" ht="19.5" thickBot="1" x14ac:dyDescent="0.35">
      <c r="C98" s="109">
        <v>96</v>
      </c>
      <c r="D98" s="5" t="s">
        <v>291</v>
      </c>
      <c r="E98" s="2" t="s">
        <v>511</v>
      </c>
      <c r="F98" s="36" t="s">
        <v>455</v>
      </c>
      <c r="G98" s="10"/>
      <c r="H98" s="10"/>
      <c r="I98" s="10"/>
    </row>
    <row r="99" spans="3:9" ht="18.75" x14ac:dyDescent="0.3">
      <c r="C99" s="109">
        <v>97</v>
      </c>
      <c r="D99" s="5" t="s">
        <v>358</v>
      </c>
      <c r="E99" s="2" t="s">
        <v>511</v>
      </c>
      <c r="F99" s="35" t="s">
        <v>455</v>
      </c>
      <c r="G99" s="10"/>
      <c r="H99" s="10"/>
      <c r="I99" s="10"/>
    </row>
    <row r="100" spans="3:9" ht="18.75" x14ac:dyDescent="0.3">
      <c r="C100" s="109">
        <v>98</v>
      </c>
      <c r="D100" s="5" t="s">
        <v>415</v>
      </c>
      <c r="E100" s="2" t="s">
        <v>511</v>
      </c>
      <c r="F100" s="36" t="s">
        <v>455</v>
      </c>
      <c r="G100" s="10"/>
      <c r="H100" s="10"/>
      <c r="I100" s="10"/>
    </row>
    <row r="101" spans="3:9" ht="18.75" x14ac:dyDescent="0.3">
      <c r="C101" s="109">
        <v>99</v>
      </c>
      <c r="D101" s="5" t="s">
        <v>518</v>
      </c>
      <c r="E101" s="2" t="s">
        <v>519</v>
      </c>
      <c r="F101" s="36" t="s">
        <v>455</v>
      </c>
      <c r="G101" s="10"/>
      <c r="H101" s="10"/>
      <c r="I101" s="10"/>
    </row>
    <row r="102" spans="3:9" ht="19.5" thickBot="1" x14ac:dyDescent="0.35">
      <c r="C102" s="109">
        <v>100</v>
      </c>
      <c r="D102" s="5" t="s">
        <v>83</v>
      </c>
      <c r="E102" s="2" t="s">
        <v>521</v>
      </c>
      <c r="F102" s="36" t="s">
        <v>455</v>
      </c>
      <c r="G102" s="10"/>
      <c r="H102" s="10"/>
      <c r="I102" s="10"/>
    </row>
    <row r="103" spans="3:9" ht="19.5" thickBot="1" x14ac:dyDescent="0.35">
      <c r="C103" s="109">
        <v>101</v>
      </c>
      <c r="D103" s="5" t="s">
        <v>144</v>
      </c>
      <c r="E103" s="2" t="s">
        <v>521</v>
      </c>
      <c r="F103" s="35" t="s">
        <v>489</v>
      </c>
      <c r="G103" s="10"/>
      <c r="H103" s="10"/>
      <c r="I103" s="10"/>
    </row>
    <row r="104" spans="3:9" ht="19.5" thickBot="1" x14ac:dyDescent="0.35">
      <c r="C104" s="109">
        <v>102</v>
      </c>
      <c r="D104" s="5" t="s">
        <v>139</v>
      </c>
      <c r="E104" s="2" t="s">
        <v>521</v>
      </c>
      <c r="F104" s="35" t="s">
        <v>455</v>
      </c>
      <c r="G104" s="10"/>
      <c r="H104" s="10"/>
      <c r="I104" s="10"/>
    </row>
    <row r="105" spans="3:9" ht="19.5" thickBot="1" x14ac:dyDescent="0.35">
      <c r="C105" s="109">
        <v>103</v>
      </c>
      <c r="D105" s="5" t="s">
        <v>522</v>
      </c>
      <c r="E105" s="2" t="s">
        <v>521</v>
      </c>
      <c r="F105" s="35" t="s">
        <v>455</v>
      </c>
      <c r="G105" s="10"/>
      <c r="H105" s="10"/>
      <c r="I105" s="10"/>
    </row>
    <row r="106" spans="3:9" ht="19.5" thickBot="1" x14ac:dyDescent="0.35">
      <c r="C106" s="109">
        <v>104</v>
      </c>
      <c r="D106" s="5" t="s">
        <v>238</v>
      </c>
      <c r="E106" s="2" t="s">
        <v>521</v>
      </c>
      <c r="F106" s="35" t="s">
        <v>455</v>
      </c>
      <c r="G106" s="10"/>
      <c r="H106" s="10"/>
      <c r="I106" s="10"/>
    </row>
    <row r="107" spans="3:9" ht="19.5" thickBot="1" x14ac:dyDescent="0.35">
      <c r="C107" s="109">
        <v>105</v>
      </c>
      <c r="D107" s="5" t="s">
        <v>373</v>
      </c>
      <c r="E107" s="2" t="s">
        <v>521</v>
      </c>
      <c r="F107" s="35" t="s">
        <v>455</v>
      </c>
      <c r="G107" s="10"/>
      <c r="H107" s="10"/>
      <c r="I107" s="10"/>
    </row>
    <row r="108" spans="3:9" ht="19.5" thickBot="1" x14ac:dyDescent="0.35">
      <c r="C108" s="109">
        <v>106</v>
      </c>
      <c r="D108" s="5" t="s">
        <v>377</v>
      </c>
      <c r="E108" s="2" t="s">
        <v>521</v>
      </c>
      <c r="F108" s="35" t="s">
        <v>455</v>
      </c>
      <c r="G108" s="10"/>
      <c r="H108" s="10"/>
      <c r="I108" s="10"/>
    </row>
    <row r="109" spans="3:9" ht="19.5" thickBot="1" x14ac:dyDescent="0.35">
      <c r="C109" s="109">
        <v>107</v>
      </c>
      <c r="D109" s="5" t="s">
        <v>523</v>
      </c>
      <c r="E109" s="2" t="s">
        <v>521</v>
      </c>
      <c r="F109" s="35" t="s">
        <v>455</v>
      </c>
      <c r="G109" s="10"/>
      <c r="H109" s="10"/>
      <c r="I109" s="10"/>
    </row>
    <row r="110" spans="3:9" ht="19.5" thickBot="1" x14ac:dyDescent="0.35">
      <c r="C110" s="109">
        <v>108</v>
      </c>
      <c r="D110" s="5" t="s">
        <v>526</v>
      </c>
      <c r="E110" s="2" t="s">
        <v>524</v>
      </c>
      <c r="F110" s="35" t="s">
        <v>455</v>
      </c>
      <c r="G110" s="10"/>
      <c r="H110" s="10"/>
      <c r="I110" s="10"/>
    </row>
    <row r="111" spans="3:9" ht="19.5" thickBot="1" x14ac:dyDescent="0.35">
      <c r="C111" s="109">
        <v>109</v>
      </c>
      <c r="D111" s="5" t="s">
        <v>165</v>
      </c>
      <c r="E111" s="2" t="s">
        <v>524</v>
      </c>
      <c r="F111" s="35" t="s">
        <v>455</v>
      </c>
      <c r="G111" s="10"/>
      <c r="H111" s="10"/>
      <c r="I111" s="10"/>
    </row>
    <row r="112" spans="3:9" ht="18.75" x14ac:dyDescent="0.3">
      <c r="C112" s="109">
        <v>110</v>
      </c>
      <c r="D112" s="5" t="s">
        <v>255</v>
      </c>
      <c r="E112" s="2" t="s">
        <v>524</v>
      </c>
      <c r="F112" s="35" t="s">
        <v>455</v>
      </c>
      <c r="G112" s="10"/>
      <c r="H112" s="10"/>
      <c r="I112" s="10"/>
    </row>
    <row r="113" spans="3:9" ht="18.75" x14ac:dyDescent="0.3">
      <c r="C113" s="109">
        <v>111</v>
      </c>
      <c r="D113" s="5" t="s">
        <v>274</v>
      </c>
      <c r="E113" s="2" t="s">
        <v>524</v>
      </c>
      <c r="F113" s="36" t="s">
        <v>455</v>
      </c>
      <c r="G113" s="10"/>
      <c r="H113" s="10"/>
      <c r="I113" s="10"/>
    </row>
    <row r="114" spans="3:9" ht="19.5" thickBot="1" x14ac:dyDescent="0.35">
      <c r="C114" s="109">
        <v>112</v>
      </c>
      <c r="D114" s="5" t="s">
        <v>307</v>
      </c>
      <c r="E114" s="2" t="s">
        <v>524</v>
      </c>
      <c r="F114" s="36" t="s">
        <v>455</v>
      </c>
      <c r="G114" s="10"/>
      <c r="H114" s="10"/>
      <c r="I114" s="10"/>
    </row>
    <row r="115" spans="3:9" ht="18.75" x14ac:dyDescent="0.3">
      <c r="C115" s="109">
        <v>113</v>
      </c>
      <c r="D115" s="5" t="s">
        <v>529</v>
      </c>
      <c r="E115" s="2" t="s">
        <v>524</v>
      </c>
      <c r="F115" s="35" t="s">
        <v>455</v>
      </c>
      <c r="G115" s="10"/>
      <c r="H115" s="10"/>
      <c r="I115" s="10"/>
    </row>
    <row r="116" spans="3:9" ht="19.5" thickBot="1" x14ac:dyDescent="0.35">
      <c r="C116" s="109">
        <v>114</v>
      </c>
      <c r="D116" s="5" t="s">
        <v>348</v>
      </c>
      <c r="E116" s="2" t="s">
        <v>524</v>
      </c>
      <c r="F116" s="36" t="s">
        <v>455</v>
      </c>
      <c r="G116" s="10"/>
      <c r="H116" s="10"/>
      <c r="I116" s="10"/>
    </row>
    <row r="117" spans="3:9" ht="19.5" thickBot="1" x14ac:dyDescent="0.35">
      <c r="C117" s="109">
        <v>115</v>
      </c>
      <c r="D117" s="5" t="s">
        <v>400</v>
      </c>
      <c r="E117" s="2" t="s">
        <v>524</v>
      </c>
      <c r="F117" s="35" t="s">
        <v>455</v>
      </c>
      <c r="G117" s="10"/>
      <c r="H117" s="10"/>
      <c r="I117" s="10"/>
    </row>
    <row r="118" spans="3:9" ht="19.5" thickBot="1" x14ac:dyDescent="0.35">
      <c r="C118" s="109">
        <v>116</v>
      </c>
      <c r="D118" s="5" t="s">
        <v>39</v>
      </c>
      <c r="E118" s="2" t="s">
        <v>530</v>
      </c>
      <c r="F118" s="35" t="s">
        <v>455</v>
      </c>
      <c r="G118" s="10"/>
      <c r="H118" s="10"/>
      <c r="I118" s="10"/>
    </row>
    <row r="119" spans="3:9" ht="19.5" thickBot="1" x14ac:dyDescent="0.35">
      <c r="C119" s="109">
        <v>117</v>
      </c>
      <c r="D119" s="5" t="s">
        <v>19</v>
      </c>
      <c r="E119" s="2" t="s">
        <v>530</v>
      </c>
      <c r="F119" s="35" t="s">
        <v>455</v>
      </c>
      <c r="G119" s="10"/>
      <c r="H119" s="10"/>
      <c r="I119" s="10"/>
    </row>
    <row r="120" spans="3:9" ht="19.5" thickBot="1" x14ac:dyDescent="0.35">
      <c r="C120" s="109">
        <v>118</v>
      </c>
      <c r="D120" s="5" t="s">
        <v>28</v>
      </c>
      <c r="E120" s="2" t="s">
        <v>530</v>
      </c>
      <c r="F120" s="35" t="s">
        <v>455</v>
      </c>
      <c r="G120" s="10"/>
      <c r="H120" s="10"/>
      <c r="I120" s="10"/>
    </row>
    <row r="121" spans="3:9" ht="19.5" thickBot="1" x14ac:dyDescent="0.35">
      <c r="C121" s="109">
        <v>119</v>
      </c>
      <c r="D121" s="47" t="s">
        <v>533</v>
      </c>
      <c r="E121" s="2" t="s">
        <v>530</v>
      </c>
      <c r="F121" s="35" t="s">
        <v>455</v>
      </c>
      <c r="G121" s="10"/>
      <c r="H121" s="10"/>
      <c r="I121" s="10"/>
    </row>
    <row r="122" spans="3:9" ht="19.5" thickBot="1" x14ac:dyDescent="0.35">
      <c r="C122" s="109">
        <v>120</v>
      </c>
      <c r="D122" s="5" t="s">
        <v>70</v>
      </c>
      <c r="E122" s="2" t="s">
        <v>530</v>
      </c>
      <c r="F122" s="35" t="s">
        <v>455</v>
      </c>
      <c r="G122" s="10"/>
      <c r="H122" s="10"/>
      <c r="I122" s="10"/>
    </row>
    <row r="123" spans="3:9" ht="19.5" thickBot="1" x14ac:dyDescent="0.35">
      <c r="C123" s="109">
        <v>121</v>
      </c>
      <c r="D123" s="5" t="s">
        <v>61</v>
      </c>
      <c r="E123" s="2" t="s">
        <v>530</v>
      </c>
      <c r="F123" s="35" t="s">
        <v>455</v>
      </c>
      <c r="G123" s="10"/>
      <c r="H123" s="10"/>
      <c r="I123" s="10"/>
    </row>
    <row r="124" spans="3:9" ht="19.5" thickBot="1" x14ac:dyDescent="0.35">
      <c r="C124" s="109">
        <v>122</v>
      </c>
      <c r="D124" s="5" t="s">
        <v>64</v>
      </c>
      <c r="E124" s="2" t="s">
        <v>530</v>
      </c>
      <c r="F124" s="35" t="s">
        <v>455</v>
      </c>
      <c r="G124" s="10"/>
      <c r="H124" s="10"/>
      <c r="I124" s="10"/>
    </row>
    <row r="125" spans="3:9" ht="19.5" thickBot="1" x14ac:dyDescent="0.35">
      <c r="C125" s="109">
        <v>123</v>
      </c>
      <c r="D125" s="5" t="s">
        <v>76</v>
      </c>
      <c r="E125" s="2" t="s">
        <v>530</v>
      </c>
      <c r="F125" s="35" t="s">
        <v>489</v>
      </c>
      <c r="G125" s="10"/>
      <c r="H125" s="10"/>
      <c r="I125" s="10"/>
    </row>
    <row r="126" spans="3:9" ht="19.5" thickBot="1" x14ac:dyDescent="0.35">
      <c r="C126" s="109">
        <v>124</v>
      </c>
      <c r="D126" s="5" t="s">
        <v>81</v>
      </c>
      <c r="E126" s="2" t="s">
        <v>530</v>
      </c>
      <c r="F126" s="35" t="s">
        <v>455</v>
      </c>
      <c r="G126" s="10"/>
      <c r="H126" s="10"/>
      <c r="I126" s="10"/>
    </row>
    <row r="127" spans="3:9" ht="19.5" thickBot="1" x14ac:dyDescent="0.35">
      <c r="C127" s="109">
        <v>125</v>
      </c>
      <c r="D127" s="5" t="s">
        <v>535</v>
      </c>
      <c r="E127" s="2" t="s">
        <v>530</v>
      </c>
      <c r="F127" s="35" t="s">
        <v>489</v>
      </c>
      <c r="G127" s="10"/>
      <c r="H127" s="10"/>
      <c r="I127" s="10"/>
    </row>
    <row r="128" spans="3:9" ht="19.5" thickBot="1" x14ac:dyDescent="0.35">
      <c r="C128" s="109">
        <v>126</v>
      </c>
      <c r="D128" s="5" t="s">
        <v>108</v>
      </c>
      <c r="E128" s="2" t="s">
        <v>530</v>
      </c>
      <c r="F128" s="35" t="s">
        <v>455</v>
      </c>
      <c r="G128" s="10"/>
      <c r="H128" s="10"/>
      <c r="I128" s="10"/>
    </row>
    <row r="129" spans="3:9" ht="19.5" thickBot="1" x14ac:dyDescent="0.35">
      <c r="C129" s="109">
        <v>127</v>
      </c>
      <c r="D129" s="5" t="s">
        <v>105</v>
      </c>
      <c r="E129" s="2" t="s">
        <v>530</v>
      </c>
      <c r="F129" s="35" t="s">
        <v>455</v>
      </c>
      <c r="G129" s="10"/>
      <c r="H129" s="10"/>
      <c r="I129" s="10"/>
    </row>
    <row r="130" spans="3:9" ht="19.5" thickBot="1" x14ac:dyDescent="0.35">
      <c r="C130" s="109">
        <v>128</v>
      </c>
      <c r="D130" s="5" t="s">
        <v>101</v>
      </c>
      <c r="E130" s="2" t="s">
        <v>530</v>
      </c>
      <c r="F130" s="35" t="s">
        <v>455</v>
      </c>
      <c r="G130" s="10"/>
      <c r="H130" s="10"/>
      <c r="I130" s="10"/>
    </row>
    <row r="131" spans="3:9" ht="19.5" thickBot="1" x14ac:dyDescent="0.35">
      <c r="C131" s="109">
        <v>129</v>
      </c>
      <c r="D131" s="5" t="s">
        <v>605</v>
      </c>
      <c r="E131" s="2" t="s">
        <v>530</v>
      </c>
      <c r="F131" s="35" t="s">
        <v>455</v>
      </c>
      <c r="G131" s="10"/>
      <c r="H131" s="10"/>
      <c r="I131" s="10"/>
    </row>
    <row r="132" spans="3:9" ht="19.5" thickBot="1" x14ac:dyDescent="0.35">
      <c r="C132" s="109">
        <v>130</v>
      </c>
      <c r="D132" s="5" t="s">
        <v>537</v>
      </c>
      <c r="E132" s="2" t="s">
        <v>530</v>
      </c>
      <c r="F132" s="35" t="s">
        <v>455</v>
      </c>
      <c r="G132" s="10"/>
      <c r="H132" s="10"/>
      <c r="I132" s="10"/>
    </row>
    <row r="133" spans="3:9" ht="19.5" thickBot="1" x14ac:dyDescent="0.35">
      <c r="C133" s="109">
        <v>131</v>
      </c>
      <c r="D133" s="5" t="s">
        <v>115</v>
      </c>
      <c r="E133" s="2" t="s">
        <v>530</v>
      </c>
      <c r="F133" s="35" t="s">
        <v>455</v>
      </c>
      <c r="G133" s="10"/>
      <c r="H133" s="10"/>
      <c r="I133" s="10"/>
    </row>
    <row r="134" spans="3:9" ht="19.5" thickBot="1" x14ac:dyDescent="0.35">
      <c r="C134" s="109">
        <v>132</v>
      </c>
      <c r="D134" s="5" t="s">
        <v>132</v>
      </c>
      <c r="E134" s="2" t="s">
        <v>530</v>
      </c>
      <c r="F134" s="35" t="s">
        <v>455</v>
      </c>
      <c r="G134" s="10"/>
      <c r="H134" s="10"/>
      <c r="I134" s="10"/>
    </row>
    <row r="135" spans="3:9" ht="19.5" thickBot="1" x14ac:dyDescent="0.35">
      <c r="C135" s="109">
        <v>133</v>
      </c>
      <c r="D135" s="5" t="s">
        <v>130</v>
      </c>
      <c r="E135" s="2" t="s">
        <v>530</v>
      </c>
      <c r="F135" s="35" t="s">
        <v>455</v>
      </c>
      <c r="G135" s="10"/>
      <c r="H135" s="10"/>
      <c r="I135" s="10"/>
    </row>
    <row r="136" spans="3:9" ht="19.5" thickBot="1" x14ac:dyDescent="0.35">
      <c r="C136" s="109">
        <v>134</v>
      </c>
      <c r="D136" s="5" t="s">
        <v>135</v>
      </c>
      <c r="E136" s="2" t="s">
        <v>530</v>
      </c>
      <c r="F136" s="35" t="s">
        <v>455</v>
      </c>
      <c r="G136" s="10"/>
      <c r="H136" s="10"/>
      <c r="I136" s="10"/>
    </row>
    <row r="137" spans="3:9" ht="19.5" thickBot="1" x14ac:dyDescent="0.35">
      <c r="C137" s="109">
        <v>135</v>
      </c>
      <c r="D137" s="5" t="s">
        <v>606</v>
      </c>
      <c r="E137" s="2" t="s">
        <v>530</v>
      </c>
      <c r="F137" s="35" t="s">
        <v>455</v>
      </c>
      <c r="G137" s="10"/>
      <c r="H137" s="10"/>
      <c r="I137" s="10"/>
    </row>
    <row r="138" spans="3:9" ht="19.5" thickBot="1" x14ac:dyDescent="0.35">
      <c r="C138" s="109">
        <v>136</v>
      </c>
      <c r="D138" s="5" t="s">
        <v>167</v>
      </c>
      <c r="E138" s="2" t="s">
        <v>530</v>
      </c>
      <c r="F138" s="35" t="s">
        <v>455</v>
      </c>
      <c r="G138" s="10"/>
      <c r="H138" s="10"/>
      <c r="I138" s="10"/>
    </row>
    <row r="139" spans="3:9" ht="19.5" thickBot="1" x14ac:dyDescent="0.35">
      <c r="C139" s="109">
        <v>137</v>
      </c>
      <c r="D139" s="5" t="s">
        <v>607</v>
      </c>
      <c r="E139" s="2" t="s">
        <v>530</v>
      </c>
      <c r="F139" s="35" t="s">
        <v>455</v>
      </c>
      <c r="G139" s="10"/>
      <c r="H139" s="10"/>
      <c r="I139" s="10"/>
    </row>
    <row r="140" spans="3:9" ht="19.5" thickBot="1" x14ac:dyDescent="0.35">
      <c r="C140" s="109">
        <v>138</v>
      </c>
      <c r="D140" s="5" t="s">
        <v>184</v>
      </c>
      <c r="E140" s="2" t="s">
        <v>530</v>
      </c>
      <c r="F140" s="35" t="s">
        <v>455</v>
      </c>
      <c r="G140" s="10"/>
      <c r="H140" s="10"/>
      <c r="I140" s="10"/>
    </row>
    <row r="141" spans="3:9" ht="19.5" thickBot="1" x14ac:dyDescent="0.35">
      <c r="C141" s="109">
        <v>139</v>
      </c>
      <c r="D141" s="5" t="s">
        <v>164</v>
      </c>
      <c r="E141" s="2" t="s">
        <v>530</v>
      </c>
      <c r="F141" s="35" t="s">
        <v>455</v>
      </c>
      <c r="G141" s="10"/>
      <c r="H141" s="10"/>
      <c r="I141" s="10"/>
    </row>
    <row r="142" spans="3:9" ht="19.5" thickBot="1" x14ac:dyDescent="0.35">
      <c r="C142" s="109">
        <v>140</v>
      </c>
      <c r="D142" s="5" t="s">
        <v>193</v>
      </c>
      <c r="E142" s="2" t="s">
        <v>530</v>
      </c>
      <c r="F142" s="35" t="s">
        <v>455</v>
      </c>
      <c r="G142" s="10" t="s">
        <v>663</v>
      </c>
      <c r="H142" s="10"/>
      <c r="I142" s="10" t="s">
        <v>663</v>
      </c>
    </row>
    <row r="143" spans="3:9" ht="19.5" thickBot="1" x14ac:dyDescent="0.35">
      <c r="C143" s="109">
        <v>141</v>
      </c>
      <c r="D143" s="5" t="s">
        <v>582</v>
      </c>
      <c r="E143" s="2" t="s">
        <v>530</v>
      </c>
      <c r="F143" s="35" t="s">
        <v>455</v>
      </c>
      <c r="G143" s="10"/>
      <c r="H143" s="10"/>
      <c r="I143" s="10"/>
    </row>
    <row r="144" spans="3:9" ht="19.5" thickBot="1" x14ac:dyDescent="0.35">
      <c r="C144" s="109">
        <v>142</v>
      </c>
      <c r="D144" s="5" t="s">
        <v>211</v>
      </c>
      <c r="E144" s="2" t="s">
        <v>530</v>
      </c>
      <c r="F144" s="35" t="s">
        <v>455</v>
      </c>
      <c r="G144" s="10"/>
      <c r="H144" s="10"/>
      <c r="I144" s="10"/>
    </row>
    <row r="145" spans="3:9" ht="19.5" thickBot="1" x14ac:dyDescent="0.35">
      <c r="C145" s="109">
        <v>143</v>
      </c>
      <c r="D145" s="5" t="s">
        <v>253</v>
      </c>
      <c r="E145" s="2" t="s">
        <v>530</v>
      </c>
      <c r="F145" s="35" t="s">
        <v>455</v>
      </c>
      <c r="G145" s="10"/>
      <c r="H145" s="10"/>
      <c r="I145" s="10"/>
    </row>
    <row r="146" spans="3:9" ht="19.5" thickBot="1" x14ac:dyDescent="0.35">
      <c r="C146" s="109">
        <v>144</v>
      </c>
      <c r="D146" s="5" t="s">
        <v>245</v>
      </c>
      <c r="E146" s="2" t="s">
        <v>530</v>
      </c>
      <c r="F146" s="35" t="s">
        <v>455</v>
      </c>
      <c r="G146" s="10"/>
      <c r="H146" s="10"/>
      <c r="I146" s="10"/>
    </row>
    <row r="147" spans="3:9" ht="19.5" thickBot="1" x14ac:dyDescent="0.35">
      <c r="C147" s="109">
        <v>145</v>
      </c>
      <c r="D147" s="5" t="s">
        <v>217</v>
      </c>
      <c r="E147" s="2" t="s">
        <v>530</v>
      </c>
      <c r="F147" s="35" t="s">
        <v>455</v>
      </c>
      <c r="G147" s="10"/>
      <c r="H147" s="10"/>
      <c r="I147" s="10"/>
    </row>
    <row r="148" spans="3:9" ht="19.5" thickBot="1" x14ac:dyDescent="0.35">
      <c r="C148" s="109">
        <v>146</v>
      </c>
      <c r="D148" s="5" t="s">
        <v>609</v>
      </c>
      <c r="E148" s="2" t="s">
        <v>530</v>
      </c>
      <c r="F148" s="35" t="s">
        <v>455</v>
      </c>
      <c r="G148" s="10"/>
      <c r="H148" s="10"/>
      <c r="I148" s="10"/>
    </row>
    <row r="149" spans="3:9" ht="19.5" thickBot="1" x14ac:dyDescent="0.35">
      <c r="C149" s="109">
        <v>147</v>
      </c>
      <c r="D149" s="5" t="s">
        <v>283</v>
      </c>
      <c r="E149" s="2" t="s">
        <v>530</v>
      </c>
      <c r="F149" s="35" t="s">
        <v>455</v>
      </c>
      <c r="G149" s="10"/>
      <c r="H149" s="10"/>
      <c r="I149" s="10"/>
    </row>
    <row r="150" spans="3:9" ht="19.5" thickBot="1" x14ac:dyDescent="0.35">
      <c r="C150" s="109">
        <v>148</v>
      </c>
      <c r="D150" s="5" t="s">
        <v>611</v>
      </c>
      <c r="E150" s="2" t="s">
        <v>530</v>
      </c>
      <c r="F150" s="35" t="s">
        <v>455</v>
      </c>
      <c r="G150" s="10"/>
      <c r="H150" s="10"/>
      <c r="I150" s="10"/>
    </row>
    <row r="151" spans="3:9" ht="19.5" thickBot="1" x14ac:dyDescent="0.35">
      <c r="C151" s="109">
        <v>149</v>
      </c>
      <c r="D151" s="5" t="s">
        <v>612</v>
      </c>
      <c r="E151" s="2" t="s">
        <v>530</v>
      </c>
      <c r="F151" s="35" t="s">
        <v>489</v>
      </c>
      <c r="G151" s="10"/>
      <c r="H151" s="10"/>
      <c r="I151" s="10"/>
    </row>
    <row r="152" spans="3:9" ht="19.5" thickBot="1" x14ac:dyDescent="0.35">
      <c r="C152" s="109">
        <v>150</v>
      </c>
      <c r="D152" s="5" t="s">
        <v>299</v>
      </c>
      <c r="E152" s="2" t="s">
        <v>530</v>
      </c>
      <c r="F152" s="35" t="s">
        <v>455</v>
      </c>
      <c r="G152" s="10"/>
      <c r="H152" s="10"/>
      <c r="I152" s="10"/>
    </row>
    <row r="153" spans="3:9" ht="19.5" thickBot="1" x14ac:dyDescent="0.35">
      <c r="C153" s="109">
        <v>151</v>
      </c>
      <c r="D153" s="5" t="s">
        <v>539</v>
      </c>
      <c r="E153" s="2" t="s">
        <v>530</v>
      </c>
      <c r="F153" s="35" t="s">
        <v>455</v>
      </c>
      <c r="G153" s="10"/>
      <c r="H153" s="10"/>
      <c r="I153" s="10"/>
    </row>
    <row r="154" spans="3:9" ht="19.5" thickBot="1" x14ac:dyDescent="0.35">
      <c r="C154" s="109">
        <v>152</v>
      </c>
      <c r="D154" s="5" t="s">
        <v>292</v>
      </c>
      <c r="E154" s="2" t="s">
        <v>530</v>
      </c>
      <c r="F154" s="35" t="s">
        <v>455</v>
      </c>
      <c r="G154" s="10"/>
      <c r="H154" s="10"/>
      <c r="I154" s="10"/>
    </row>
    <row r="155" spans="3:9" ht="19.5" thickBot="1" x14ac:dyDescent="0.35">
      <c r="C155" s="109">
        <v>153</v>
      </c>
      <c r="D155" s="5" t="s">
        <v>289</v>
      </c>
      <c r="E155" s="2" t="s">
        <v>530</v>
      </c>
      <c r="F155" s="35" t="s">
        <v>455</v>
      </c>
      <c r="G155" s="10"/>
      <c r="H155" s="10"/>
      <c r="I155" s="10"/>
    </row>
    <row r="156" spans="3:9" ht="19.5" thickBot="1" x14ac:dyDescent="0.35">
      <c r="C156" s="109">
        <v>154</v>
      </c>
      <c r="D156" s="5" t="s">
        <v>317</v>
      </c>
      <c r="E156" s="2" t="s">
        <v>530</v>
      </c>
      <c r="F156" s="35" t="s">
        <v>455</v>
      </c>
      <c r="G156" s="10"/>
      <c r="H156" s="10"/>
      <c r="I156" s="10"/>
    </row>
    <row r="157" spans="3:9" ht="19.5" thickBot="1" x14ac:dyDescent="0.35">
      <c r="C157" s="109">
        <v>155</v>
      </c>
      <c r="D157" s="5" t="s">
        <v>315</v>
      </c>
      <c r="E157" s="2" t="s">
        <v>530</v>
      </c>
      <c r="F157" s="35" t="s">
        <v>455</v>
      </c>
      <c r="G157" s="10"/>
      <c r="H157" s="10"/>
      <c r="I157" s="10"/>
    </row>
    <row r="158" spans="3:9" ht="19.5" thickBot="1" x14ac:dyDescent="0.35">
      <c r="C158" s="109">
        <v>156</v>
      </c>
      <c r="D158" s="5" t="s">
        <v>300</v>
      </c>
      <c r="E158" s="2" t="s">
        <v>530</v>
      </c>
      <c r="F158" s="35" t="s">
        <v>455</v>
      </c>
      <c r="G158" s="10"/>
      <c r="H158" s="10"/>
      <c r="I158" s="10"/>
    </row>
    <row r="159" spans="3:9" ht="19.5" thickBot="1" x14ac:dyDescent="0.35">
      <c r="C159" s="109">
        <v>157</v>
      </c>
      <c r="D159" s="5" t="s">
        <v>347</v>
      </c>
      <c r="E159" s="2" t="s">
        <v>530</v>
      </c>
      <c r="F159" s="35" t="s">
        <v>455</v>
      </c>
      <c r="G159" s="10"/>
      <c r="H159" s="10"/>
      <c r="I159" s="10"/>
    </row>
    <row r="160" spans="3:9" ht="19.5" thickBot="1" x14ac:dyDescent="0.35">
      <c r="C160" s="109">
        <v>158</v>
      </c>
      <c r="D160" s="5" t="s">
        <v>356</v>
      </c>
      <c r="E160" s="2" t="s">
        <v>530</v>
      </c>
      <c r="F160" s="35" t="s">
        <v>455</v>
      </c>
      <c r="G160" s="10"/>
      <c r="H160" s="10"/>
      <c r="I160" s="10"/>
    </row>
    <row r="161" spans="3:9" ht="19.5" thickBot="1" x14ac:dyDescent="0.35">
      <c r="C161" s="109">
        <v>159</v>
      </c>
      <c r="D161" s="5" t="s">
        <v>371</v>
      </c>
      <c r="E161" s="2" t="s">
        <v>530</v>
      </c>
      <c r="F161" s="35" t="s">
        <v>455</v>
      </c>
      <c r="G161" s="10"/>
      <c r="H161" s="10"/>
      <c r="I161" s="10"/>
    </row>
    <row r="162" spans="3:9" ht="19.5" thickBot="1" x14ac:dyDescent="0.35">
      <c r="C162" s="109">
        <v>160</v>
      </c>
      <c r="D162" s="5" t="s">
        <v>542</v>
      </c>
      <c r="E162" s="2" t="s">
        <v>530</v>
      </c>
      <c r="F162" s="35" t="s">
        <v>455</v>
      </c>
      <c r="G162" s="10"/>
      <c r="H162" s="10"/>
      <c r="I162" s="10"/>
    </row>
    <row r="163" spans="3:9" ht="19.5" thickBot="1" x14ac:dyDescent="0.35">
      <c r="C163" s="109">
        <v>161</v>
      </c>
      <c r="D163" s="5" t="s">
        <v>372</v>
      </c>
      <c r="E163" s="2" t="s">
        <v>530</v>
      </c>
      <c r="F163" s="35" t="s">
        <v>455</v>
      </c>
      <c r="G163" s="10"/>
      <c r="H163" s="10"/>
      <c r="I163" s="10"/>
    </row>
    <row r="164" spans="3:9" ht="19.5" thickBot="1" x14ac:dyDescent="0.35">
      <c r="C164" s="109">
        <v>162</v>
      </c>
      <c r="D164" s="5" t="s">
        <v>385</v>
      </c>
      <c r="E164" s="2" t="s">
        <v>530</v>
      </c>
      <c r="F164" s="35" t="s">
        <v>455</v>
      </c>
      <c r="G164" s="10"/>
      <c r="H164" s="10"/>
      <c r="I164" s="10"/>
    </row>
    <row r="165" spans="3:9" ht="19.5" thickBot="1" x14ac:dyDescent="0.35">
      <c r="C165" s="109">
        <v>163</v>
      </c>
      <c r="D165" s="5" t="s">
        <v>367</v>
      </c>
      <c r="E165" s="2" t="s">
        <v>530</v>
      </c>
      <c r="F165" s="35" t="s">
        <v>455</v>
      </c>
      <c r="G165" s="10"/>
      <c r="H165" s="10"/>
      <c r="I165" s="10"/>
    </row>
    <row r="166" spans="3:9" ht="19.5" thickBot="1" x14ac:dyDescent="0.35">
      <c r="C166" s="109">
        <v>164</v>
      </c>
      <c r="D166" s="5" t="s">
        <v>420</v>
      </c>
      <c r="E166" s="2" t="s">
        <v>530</v>
      </c>
      <c r="F166" s="35" t="s">
        <v>455</v>
      </c>
      <c r="G166" s="10"/>
      <c r="H166" s="10"/>
      <c r="I166" s="10"/>
    </row>
    <row r="167" spans="3:9" ht="19.5" thickBot="1" x14ac:dyDescent="0.35">
      <c r="C167" s="109">
        <v>165</v>
      </c>
      <c r="D167" s="5" t="s">
        <v>409</v>
      </c>
      <c r="E167" s="2" t="s">
        <v>530</v>
      </c>
      <c r="F167" s="35" t="s">
        <v>455</v>
      </c>
      <c r="G167" s="10"/>
      <c r="H167" s="10"/>
      <c r="I167" s="10"/>
    </row>
    <row r="168" spans="3:9" ht="19.5" thickBot="1" x14ac:dyDescent="0.35">
      <c r="C168" s="109">
        <v>166</v>
      </c>
      <c r="D168" s="5" t="s">
        <v>418</v>
      </c>
      <c r="E168" s="2" t="s">
        <v>530</v>
      </c>
      <c r="F168" s="35" t="s">
        <v>455</v>
      </c>
      <c r="G168" s="10"/>
      <c r="H168" s="10"/>
      <c r="I168" s="10"/>
    </row>
    <row r="169" spans="3:9" ht="15.75" x14ac:dyDescent="0.25">
      <c r="C169" s="109">
        <v>167</v>
      </c>
      <c r="D169" s="48" t="s">
        <v>544</v>
      </c>
      <c r="E169" s="2" t="s">
        <v>530</v>
      </c>
      <c r="F169" s="35" t="s">
        <v>455</v>
      </c>
      <c r="G169" s="10" t="s">
        <v>663</v>
      </c>
      <c r="H169" s="10"/>
      <c r="I169" s="10"/>
    </row>
    <row r="170" spans="3:9" ht="19.5" thickBot="1" x14ac:dyDescent="0.35">
      <c r="C170" s="109">
        <v>168</v>
      </c>
      <c r="D170" s="5" t="s">
        <v>15</v>
      </c>
      <c r="E170" s="2" t="s">
        <v>530</v>
      </c>
      <c r="F170" s="36" t="s">
        <v>455</v>
      </c>
      <c r="G170" s="10"/>
      <c r="H170" s="10"/>
      <c r="I170" s="10"/>
    </row>
    <row r="171" spans="3:9" ht="19.5" thickBot="1" x14ac:dyDescent="0.35">
      <c r="C171" s="109">
        <v>169</v>
      </c>
      <c r="D171" s="5" t="s">
        <v>21</v>
      </c>
      <c r="E171" s="2" t="s">
        <v>545</v>
      </c>
      <c r="F171" s="35" t="s">
        <v>455</v>
      </c>
      <c r="G171" s="10" t="s">
        <v>663</v>
      </c>
      <c r="H171" s="10" t="s">
        <v>663</v>
      </c>
      <c r="I171" s="10" t="s">
        <v>663</v>
      </c>
    </row>
    <row r="172" spans="3:9" ht="19.5" thickBot="1" x14ac:dyDescent="0.35">
      <c r="C172" s="109">
        <v>170</v>
      </c>
      <c r="D172" s="5" t="s">
        <v>69</v>
      </c>
      <c r="E172" s="2" t="s">
        <v>545</v>
      </c>
      <c r="F172" s="35" t="s">
        <v>455</v>
      </c>
      <c r="G172" s="10"/>
      <c r="H172" s="10"/>
      <c r="I172" s="10"/>
    </row>
    <row r="173" spans="3:9" ht="19.5" thickBot="1" x14ac:dyDescent="0.35">
      <c r="C173" s="109">
        <v>171</v>
      </c>
      <c r="D173" s="5" t="s">
        <v>546</v>
      </c>
      <c r="E173" s="2" t="s">
        <v>545</v>
      </c>
      <c r="F173" s="35" t="s">
        <v>455</v>
      </c>
      <c r="G173" s="10"/>
      <c r="H173" s="10"/>
      <c r="I173" s="10"/>
    </row>
    <row r="174" spans="3:9" ht="19.5" thickBot="1" x14ac:dyDescent="0.35">
      <c r="C174" s="109">
        <v>172</v>
      </c>
      <c r="D174" s="5" t="s">
        <v>216</v>
      </c>
      <c r="E174" s="2" t="s">
        <v>545</v>
      </c>
      <c r="F174" s="35" t="s">
        <v>455</v>
      </c>
      <c r="G174" s="10"/>
      <c r="H174" s="10"/>
      <c r="I174" s="10"/>
    </row>
    <row r="175" spans="3:9" ht="19.5" thickBot="1" x14ac:dyDescent="0.35">
      <c r="C175" s="109">
        <v>173</v>
      </c>
      <c r="D175" s="5" t="s">
        <v>71</v>
      </c>
      <c r="E175" s="2" t="s">
        <v>549</v>
      </c>
      <c r="F175" s="35" t="s">
        <v>455</v>
      </c>
      <c r="G175" s="10"/>
      <c r="H175" s="10"/>
      <c r="I175" s="10"/>
    </row>
    <row r="176" spans="3:9" ht="19.5" thickBot="1" x14ac:dyDescent="0.35">
      <c r="C176" s="109">
        <v>174</v>
      </c>
      <c r="D176" s="5" t="s">
        <v>251</v>
      </c>
      <c r="E176" s="2" t="s">
        <v>549</v>
      </c>
      <c r="F176" s="35" t="s">
        <v>455</v>
      </c>
      <c r="G176" s="10"/>
      <c r="H176" s="10"/>
      <c r="I176" s="10"/>
    </row>
    <row r="177" spans="3:9" ht="19.5" thickBot="1" x14ac:dyDescent="0.35">
      <c r="C177" s="109">
        <v>175</v>
      </c>
      <c r="D177" s="5" t="s">
        <v>240</v>
      </c>
      <c r="E177" s="2" t="s">
        <v>549</v>
      </c>
      <c r="F177" s="35" t="s">
        <v>455</v>
      </c>
      <c r="G177" s="10"/>
      <c r="H177" s="10"/>
      <c r="I177" s="10"/>
    </row>
    <row r="178" spans="3:9" ht="19.5" thickBot="1" x14ac:dyDescent="0.35">
      <c r="C178" s="109">
        <v>176</v>
      </c>
      <c r="D178" s="5" t="s">
        <v>322</v>
      </c>
      <c r="E178" s="2" t="s">
        <v>549</v>
      </c>
      <c r="F178" s="35" t="s">
        <v>455</v>
      </c>
      <c r="G178" s="10"/>
      <c r="H178" s="10"/>
      <c r="I178" s="10"/>
    </row>
    <row r="179" spans="3:9" ht="19.5" thickBot="1" x14ac:dyDescent="0.35">
      <c r="C179" s="109">
        <v>177</v>
      </c>
      <c r="D179" s="5" t="s">
        <v>284</v>
      </c>
      <c r="E179" s="2" t="s">
        <v>549</v>
      </c>
      <c r="F179" s="35" t="s">
        <v>455</v>
      </c>
      <c r="G179" s="10"/>
      <c r="H179" s="10"/>
      <c r="I179" s="10"/>
    </row>
    <row r="180" spans="3:9" ht="19.5" thickBot="1" x14ac:dyDescent="0.35">
      <c r="C180" s="109">
        <v>178</v>
      </c>
      <c r="D180" s="5" t="s">
        <v>554</v>
      </c>
      <c r="E180" s="2" t="s">
        <v>549</v>
      </c>
      <c r="F180" s="35" t="s">
        <v>455</v>
      </c>
      <c r="G180" s="10"/>
      <c r="H180" s="10"/>
      <c r="I180" s="10"/>
    </row>
    <row r="181" spans="3:9" ht="19.5" thickBot="1" x14ac:dyDescent="0.35">
      <c r="C181" s="109">
        <v>179</v>
      </c>
      <c r="D181" s="5" t="s">
        <v>336</v>
      </c>
      <c r="E181" s="2" t="s">
        <v>549</v>
      </c>
      <c r="F181" s="35" t="s">
        <v>455</v>
      </c>
      <c r="G181" s="10"/>
      <c r="H181" s="10"/>
      <c r="I181" s="10"/>
    </row>
    <row r="182" spans="3:9" ht="19.5" thickBot="1" x14ac:dyDescent="0.35">
      <c r="C182" s="109">
        <v>180</v>
      </c>
      <c r="D182" s="5" t="s">
        <v>351</v>
      </c>
      <c r="E182" s="2" t="s">
        <v>549</v>
      </c>
      <c r="F182" s="35" t="s">
        <v>455</v>
      </c>
      <c r="G182" s="10"/>
      <c r="H182" s="10"/>
      <c r="I182" s="10"/>
    </row>
    <row r="183" spans="3:9" ht="19.5" thickBot="1" x14ac:dyDescent="0.35">
      <c r="C183" s="109">
        <v>181</v>
      </c>
      <c r="D183" s="5" t="s">
        <v>406</v>
      </c>
      <c r="E183" s="2" t="s">
        <v>549</v>
      </c>
      <c r="F183" s="35" t="s">
        <v>455</v>
      </c>
      <c r="G183" s="10"/>
      <c r="H183" s="10"/>
      <c r="I183" s="10"/>
    </row>
    <row r="184" spans="3:9" ht="19.5" thickBot="1" x14ac:dyDescent="0.35">
      <c r="C184" s="109">
        <v>182</v>
      </c>
      <c r="D184" s="5" t="s">
        <v>332</v>
      </c>
      <c r="E184" s="2" t="s">
        <v>562</v>
      </c>
      <c r="F184" s="35" t="s">
        <v>455</v>
      </c>
      <c r="G184" s="10"/>
      <c r="H184" s="10"/>
      <c r="I184" s="10"/>
    </row>
    <row r="185" spans="3:9" ht="19.5" thickBot="1" x14ac:dyDescent="0.35">
      <c r="C185" s="109">
        <v>183</v>
      </c>
      <c r="D185" s="5" t="s">
        <v>33</v>
      </c>
      <c r="E185" s="2" t="s">
        <v>556</v>
      </c>
      <c r="F185" s="35" t="s">
        <v>489</v>
      </c>
      <c r="G185" s="10"/>
      <c r="H185" s="10"/>
      <c r="I185" s="10"/>
    </row>
    <row r="186" spans="3:9" ht="19.5" thickBot="1" x14ac:dyDescent="0.35">
      <c r="C186" s="109">
        <v>184</v>
      </c>
      <c r="D186" s="5" t="s">
        <v>25</v>
      </c>
      <c r="E186" s="2" t="s">
        <v>556</v>
      </c>
      <c r="F186" s="35" t="s">
        <v>455</v>
      </c>
      <c r="G186" s="10"/>
      <c r="H186" s="10"/>
      <c r="I186" s="10"/>
    </row>
    <row r="187" spans="3:9" ht="19.5" thickBot="1" x14ac:dyDescent="0.35">
      <c r="C187" s="109">
        <v>185</v>
      </c>
      <c r="D187" s="5" t="s">
        <v>80</v>
      </c>
      <c r="E187" s="2" t="s">
        <v>556</v>
      </c>
      <c r="F187" s="35" t="s">
        <v>455</v>
      </c>
      <c r="G187" s="10"/>
      <c r="H187" s="10"/>
      <c r="I187" s="10"/>
    </row>
    <row r="188" spans="3:9" ht="19.5" thickBot="1" x14ac:dyDescent="0.35">
      <c r="C188" s="109">
        <v>186</v>
      </c>
      <c r="D188" s="5" t="s">
        <v>94</v>
      </c>
      <c r="E188" s="2" t="s">
        <v>556</v>
      </c>
      <c r="F188" s="35" t="s">
        <v>455</v>
      </c>
      <c r="G188" s="10"/>
      <c r="H188" s="10"/>
      <c r="I188" s="10"/>
    </row>
    <row r="189" spans="3:9" ht="19.5" thickBot="1" x14ac:dyDescent="0.35">
      <c r="C189" s="109">
        <v>187</v>
      </c>
      <c r="D189" s="5" t="s">
        <v>104</v>
      </c>
      <c r="E189" s="2" t="s">
        <v>556</v>
      </c>
      <c r="F189" s="35" t="s">
        <v>455</v>
      </c>
      <c r="G189" s="10"/>
      <c r="H189" s="10"/>
      <c r="I189" s="10"/>
    </row>
    <row r="190" spans="3:9" ht="19.5" thickBot="1" x14ac:dyDescent="0.35">
      <c r="C190" s="109">
        <v>188</v>
      </c>
      <c r="D190" s="5" t="s">
        <v>558</v>
      </c>
      <c r="E190" s="2" t="s">
        <v>556</v>
      </c>
      <c r="F190" s="35" t="s">
        <v>455</v>
      </c>
      <c r="G190" s="10"/>
      <c r="H190" s="10"/>
      <c r="I190" s="10"/>
    </row>
    <row r="191" spans="3:9" ht="19.5" thickBot="1" x14ac:dyDescent="0.35">
      <c r="C191" s="109">
        <v>189</v>
      </c>
      <c r="D191" s="5" t="s">
        <v>161</v>
      </c>
      <c r="E191" s="2" t="s">
        <v>556</v>
      </c>
      <c r="F191" s="35" t="s">
        <v>455</v>
      </c>
      <c r="G191" s="10"/>
      <c r="H191" s="10"/>
      <c r="I191" s="10"/>
    </row>
    <row r="192" spans="3:9" ht="19.5" thickBot="1" x14ac:dyDescent="0.35">
      <c r="C192" s="109">
        <v>190</v>
      </c>
      <c r="D192" s="5" t="s">
        <v>208</v>
      </c>
      <c r="E192" s="2" t="s">
        <v>556</v>
      </c>
      <c r="F192" s="35" t="s">
        <v>455</v>
      </c>
      <c r="G192" s="10"/>
      <c r="H192" s="10"/>
      <c r="I192" s="10"/>
    </row>
    <row r="193" spans="3:9" ht="19.5" thickBot="1" x14ac:dyDescent="0.35">
      <c r="C193" s="109">
        <v>191</v>
      </c>
      <c r="D193" s="5" t="s">
        <v>561</v>
      </c>
      <c r="E193" s="2" t="s">
        <v>556</v>
      </c>
      <c r="F193" s="35" t="s">
        <v>455</v>
      </c>
      <c r="G193" s="10"/>
      <c r="H193" s="10"/>
      <c r="I193" s="10"/>
    </row>
    <row r="194" spans="3:9" ht="19.5" thickBot="1" x14ac:dyDescent="0.35">
      <c r="C194" s="109">
        <v>192</v>
      </c>
      <c r="D194" s="5" t="s">
        <v>366</v>
      </c>
      <c r="E194" s="2" t="s">
        <v>556</v>
      </c>
      <c r="F194" s="35" t="s">
        <v>455</v>
      </c>
      <c r="G194" s="10"/>
      <c r="H194" s="10"/>
      <c r="I194" s="10"/>
    </row>
    <row r="195" spans="3:9" ht="19.5" thickBot="1" x14ac:dyDescent="0.35">
      <c r="C195" s="109">
        <v>193</v>
      </c>
      <c r="D195" s="5" t="s">
        <v>407</v>
      </c>
      <c r="E195" s="2" t="s">
        <v>556</v>
      </c>
      <c r="F195" s="35" t="s">
        <v>455</v>
      </c>
      <c r="G195" s="10"/>
      <c r="H195" s="10"/>
      <c r="I195" s="10"/>
    </row>
    <row r="196" spans="3:9" ht="19.5" thickBot="1" x14ac:dyDescent="0.35">
      <c r="C196" s="109">
        <v>194</v>
      </c>
      <c r="D196" s="5" t="s">
        <v>14</v>
      </c>
      <c r="E196" s="2" t="s">
        <v>562</v>
      </c>
      <c r="F196" s="35" t="s">
        <v>455</v>
      </c>
      <c r="G196" s="10"/>
      <c r="H196" s="10"/>
      <c r="I196" s="10"/>
    </row>
    <row r="197" spans="3:9" ht="19.5" thickBot="1" x14ac:dyDescent="0.35">
      <c r="C197" s="109">
        <v>195</v>
      </c>
      <c r="D197" s="5" t="s">
        <v>13</v>
      </c>
      <c r="E197" s="2" t="s">
        <v>562</v>
      </c>
      <c r="F197" s="35" t="s">
        <v>455</v>
      </c>
      <c r="G197" s="10"/>
      <c r="H197" s="10"/>
      <c r="I197" s="10"/>
    </row>
    <row r="198" spans="3:9" ht="19.5" thickBot="1" x14ac:dyDescent="0.35">
      <c r="C198" s="109">
        <v>196</v>
      </c>
      <c r="D198" s="5" t="s">
        <v>18</v>
      </c>
      <c r="E198" s="2" t="s">
        <v>562</v>
      </c>
      <c r="F198" s="35" t="s">
        <v>455</v>
      </c>
      <c r="G198" s="10"/>
      <c r="H198" s="10"/>
      <c r="I198" s="10"/>
    </row>
    <row r="199" spans="3:9" ht="19.5" thickBot="1" x14ac:dyDescent="0.35">
      <c r="C199" s="109">
        <v>197</v>
      </c>
      <c r="D199" s="5" t="s">
        <v>23</v>
      </c>
      <c r="E199" s="2" t="s">
        <v>562</v>
      </c>
      <c r="F199" s="35" t="s">
        <v>455</v>
      </c>
      <c r="G199" s="10"/>
      <c r="H199" s="10"/>
      <c r="I199" s="10"/>
    </row>
    <row r="200" spans="3:9" ht="19.5" thickBot="1" x14ac:dyDescent="0.35">
      <c r="C200" s="109">
        <v>198</v>
      </c>
      <c r="D200" s="5" t="s">
        <v>63</v>
      </c>
      <c r="E200" s="2" t="s">
        <v>562</v>
      </c>
      <c r="F200" s="35" t="s">
        <v>455</v>
      </c>
      <c r="G200" s="10"/>
      <c r="H200" s="10"/>
      <c r="I200" s="10"/>
    </row>
    <row r="201" spans="3:9" ht="19.5" thickBot="1" x14ac:dyDescent="0.35">
      <c r="C201" s="109">
        <v>199</v>
      </c>
      <c r="D201" s="5" t="s">
        <v>59</v>
      </c>
      <c r="E201" s="2" t="s">
        <v>562</v>
      </c>
      <c r="F201" s="35" t="s">
        <v>455</v>
      </c>
      <c r="G201" s="10"/>
      <c r="H201" s="10"/>
      <c r="I201" s="10"/>
    </row>
    <row r="202" spans="3:9" ht="19.5" thickBot="1" x14ac:dyDescent="0.35">
      <c r="C202" s="109">
        <v>200</v>
      </c>
      <c r="D202" s="5" t="s">
        <v>79</v>
      </c>
      <c r="E202" s="2" t="s">
        <v>562</v>
      </c>
      <c r="F202" s="35" t="s">
        <v>489</v>
      </c>
      <c r="G202" s="10"/>
      <c r="H202" s="10"/>
      <c r="I202" s="10"/>
    </row>
    <row r="203" spans="3:9" ht="19.5" thickBot="1" x14ac:dyDescent="0.35">
      <c r="C203" s="109">
        <v>201</v>
      </c>
      <c r="D203" s="5" t="s">
        <v>91</v>
      </c>
      <c r="E203" s="2" t="s">
        <v>562</v>
      </c>
      <c r="F203" s="35" t="s">
        <v>455</v>
      </c>
      <c r="G203" s="10"/>
      <c r="H203" s="10"/>
      <c r="I203" s="10"/>
    </row>
    <row r="204" spans="3:9" ht="19.5" thickBot="1" x14ac:dyDescent="0.35">
      <c r="C204" s="109">
        <v>202</v>
      </c>
      <c r="D204" s="5" t="s">
        <v>82</v>
      </c>
      <c r="E204" s="2" t="s">
        <v>562</v>
      </c>
      <c r="F204" s="35" t="s">
        <v>455</v>
      </c>
      <c r="G204" s="10"/>
      <c r="H204" s="10"/>
      <c r="I204" s="10"/>
    </row>
    <row r="205" spans="3:9" ht="19.5" thickBot="1" x14ac:dyDescent="0.35">
      <c r="C205" s="109">
        <v>203</v>
      </c>
      <c r="D205" s="5" t="s">
        <v>129</v>
      </c>
      <c r="E205" s="2" t="s">
        <v>562</v>
      </c>
      <c r="F205" s="35" t="s">
        <v>455</v>
      </c>
      <c r="G205" s="10"/>
      <c r="H205" s="10"/>
      <c r="I205" s="10"/>
    </row>
    <row r="206" spans="3:9" ht="19.5" thickBot="1" x14ac:dyDescent="0.35">
      <c r="C206" s="109">
        <v>204</v>
      </c>
      <c r="D206" s="5" t="s">
        <v>117</v>
      </c>
      <c r="E206" s="2" t="s">
        <v>562</v>
      </c>
      <c r="F206" s="35" t="s">
        <v>489</v>
      </c>
      <c r="G206" s="10"/>
      <c r="H206" s="10"/>
      <c r="I206" s="10"/>
    </row>
    <row r="207" spans="3:9" ht="19.5" thickBot="1" x14ac:dyDescent="0.35">
      <c r="C207" s="109">
        <v>205</v>
      </c>
      <c r="D207" s="5" t="s">
        <v>118</v>
      </c>
      <c r="E207" s="2" t="s">
        <v>562</v>
      </c>
      <c r="F207" s="35" t="s">
        <v>455</v>
      </c>
      <c r="G207" s="10"/>
      <c r="H207" s="10"/>
      <c r="I207" s="10"/>
    </row>
    <row r="208" spans="3:9" ht="19.5" thickBot="1" x14ac:dyDescent="0.35">
      <c r="C208" s="109">
        <v>206</v>
      </c>
      <c r="D208" s="5" t="s">
        <v>145</v>
      </c>
      <c r="E208" s="2" t="s">
        <v>562</v>
      </c>
      <c r="F208" s="35" t="s">
        <v>455</v>
      </c>
      <c r="G208" s="10"/>
      <c r="H208" s="10"/>
      <c r="I208" s="10"/>
    </row>
    <row r="209" spans="3:9" ht="19.5" thickBot="1" x14ac:dyDescent="0.35">
      <c r="C209" s="109">
        <v>207</v>
      </c>
      <c r="D209" s="5" t="s">
        <v>192</v>
      </c>
      <c r="E209" s="2" t="s">
        <v>562</v>
      </c>
      <c r="F209" s="35" t="s">
        <v>455</v>
      </c>
      <c r="G209" s="10"/>
      <c r="H209" s="10"/>
      <c r="I209" s="10"/>
    </row>
    <row r="210" spans="3:9" ht="19.5" thickBot="1" x14ac:dyDescent="0.35">
      <c r="C210" s="109">
        <v>208</v>
      </c>
      <c r="D210" s="5" t="s">
        <v>202</v>
      </c>
      <c r="E210" s="2" t="s">
        <v>562</v>
      </c>
      <c r="F210" s="35" t="s">
        <v>489</v>
      </c>
      <c r="G210" s="10"/>
      <c r="H210" s="10"/>
      <c r="I210" s="10"/>
    </row>
    <row r="211" spans="3:9" ht="19.5" thickBot="1" x14ac:dyDescent="0.35">
      <c r="C211" s="109">
        <v>209</v>
      </c>
      <c r="D211" s="5" t="s">
        <v>257</v>
      </c>
      <c r="E211" s="2" t="s">
        <v>562</v>
      </c>
      <c r="F211" s="35" t="s">
        <v>455</v>
      </c>
      <c r="G211" s="10"/>
      <c r="H211" s="10"/>
      <c r="I211" s="10"/>
    </row>
    <row r="212" spans="3:9" ht="19.5" thickBot="1" x14ac:dyDescent="0.35">
      <c r="C212" s="109">
        <v>210</v>
      </c>
      <c r="D212" s="5" t="s">
        <v>220</v>
      </c>
      <c r="E212" s="2" t="s">
        <v>562</v>
      </c>
      <c r="F212" s="35" t="s">
        <v>489</v>
      </c>
      <c r="G212" s="10"/>
      <c r="H212" s="10"/>
      <c r="I212" s="10"/>
    </row>
    <row r="213" spans="3:9" ht="19.5" thickBot="1" x14ac:dyDescent="0.35">
      <c r="C213" s="109">
        <v>211</v>
      </c>
      <c r="D213" s="5" t="s">
        <v>227</v>
      </c>
      <c r="E213" s="2" t="s">
        <v>562</v>
      </c>
      <c r="F213" s="35" t="s">
        <v>455</v>
      </c>
      <c r="G213" s="10"/>
      <c r="H213" s="10"/>
      <c r="I213" s="10"/>
    </row>
    <row r="214" spans="3:9" ht="19.5" thickBot="1" x14ac:dyDescent="0.35">
      <c r="C214" s="109">
        <v>212</v>
      </c>
      <c r="D214" s="5" t="s">
        <v>222</v>
      </c>
      <c r="E214" s="2" t="s">
        <v>562</v>
      </c>
      <c r="F214" s="35" t="s">
        <v>455</v>
      </c>
      <c r="G214" s="10"/>
      <c r="H214" s="10"/>
      <c r="I214" s="10"/>
    </row>
    <row r="215" spans="3:9" ht="19.5" thickBot="1" x14ac:dyDescent="0.35">
      <c r="C215" s="109">
        <v>213</v>
      </c>
      <c r="D215" s="5" t="s">
        <v>221</v>
      </c>
      <c r="E215" s="2" t="s">
        <v>562</v>
      </c>
      <c r="F215" s="35" t="s">
        <v>455</v>
      </c>
      <c r="G215" s="10"/>
      <c r="H215" s="10"/>
      <c r="I215" s="10"/>
    </row>
    <row r="216" spans="3:9" ht="19.5" thickBot="1" x14ac:dyDescent="0.35">
      <c r="C216" s="109">
        <v>214</v>
      </c>
      <c r="D216" s="5" t="s">
        <v>246</v>
      </c>
      <c r="E216" s="2" t="s">
        <v>562</v>
      </c>
      <c r="F216" s="35" t="s">
        <v>455</v>
      </c>
      <c r="G216" s="10"/>
      <c r="H216" s="10"/>
      <c r="I216" s="10"/>
    </row>
    <row r="217" spans="3:9" ht="19.5" thickBot="1" x14ac:dyDescent="0.35">
      <c r="C217" s="109">
        <v>215</v>
      </c>
      <c r="D217" s="5" t="s">
        <v>239</v>
      </c>
      <c r="E217" s="2" t="s">
        <v>562</v>
      </c>
      <c r="F217" s="35" t="s">
        <v>455</v>
      </c>
      <c r="G217" s="10"/>
      <c r="H217" s="10"/>
      <c r="I217" s="10"/>
    </row>
    <row r="218" spans="3:9" ht="19.5" thickBot="1" x14ac:dyDescent="0.35">
      <c r="C218" s="109">
        <v>216</v>
      </c>
      <c r="D218" s="5" t="s">
        <v>310</v>
      </c>
      <c r="E218" s="2" t="s">
        <v>562</v>
      </c>
      <c r="F218" s="35" t="s">
        <v>455</v>
      </c>
      <c r="G218" s="10"/>
      <c r="H218" s="10"/>
      <c r="I218" s="10"/>
    </row>
    <row r="219" spans="3:9" ht="19.5" thickBot="1" x14ac:dyDescent="0.35">
      <c r="C219" s="109">
        <v>217</v>
      </c>
      <c r="D219" s="5" t="s">
        <v>293</v>
      </c>
      <c r="E219" s="2" t="s">
        <v>562</v>
      </c>
      <c r="F219" s="35" t="s">
        <v>455</v>
      </c>
      <c r="G219" s="10"/>
      <c r="H219" s="10"/>
      <c r="I219" s="10"/>
    </row>
    <row r="220" spans="3:9" ht="19.5" thickBot="1" x14ac:dyDescent="0.35">
      <c r="C220" s="109">
        <v>218</v>
      </c>
      <c r="D220" s="5" t="s">
        <v>321</v>
      </c>
      <c r="E220" s="2" t="s">
        <v>562</v>
      </c>
      <c r="F220" s="35" t="s">
        <v>455</v>
      </c>
      <c r="G220" s="10"/>
      <c r="H220" s="10"/>
      <c r="I220" s="10"/>
    </row>
    <row r="221" spans="3:9" ht="19.5" thickBot="1" x14ac:dyDescent="0.35">
      <c r="C221" s="109">
        <v>219</v>
      </c>
      <c r="D221" s="5" t="s">
        <v>618</v>
      </c>
      <c r="E221" s="2" t="s">
        <v>562</v>
      </c>
      <c r="F221" s="35" t="s">
        <v>455</v>
      </c>
      <c r="G221" s="10"/>
      <c r="H221" s="10"/>
      <c r="I221" s="10"/>
    </row>
    <row r="222" spans="3:9" ht="19.5" thickBot="1" x14ac:dyDescent="0.35">
      <c r="C222" s="109">
        <v>220</v>
      </c>
      <c r="D222" s="5" t="s">
        <v>378</v>
      </c>
      <c r="E222" s="2" t="s">
        <v>562</v>
      </c>
      <c r="F222" s="35" t="s">
        <v>455</v>
      </c>
      <c r="G222" s="10"/>
      <c r="H222" s="10"/>
      <c r="I222" s="10"/>
    </row>
    <row r="223" spans="3:9" ht="19.5" thickBot="1" x14ac:dyDescent="0.35">
      <c r="C223" s="109">
        <v>221</v>
      </c>
      <c r="D223" s="5" t="s">
        <v>376</v>
      </c>
      <c r="E223" s="2" t="s">
        <v>562</v>
      </c>
      <c r="F223" s="35" t="s">
        <v>455</v>
      </c>
      <c r="G223" s="10"/>
      <c r="H223" s="10"/>
      <c r="I223" s="10"/>
    </row>
    <row r="224" spans="3:9" ht="19.5" thickBot="1" x14ac:dyDescent="0.35">
      <c r="C224" s="109">
        <v>222</v>
      </c>
      <c r="D224" s="5" t="s">
        <v>397</v>
      </c>
      <c r="E224" s="2" t="s">
        <v>562</v>
      </c>
      <c r="F224" s="35" t="s">
        <v>455</v>
      </c>
      <c r="G224" s="10"/>
      <c r="H224" s="10"/>
      <c r="I224" s="10"/>
    </row>
    <row r="225" spans="3:9" ht="19.5" thickBot="1" x14ac:dyDescent="0.35">
      <c r="C225" s="109">
        <v>223</v>
      </c>
      <c r="D225" s="5" t="s">
        <v>408</v>
      </c>
      <c r="E225" s="2" t="s">
        <v>562</v>
      </c>
      <c r="F225" s="35" t="s">
        <v>455</v>
      </c>
      <c r="G225" s="10"/>
      <c r="H225" s="10"/>
      <c r="I225" s="10"/>
    </row>
    <row r="226" spans="3:9" ht="19.5" thickBot="1" x14ac:dyDescent="0.35">
      <c r="C226" s="109">
        <v>224</v>
      </c>
      <c r="D226" s="5" t="s">
        <v>423</v>
      </c>
      <c r="E226" s="2" t="s">
        <v>562</v>
      </c>
      <c r="F226" s="35" t="s">
        <v>455</v>
      </c>
      <c r="G226" s="10"/>
      <c r="H226" s="10"/>
      <c r="I226" s="10"/>
    </row>
    <row r="227" spans="3:9" ht="19.5" thickBot="1" x14ac:dyDescent="0.35">
      <c r="C227" s="109">
        <v>225</v>
      </c>
      <c r="D227" s="5" t="s">
        <v>146</v>
      </c>
      <c r="E227" s="2" t="s">
        <v>569</v>
      </c>
      <c r="F227" s="35" t="s">
        <v>455</v>
      </c>
      <c r="G227" s="10"/>
      <c r="H227" s="10"/>
      <c r="I227" s="10"/>
    </row>
    <row r="228" spans="3:9" ht="19.5" thickBot="1" x14ac:dyDescent="0.35">
      <c r="C228" s="109">
        <v>226</v>
      </c>
      <c r="D228" s="5" t="s">
        <v>159</v>
      </c>
      <c r="E228" s="2" t="s">
        <v>569</v>
      </c>
      <c r="F228" s="35" t="s">
        <v>489</v>
      </c>
      <c r="G228" s="10"/>
      <c r="H228" s="10"/>
      <c r="I228" s="10"/>
    </row>
    <row r="229" spans="3:9" ht="19.5" thickBot="1" x14ac:dyDescent="0.35">
      <c r="C229" s="109">
        <v>227</v>
      </c>
      <c r="D229" s="5" t="s">
        <v>343</v>
      </c>
      <c r="E229" s="2" t="s">
        <v>569</v>
      </c>
      <c r="F229" s="35" t="s">
        <v>489</v>
      </c>
      <c r="G229" s="10"/>
      <c r="H229" s="10"/>
      <c r="I229" s="10"/>
    </row>
    <row r="230" spans="3:9" ht="18.75" x14ac:dyDescent="0.3">
      <c r="C230" s="109">
        <v>228</v>
      </c>
      <c r="D230" s="5" t="s">
        <v>99</v>
      </c>
      <c r="E230" s="2" t="s">
        <v>573</v>
      </c>
      <c r="F230" s="35" t="s">
        <v>455</v>
      </c>
      <c r="G230" s="10"/>
      <c r="H230" s="10"/>
      <c r="I230" s="10"/>
    </row>
    <row r="231" spans="3:9" ht="19.5" thickBot="1" x14ac:dyDescent="0.35">
      <c r="C231" s="109">
        <v>229</v>
      </c>
      <c r="D231" s="5" t="s">
        <v>124</v>
      </c>
      <c r="E231" s="2" t="s">
        <v>573</v>
      </c>
      <c r="F231" s="36" t="s">
        <v>455</v>
      </c>
      <c r="G231" s="10"/>
      <c r="H231" s="10"/>
      <c r="I231" s="10"/>
    </row>
    <row r="232" spans="3:9" ht="19.5" thickBot="1" x14ac:dyDescent="0.35">
      <c r="C232" s="109">
        <v>230</v>
      </c>
      <c r="D232" s="5" t="s">
        <v>153</v>
      </c>
      <c r="E232" s="2" t="s">
        <v>573</v>
      </c>
      <c r="F232" s="35" t="s">
        <v>455</v>
      </c>
      <c r="G232" s="10"/>
      <c r="H232" s="10"/>
      <c r="I232" s="10"/>
    </row>
    <row r="233" spans="3:9" ht="19.5" thickBot="1" x14ac:dyDescent="0.35">
      <c r="C233" s="109">
        <v>231</v>
      </c>
      <c r="D233" s="5" t="s">
        <v>160</v>
      </c>
      <c r="E233" s="2" t="s">
        <v>573</v>
      </c>
      <c r="F233" s="35" t="s">
        <v>455</v>
      </c>
      <c r="G233" s="10"/>
      <c r="H233" s="10"/>
      <c r="I233" s="10"/>
    </row>
    <row r="234" spans="3:9" ht="19.5" thickBot="1" x14ac:dyDescent="0.35">
      <c r="C234" s="109">
        <v>232</v>
      </c>
      <c r="D234" s="5" t="s">
        <v>411</v>
      </c>
      <c r="E234" s="2" t="s">
        <v>573</v>
      </c>
      <c r="F234" s="35" t="s">
        <v>455</v>
      </c>
      <c r="G234" s="10"/>
      <c r="H234" s="10"/>
      <c r="I234" s="10"/>
    </row>
    <row r="235" spans="3:9" ht="19.5" thickBot="1" x14ac:dyDescent="0.35">
      <c r="C235" s="109">
        <v>233</v>
      </c>
      <c r="D235" s="5" t="s">
        <v>66</v>
      </c>
      <c r="E235" s="2" t="s">
        <v>575</v>
      </c>
      <c r="F235" s="35" t="s">
        <v>455</v>
      </c>
      <c r="G235" s="10"/>
      <c r="H235" s="10"/>
      <c r="I235" s="10"/>
    </row>
    <row r="236" spans="3:9" ht="19.5" thickBot="1" x14ac:dyDescent="0.35">
      <c r="C236" s="109">
        <v>234</v>
      </c>
      <c r="D236" s="5" t="s">
        <v>98</v>
      </c>
      <c r="E236" s="2" t="s">
        <v>575</v>
      </c>
      <c r="F236" s="35" t="s">
        <v>455</v>
      </c>
      <c r="G236" s="10"/>
      <c r="H236" s="10"/>
      <c r="I236" s="10"/>
    </row>
    <row r="237" spans="3:9" ht="19.5" thickBot="1" x14ac:dyDescent="0.35">
      <c r="C237" s="109">
        <v>235</v>
      </c>
      <c r="D237" s="5" t="s">
        <v>576</v>
      </c>
      <c r="E237" s="2" t="s">
        <v>575</v>
      </c>
      <c r="F237" s="35" t="s">
        <v>455</v>
      </c>
      <c r="G237" s="10"/>
      <c r="H237" s="10"/>
      <c r="I237" s="10"/>
    </row>
    <row r="238" spans="3:9" ht="19.5" thickBot="1" x14ac:dyDescent="0.35">
      <c r="C238" s="109">
        <v>236</v>
      </c>
      <c r="D238" s="5" t="s">
        <v>247</v>
      </c>
      <c r="E238" s="2" t="s">
        <v>575</v>
      </c>
      <c r="F238" s="35" t="s">
        <v>455</v>
      </c>
      <c r="G238" s="10"/>
      <c r="H238" s="10"/>
      <c r="I238" s="10"/>
    </row>
    <row r="239" spans="3:9" ht="19.5" thickBot="1" x14ac:dyDescent="0.35">
      <c r="C239" s="109">
        <v>237</v>
      </c>
      <c r="D239" s="5" t="s">
        <v>326</v>
      </c>
      <c r="E239" s="2" t="s">
        <v>575</v>
      </c>
      <c r="F239" s="35" t="s">
        <v>455</v>
      </c>
      <c r="G239" s="10"/>
      <c r="H239" s="10"/>
      <c r="I239" s="10"/>
    </row>
    <row r="240" spans="3:9" ht="19.5" thickBot="1" x14ac:dyDescent="0.35">
      <c r="C240" s="109">
        <v>238</v>
      </c>
      <c r="D240" s="5" t="s">
        <v>381</v>
      </c>
      <c r="E240" s="2" t="s">
        <v>575</v>
      </c>
      <c r="F240" s="35" t="s">
        <v>455</v>
      </c>
      <c r="G240" s="10"/>
      <c r="H240" s="10"/>
      <c r="I240" s="10"/>
    </row>
    <row r="241" spans="3:9" ht="19.5" thickBot="1" x14ac:dyDescent="0.35">
      <c r="C241" s="109">
        <v>239</v>
      </c>
      <c r="D241" s="5" t="s">
        <v>425</v>
      </c>
      <c r="E241" s="2" t="s">
        <v>575</v>
      </c>
      <c r="F241" s="35" t="s">
        <v>455</v>
      </c>
      <c r="G241" s="10"/>
      <c r="H241" s="10"/>
      <c r="I241" s="10"/>
    </row>
    <row r="242" spans="3:9" ht="19.5" thickBot="1" x14ac:dyDescent="0.35">
      <c r="C242" s="109">
        <v>240</v>
      </c>
      <c r="D242" s="12" t="s">
        <v>578</v>
      </c>
      <c r="E242" s="135"/>
      <c r="F242" s="134" t="s">
        <v>455</v>
      </c>
      <c r="G242" s="10"/>
      <c r="H242" s="10"/>
      <c r="I242" s="10"/>
    </row>
    <row r="243" spans="3:9" ht="19.5" thickBot="1" x14ac:dyDescent="0.35">
      <c r="C243" s="109">
        <v>241</v>
      </c>
      <c r="D243" s="5" t="s">
        <v>621</v>
      </c>
      <c r="E243" s="2"/>
      <c r="F243" s="35" t="s">
        <v>455</v>
      </c>
      <c r="G243" s="10"/>
      <c r="H243" s="10"/>
      <c r="I243" s="10"/>
    </row>
    <row r="244" spans="3:9" ht="19.5" thickBot="1" x14ac:dyDescent="0.35">
      <c r="C244" s="109">
        <v>242</v>
      </c>
      <c r="D244" s="5" t="s">
        <v>286</v>
      </c>
      <c r="E244" s="2"/>
      <c r="F244" s="35" t="s">
        <v>455</v>
      </c>
      <c r="G244" s="10"/>
      <c r="H244" s="10"/>
      <c r="I244" s="10"/>
    </row>
    <row r="245" spans="3:9" ht="19.5" thickBot="1" x14ac:dyDescent="0.35">
      <c r="C245" s="109">
        <v>243</v>
      </c>
      <c r="D245" s="5" t="s">
        <v>587</v>
      </c>
      <c r="E245" s="2"/>
      <c r="F245" s="35" t="s">
        <v>489</v>
      </c>
      <c r="G245" s="10"/>
      <c r="H245" s="10"/>
      <c r="I245" s="10"/>
    </row>
    <row r="246" spans="3:9" ht="19.5" thickBot="1" x14ac:dyDescent="0.35">
      <c r="C246" s="109">
        <v>244</v>
      </c>
      <c r="D246" s="5" t="s">
        <v>327</v>
      </c>
      <c r="E246" s="2"/>
      <c r="F246" s="35" t="s">
        <v>455</v>
      </c>
      <c r="G246" s="10"/>
      <c r="H246" s="10"/>
      <c r="I246" s="10"/>
    </row>
    <row r="247" spans="3:9" ht="19.5" thickBot="1" x14ac:dyDescent="0.35">
      <c r="C247" s="109">
        <v>245</v>
      </c>
      <c r="D247" s="5" t="s">
        <v>319</v>
      </c>
      <c r="E247" s="2"/>
      <c r="F247" s="35" t="s">
        <v>455</v>
      </c>
      <c r="G247" s="10"/>
      <c r="H247" s="10"/>
      <c r="I247" s="10"/>
    </row>
    <row r="248" spans="3:9" ht="19.5" thickBot="1" x14ac:dyDescent="0.35">
      <c r="C248" s="109">
        <v>246</v>
      </c>
      <c r="D248" s="5" t="s">
        <v>306</v>
      </c>
      <c r="E248" s="2"/>
      <c r="F248" s="35" t="s">
        <v>455</v>
      </c>
      <c r="G248" s="10"/>
      <c r="H248" s="10"/>
      <c r="I248" s="10"/>
    </row>
    <row r="249" spans="3:9" ht="19.5" thickBot="1" x14ac:dyDescent="0.35">
      <c r="C249" s="109">
        <v>247</v>
      </c>
      <c r="D249" s="5" t="s">
        <v>352</v>
      </c>
      <c r="E249" s="2"/>
      <c r="F249" s="35" t="s">
        <v>455</v>
      </c>
      <c r="G249" s="10"/>
      <c r="H249" s="10"/>
      <c r="I249" s="10"/>
    </row>
    <row r="250" spans="3:9" ht="19.5" thickBot="1" x14ac:dyDescent="0.35">
      <c r="C250" s="109">
        <v>248</v>
      </c>
      <c r="D250" s="5" t="s">
        <v>590</v>
      </c>
      <c r="E250" s="2"/>
      <c r="F250" s="35" t="s">
        <v>455</v>
      </c>
      <c r="G250" s="10"/>
      <c r="H250" s="10"/>
      <c r="I250" s="10"/>
    </row>
    <row r="251" spans="3:9" ht="19.5" thickBot="1" x14ac:dyDescent="0.35">
      <c r="C251" s="109">
        <v>249</v>
      </c>
      <c r="D251" s="5" t="s">
        <v>382</v>
      </c>
      <c r="E251" s="2"/>
      <c r="F251" s="35" t="s">
        <v>455</v>
      </c>
      <c r="G251" s="10"/>
      <c r="H251" s="10"/>
      <c r="I251" s="10"/>
    </row>
    <row r="252" spans="3:9" ht="19.5" thickBot="1" x14ac:dyDescent="0.35">
      <c r="C252" s="109">
        <v>250</v>
      </c>
      <c r="D252" s="5" t="s">
        <v>414</v>
      </c>
      <c r="E252" s="2" t="s">
        <v>530</v>
      </c>
      <c r="F252" s="35" t="s">
        <v>455</v>
      </c>
      <c r="G252" s="10"/>
      <c r="H252" s="10"/>
      <c r="I252" s="10"/>
    </row>
    <row r="253" spans="3:9" ht="19.5" thickBot="1" x14ac:dyDescent="0.35">
      <c r="C253" s="109">
        <v>251</v>
      </c>
      <c r="D253" s="5"/>
      <c r="E253" s="97"/>
      <c r="F253" s="35"/>
      <c r="G253" s="10"/>
      <c r="H253" s="10"/>
      <c r="I253" s="10"/>
    </row>
    <row r="254" spans="3:9" ht="19.5" thickBot="1" x14ac:dyDescent="0.35">
      <c r="C254" s="109">
        <v>252</v>
      </c>
      <c r="D254" s="5"/>
      <c r="E254" s="97"/>
      <c r="F254" s="35"/>
      <c r="G254" s="10"/>
      <c r="H254" s="10"/>
      <c r="I254" s="10"/>
    </row>
    <row r="255" spans="3:9" ht="19.5" thickBot="1" x14ac:dyDescent="0.35">
      <c r="C255" s="109">
        <v>253</v>
      </c>
      <c r="D255" s="5"/>
      <c r="E255" s="97"/>
      <c r="F255" s="35"/>
      <c r="G255" s="10"/>
      <c r="H255" s="10"/>
      <c r="I255" s="10"/>
    </row>
    <row r="256" spans="3:9" ht="19.5" thickBot="1" x14ac:dyDescent="0.35">
      <c r="C256" s="109">
        <v>254</v>
      </c>
      <c r="D256" s="5"/>
      <c r="E256" s="97"/>
      <c r="F256" s="35"/>
      <c r="G256" s="10"/>
      <c r="H256" s="10"/>
      <c r="I256" s="10"/>
    </row>
    <row r="257" spans="3:9" ht="19.5" thickBot="1" x14ac:dyDescent="0.35">
      <c r="C257" s="109">
        <v>255</v>
      </c>
      <c r="D257" s="5" t="s">
        <v>601</v>
      </c>
      <c r="E257" s="2" t="s">
        <v>488</v>
      </c>
      <c r="F257" s="35" t="s">
        <v>455</v>
      </c>
      <c r="G257" s="10"/>
      <c r="H257" s="10"/>
      <c r="I257" s="10"/>
    </row>
    <row r="258" spans="3:9" ht="19.5" thickBot="1" x14ac:dyDescent="0.35">
      <c r="C258" s="109">
        <v>256</v>
      </c>
      <c r="D258" s="5" t="s">
        <v>212</v>
      </c>
      <c r="E258" s="2" t="s">
        <v>492</v>
      </c>
      <c r="F258" s="35" t="s">
        <v>455</v>
      </c>
      <c r="G258" s="10"/>
      <c r="H258" s="10"/>
      <c r="I258" s="10"/>
    </row>
    <row r="259" spans="3:9" ht="19.5" thickBot="1" x14ac:dyDescent="0.35">
      <c r="C259" s="109">
        <v>257</v>
      </c>
      <c r="D259" s="5" t="s">
        <v>155</v>
      </c>
      <c r="E259" s="2" t="s">
        <v>504</v>
      </c>
      <c r="F259" s="35" t="s">
        <v>455</v>
      </c>
      <c r="G259" s="10"/>
      <c r="H259" s="10"/>
      <c r="I259" s="10"/>
    </row>
    <row r="260" spans="3:9" ht="19.5" thickBot="1" x14ac:dyDescent="0.35">
      <c r="C260" s="109">
        <v>258</v>
      </c>
      <c r="D260" s="5" t="s">
        <v>87</v>
      </c>
      <c r="E260" s="2" t="s">
        <v>520</v>
      </c>
      <c r="F260" s="35" t="s">
        <v>455</v>
      </c>
      <c r="G260" s="10"/>
      <c r="H260" s="10"/>
      <c r="I260" s="10"/>
    </row>
    <row r="261" spans="3:9" ht="19.5" thickBot="1" x14ac:dyDescent="0.35">
      <c r="C261" s="109">
        <v>259</v>
      </c>
      <c r="D261" s="5" t="s">
        <v>46</v>
      </c>
      <c r="E261" s="2" t="s">
        <v>530</v>
      </c>
      <c r="F261" s="35" t="s">
        <v>455</v>
      </c>
      <c r="G261" s="10"/>
      <c r="H261" s="10"/>
      <c r="I261" s="10"/>
    </row>
    <row r="262" spans="3:9" ht="19.5" thickBot="1" x14ac:dyDescent="0.35">
      <c r="C262" s="109">
        <v>260</v>
      </c>
      <c r="D262" s="5" t="s">
        <v>103</v>
      </c>
      <c r="E262" s="2" t="s">
        <v>530</v>
      </c>
      <c r="F262" s="35" t="s">
        <v>455</v>
      </c>
      <c r="G262" s="10"/>
      <c r="H262" s="10"/>
      <c r="I262" s="10"/>
    </row>
    <row r="263" spans="3:9" ht="19.5" thickBot="1" x14ac:dyDescent="0.35">
      <c r="C263" s="109">
        <v>261</v>
      </c>
      <c r="D263" s="5" t="s">
        <v>205</v>
      </c>
      <c r="E263" s="2" t="s">
        <v>530</v>
      </c>
      <c r="F263" s="35" t="s">
        <v>455</v>
      </c>
      <c r="G263" s="10"/>
      <c r="H263" s="10"/>
      <c r="I263" s="10"/>
    </row>
    <row r="264" spans="3:9" ht="19.5" thickBot="1" x14ac:dyDescent="0.35">
      <c r="C264" s="109">
        <v>262</v>
      </c>
      <c r="D264" s="5" t="s">
        <v>551</v>
      </c>
      <c r="E264" s="2" t="s">
        <v>549</v>
      </c>
      <c r="F264" s="35" t="s">
        <v>455</v>
      </c>
      <c r="G264" s="10"/>
      <c r="H264" s="10"/>
      <c r="I264" s="10"/>
    </row>
    <row r="265" spans="3:9" ht="19.5" thickBot="1" x14ac:dyDescent="0.35">
      <c r="C265" s="109">
        <v>263</v>
      </c>
      <c r="D265" s="5" t="s">
        <v>559</v>
      </c>
      <c r="E265" s="2" t="s">
        <v>556</v>
      </c>
      <c r="F265" s="35" t="s">
        <v>455</v>
      </c>
      <c r="G265" s="10"/>
      <c r="H265" s="10"/>
      <c r="I265" s="10"/>
    </row>
    <row r="266" spans="3:9" ht="19.5" thickBot="1" x14ac:dyDescent="0.35">
      <c r="C266" s="109">
        <v>264</v>
      </c>
      <c r="D266" s="5" t="s">
        <v>256</v>
      </c>
      <c r="E266" s="2" t="s">
        <v>556</v>
      </c>
      <c r="F266" s="35" t="s">
        <v>455</v>
      </c>
      <c r="G266" s="10"/>
      <c r="H266" s="10"/>
      <c r="I266" s="10"/>
    </row>
    <row r="267" spans="3:9" ht="19.5" thickBot="1" x14ac:dyDescent="0.35">
      <c r="C267" s="109">
        <v>265</v>
      </c>
      <c r="D267" s="5" t="s">
        <v>374</v>
      </c>
      <c r="E267" s="2" t="s">
        <v>556</v>
      </c>
      <c r="F267" s="35" t="s">
        <v>455</v>
      </c>
      <c r="G267" s="10"/>
      <c r="H267" s="10"/>
      <c r="I267" s="10"/>
    </row>
    <row r="268" spans="3:9" ht="19.5" thickBot="1" x14ac:dyDescent="0.35">
      <c r="C268" s="109">
        <v>266</v>
      </c>
      <c r="D268" s="5" t="s">
        <v>163</v>
      </c>
      <c r="E268" s="2" t="s">
        <v>562</v>
      </c>
      <c r="F268" s="35" t="s">
        <v>455</v>
      </c>
      <c r="G268" s="10"/>
      <c r="H268" s="10"/>
      <c r="I268" s="10"/>
    </row>
    <row r="269" spans="3:9" ht="19.5" thickBot="1" x14ac:dyDescent="0.35">
      <c r="C269" s="109">
        <v>267</v>
      </c>
      <c r="D269" s="5" t="s">
        <v>214</v>
      </c>
      <c r="E269" s="2" t="s">
        <v>562</v>
      </c>
      <c r="F269" s="35" t="s">
        <v>455</v>
      </c>
      <c r="G269" s="10"/>
      <c r="H269" s="10"/>
      <c r="I269" s="10"/>
    </row>
    <row r="270" spans="3:9" ht="19.5" thickBot="1" x14ac:dyDescent="0.35">
      <c r="C270" s="109">
        <v>268</v>
      </c>
      <c r="D270" s="5" t="s">
        <v>114</v>
      </c>
      <c r="E270" s="2" t="s">
        <v>461</v>
      </c>
      <c r="F270" s="35" t="s">
        <v>455</v>
      </c>
      <c r="G270" s="10"/>
      <c r="H270" s="10"/>
      <c r="I270" s="10"/>
    </row>
    <row r="271" spans="3:9" ht="19.5" thickBot="1" x14ac:dyDescent="0.35">
      <c r="C271" s="109">
        <v>269</v>
      </c>
      <c r="D271" s="5" t="s">
        <v>357</v>
      </c>
      <c r="E271" s="2" t="s">
        <v>493</v>
      </c>
      <c r="F271" s="35" t="s">
        <v>455</v>
      </c>
      <c r="G271" s="10"/>
      <c r="H271" s="10"/>
      <c r="I271" s="10"/>
    </row>
    <row r="272" spans="3:9" ht="19.5" thickBot="1" x14ac:dyDescent="0.35">
      <c r="C272" s="109">
        <v>270</v>
      </c>
      <c r="D272" s="5" t="s">
        <v>287</v>
      </c>
      <c r="E272" s="2" t="s">
        <v>501</v>
      </c>
      <c r="F272" s="35" t="s">
        <v>455</v>
      </c>
      <c r="G272" s="10"/>
      <c r="H272" s="10"/>
      <c r="I272" s="10"/>
    </row>
    <row r="273" spans="3:9" ht="19.5" thickBot="1" x14ac:dyDescent="0.35">
      <c r="C273" s="109">
        <v>271</v>
      </c>
      <c r="D273" s="5" t="s">
        <v>191</v>
      </c>
      <c r="E273" s="2" t="s">
        <v>504</v>
      </c>
      <c r="F273" s="35" t="s">
        <v>455</v>
      </c>
      <c r="G273" s="10"/>
      <c r="H273" s="10"/>
      <c r="I273" s="10"/>
    </row>
    <row r="274" spans="3:9" ht="19.5" thickBot="1" x14ac:dyDescent="0.35">
      <c r="C274" s="109">
        <v>272</v>
      </c>
      <c r="D274" s="5" t="s">
        <v>341</v>
      </c>
      <c r="E274" s="2" t="s">
        <v>504</v>
      </c>
      <c r="F274" s="35" t="s">
        <v>455</v>
      </c>
      <c r="G274" s="10"/>
      <c r="H274" s="10"/>
      <c r="I274" s="10"/>
    </row>
    <row r="275" spans="3:9" ht="19.5" thickBot="1" x14ac:dyDescent="0.35">
      <c r="C275" s="109">
        <v>273</v>
      </c>
      <c r="D275" s="5" t="s">
        <v>536</v>
      </c>
      <c r="E275" s="2" t="s">
        <v>530</v>
      </c>
      <c r="F275" s="35" t="s">
        <v>455</v>
      </c>
      <c r="G275" s="10"/>
      <c r="H275" s="10"/>
      <c r="I275" s="10"/>
    </row>
    <row r="276" spans="3:9" ht="19.5" thickBot="1" x14ac:dyDescent="0.35">
      <c r="C276" s="109">
        <v>274</v>
      </c>
      <c r="D276" s="5" t="s">
        <v>175</v>
      </c>
      <c r="E276" s="2" t="s">
        <v>530</v>
      </c>
      <c r="F276" s="35" t="s">
        <v>455</v>
      </c>
      <c r="G276" s="10"/>
      <c r="H276" s="10"/>
      <c r="I276" s="10"/>
    </row>
    <row r="277" spans="3:9" ht="19.5" thickBot="1" x14ac:dyDescent="0.35">
      <c r="C277" s="109">
        <v>275</v>
      </c>
      <c r="D277" s="5" t="s">
        <v>401</v>
      </c>
      <c r="E277" s="2" t="s">
        <v>530</v>
      </c>
      <c r="F277" s="35" t="s">
        <v>455</v>
      </c>
      <c r="G277" s="10"/>
      <c r="H277" s="10"/>
      <c r="I277" s="10"/>
    </row>
    <row r="278" spans="3:9" ht="19.5" thickBot="1" x14ac:dyDescent="0.35">
      <c r="C278" s="109">
        <v>276</v>
      </c>
      <c r="D278" s="12" t="s">
        <v>615</v>
      </c>
      <c r="E278" s="2" t="s">
        <v>545</v>
      </c>
      <c r="F278" s="35" t="s">
        <v>489</v>
      </c>
      <c r="G278" s="10"/>
      <c r="H278" s="10"/>
      <c r="I278" s="10"/>
    </row>
    <row r="279" spans="3:9" ht="19.5" thickBot="1" x14ac:dyDescent="0.35">
      <c r="C279" s="109">
        <v>277</v>
      </c>
      <c r="D279" s="5" t="s">
        <v>548</v>
      </c>
      <c r="E279" s="2" t="s">
        <v>549</v>
      </c>
      <c r="F279" s="35" t="s">
        <v>455</v>
      </c>
      <c r="G279" s="10"/>
      <c r="H279" s="10"/>
      <c r="I279" s="10"/>
    </row>
    <row r="280" spans="3:9" ht="19.5" thickBot="1" x14ac:dyDescent="0.35">
      <c r="C280" s="109">
        <v>278</v>
      </c>
      <c r="D280" s="5" t="s">
        <v>16</v>
      </c>
      <c r="E280" s="2" t="s">
        <v>556</v>
      </c>
      <c r="F280" s="35" t="s">
        <v>455</v>
      </c>
      <c r="G280" s="10"/>
      <c r="H280" s="10"/>
      <c r="I280" s="10"/>
    </row>
    <row r="281" spans="3:9" ht="19.5" thickBot="1" x14ac:dyDescent="0.35">
      <c r="C281" s="109">
        <v>279</v>
      </c>
      <c r="D281" s="5" t="s">
        <v>148</v>
      </c>
      <c r="E281" s="2" t="s">
        <v>556</v>
      </c>
      <c r="F281" s="35" t="s">
        <v>455</v>
      </c>
      <c r="G281" s="10"/>
      <c r="H281" s="10"/>
      <c r="I281" s="10"/>
    </row>
    <row r="282" spans="3:9" ht="19.5" thickBot="1" x14ac:dyDescent="0.35">
      <c r="C282" s="109">
        <v>280</v>
      </c>
      <c r="D282" s="5" t="s">
        <v>568</v>
      </c>
      <c r="E282" s="2" t="s">
        <v>562</v>
      </c>
      <c r="F282" s="35" t="s">
        <v>455</v>
      </c>
      <c r="G282" s="10"/>
      <c r="H282" s="10"/>
      <c r="I282" s="10"/>
    </row>
    <row r="283" spans="3:9" ht="19.5" thickBot="1" x14ac:dyDescent="0.35">
      <c r="C283" s="109">
        <v>281</v>
      </c>
      <c r="D283" s="5" t="s">
        <v>290</v>
      </c>
      <c r="E283" s="2" t="s">
        <v>562</v>
      </c>
      <c r="F283" s="35" t="s">
        <v>455</v>
      </c>
      <c r="G283" s="10"/>
      <c r="H283" s="10"/>
      <c r="I283" s="10"/>
    </row>
    <row r="284" spans="3:9" ht="19.5" thickBot="1" x14ac:dyDescent="0.35">
      <c r="C284" s="109">
        <v>282</v>
      </c>
      <c r="D284" s="5" t="s">
        <v>215</v>
      </c>
      <c r="E284" s="2"/>
      <c r="F284" s="35" t="s">
        <v>455</v>
      </c>
      <c r="G284" s="10"/>
      <c r="H284" s="10"/>
      <c r="I284" s="10"/>
    </row>
    <row r="285" spans="3:9" ht="19.5" thickBot="1" x14ac:dyDescent="0.35">
      <c r="C285" s="109">
        <v>283</v>
      </c>
      <c r="D285" s="5" t="s">
        <v>419</v>
      </c>
      <c r="E285" s="2"/>
      <c r="F285" s="35" t="s">
        <v>455</v>
      </c>
      <c r="G285" s="10"/>
      <c r="H285" s="10"/>
      <c r="I285" s="10"/>
    </row>
    <row r="286" spans="3:9" ht="19.5" thickBot="1" x14ac:dyDescent="0.35">
      <c r="C286" s="109">
        <v>284</v>
      </c>
      <c r="D286" s="5" t="s">
        <v>201</v>
      </c>
      <c r="E286" s="2" t="s">
        <v>488</v>
      </c>
      <c r="F286" s="35" t="s">
        <v>455</v>
      </c>
      <c r="G286" s="10"/>
      <c r="H286" s="10"/>
      <c r="I286" s="10"/>
    </row>
    <row r="287" spans="3:9" ht="19.5" thickBot="1" x14ac:dyDescent="0.35">
      <c r="C287" s="109">
        <v>285</v>
      </c>
      <c r="D287" s="5" t="s">
        <v>491</v>
      </c>
      <c r="E287" s="2" t="s">
        <v>492</v>
      </c>
      <c r="F287" s="35" t="s">
        <v>455</v>
      </c>
      <c r="G287" s="10"/>
      <c r="H287" s="10"/>
      <c r="I287" s="10"/>
    </row>
    <row r="288" spans="3:9" ht="19.5" thickBot="1" x14ac:dyDescent="0.35">
      <c r="C288" s="109">
        <v>286</v>
      </c>
      <c r="D288" s="5" t="s">
        <v>119</v>
      </c>
      <c r="E288" s="2" t="s">
        <v>501</v>
      </c>
      <c r="F288" s="35" t="s">
        <v>455</v>
      </c>
      <c r="G288" s="10"/>
      <c r="H288" s="10"/>
      <c r="I288" s="10"/>
    </row>
    <row r="289" spans="3:9" ht="19.5" thickBot="1" x14ac:dyDescent="0.35">
      <c r="C289" s="109">
        <v>287</v>
      </c>
      <c r="D289" s="5" t="s">
        <v>276</v>
      </c>
      <c r="E289" s="2" t="s">
        <v>504</v>
      </c>
      <c r="F289" s="35" t="s">
        <v>455</v>
      </c>
      <c r="G289" s="10"/>
      <c r="H289" s="10"/>
      <c r="I289" s="10"/>
    </row>
    <row r="290" spans="3:9" ht="19.5" thickBot="1" x14ac:dyDescent="0.35">
      <c r="C290" s="109">
        <v>288</v>
      </c>
      <c r="D290" s="5" t="s">
        <v>417</v>
      </c>
      <c r="E290" s="2" t="s">
        <v>511</v>
      </c>
      <c r="F290" s="35" t="s">
        <v>455</v>
      </c>
      <c r="G290" s="10"/>
      <c r="H290" s="10"/>
      <c r="I290" s="10"/>
    </row>
    <row r="291" spans="3:9" ht="19.5" thickBot="1" x14ac:dyDescent="0.35">
      <c r="C291" s="109">
        <v>289</v>
      </c>
      <c r="D291" s="5" t="s">
        <v>68</v>
      </c>
      <c r="E291" s="2" t="s">
        <v>530</v>
      </c>
      <c r="F291" s="35" t="s">
        <v>455</v>
      </c>
      <c r="G291" s="10"/>
      <c r="H291" s="10"/>
      <c r="I291" s="10"/>
    </row>
    <row r="292" spans="3:9" ht="19.5" thickBot="1" x14ac:dyDescent="0.35">
      <c r="C292" s="109">
        <v>290</v>
      </c>
      <c r="D292" s="5" t="s">
        <v>288</v>
      </c>
      <c r="E292" s="2" t="s">
        <v>530</v>
      </c>
      <c r="F292" s="35" t="s">
        <v>455</v>
      </c>
      <c r="G292" s="10"/>
      <c r="H292" s="10"/>
      <c r="I292" s="10"/>
    </row>
    <row r="293" spans="3:9" ht="19.5" thickBot="1" x14ac:dyDescent="0.35">
      <c r="C293" s="109">
        <v>291</v>
      </c>
      <c r="D293" s="5" t="s">
        <v>560</v>
      </c>
      <c r="E293" s="2" t="s">
        <v>556</v>
      </c>
      <c r="F293" s="35" t="s">
        <v>455</v>
      </c>
      <c r="G293" s="10"/>
      <c r="H293" s="10"/>
      <c r="I293" s="10"/>
    </row>
    <row r="294" spans="3:9" ht="19.5" thickBot="1" x14ac:dyDescent="0.35">
      <c r="C294" s="109">
        <v>292</v>
      </c>
      <c r="D294" s="5" t="s">
        <v>137</v>
      </c>
      <c r="E294" s="2" t="s">
        <v>562</v>
      </c>
      <c r="F294" s="35" t="s">
        <v>455</v>
      </c>
      <c r="G294" s="10"/>
      <c r="H294" s="10"/>
      <c r="I294" s="10"/>
    </row>
    <row r="295" spans="3:9" ht="19.5" thickBot="1" x14ac:dyDescent="0.35">
      <c r="C295" s="109">
        <v>293</v>
      </c>
      <c r="D295" s="5" t="s">
        <v>364</v>
      </c>
      <c r="E295" s="2" t="s">
        <v>569</v>
      </c>
      <c r="F295" s="35" t="s">
        <v>455</v>
      </c>
      <c r="G295" s="10"/>
      <c r="H295" s="10"/>
      <c r="I295" s="10"/>
    </row>
    <row r="296" spans="3:9" ht="19.5" thickBot="1" x14ac:dyDescent="0.35">
      <c r="C296" s="109">
        <v>294</v>
      </c>
      <c r="D296" s="5" t="s">
        <v>152</v>
      </c>
      <c r="E296" s="2" t="s">
        <v>575</v>
      </c>
      <c r="F296" s="35" t="s">
        <v>455</v>
      </c>
      <c r="G296" s="10"/>
      <c r="H296" s="10"/>
      <c r="I296" s="10"/>
    </row>
    <row r="297" spans="3:9" ht="19.5" thickBot="1" x14ac:dyDescent="0.35">
      <c r="C297" s="109">
        <v>295</v>
      </c>
      <c r="D297" s="5" t="s">
        <v>584</v>
      </c>
      <c r="E297" s="2"/>
      <c r="F297" s="35" t="s">
        <v>455</v>
      </c>
      <c r="G297" s="10"/>
      <c r="H297" s="10"/>
      <c r="I297" s="10"/>
    </row>
    <row r="298" spans="3:9" ht="19.5" thickBot="1" x14ac:dyDescent="0.35">
      <c r="C298" s="109">
        <v>296</v>
      </c>
      <c r="D298" s="5" t="s">
        <v>275</v>
      </c>
      <c r="E298" s="2" t="s">
        <v>461</v>
      </c>
      <c r="F298" s="35" t="s">
        <v>455</v>
      </c>
      <c r="G298" s="10"/>
      <c r="H298" s="10"/>
      <c r="I298" s="10"/>
    </row>
    <row r="299" spans="3:9" ht="19.5" thickBot="1" x14ac:dyDescent="0.35">
      <c r="C299" s="109">
        <v>297</v>
      </c>
      <c r="D299" s="5" t="s">
        <v>475</v>
      </c>
      <c r="E299" s="2" t="s">
        <v>488</v>
      </c>
      <c r="F299" s="35" t="s">
        <v>455</v>
      </c>
      <c r="G299" s="10"/>
      <c r="H299" s="10"/>
      <c r="I299" s="10"/>
    </row>
    <row r="300" spans="3:9" ht="19.5" thickBot="1" x14ac:dyDescent="0.35">
      <c r="C300" s="109">
        <v>298</v>
      </c>
      <c r="D300" s="5" t="s">
        <v>170</v>
      </c>
      <c r="E300" s="2" t="s">
        <v>493</v>
      </c>
      <c r="F300" s="35" t="s">
        <v>455</v>
      </c>
      <c r="G300" s="10"/>
      <c r="H300" s="10"/>
      <c r="I300" s="10"/>
    </row>
    <row r="301" spans="3:9" ht="19.5" thickBot="1" x14ac:dyDescent="0.35">
      <c r="C301" s="109">
        <v>299</v>
      </c>
      <c r="D301" s="5" t="s">
        <v>503</v>
      </c>
      <c r="E301" s="2" t="s">
        <v>501</v>
      </c>
      <c r="F301" s="35" t="s">
        <v>455</v>
      </c>
      <c r="G301" s="10"/>
      <c r="H301" s="10"/>
      <c r="I301" s="10"/>
    </row>
    <row r="302" spans="3:9" ht="19.5" thickBot="1" x14ac:dyDescent="0.35">
      <c r="C302" s="109">
        <v>300</v>
      </c>
      <c r="D302" s="5" t="s">
        <v>102</v>
      </c>
      <c r="E302" s="2" t="s">
        <v>504</v>
      </c>
      <c r="F302" s="35" t="s">
        <v>455</v>
      </c>
      <c r="G302" s="10"/>
      <c r="H302" s="10"/>
      <c r="I302" s="10"/>
    </row>
    <row r="303" spans="3:9" ht="19.5" thickBot="1" x14ac:dyDescent="0.35">
      <c r="C303" s="109">
        <v>301</v>
      </c>
      <c r="D303" s="5" t="s">
        <v>393</v>
      </c>
      <c r="E303" s="2" t="s">
        <v>504</v>
      </c>
      <c r="F303" s="35" t="s">
        <v>455</v>
      </c>
      <c r="G303" s="10"/>
      <c r="H303" s="10"/>
      <c r="I303" s="10"/>
    </row>
    <row r="304" spans="3:9" ht="19.5" thickBot="1" x14ac:dyDescent="0.35">
      <c r="C304" s="109">
        <v>302</v>
      </c>
      <c r="D304" s="5" t="s">
        <v>50</v>
      </c>
      <c r="E304" s="2" t="s">
        <v>530</v>
      </c>
      <c r="F304" s="35" t="s">
        <v>455</v>
      </c>
      <c r="G304" s="10"/>
      <c r="H304" s="10"/>
      <c r="I304" s="10"/>
    </row>
    <row r="305" spans="3:9" ht="19.5" thickBot="1" x14ac:dyDescent="0.35">
      <c r="C305" s="109">
        <v>303</v>
      </c>
      <c r="D305" s="5" t="s">
        <v>532</v>
      </c>
      <c r="E305" s="2" t="s">
        <v>530</v>
      </c>
      <c r="F305" s="35" t="s">
        <v>455</v>
      </c>
      <c r="G305" s="10"/>
      <c r="H305" s="10"/>
      <c r="I305" s="10"/>
    </row>
    <row r="306" spans="3:9" ht="19.5" thickBot="1" x14ac:dyDescent="0.35">
      <c r="C306" s="109">
        <v>304</v>
      </c>
      <c r="D306" s="5" t="s">
        <v>36</v>
      </c>
      <c r="E306" s="2" t="s">
        <v>530</v>
      </c>
      <c r="F306" s="35" t="s">
        <v>455</v>
      </c>
      <c r="G306" s="10"/>
      <c r="H306" s="10"/>
      <c r="I306" s="10"/>
    </row>
    <row r="307" spans="3:9" ht="19.5" thickBot="1" x14ac:dyDescent="0.35">
      <c r="C307" s="109">
        <v>305</v>
      </c>
      <c r="D307" s="5" t="s">
        <v>85</v>
      </c>
      <c r="E307" s="2" t="s">
        <v>530</v>
      </c>
      <c r="F307" s="35" t="s">
        <v>455</v>
      </c>
      <c r="G307" s="10"/>
      <c r="H307" s="10"/>
      <c r="I307" s="10"/>
    </row>
    <row r="308" spans="3:9" ht="19.5" thickBot="1" x14ac:dyDescent="0.35">
      <c r="C308" s="109">
        <v>306</v>
      </c>
      <c r="D308" s="5" t="s">
        <v>126</v>
      </c>
      <c r="E308" s="2" t="s">
        <v>530</v>
      </c>
      <c r="F308" s="35" t="s">
        <v>455</v>
      </c>
      <c r="G308" s="10"/>
      <c r="H308" s="10"/>
      <c r="I308" s="10"/>
    </row>
    <row r="309" spans="3:9" ht="19.5" thickBot="1" x14ac:dyDescent="0.35">
      <c r="C309" s="109">
        <v>307</v>
      </c>
      <c r="D309" s="5" t="s">
        <v>166</v>
      </c>
      <c r="E309" s="2" t="s">
        <v>530</v>
      </c>
      <c r="F309" s="35" t="s">
        <v>455</v>
      </c>
      <c r="G309" s="10"/>
      <c r="H309" s="10"/>
      <c r="I309" s="10"/>
    </row>
    <row r="310" spans="3:9" ht="19.5" thickBot="1" x14ac:dyDescent="0.35">
      <c r="C310" s="109">
        <v>308</v>
      </c>
      <c r="D310" s="5" t="s">
        <v>199</v>
      </c>
      <c r="E310" s="2" t="s">
        <v>530</v>
      </c>
      <c r="F310" s="35" t="s">
        <v>455</v>
      </c>
      <c r="G310" s="10"/>
      <c r="H310" s="10"/>
      <c r="I310" s="10"/>
    </row>
    <row r="311" spans="3:9" ht="19.5" thickBot="1" x14ac:dyDescent="0.35">
      <c r="C311" s="109">
        <v>309</v>
      </c>
      <c r="D311" s="5" t="s">
        <v>272</v>
      </c>
      <c r="E311" s="2" t="s">
        <v>530</v>
      </c>
      <c r="F311" s="35" t="s">
        <v>455</v>
      </c>
      <c r="G311" s="10"/>
      <c r="H311" s="10"/>
      <c r="I311" s="10"/>
    </row>
    <row r="312" spans="3:9" ht="19.5" thickBot="1" x14ac:dyDescent="0.35">
      <c r="C312" s="109">
        <v>310</v>
      </c>
      <c r="D312" s="5" t="s">
        <v>555</v>
      </c>
      <c r="E312" s="2" t="s">
        <v>549</v>
      </c>
      <c r="F312" s="35" t="s">
        <v>455</v>
      </c>
      <c r="G312" s="10"/>
      <c r="H312" s="10"/>
      <c r="I312" s="10"/>
    </row>
    <row r="313" spans="3:9" ht="19.5" thickBot="1" x14ac:dyDescent="0.35">
      <c r="C313" s="109">
        <v>311</v>
      </c>
      <c r="D313" s="5" t="s">
        <v>174</v>
      </c>
      <c r="E313" s="2" t="s">
        <v>562</v>
      </c>
      <c r="F313" s="35" t="s">
        <v>455</v>
      </c>
      <c r="G313" s="10"/>
      <c r="H313" s="10"/>
      <c r="I313" s="10"/>
    </row>
    <row r="314" spans="3:9" ht="19.5" thickBot="1" x14ac:dyDescent="0.35">
      <c r="C314" s="109">
        <v>312</v>
      </c>
      <c r="D314" s="5" t="s">
        <v>309</v>
      </c>
      <c r="E314" s="2" t="s">
        <v>562</v>
      </c>
      <c r="F314" s="35" t="s">
        <v>455</v>
      </c>
      <c r="G314" s="10"/>
      <c r="H314" s="10"/>
      <c r="I314" s="10"/>
    </row>
    <row r="315" spans="3:9" ht="19.5" thickBot="1" x14ac:dyDescent="0.35">
      <c r="C315" s="109">
        <v>313</v>
      </c>
      <c r="D315" s="5" t="s">
        <v>354</v>
      </c>
      <c r="E315" s="2" t="s">
        <v>569</v>
      </c>
      <c r="F315" s="35" t="s">
        <v>455</v>
      </c>
      <c r="G315" s="10"/>
      <c r="H315" s="10"/>
      <c r="I315" s="10"/>
    </row>
    <row r="316" spans="3:9" ht="19.5" thickBot="1" x14ac:dyDescent="0.35">
      <c r="C316" s="109">
        <v>314</v>
      </c>
      <c r="D316" s="5" t="s">
        <v>413</v>
      </c>
      <c r="E316" s="2" t="s">
        <v>575</v>
      </c>
      <c r="F316" s="35" t="s">
        <v>455</v>
      </c>
      <c r="G316" s="10"/>
      <c r="H316" s="10"/>
      <c r="I316" s="10"/>
    </row>
    <row r="317" spans="3:9" ht="19.5" thickBot="1" x14ac:dyDescent="0.35">
      <c r="C317" s="109">
        <v>315</v>
      </c>
      <c r="D317" s="5" t="s">
        <v>466</v>
      </c>
      <c r="E317" s="2" t="s">
        <v>461</v>
      </c>
      <c r="F317" s="35" t="s">
        <v>455</v>
      </c>
      <c r="G317" s="10"/>
      <c r="H317" s="10"/>
      <c r="I317" s="10"/>
    </row>
    <row r="318" spans="3:9" ht="19.5" thickBot="1" x14ac:dyDescent="0.35">
      <c r="C318" s="109">
        <v>316</v>
      </c>
      <c r="D318" s="5" t="s">
        <v>143</v>
      </c>
      <c r="E318" s="2" t="s">
        <v>461</v>
      </c>
      <c r="F318" s="35" t="s">
        <v>455</v>
      </c>
      <c r="G318" s="10"/>
      <c r="H318" s="10"/>
      <c r="I318" s="10"/>
    </row>
    <row r="319" spans="3:9" ht="19.5" thickBot="1" x14ac:dyDescent="0.35">
      <c r="C319" s="109">
        <v>317</v>
      </c>
      <c r="D319" s="5" t="s">
        <v>188</v>
      </c>
      <c r="E319" s="2" t="s">
        <v>461</v>
      </c>
      <c r="F319" s="35" t="s">
        <v>455</v>
      </c>
      <c r="G319" s="10"/>
      <c r="H319" s="10"/>
      <c r="I319" s="10"/>
    </row>
    <row r="320" spans="3:9" ht="19.5" thickBot="1" x14ac:dyDescent="0.35">
      <c r="C320" s="109">
        <v>318</v>
      </c>
      <c r="D320" s="5" t="s">
        <v>57</v>
      </c>
      <c r="E320" s="2" t="s">
        <v>478</v>
      </c>
      <c r="F320" s="35" t="s">
        <v>455</v>
      </c>
      <c r="G320" s="10"/>
      <c r="H320" s="10"/>
      <c r="I320" s="10"/>
    </row>
    <row r="321" spans="3:9" ht="19.5" thickBot="1" x14ac:dyDescent="0.35">
      <c r="C321" s="109">
        <v>319</v>
      </c>
      <c r="D321" s="5" t="s">
        <v>150</v>
      </c>
      <c r="E321" s="2" t="s">
        <v>480</v>
      </c>
      <c r="F321" s="35" t="s">
        <v>455</v>
      </c>
      <c r="G321" s="10"/>
      <c r="H321" s="10"/>
      <c r="I321" s="10"/>
    </row>
    <row r="322" spans="3:9" ht="19.5" thickBot="1" x14ac:dyDescent="0.35">
      <c r="C322" s="109">
        <v>320</v>
      </c>
      <c r="D322" s="5" t="s">
        <v>252</v>
      </c>
      <c r="E322" s="2" t="s">
        <v>480</v>
      </c>
      <c r="F322" s="35" t="s">
        <v>455</v>
      </c>
      <c r="G322" s="10"/>
      <c r="H322" s="10"/>
      <c r="I322" s="10"/>
    </row>
    <row r="323" spans="3:9" ht="19.5" thickBot="1" x14ac:dyDescent="0.35">
      <c r="C323" s="109">
        <v>321</v>
      </c>
      <c r="D323" s="5" t="s">
        <v>281</v>
      </c>
      <c r="E323" s="2" t="s">
        <v>480</v>
      </c>
      <c r="F323" s="35" t="s">
        <v>455</v>
      </c>
      <c r="G323" s="10"/>
      <c r="H323" s="10"/>
      <c r="I323" s="10"/>
    </row>
    <row r="324" spans="3:9" ht="19.5" thickBot="1" x14ac:dyDescent="0.35">
      <c r="C324" s="109">
        <v>322</v>
      </c>
      <c r="D324" s="5" t="s">
        <v>333</v>
      </c>
      <c r="E324" s="2" t="s">
        <v>511</v>
      </c>
      <c r="F324" s="35" t="s">
        <v>455</v>
      </c>
      <c r="G324" s="10"/>
      <c r="H324" s="10"/>
      <c r="I324" s="10"/>
    </row>
    <row r="325" spans="3:9" ht="19.5" thickBot="1" x14ac:dyDescent="0.35">
      <c r="C325" s="109">
        <v>323</v>
      </c>
      <c r="D325" s="5" t="s">
        <v>604</v>
      </c>
      <c r="E325" s="2" t="s">
        <v>511</v>
      </c>
      <c r="F325" s="35" t="s">
        <v>455</v>
      </c>
      <c r="G325" s="10" t="s">
        <v>663</v>
      </c>
      <c r="H325" s="10" t="s">
        <v>663</v>
      </c>
      <c r="I325" s="10" t="s">
        <v>663</v>
      </c>
    </row>
    <row r="326" spans="3:9" ht="19.5" thickBot="1" x14ac:dyDescent="0.35">
      <c r="C326" s="109">
        <v>324</v>
      </c>
      <c r="D326" s="5" t="s">
        <v>186</v>
      </c>
      <c r="E326" s="2" t="s">
        <v>524</v>
      </c>
      <c r="F326" s="35" t="s">
        <v>455</v>
      </c>
      <c r="G326" s="10"/>
      <c r="H326" s="10"/>
      <c r="I326" s="10"/>
    </row>
    <row r="327" spans="3:9" ht="19.5" thickBot="1" x14ac:dyDescent="0.35">
      <c r="C327" s="109">
        <v>325</v>
      </c>
      <c r="D327" s="5" t="s">
        <v>179</v>
      </c>
      <c r="E327" s="2" t="s">
        <v>530</v>
      </c>
      <c r="F327" s="35" t="s">
        <v>455</v>
      </c>
      <c r="G327" s="10"/>
      <c r="H327" s="10"/>
      <c r="I327" s="10"/>
    </row>
    <row r="328" spans="3:9" ht="19.5" thickBot="1" x14ac:dyDescent="0.35">
      <c r="C328" s="109">
        <v>326</v>
      </c>
      <c r="D328" s="5" t="s">
        <v>613</v>
      </c>
      <c r="E328" s="2" t="s">
        <v>530</v>
      </c>
      <c r="F328" s="35" t="s">
        <v>455</v>
      </c>
      <c r="G328" s="10"/>
      <c r="H328" s="10"/>
      <c r="I328" s="10"/>
    </row>
    <row r="329" spans="3:9" ht="19.5" thickBot="1" x14ac:dyDescent="0.35">
      <c r="C329" s="109">
        <v>327</v>
      </c>
      <c r="D329" s="5" t="s">
        <v>241</v>
      </c>
      <c r="E329" s="2" t="s">
        <v>556</v>
      </c>
      <c r="F329" s="35" t="s">
        <v>455</v>
      </c>
      <c r="G329" s="10"/>
      <c r="H329" s="10"/>
      <c r="I329" s="10"/>
    </row>
    <row r="330" spans="3:9" ht="19.5" thickBot="1" x14ac:dyDescent="0.35">
      <c r="C330" s="109">
        <v>328</v>
      </c>
      <c r="D330" s="5" t="s">
        <v>24</v>
      </c>
      <c r="E330" s="2" t="s">
        <v>562</v>
      </c>
      <c r="F330" s="35" t="s">
        <v>455</v>
      </c>
      <c r="G330" s="10"/>
      <c r="H330" s="10"/>
      <c r="I330" s="10"/>
    </row>
    <row r="331" spans="3:9" ht="19.5" thickBot="1" x14ac:dyDescent="0.35">
      <c r="C331" s="109">
        <v>329</v>
      </c>
      <c r="D331" s="5" t="s">
        <v>225</v>
      </c>
      <c r="E331" s="2" t="s">
        <v>562</v>
      </c>
      <c r="F331" s="35" t="s">
        <v>455</v>
      </c>
      <c r="G331" s="10"/>
      <c r="H331" s="10"/>
      <c r="I331" s="10"/>
    </row>
    <row r="332" spans="3:9" ht="19.5" thickBot="1" x14ac:dyDescent="0.35">
      <c r="C332" s="109">
        <v>330</v>
      </c>
      <c r="D332" s="5" t="s">
        <v>404</v>
      </c>
      <c r="E332" s="2" t="s">
        <v>573</v>
      </c>
      <c r="F332" s="35" t="s">
        <v>455</v>
      </c>
      <c r="G332" s="10"/>
      <c r="H332" s="10"/>
      <c r="I332" s="10"/>
    </row>
    <row r="333" spans="3:9" ht="18.75" x14ac:dyDescent="0.3">
      <c r="C333" s="109">
        <v>331</v>
      </c>
      <c r="D333" s="5" t="s">
        <v>619</v>
      </c>
      <c r="E333" s="2" t="s">
        <v>575</v>
      </c>
      <c r="F333" s="35" t="s">
        <v>455</v>
      </c>
      <c r="G333" s="10"/>
      <c r="H333" s="10"/>
      <c r="I333" s="10"/>
    </row>
    <row r="334" spans="3:9" ht="19.5" thickBot="1" x14ac:dyDescent="0.35">
      <c r="C334" s="109">
        <v>332</v>
      </c>
      <c r="D334" s="5" t="s">
        <v>279</v>
      </c>
      <c r="E334" s="2"/>
      <c r="F334" s="36" t="s">
        <v>455</v>
      </c>
      <c r="G334" s="10"/>
      <c r="H334" s="10"/>
      <c r="I334" s="10"/>
    </row>
    <row r="335" spans="3:9" ht="19.5" thickBot="1" x14ac:dyDescent="0.35">
      <c r="C335" s="109">
        <v>333</v>
      </c>
      <c r="D335" s="5" t="s">
        <v>589</v>
      </c>
      <c r="E335" s="2"/>
      <c r="F335" s="35" t="s">
        <v>455</v>
      </c>
      <c r="G335" s="10"/>
      <c r="H335" s="10"/>
      <c r="I335" s="10"/>
    </row>
    <row r="336" spans="3:9" ht="19.5" thickBot="1" x14ac:dyDescent="0.35">
      <c r="C336" s="109">
        <v>334</v>
      </c>
      <c r="D336" s="5" t="s">
        <v>416</v>
      </c>
      <c r="E336" s="2" t="s">
        <v>461</v>
      </c>
      <c r="F336" s="35" t="s">
        <v>455</v>
      </c>
      <c r="G336" s="10"/>
      <c r="H336" s="10"/>
      <c r="I336" s="10"/>
    </row>
    <row r="337" spans="3:9" ht="19.5" thickBot="1" x14ac:dyDescent="0.35">
      <c r="C337" s="109">
        <v>335</v>
      </c>
      <c r="D337" s="5" t="s">
        <v>476</v>
      </c>
      <c r="E337" s="2" t="s">
        <v>488</v>
      </c>
      <c r="F337" s="35" t="s">
        <v>455</v>
      </c>
      <c r="G337" s="10"/>
      <c r="H337" s="10"/>
      <c r="I337" s="10"/>
    </row>
    <row r="338" spans="3:9" ht="19.5" thickBot="1" x14ac:dyDescent="0.35">
      <c r="C338" s="109">
        <v>336</v>
      </c>
      <c r="D338" s="5" t="s">
        <v>116</v>
      </c>
      <c r="E338" s="2" t="s">
        <v>488</v>
      </c>
      <c r="F338" s="35" t="s">
        <v>455</v>
      </c>
      <c r="G338" s="10"/>
      <c r="H338" s="10"/>
      <c r="I338" s="10"/>
    </row>
    <row r="339" spans="3:9" ht="19.5" thickBot="1" x14ac:dyDescent="0.35">
      <c r="C339" s="109">
        <v>337</v>
      </c>
      <c r="D339" s="5" t="s">
        <v>350</v>
      </c>
      <c r="E339" s="2" t="s">
        <v>488</v>
      </c>
      <c r="F339" s="35" t="s">
        <v>455</v>
      </c>
      <c r="G339" s="10"/>
      <c r="H339" s="10"/>
      <c r="I339" s="10"/>
    </row>
    <row r="340" spans="3:9" ht="19.5" thickBot="1" x14ac:dyDescent="0.35">
      <c r="C340" s="109">
        <v>338</v>
      </c>
      <c r="D340" s="5" t="s">
        <v>169</v>
      </c>
      <c r="E340" s="2" t="s">
        <v>501</v>
      </c>
      <c r="F340" s="35" t="s">
        <v>455</v>
      </c>
      <c r="G340" s="10"/>
      <c r="H340" s="10"/>
      <c r="I340" s="10"/>
    </row>
    <row r="341" spans="3:9" ht="19.5" thickBot="1" x14ac:dyDescent="0.35">
      <c r="C341" s="109">
        <v>339</v>
      </c>
      <c r="D341" s="5" t="s">
        <v>525</v>
      </c>
      <c r="E341" s="2" t="s">
        <v>524</v>
      </c>
      <c r="F341" s="35" t="s">
        <v>455</v>
      </c>
      <c r="G341" s="10"/>
      <c r="H341" s="10"/>
      <c r="I341" s="10"/>
    </row>
    <row r="342" spans="3:9" ht="19.5" thickBot="1" x14ac:dyDescent="0.35">
      <c r="C342" s="109">
        <v>340</v>
      </c>
      <c r="D342" s="5" t="s">
        <v>527</v>
      </c>
      <c r="E342" s="2" t="s">
        <v>524</v>
      </c>
      <c r="F342" s="35" t="s">
        <v>455</v>
      </c>
      <c r="G342" s="10"/>
      <c r="H342" s="10"/>
      <c r="I342" s="10"/>
    </row>
    <row r="343" spans="3:9" ht="19.5" thickBot="1" x14ac:dyDescent="0.35">
      <c r="C343" s="109">
        <v>341</v>
      </c>
      <c r="D343" s="5" t="s">
        <v>195</v>
      </c>
      <c r="E343" s="2" t="s">
        <v>530</v>
      </c>
      <c r="F343" s="35" t="s">
        <v>455</v>
      </c>
      <c r="G343" s="10"/>
      <c r="H343" s="10"/>
      <c r="I343" s="10"/>
    </row>
    <row r="344" spans="3:9" ht="19.5" thickBot="1" x14ac:dyDescent="0.35">
      <c r="C344" s="109">
        <v>342</v>
      </c>
      <c r="D344" s="5" t="s">
        <v>608</v>
      </c>
      <c r="E344" s="2" t="s">
        <v>530</v>
      </c>
      <c r="F344" s="35" t="s">
        <v>455</v>
      </c>
      <c r="G344" s="10"/>
      <c r="H344" s="10"/>
      <c r="I344" s="10"/>
    </row>
    <row r="345" spans="3:9" ht="19.5" thickBot="1" x14ac:dyDescent="0.35">
      <c r="C345" s="109">
        <v>343</v>
      </c>
      <c r="D345" s="5" t="s">
        <v>580</v>
      </c>
      <c r="E345" s="2" t="s">
        <v>530</v>
      </c>
      <c r="F345" s="35" t="s">
        <v>489</v>
      </c>
      <c r="G345" s="10"/>
      <c r="H345" s="10"/>
      <c r="I345" s="10"/>
    </row>
    <row r="346" spans="3:9" ht="19.5" thickBot="1" x14ac:dyDescent="0.35">
      <c r="C346" s="109">
        <v>344</v>
      </c>
      <c r="D346" s="5" t="s">
        <v>56</v>
      </c>
      <c r="E346" s="2" t="s">
        <v>556</v>
      </c>
      <c r="F346" s="35" t="s">
        <v>455</v>
      </c>
      <c r="G346" s="10"/>
      <c r="H346" s="10"/>
      <c r="I346" s="10"/>
    </row>
    <row r="347" spans="3:9" ht="19.5" thickBot="1" x14ac:dyDescent="0.35">
      <c r="C347" s="109">
        <v>345</v>
      </c>
      <c r="D347" s="5" t="s">
        <v>17</v>
      </c>
      <c r="E347" s="2" t="s">
        <v>562</v>
      </c>
      <c r="F347" s="35" t="s">
        <v>455</v>
      </c>
      <c r="G347" s="10"/>
      <c r="H347" s="10"/>
      <c r="I347" s="10"/>
    </row>
    <row r="348" spans="3:9" ht="19.5" thickBot="1" x14ac:dyDescent="0.35">
      <c r="C348" s="109">
        <v>346</v>
      </c>
      <c r="D348" s="5" t="s">
        <v>42</v>
      </c>
      <c r="E348" s="2" t="s">
        <v>562</v>
      </c>
      <c r="F348" s="35" t="s">
        <v>455</v>
      </c>
      <c r="G348" s="10"/>
      <c r="H348" s="10"/>
      <c r="I348" s="10"/>
    </row>
    <row r="349" spans="3:9" ht="19.5" thickBot="1" x14ac:dyDescent="0.35">
      <c r="C349" s="109">
        <v>347</v>
      </c>
      <c r="D349" s="5" t="s">
        <v>362</v>
      </c>
      <c r="E349" s="2" t="s">
        <v>562</v>
      </c>
      <c r="F349" s="35" t="s">
        <v>455</v>
      </c>
      <c r="G349" s="10"/>
      <c r="H349" s="10"/>
      <c r="I349" s="10"/>
    </row>
    <row r="350" spans="3:9" ht="19.5" thickBot="1" x14ac:dyDescent="0.35">
      <c r="C350" s="109">
        <v>348</v>
      </c>
      <c r="D350" s="5" t="s">
        <v>349</v>
      </c>
      <c r="E350" s="2" t="s">
        <v>569</v>
      </c>
      <c r="F350" s="35" t="s">
        <v>455</v>
      </c>
      <c r="G350" s="10"/>
      <c r="H350" s="10"/>
      <c r="I350" s="10"/>
    </row>
    <row r="351" spans="3:9" ht="19.5" thickBot="1" x14ac:dyDescent="0.35">
      <c r="C351" s="109">
        <v>349</v>
      </c>
      <c r="D351" s="5" t="s">
        <v>574</v>
      </c>
      <c r="E351" s="2" t="s">
        <v>569</v>
      </c>
      <c r="F351" s="35" t="s">
        <v>455</v>
      </c>
      <c r="G351" s="10"/>
      <c r="H351" s="10"/>
      <c r="I351" s="10"/>
    </row>
    <row r="352" spans="3:9" ht="19.5" thickBot="1" x14ac:dyDescent="0.35">
      <c r="C352" s="109">
        <v>350</v>
      </c>
      <c r="D352" s="5" t="s">
        <v>285</v>
      </c>
      <c r="E352" s="2"/>
      <c r="F352" s="35" t="s">
        <v>455</v>
      </c>
      <c r="G352" s="10"/>
      <c r="H352" s="10"/>
      <c r="I352" s="10"/>
    </row>
    <row r="353" spans="3:9" ht="19.5" thickBot="1" x14ac:dyDescent="0.35">
      <c r="C353" s="109">
        <v>351</v>
      </c>
      <c r="D353" s="5" t="s">
        <v>594</v>
      </c>
      <c r="E353" s="2" t="s">
        <v>461</v>
      </c>
      <c r="F353" s="35" t="s">
        <v>455</v>
      </c>
      <c r="G353" s="10"/>
      <c r="H353" s="10"/>
      <c r="I353" s="10"/>
    </row>
    <row r="354" spans="3:9" ht="19.5" thickBot="1" x14ac:dyDescent="0.35">
      <c r="C354" s="109">
        <v>352</v>
      </c>
      <c r="D354" s="47" t="s">
        <v>474</v>
      </c>
      <c r="E354" s="2" t="s">
        <v>488</v>
      </c>
      <c r="F354" s="35" t="s">
        <v>455</v>
      </c>
      <c r="G354" s="10"/>
      <c r="H354" s="10"/>
      <c r="I354" s="10"/>
    </row>
    <row r="355" spans="3:9" ht="19.5" thickBot="1" x14ac:dyDescent="0.35">
      <c r="C355" s="109">
        <v>353</v>
      </c>
      <c r="D355" s="5" t="s">
        <v>74</v>
      </c>
      <c r="E355" s="2" t="s">
        <v>480</v>
      </c>
      <c r="F355" s="35" t="s">
        <v>455</v>
      </c>
      <c r="G355" s="10"/>
      <c r="H355" s="10"/>
      <c r="I355" s="10"/>
    </row>
    <row r="356" spans="3:9" ht="19.5" thickBot="1" x14ac:dyDescent="0.35">
      <c r="C356" s="109">
        <v>354</v>
      </c>
      <c r="D356" s="5" t="s">
        <v>514</v>
      </c>
      <c r="E356" s="2" t="s">
        <v>511</v>
      </c>
      <c r="F356" s="35" t="s">
        <v>455</v>
      </c>
      <c r="G356" s="10"/>
      <c r="H356" s="10"/>
      <c r="I356" s="10"/>
    </row>
    <row r="357" spans="3:9" ht="19.5" thickBot="1" x14ac:dyDescent="0.35">
      <c r="C357" s="109">
        <v>355</v>
      </c>
      <c r="D357" s="5" t="s">
        <v>543</v>
      </c>
      <c r="E357" s="2" t="s">
        <v>530</v>
      </c>
      <c r="F357" s="35" t="s">
        <v>455</v>
      </c>
      <c r="G357" s="10"/>
      <c r="H357" s="10"/>
      <c r="I357" s="10"/>
    </row>
    <row r="358" spans="3:9" ht="19.5" thickBot="1" x14ac:dyDescent="0.35">
      <c r="C358" s="109">
        <v>356</v>
      </c>
      <c r="D358" s="5" t="s">
        <v>92</v>
      </c>
      <c r="E358" s="2" t="s">
        <v>530</v>
      </c>
      <c r="F358" s="35" t="s">
        <v>455</v>
      </c>
      <c r="G358" s="10"/>
      <c r="H358" s="10"/>
      <c r="I358" s="10"/>
    </row>
    <row r="359" spans="3:9" ht="19.5" thickBot="1" x14ac:dyDescent="0.35">
      <c r="C359" s="109">
        <v>357</v>
      </c>
      <c r="D359" s="5" t="s">
        <v>223</v>
      </c>
      <c r="E359" s="2" t="s">
        <v>530</v>
      </c>
      <c r="F359" s="35" t="s">
        <v>455</v>
      </c>
      <c r="G359" s="10"/>
      <c r="H359" s="10"/>
      <c r="I359" s="10"/>
    </row>
    <row r="360" spans="3:9" ht="18.75" x14ac:dyDescent="0.3">
      <c r="C360" s="109">
        <v>358</v>
      </c>
      <c r="D360" s="5" t="s">
        <v>540</v>
      </c>
      <c r="E360" s="2" t="s">
        <v>530</v>
      </c>
      <c r="F360" s="35" t="s">
        <v>455</v>
      </c>
      <c r="G360" s="10"/>
      <c r="H360" s="10"/>
      <c r="I360" s="10"/>
    </row>
    <row r="361" spans="3:9" ht="19.5" thickBot="1" x14ac:dyDescent="0.35">
      <c r="C361" s="109">
        <v>359</v>
      </c>
      <c r="D361" s="5" t="s">
        <v>196</v>
      </c>
      <c r="E361" s="2" t="s">
        <v>549</v>
      </c>
      <c r="F361" s="36" t="s">
        <v>455</v>
      </c>
      <c r="G361" s="10"/>
      <c r="H361" s="10"/>
      <c r="I361" s="10"/>
    </row>
    <row r="362" spans="3:9" ht="19.5" thickBot="1" x14ac:dyDescent="0.35">
      <c r="C362" s="109">
        <v>360</v>
      </c>
      <c r="D362" s="5" t="s">
        <v>55</v>
      </c>
      <c r="E362" s="2" t="s">
        <v>575</v>
      </c>
      <c r="F362" s="35" t="s">
        <v>455</v>
      </c>
      <c r="G362" s="10" t="s">
        <v>663</v>
      </c>
      <c r="H362" s="10"/>
      <c r="I362" s="10"/>
    </row>
    <row r="363" spans="3:9" ht="19.5" thickBot="1" x14ac:dyDescent="0.35">
      <c r="C363" s="109">
        <v>361</v>
      </c>
      <c r="D363" s="5" t="s">
        <v>585</v>
      </c>
      <c r="E363" s="2"/>
      <c r="F363" s="35" t="s">
        <v>455</v>
      </c>
      <c r="G363" s="10"/>
      <c r="H363" s="10"/>
      <c r="I363" s="10"/>
    </row>
    <row r="364" spans="3:9" ht="19.5" thickBot="1" x14ac:dyDescent="0.35">
      <c r="C364" s="109">
        <v>362</v>
      </c>
      <c r="D364" s="5" t="s">
        <v>269</v>
      </c>
      <c r="E364" s="2"/>
      <c r="F364" s="35" t="s">
        <v>455</v>
      </c>
      <c r="G364" s="10"/>
      <c r="H364" s="10"/>
      <c r="I364" s="10"/>
    </row>
    <row r="365" spans="3:9" ht="19.5" thickBot="1" x14ac:dyDescent="0.35">
      <c r="C365" s="109">
        <v>363</v>
      </c>
      <c r="D365" s="5" t="s">
        <v>593</v>
      </c>
      <c r="E365" s="2" t="s">
        <v>459</v>
      </c>
      <c r="F365" s="35" t="s">
        <v>455</v>
      </c>
      <c r="G365" s="10"/>
      <c r="H365" s="10"/>
      <c r="I365" s="10"/>
    </row>
    <row r="366" spans="3:9" ht="19.5" thickBot="1" x14ac:dyDescent="0.35">
      <c r="C366" s="109">
        <v>364</v>
      </c>
      <c r="D366" s="5" t="s">
        <v>460</v>
      </c>
      <c r="E366" s="2" t="s">
        <v>461</v>
      </c>
      <c r="F366" s="35" t="s">
        <v>455</v>
      </c>
      <c r="G366" s="10"/>
      <c r="H366" s="10"/>
      <c r="I366" s="10"/>
    </row>
    <row r="367" spans="3:9" ht="19.5" thickBot="1" x14ac:dyDescent="0.35">
      <c r="C367" s="109">
        <v>365</v>
      </c>
      <c r="D367" s="5" t="s">
        <v>183</v>
      </c>
      <c r="E367" s="2" t="s">
        <v>461</v>
      </c>
      <c r="F367" s="35" t="s">
        <v>455</v>
      </c>
      <c r="G367" s="10" t="s">
        <v>663</v>
      </c>
      <c r="H367" s="10" t="s">
        <v>663</v>
      </c>
      <c r="I367" s="10" t="s">
        <v>663</v>
      </c>
    </row>
    <row r="368" spans="3:9" ht="19.5" thickBot="1" x14ac:dyDescent="0.35">
      <c r="C368" s="109">
        <v>366</v>
      </c>
      <c r="D368" s="5" t="s">
        <v>181</v>
      </c>
      <c r="E368" s="2" t="s">
        <v>488</v>
      </c>
      <c r="F368" s="35" t="s">
        <v>455</v>
      </c>
      <c r="G368" s="10"/>
      <c r="H368" s="10"/>
      <c r="I368" s="10"/>
    </row>
    <row r="369" spans="3:9" ht="19.5" thickBot="1" x14ac:dyDescent="0.35">
      <c r="C369" s="109">
        <v>367</v>
      </c>
      <c r="D369" s="5" t="s">
        <v>47</v>
      </c>
      <c r="E369" s="2" t="s">
        <v>530</v>
      </c>
      <c r="F369" s="35" t="s">
        <v>455</v>
      </c>
      <c r="G369" s="10"/>
      <c r="H369" s="10"/>
      <c r="I369" s="10"/>
    </row>
    <row r="370" spans="3:9" ht="19.5" thickBot="1" x14ac:dyDescent="0.35">
      <c r="C370" s="109">
        <v>368</v>
      </c>
      <c r="D370" s="5" t="s">
        <v>610</v>
      </c>
      <c r="E370" s="2" t="s">
        <v>530</v>
      </c>
      <c r="F370" s="35" t="s">
        <v>455</v>
      </c>
      <c r="G370" s="10"/>
      <c r="H370" s="10"/>
      <c r="I370" s="10"/>
    </row>
    <row r="371" spans="3:9" ht="19.5" thickBot="1" x14ac:dyDescent="0.35">
      <c r="C371" s="109">
        <v>369</v>
      </c>
      <c r="D371" s="5" t="s">
        <v>355</v>
      </c>
      <c r="E371" s="2" t="s">
        <v>530</v>
      </c>
      <c r="F371" s="35" t="s">
        <v>455</v>
      </c>
      <c r="G371" s="10"/>
      <c r="H371" s="10"/>
      <c r="I371" s="10"/>
    </row>
    <row r="372" spans="3:9" ht="19.5" thickBot="1" x14ac:dyDescent="0.35">
      <c r="C372" s="109">
        <v>370</v>
      </c>
      <c r="D372" s="5" t="s">
        <v>375</v>
      </c>
      <c r="E372" s="2" t="s">
        <v>530</v>
      </c>
      <c r="F372" s="35" t="s">
        <v>455</v>
      </c>
      <c r="G372" s="10"/>
      <c r="H372" s="10"/>
      <c r="I372" s="10"/>
    </row>
    <row r="373" spans="3:9" ht="19.5" thickBot="1" x14ac:dyDescent="0.35">
      <c r="C373" s="109">
        <v>371</v>
      </c>
      <c r="D373" s="5" t="s">
        <v>552</v>
      </c>
      <c r="E373" s="2" t="s">
        <v>549</v>
      </c>
      <c r="F373" s="35" t="s">
        <v>455</v>
      </c>
      <c r="G373" s="10"/>
      <c r="H373" s="10"/>
      <c r="I373" s="10"/>
    </row>
    <row r="374" spans="3:9" ht="19.5" thickBot="1" x14ac:dyDescent="0.35">
      <c r="C374" s="109">
        <v>372</v>
      </c>
      <c r="D374" s="5" t="s">
        <v>553</v>
      </c>
      <c r="E374" s="2" t="s">
        <v>549</v>
      </c>
      <c r="F374" s="35" t="s">
        <v>455</v>
      </c>
      <c r="G374" s="10"/>
      <c r="H374" s="10" t="s">
        <v>663</v>
      </c>
      <c r="I374" s="10" t="s">
        <v>663</v>
      </c>
    </row>
    <row r="375" spans="3:9" ht="19.5" thickBot="1" x14ac:dyDescent="0.35">
      <c r="C375" s="109">
        <v>373</v>
      </c>
      <c r="D375" s="5" t="s">
        <v>433</v>
      </c>
      <c r="E375" s="2" t="s">
        <v>562</v>
      </c>
      <c r="F375" s="35" t="s">
        <v>455</v>
      </c>
      <c r="G375" s="10"/>
      <c r="H375" s="10"/>
      <c r="I375" s="10"/>
    </row>
    <row r="376" spans="3:9" ht="19.5" thickBot="1" x14ac:dyDescent="0.35">
      <c r="C376" s="109">
        <v>374</v>
      </c>
      <c r="D376" s="5" t="s">
        <v>180</v>
      </c>
      <c r="E376" s="2" t="s">
        <v>562</v>
      </c>
      <c r="F376" s="35" t="s">
        <v>455</v>
      </c>
      <c r="G376" s="10"/>
      <c r="H376" s="10"/>
      <c r="I376" s="10"/>
    </row>
    <row r="377" spans="3:9" ht="19.5" thickBot="1" x14ac:dyDescent="0.35">
      <c r="C377" s="109">
        <v>375</v>
      </c>
      <c r="D377" s="5" t="s">
        <v>412</v>
      </c>
      <c r="E377" s="2" t="s">
        <v>575</v>
      </c>
      <c r="F377" s="35" t="s">
        <v>455</v>
      </c>
      <c r="G377" s="10"/>
      <c r="H377" s="10"/>
      <c r="I377" s="10"/>
    </row>
    <row r="378" spans="3:9" ht="19.5" thickBot="1" x14ac:dyDescent="0.35">
      <c r="C378" s="109">
        <v>376</v>
      </c>
      <c r="D378" s="5" t="s">
        <v>624</v>
      </c>
      <c r="E378" s="2"/>
      <c r="F378" s="35" t="s">
        <v>455</v>
      </c>
      <c r="G378" s="10"/>
      <c r="H378" s="10"/>
      <c r="I378" s="10"/>
    </row>
    <row r="379" spans="3:9" ht="19.5" thickBot="1" x14ac:dyDescent="0.35">
      <c r="C379" s="109">
        <v>377</v>
      </c>
      <c r="D379" s="5" t="s">
        <v>335</v>
      </c>
      <c r="E379" s="2" t="s">
        <v>461</v>
      </c>
      <c r="F379" s="35" t="s">
        <v>455</v>
      </c>
      <c r="G379" s="10"/>
      <c r="H379" s="10"/>
      <c r="I379" s="10"/>
    </row>
    <row r="380" spans="3:9" ht="19.5" thickBot="1" x14ac:dyDescent="0.35">
      <c r="C380" s="109">
        <v>378</v>
      </c>
      <c r="D380" s="5" t="s">
        <v>396</v>
      </c>
      <c r="E380" s="2" t="s">
        <v>488</v>
      </c>
      <c r="F380" s="35" t="s">
        <v>455</v>
      </c>
      <c r="G380" s="10"/>
      <c r="H380" s="10"/>
      <c r="I380" s="10"/>
    </row>
    <row r="381" spans="3:9" ht="19.5" thickBot="1" x14ac:dyDescent="0.35">
      <c r="C381" s="109">
        <v>379</v>
      </c>
      <c r="D381" s="5" t="s">
        <v>48</v>
      </c>
      <c r="E381" s="2" t="s">
        <v>501</v>
      </c>
      <c r="F381" s="35" t="s">
        <v>455</v>
      </c>
      <c r="G381" s="10"/>
      <c r="H381" s="10"/>
      <c r="I381" s="10"/>
    </row>
    <row r="382" spans="3:9" ht="19.5" thickBot="1" x14ac:dyDescent="0.35">
      <c r="C382" s="109">
        <v>380</v>
      </c>
      <c r="D382" s="5" t="s">
        <v>402</v>
      </c>
      <c r="E382" s="2" t="s">
        <v>511</v>
      </c>
      <c r="F382" s="35" t="s">
        <v>455</v>
      </c>
      <c r="G382" s="10"/>
      <c r="H382" s="10"/>
      <c r="I382" s="10"/>
    </row>
    <row r="383" spans="3:9" ht="19.5" thickBot="1" x14ac:dyDescent="0.35">
      <c r="C383" s="109">
        <v>381</v>
      </c>
      <c r="D383" s="5" t="s">
        <v>88</v>
      </c>
      <c r="E383" s="2" t="s">
        <v>524</v>
      </c>
      <c r="F383" s="35" t="s">
        <v>455</v>
      </c>
      <c r="G383" s="10"/>
      <c r="H383" s="10"/>
      <c r="I383" s="10"/>
    </row>
    <row r="384" spans="3:9" ht="19.5" thickBot="1" x14ac:dyDescent="0.35">
      <c r="C384" s="109">
        <v>382</v>
      </c>
      <c r="D384" s="5" t="s">
        <v>531</v>
      </c>
      <c r="E384" s="2" t="s">
        <v>530</v>
      </c>
      <c r="F384" s="35" t="s">
        <v>455</v>
      </c>
      <c r="G384" s="10"/>
      <c r="H384" s="10"/>
      <c r="I384" s="10"/>
    </row>
    <row r="385" spans="3:9" ht="19.5" thickBot="1" x14ac:dyDescent="0.35">
      <c r="C385" s="109">
        <v>383</v>
      </c>
      <c r="D385" s="5" t="s">
        <v>58</v>
      </c>
      <c r="E385" s="2" t="s">
        <v>530</v>
      </c>
      <c r="F385" s="35" t="s">
        <v>455</v>
      </c>
      <c r="G385" s="10"/>
      <c r="H385" s="10"/>
      <c r="I385" s="10"/>
    </row>
    <row r="386" spans="3:9" ht="19.5" thickBot="1" x14ac:dyDescent="0.35">
      <c r="C386" s="109">
        <v>384</v>
      </c>
      <c r="D386" s="5" t="s">
        <v>207</v>
      </c>
      <c r="E386" s="2" t="s">
        <v>530</v>
      </c>
      <c r="F386" s="35" t="s">
        <v>455</v>
      </c>
      <c r="G386" s="10"/>
      <c r="H386" s="10"/>
      <c r="I386" s="10"/>
    </row>
    <row r="387" spans="3:9" ht="19.5" thickBot="1" x14ac:dyDescent="0.35">
      <c r="C387" s="109">
        <v>385</v>
      </c>
      <c r="D387" s="5" t="s">
        <v>547</v>
      </c>
      <c r="E387" s="2" t="s">
        <v>545</v>
      </c>
      <c r="F387" s="35" t="s">
        <v>455</v>
      </c>
      <c r="G387" s="10"/>
      <c r="H387" s="10"/>
      <c r="I387" s="10"/>
    </row>
    <row r="388" spans="3:9" ht="19.5" thickBot="1" x14ac:dyDescent="0.35">
      <c r="C388" s="109">
        <v>386</v>
      </c>
      <c r="D388" s="5" t="s">
        <v>363</v>
      </c>
      <c r="E388" s="2" t="s">
        <v>549</v>
      </c>
      <c r="F388" s="35" t="s">
        <v>455</v>
      </c>
      <c r="G388" s="10"/>
      <c r="H388" s="10"/>
      <c r="I388" s="10"/>
    </row>
    <row r="389" spans="3:9" ht="19.5" thickBot="1" x14ac:dyDescent="0.35">
      <c r="C389" s="109">
        <v>387</v>
      </c>
      <c r="D389" s="5" t="s">
        <v>563</v>
      </c>
      <c r="E389" s="2" t="s">
        <v>562</v>
      </c>
      <c r="F389" s="35" t="s">
        <v>455</v>
      </c>
      <c r="G389" s="10"/>
      <c r="H389" s="10"/>
      <c r="I389" s="10"/>
    </row>
    <row r="390" spans="3:9" ht="19.5" thickBot="1" x14ac:dyDescent="0.35">
      <c r="C390" s="109">
        <v>388</v>
      </c>
      <c r="D390" s="5" t="s">
        <v>136</v>
      </c>
      <c r="E390" s="2" t="s">
        <v>573</v>
      </c>
      <c r="F390" s="35" t="s">
        <v>455</v>
      </c>
      <c r="G390" s="10"/>
      <c r="H390" s="10"/>
      <c r="I390" s="10"/>
    </row>
    <row r="391" spans="3:9" ht="18.75" x14ac:dyDescent="0.3">
      <c r="C391" s="109">
        <v>389</v>
      </c>
      <c r="D391" s="5" t="s">
        <v>620</v>
      </c>
      <c r="E391" s="2" t="s">
        <v>575</v>
      </c>
      <c r="F391" s="35" t="s">
        <v>455</v>
      </c>
      <c r="G391" s="10"/>
      <c r="H391" s="10"/>
      <c r="I391" s="10"/>
    </row>
    <row r="392" spans="3:9" ht="19.5" thickBot="1" x14ac:dyDescent="0.35">
      <c r="C392" s="109">
        <v>390</v>
      </c>
      <c r="D392" s="5" t="s">
        <v>242</v>
      </c>
      <c r="E392" s="2"/>
      <c r="F392" s="36" t="s">
        <v>455</v>
      </c>
      <c r="G392" s="10"/>
      <c r="H392" s="10"/>
      <c r="I392" s="10"/>
    </row>
    <row r="393" spans="3:9" ht="19.5" thickBot="1" x14ac:dyDescent="0.35">
      <c r="C393" s="109">
        <v>391</v>
      </c>
      <c r="D393" s="5" t="s">
        <v>297</v>
      </c>
      <c r="E393" s="2"/>
      <c r="F393" s="35" t="s">
        <v>455</v>
      </c>
      <c r="G393" s="10"/>
      <c r="H393" s="10"/>
      <c r="I393" s="10"/>
    </row>
    <row r="394" spans="3:9" ht="19.5" thickBot="1" x14ac:dyDescent="0.35">
      <c r="C394" s="109">
        <v>392</v>
      </c>
      <c r="D394" s="5" t="s">
        <v>234</v>
      </c>
      <c r="E394" s="2" t="s">
        <v>493</v>
      </c>
      <c r="F394" s="35" t="s">
        <v>455</v>
      </c>
      <c r="G394" s="10"/>
      <c r="H394" s="10"/>
      <c r="I394" s="10"/>
    </row>
    <row r="395" spans="3:9" ht="19.5" thickBot="1" x14ac:dyDescent="0.35">
      <c r="C395" s="109">
        <v>393</v>
      </c>
      <c r="D395" s="5" t="s">
        <v>49</v>
      </c>
      <c r="E395" s="2" t="s">
        <v>501</v>
      </c>
      <c r="F395" s="35" t="s">
        <v>455</v>
      </c>
      <c r="G395" s="10"/>
      <c r="H395" s="10"/>
      <c r="I395" s="10"/>
    </row>
    <row r="396" spans="3:9" ht="19.5" thickBot="1" x14ac:dyDescent="0.35">
      <c r="C396" s="109">
        <v>394</v>
      </c>
      <c r="D396" s="5" t="s">
        <v>111</v>
      </c>
      <c r="E396" s="2" t="s">
        <v>504</v>
      </c>
      <c r="F396" s="35" t="s">
        <v>455</v>
      </c>
      <c r="G396" s="10" t="s">
        <v>663</v>
      </c>
      <c r="H396" s="10" t="s">
        <v>663</v>
      </c>
      <c r="I396" s="10" t="s">
        <v>663</v>
      </c>
    </row>
    <row r="397" spans="3:9" ht="19.5" thickBot="1" x14ac:dyDescent="0.35">
      <c r="C397" s="109">
        <v>395</v>
      </c>
      <c r="D397" s="5" t="s">
        <v>128</v>
      </c>
      <c r="E397" s="2" t="s">
        <v>504</v>
      </c>
      <c r="F397" s="35" t="s">
        <v>455</v>
      </c>
      <c r="G397" s="10" t="s">
        <v>663</v>
      </c>
      <c r="H397" s="10" t="s">
        <v>663</v>
      </c>
      <c r="I397" s="10" t="s">
        <v>663</v>
      </c>
    </row>
    <row r="398" spans="3:9" ht="19.5" thickBot="1" x14ac:dyDescent="0.35">
      <c r="C398" s="109">
        <v>396</v>
      </c>
      <c r="D398" s="5" t="s">
        <v>389</v>
      </c>
      <c r="E398" s="2" t="s">
        <v>504</v>
      </c>
      <c r="F398" s="35" t="s">
        <v>455</v>
      </c>
      <c r="G398" s="10"/>
      <c r="H398" s="10"/>
      <c r="I398" s="10"/>
    </row>
    <row r="399" spans="3:9" ht="19.5" thickBot="1" x14ac:dyDescent="0.35">
      <c r="C399" s="109">
        <v>397</v>
      </c>
      <c r="D399" s="5" t="s">
        <v>528</v>
      </c>
      <c r="E399" s="2" t="s">
        <v>524</v>
      </c>
      <c r="F399" s="35" t="s">
        <v>455</v>
      </c>
      <c r="G399" s="10"/>
      <c r="H399" s="10"/>
      <c r="I399" s="10"/>
    </row>
    <row r="400" spans="3:9" ht="19.5" thickBot="1" x14ac:dyDescent="0.35">
      <c r="C400" s="109">
        <v>398</v>
      </c>
      <c r="D400" s="5" t="s">
        <v>243</v>
      </c>
      <c r="E400" s="2" t="s">
        <v>530</v>
      </c>
      <c r="F400" s="35" t="s">
        <v>455</v>
      </c>
      <c r="G400" s="10"/>
      <c r="H400" s="10"/>
      <c r="I400" s="10"/>
    </row>
    <row r="401" spans="3:9" ht="19.5" thickBot="1" x14ac:dyDescent="0.35">
      <c r="C401" s="109">
        <v>399</v>
      </c>
      <c r="D401" s="5" t="s">
        <v>231</v>
      </c>
      <c r="E401" s="2" t="s">
        <v>549</v>
      </c>
      <c r="F401" s="35" t="s">
        <v>455</v>
      </c>
      <c r="G401" s="10"/>
      <c r="H401" s="10"/>
      <c r="I401" s="10"/>
    </row>
    <row r="402" spans="3:9" ht="19.5" thickBot="1" x14ac:dyDescent="0.35">
      <c r="C402" s="109">
        <v>400</v>
      </c>
      <c r="D402" s="5" t="s">
        <v>557</v>
      </c>
      <c r="E402" s="2" t="s">
        <v>556</v>
      </c>
      <c r="F402" s="35" t="s">
        <v>455</v>
      </c>
      <c r="G402" s="10"/>
      <c r="H402" s="10"/>
      <c r="I402" s="10"/>
    </row>
    <row r="403" spans="3:9" ht="19.5" thickBot="1" x14ac:dyDescent="0.35">
      <c r="C403" s="109">
        <v>401</v>
      </c>
      <c r="D403" s="5" t="s">
        <v>617</v>
      </c>
      <c r="E403" s="2" t="s">
        <v>556</v>
      </c>
      <c r="F403" s="35" t="s">
        <v>489</v>
      </c>
      <c r="G403" s="10"/>
      <c r="H403" s="10"/>
      <c r="I403" s="10"/>
    </row>
    <row r="404" spans="3:9" ht="19.5" thickBot="1" x14ac:dyDescent="0.35">
      <c r="C404" s="109">
        <v>402</v>
      </c>
      <c r="D404" s="5" t="s">
        <v>113</v>
      </c>
      <c r="E404" s="2" t="s">
        <v>562</v>
      </c>
      <c r="F404" s="35" t="s">
        <v>455</v>
      </c>
      <c r="G404" s="10"/>
      <c r="H404" s="10"/>
      <c r="I404" s="10"/>
    </row>
    <row r="405" spans="3:9" ht="19.5" thickBot="1" x14ac:dyDescent="0.35">
      <c r="C405" s="109">
        <v>403</v>
      </c>
      <c r="D405" s="5" t="s">
        <v>571</v>
      </c>
      <c r="E405" s="2" t="s">
        <v>569</v>
      </c>
      <c r="F405" s="35" t="s">
        <v>455</v>
      </c>
      <c r="G405" s="10"/>
      <c r="H405" s="10"/>
      <c r="I405" s="10"/>
    </row>
    <row r="406" spans="3:9" ht="19.5" thickBot="1" x14ac:dyDescent="0.35">
      <c r="C406" s="109">
        <v>404</v>
      </c>
      <c r="D406" s="5" t="s">
        <v>572</v>
      </c>
      <c r="E406" s="2" t="s">
        <v>569</v>
      </c>
      <c r="F406" s="35" t="s">
        <v>455</v>
      </c>
      <c r="G406" s="10"/>
      <c r="H406" s="10"/>
      <c r="I406" s="10"/>
    </row>
    <row r="407" spans="3:9" ht="19.5" thickBot="1" x14ac:dyDescent="0.35">
      <c r="C407" s="109">
        <v>405</v>
      </c>
      <c r="D407" s="5" t="s">
        <v>263</v>
      </c>
      <c r="E407" s="2" t="s">
        <v>573</v>
      </c>
      <c r="F407" s="35" t="s">
        <v>455</v>
      </c>
      <c r="G407" s="10"/>
      <c r="H407" s="10"/>
      <c r="I407" s="10"/>
    </row>
    <row r="408" spans="3:9" ht="19.5" thickBot="1" x14ac:dyDescent="0.35">
      <c r="C408" s="109">
        <v>406</v>
      </c>
      <c r="D408" s="5" t="s">
        <v>282</v>
      </c>
      <c r="E408" s="2"/>
      <c r="F408" s="35" t="s">
        <v>455</v>
      </c>
      <c r="G408" s="10"/>
      <c r="H408" s="10"/>
      <c r="I408" s="10"/>
    </row>
    <row r="409" spans="3:9" ht="19.5" thickBot="1" x14ac:dyDescent="0.35">
      <c r="C409" s="109">
        <v>407</v>
      </c>
      <c r="D409" s="5" t="s">
        <v>388</v>
      </c>
      <c r="E409" s="2"/>
      <c r="F409" s="35" t="s">
        <v>455</v>
      </c>
      <c r="G409" s="10"/>
      <c r="H409" s="10"/>
      <c r="I409" s="10"/>
    </row>
    <row r="410" spans="3:9" ht="19.5" thickBot="1" x14ac:dyDescent="0.35">
      <c r="C410" s="109">
        <v>408</v>
      </c>
      <c r="D410" s="5" t="s">
        <v>359</v>
      </c>
      <c r="E410" s="2" t="s">
        <v>480</v>
      </c>
      <c r="F410" s="35" t="s">
        <v>455</v>
      </c>
      <c r="G410" s="10"/>
      <c r="H410" s="10"/>
      <c r="I410" s="10"/>
    </row>
    <row r="411" spans="3:9" ht="19.5" thickBot="1" x14ac:dyDescent="0.35">
      <c r="C411" s="109">
        <v>409</v>
      </c>
      <c r="D411" s="5" t="s">
        <v>156</v>
      </c>
      <c r="E411" s="2" t="s">
        <v>549</v>
      </c>
      <c r="F411" s="35" t="s">
        <v>455</v>
      </c>
      <c r="G411" s="10"/>
      <c r="H411" s="10"/>
      <c r="I411" s="10"/>
    </row>
    <row r="412" spans="3:9" ht="19.5" thickBot="1" x14ac:dyDescent="0.35">
      <c r="C412" s="109">
        <v>410</v>
      </c>
      <c r="D412" s="5" t="s">
        <v>314</v>
      </c>
      <c r="E412" s="2" t="s">
        <v>556</v>
      </c>
      <c r="F412" s="35" t="s">
        <v>455</v>
      </c>
      <c r="G412" s="10"/>
      <c r="H412" s="10"/>
      <c r="I412" s="10"/>
    </row>
    <row r="413" spans="3:9" ht="19.5" thickBot="1" x14ac:dyDescent="0.35">
      <c r="C413" s="109">
        <v>411</v>
      </c>
      <c r="D413" s="5" t="s">
        <v>110</v>
      </c>
      <c r="E413" s="2" t="s">
        <v>562</v>
      </c>
      <c r="F413" s="35" t="s">
        <v>455</v>
      </c>
      <c r="G413" s="10"/>
      <c r="H413" s="10"/>
      <c r="I413" s="10"/>
    </row>
    <row r="414" spans="3:9" ht="19.5" thickBot="1" x14ac:dyDescent="0.35">
      <c r="C414" s="109">
        <v>412</v>
      </c>
      <c r="D414" s="5" t="s">
        <v>200</v>
      </c>
      <c r="E414" s="2" t="s">
        <v>573</v>
      </c>
      <c r="F414" s="35" t="s">
        <v>455</v>
      </c>
      <c r="G414" s="10"/>
      <c r="H414" s="10"/>
      <c r="I414" s="10"/>
    </row>
    <row r="415" spans="3:9" ht="19.5" thickBot="1" x14ac:dyDescent="0.35">
      <c r="C415" s="109">
        <v>413</v>
      </c>
      <c r="D415" s="5" t="s">
        <v>38</v>
      </c>
      <c r="E415" s="2" t="s">
        <v>575</v>
      </c>
      <c r="F415" s="35" t="s">
        <v>455</v>
      </c>
      <c r="G415" s="10"/>
      <c r="H415" s="10"/>
      <c r="I415" s="10"/>
    </row>
    <row r="416" spans="3:9" ht="19.5" thickBot="1" x14ac:dyDescent="0.35">
      <c r="C416" s="109">
        <v>414</v>
      </c>
      <c r="D416" s="5" t="s">
        <v>224</v>
      </c>
      <c r="E416" s="2"/>
      <c r="F416" s="35" t="s">
        <v>455</v>
      </c>
      <c r="G416" s="10"/>
      <c r="H416" s="10"/>
      <c r="I416" s="10"/>
    </row>
    <row r="417" spans="3:9" ht="19.5" thickBot="1" x14ac:dyDescent="0.35">
      <c r="C417" s="109">
        <v>415</v>
      </c>
      <c r="D417" s="5" t="s">
        <v>465</v>
      </c>
      <c r="E417" s="2" t="s">
        <v>461</v>
      </c>
      <c r="F417" s="35" t="s">
        <v>455</v>
      </c>
      <c r="G417" s="10"/>
      <c r="H417" s="10"/>
      <c r="I417" s="10"/>
    </row>
    <row r="418" spans="3:9" ht="19.5" thickBot="1" x14ac:dyDescent="0.35">
      <c r="C418" s="109">
        <v>416</v>
      </c>
      <c r="D418" s="5" t="s">
        <v>262</v>
      </c>
      <c r="E418" s="2" t="s">
        <v>480</v>
      </c>
      <c r="F418" s="35" t="s">
        <v>455</v>
      </c>
      <c r="G418" s="10"/>
      <c r="H418" s="10"/>
      <c r="I418" s="10"/>
    </row>
    <row r="419" spans="3:9" ht="19.5" thickBot="1" x14ac:dyDescent="0.35">
      <c r="C419" s="109">
        <v>417</v>
      </c>
      <c r="D419" s="5" t="s">
        <v>127</v>
      </c>
      <c r="E419" s="2" t="s">
        <v>488</v>
      </c>
      <c r="F419" s="35" t="s">
        <v>455</v>
      </c>
      <c r="G419" s="10"/>
      <c r="H419" s="10"/>
      <c r="I419" s="10"/>
    </row>
    <row r="420" spans="3:9" ht="19.5" thickBot="1" x14ac:dyDescent="0.35">
      <c r="C420" s="109">
        <v>418</v>
      </c>
      <c r="D420" s="5" t="s">
        <v>498</v>
      </c>
      <c r="E420" s="2" t="s">
        <v>493</v>
      </c>
      <c r="F420" s="35" t="s">
        <v>455</v>
      </c>
      <c r="G420" s="10"/>
      <c r="H420" s="10"/>
      <c r="I420" s="10"/>
    </row>
    <row r="421" spans="3:9" ht="19.5" thickBot="1" x14ac:dyDescent="0.35">
      <c r="C421" s="109">
        <v>419</v>
      </c>
      <c r="D421" s="5" t="s">
        <v>394</v>
      </c>
      <c r="E421" s="2" t="s">
        <v>493</v>
      </c>
      <c r="F421" s="35" t="s">
        <v>455</v>
      </c>
      <c r="G421" s="10"/>
      <c r="H421" s="10"/>
      <c r="I421" s="10"/>
    </row>
    <row r="422" spans="3:9" ht="19.5" thickBot="1" x14ac:dyDescent="0.35">
      <c r="C422" s="109">
        <v>420</v>
      </c>
      <c r="D422" s="5" t="s">
        <v>510</v>
      </c>
      <c r="E422" s="2" t="s">
        <v>504</v>
      </c>
      <c r="F422" s="35" t="s">
        <v>455</v>
      </c>
      <c r="G422" s="10"/>
      <c r="H422" s="10"/>
      <c r="I422" s="10"/>
    </row>
    <row r="423" spans="3:9" ht="19.5" thickBot="1" x14ac:dyDescent="0.35">
      <c r="C423" s="109">
        <v>421</v>
      </c>
      <c r="D423" s="5" t="s">
        <v>265</v>
      </c>
      <c r="E423" s="2" t="s">
        <v>524</v>
      </c>
      <c r="F423" s="35" t="s">
        <v>455</v>
      </c>
      <c r="G423" s="10"/>
      <c r="H423" s="10"/>
      <c r="I423" s="10"/>
    </row>
    <row r="424" spans="3:9" ht="19.5" thickBot="1" x14ac:dyDescent="0.35">
      <c r="C424" s="109">
        <v>422</v>
      </c>
      <c r="D424" s="5" t="s">
        <v>62</v>
      </c>
      <c r="E424" s="2" t="s">
        <v>530</v>
      </c>
      <c r="F424" s="35" t="s">
        <v>455</v>
      </c>
      <c r="G424" s="10"/>
      <c r="H424" s="10"/>
      <c r="I424" s="10"/>
    </row>
    <row r="425" spans="3:9" ht="19.5" thickBot="1" x14ac:dyDescent="0.35">
      <c r="C425" s="109">
        <v>423</v>
      </c>
      <c r="D425" s="5" t="s">
        <v>158</v>
      </c>
      <c r="E425" s="2" t="s">
        <v>530</v>
      </c>
      <c r="F425" s="35" t="s">
        <v>455</v>
      </c>
      <c r="G425" s="10"/>
      <c r="H425" s="10"/>
      <c r="I425" s="10"/>
    </row>
    <row r="426" spans="3:9" ht="19.5" thickBot="1" x14ac:dyDescent="0.35">
      <c r="C426" s="109">
        <v>424</v>
      </c>
      <c r="D426" s="5" t="s">
        <v>312</v>
      </c>
      <c r="E426" s="2" t="s">
        <v>530</v>
      </c>
      <c r="F426" s="35" t="s">
        <v>455</v>
      </c>
      <c r="G426" s="10"/>
      <c r="H426" s="10"/>
      <c r="I426" s="10"/>
    </row>
    <row r="427" spans="3:9" ht="18.75" x14ac:dyDescent="0.3">
      <c r="C427" s="109">
        <v>425</v>
      </c>
      <c r="D427" s="5" t="s">
        <v>421</v>
      </c>
      <c r="E427" s="2" t="s">
        <v>530</v>
      </c>
      <c r="F427" s="35" t="s">
        <v>455</v>
      </c>
      <c r="G427" s="10"/>
      <c r="H427" s="10"/>
      <c r="I427" s="10"/>
    </row>
    <row r="428" spans="3:9" ht="18.75" x14ac:dyDescent="0.3">
      <c r="C428" s="109">
        <v>426</v>
      </c>
      <c r="D428" s="5" t="s">
        <v>149</v>
      </c>
      <c r="E428" s="2" t="s">
        <v>549</v>
      </c>
      <c r="F428" s="36" t="s">
        <v>455</v>
      </c>
      <c r="G428" s="10"/>
      <c r="H428" s="10"/>
      <c r="I428" s="10"/>
    </row>
    <row r="429" spans="3:9" ht="18.75" x14ac:dyDescent="0.3">
      <c r="C429" s="109">
        <v>427</v>
      </c>
      <c r="D429" s="5" t="s">
        <v>294</v>
      </c>
      <c r="E429" s="2" t="s">
        <v>549</v>
      </c>
      <c r="F429" s="36" t="s">
        <v>455</v>
      </c>
      <c r="G429" s="10"/>
      <c r="H429" s="10"/>
      <c r="I429" s="10"/>
    </row>
    <row r="430" spans="3:9" ht="18.75" x14ac:dyDescent="0.3">
      <c r="C430" s="109">
        <v>428</v>
      </c>
      <c r="D430" s="5" t="s">
        <v>296</v>
      </c>
      <c r="E430" s="2" t="s">
        <v>549</v>
      </c>
      <c r="F430" s="36" t="s">
        <v>455</v>
      </c>
      <c r="G430" s="10"/>
      <c r="H430" s="10"/>
      <c r="I430" s="10"/>
    </row>
    <row r="431" spans="3:9" ht="18.75" x14ac:dyDescent="0.3">
      <c r="C431" s="109">
        <v>429</v>
      </c>
      <c r="D431" s="5" t="s">
        <v>147</v>
      </c>
      <c r="E431" s="2" t="s">
        <v>556</v>
      </c>
      <c r="F431" s="36" t="s">
        <v>455</v>
      </c>
      <c r="G431" s="10"/>
      <c r="H431" s="10"/>
      <c r="I431" s="10"/>
    </row>
    <row r="432" spans="3:9" ht="18.75" x14ac:dyDescent="0.3">
      <c r="C432" s="109">
        <v>430</v>
      </c>
      <c r="D432" s="5" t="s">
        <v>140</v>
      </c>
      <c r="E432" s="2" t="s">
        <v>562</v>
      </c>
      <c r="F432" s="36" t="s">
        <v>455</v>
      </c>
      <c r="G432" s="10"/>
      <c r="H432" s="10"/>
      <c r="I432" s="10"/>
    </row>
    <row r="433" spans="3:9" ht="18.75" x14ac:dyDescent="0.3">
      <c r="C433" s="109">
        <v>431</v>
      </c>
      <c r="D433" s="5" t="s">
        <v>249</v>
      </c>
      <c r="E433" s="2" t="s">
        <v>562</v>
      </c>
      <c r="F433" s="36" t="s">
        <v>455</v>
      </c>
      <c r="G433" s="10"/>
      <c r="H433" s="10"/>
      <c r="I433" s="10"/>
    </row>
    <row r="434" spans="3:9" ht="18.75" x14ac:dyDescent="0.3">
      <c r="C434" s="109">
        <v>432</v>
      </c>
      <c r="D434" s="5" t="s">
        <v>324</v>
      </c>
      <c r="E434" s="2" t="s">
        <v>562</v>
      </c>
      <c r="F434" s="36" t="s">
        <v>455</v>
      </c>
      <c r="G434" s="10"/>
      <c r="H434" s="10"/>
      <c r="I434" s="10"/>
    </row>
    <row r="435" spans="3:9" ht="18.75" x14ac:dyDescent="0.3">
      <c r="C435" s="109">
        <v>433</v>
      </c>
      <c r="D435" s="5" t="s">
        <v>52</v>
      </c>
      <c r="E435" s="2" t="s">
        <v>575</v>
      </c>
      <c r="F435" s="36" t="s">
        <v>455</v>
      </c>
      <c r="G435" s="10"/>
      <c r="H435" s="10"/>
      <c r="I435" s="10"/>
    </row>
    <row r="436" spans="3:9" ht="19.5" thickBot="1" x14ac:dyDescent="0.35">
      <c r="C436" s="109">
        <v>434</v>
      </c>
      <c r="D436" s="5" t="s">
        <v>197</v>
      </c>
      <c r="E436" s="2" t="s">
        <v>575</v>
      </c>
      <c r="F436" s="36" t="s">
        <v>455</v>
      </c>
      <c r="G436" s="10"/>
      <c r="H436" s="10"/>
      <c r="I436" s="10"/>
    </row>
    <row r="437" spans="3:9" ht="18.75" x14ac:dyDescent="0.3">
      <c r="C437" s="109">
        <v>435</v>
      </c>
      <c r="D437" s="5" t="s">
        <v>295</v>
      </c>
      <c r="E437" s="2" t="s">
        <v>575</v>
      </c>
      <c r="F437" s="35" t="s">
        <v>455</v>
      </c>
      <c r="G437" s="10"/>
      <c r="H437" s="10"/>
      <c r="I437" s="10"/>
    </row>
    <row r="438" spans="3:9" ht="18.75" x14ac:dyDescent="0.3">
      <c r="C438" s="109">
        <v>436</v>
      </c>
      <c r="D438" s="5" t="s">
        <v>392</v>
      </c>
      <c r="E438" s="2" t="s">
        <v>575</v>
      </c>
      <c r="F438" s="36" t="s">
        <v>455</v>
      </c>
      <c r="G438" s="10"/>
      <c r="H438" s="10"/>
      <c r="I438" s="10"/>
    </row>
    <row r="439" spans="3:9" ht="18.75" x14ac:dyDescent="0.3">
      <c r="C439" s="109">
        <v>437</v>
      </c>
      <c r="D439" s="5" t="s">
        <v>422</v>
      </c>
      <c r="E439" s="2" t="s">
        <v>575</v>
      </c>
      <c r="F439" s="36" t="s">
        <v>455</v>
      </c>
      <c r="G439" s="10"/>
      <c r="H439" s="10"/>
      <c r="I439" s="10"/>
    </row>
    <row r="440" spans="3:9" ht="18.75" x14ac:dyDescent="0.3">
      <c r="C440" s="109">
        <v>438</v>
      </c>
      <c r="D440" s="5" t="s">
        <v>236</v>
      </c>
      <c r="E440" s="2"/>
      <c r="F440" s="36" t="s">
        <v>455</v>
      </c>
      <c r="G440" s="10"/>
      <c r="H440" s="10"/>
      <c r="I440" s="10"/>
    </row>
    <row r="441" spans="3:9" ht="18.75" x14ac:dyDescent="0.3">
      <c r="C441" s="109">
        <v>439</v>
      </c>
      <c r="D441" s="5" t="s">
        <v>210</v>
      </c>
      <c r="E441" s="2"/>
      <c r="F441" s="36" t="s">
        <v>455</v>
      </c>
      <c r="G441" s="10"/>
      <c r="H441" s="10"/>
      <c r="I441" s="10"/>
    </row>
    <row r="442" spans="3:9" ht="18.75" x14ac:dyDescent="0.3">
      <c r="C442" s="109">
        <v>440</v>
      </c>
      <c r="D442" s="5" t="s">
        <v>213</v>
      </c>
      <c r="E442" s="2"/>
      <c r="F442" s="36" t="s">
        <v>455</v>
      </c>
      <c r="G442" s="10"/>
      <c r="H442" s="10"/>
      <c r="I442" s="10"/>
    </row>
    <row r="443" spans="3:9" ht="18.75" x14ac:dyDescent="0.3">
      <c r="C443" s="109">
        <v>441</v>
      </c>
      <c r="D443" s="5" t="s">
        <v>259</v>
      </c>
      <c r="E443" s="2"/>
      <c r="F443" s="36" t="s">
        <v>455</v>
      </c>
      <c r="G443" s="10"/>
      <c r="H443" s="10"/>
      <c r="I443" s="10"/>
    </row>
    <row r="444" spans="3:9" ht="18.75" x14ac:dyDescent="0.3">
      <c r="C444" s="109">
        <v>442</v>
      </c>
      <c r="D444" s="5" t="s">
        <v>623</v>
      </c>
      <c r="E444" s="2"/>
      <c r="F444" s="36" t="s">
        <v>489</v>
      </c>
      <c r="G444" s="10"/>
      <c r="H444" s="10"/>
      <c r="I444" s="10"/>
    </row>
    <row r="445" spans="3:9" ht="18.75" x14ac:dyDescent="0.3">
      <c r="C445" s="109">
        <v>443</v>
      </c>
      <c r="D445" s="5" t="s">
        <v>588</v>
      </c>
      <c r="E445" s="2"/>
      <c r="F445" s="36" t="s">
        <v>455</v>
      </c>
      <c r="G445" s="10"/>
      <c r="H445" s="10"/>
      <c r="I445" s="10"/>
    </row>
    <row r="446" spans="3:9" ht="18.75" x14ac:dyDescent="0.3">
      <c r="C446" s="109">
        <v>444</v>
      </c>
      <c r="D446" s="5" t="s">
        <v>338</v>
      </c>
      <c r="E446" s="2"/>
      <c r="F446" s="36" t="s">
        <v>455</v>
      </c>
      <c r="G446" s="10"/>
      <c r="H446" s="10"/>
      <c r="I446" s="10"/>
    </row>
    <row r="447" spans="3:9" ht="18.75" x14ac:dyDescent="0.3">
      <c r="C447" s="109">
        <v>445</v>
      </c>
      <c r="D447" s="5" t="s">
        <v>368</v>
      </c>
      <c r="E447" s="2"/>
      <c r="F447" s="36" t="s">
        <v>455</v>
      </c>
      <c r="G447" s="10"/>
      <c r="H447" s="10"/>
      <c r="I447" s="10"/>
    </row>
    <row r="448" spans="3:9" ht="18.75" x14ac:dyDescent="0.3">
      <c r="C448" s="109">
        <v>446</v>
      </c>
      <c r="D448" s="5" t="s">
        <v>398</v>
      </c>
      <c r="E448" s="2"/>
      <c r="F448" s="36" t="s">
        <v>455</v>
      </c>
      <c r="G448" s="10"/>
      <c r="H448" s="10"/>
      <c r="I448" s="10"/>
    </row>
    <row r="449" spans="3:9" ht="18.75" x14ac:dyDescent="0.3">
      <c r="C449" s="109">
        <v>447</v>
      </c>
      <c r="D449" s="5" t="s">
        <v>109</v>
      </c>
      <c r="E449" s="2" t="s">
        <v>461</v>
      </c>
      <c r="F449" s="36" t="s">
        <v>455</v>
      </c>
      <c r="G449" s="10"/>
      <c r="H449" s="10"/>
      <c r="I449" s="10"/>
    </row>
    <row r="450" spans="3:9" ht="18.75" x14ac:dyDescent="0.3">
      <c r="C450" s="109">
        <v>448</v>
      </c>
      <c r="D450" s="5" t="s">
        <v>345</v>
      </c>
      <c r="E450" s="2" t="s">
        <v>504</v>
      </c>
      <c r="F450" s="36" t="s">
        <v>455</v>
      </c>
      <c r="G450" s="10"/>
      <c r="H450" s="10"/>
      <c r="I450" s="10"/>
    </row>
    <row r="451" spans="3:9" ht="18.75" x14ac:dyDescent="0.3">
      <c r="C451" s="109">
        <v>449</v>
      </c>
      <c r="D451" s="5" t="s">
        <v>316</v>
      </c>
      <c r="E451" s="2" t="s">
        <v>530</v>
      </c>
      <c r="F451" s="36" t="s">
        <v>455</v>
      </c>
      <c r="G451" s="10"/>
      <c r="H451" s="10"/>
      <c r="I451" s="10"/>
    </row>
    <row r="452" spans="3:9" ht="19.5" thickBot="1" x14ac:dyDescent="0.35">
      <c r="C452" s="109">
        <v>450</v>
      </c>
      <c r="D452" s="5" t="s">
        <v>189</v>
      </c>
      <c r="E452" s="2" t="s">
        <v>549</v>
      </c>
      <c r="F452" s="36" t="s">
        <v>455</v>
      </c>
      <c r="G452" s="10"/>
      <c r="H452" s="10"/>
      <c r="I452" s="10"/>
    </row>
    <row r="453" spans="3:9" ht="19.5" thickBot="1" x14ac:dyDescent="0.35">
      <c r="C453" s="109">
        <v>451</v>
      </c>
      <c r="D453" s="5" t="s">
        <v>22</v>
      </c>
      <c r="E453" s="2" t="s">
        <v>562</v>
      </c>
      <c r="F453" s="35" t="s">
        <v>455</v>
      </c>
      <c r="G453" s="10"/>
      <c r="H453" s="10"/>
      <c r="I453" s="10"/>
    </row>
    <row r="454" spans="3:9" ht="19.5" thickBot="1" x14ac:dyDescent="0.35">
      <c r="C454" s="109">
        <v>452</v>
      </c>
      <c r="D454" s="5" t="s">
        <v>577</v>
      </c>
      <c r="E454" s="2" t="s">
        <v>575</v>
      </c>
      <c r="F454" s="35" t="s">
        <v>455</v>
      </c>
      <c r="G454" s="10"/>
      <c r="H454" s="10"/>
      <c r="I454" s="10"/>
    </row>
    <row r="455" spans="3:9" ht="19.5" thickBot="1" x14ac:dyDescent="0.35">
      <c r="C455" s="109">
        <v>453</v>
      </c>
      <c r="D455" s="5" t="s">
        <v>133</v>
      </c>
      <c r="E455" s="2"/>
      <c r="F455" s="35" t="s">
        <v>455</v>
      </c>
      <c r="G455" s="10"/>
      <c r="H455" s="10"/>
      <c r="I455" s="10"/>
    </row>
    <row r="456" spans="3:9" ht="19.5" thickBot="1" x14ac:dyDescent="0.35">
      <c r="C456" s="109">
        <v>454</v>
      </c>
      <c r="D456" s="5" t="s">
        <v>462</v>
      </c>
      <c r="E456" s="2" t="s">
        <v>461</v>
      </c>
      <c r="F456" s="35" t="s">
        <v>455</v>
      </c>
      <c r="G456" s="10"/>
      <c r="H456" s="10"/>
      <c r="I456" s="10"/>
    </row>
    <row r="457" spans="3:9" ht="19.5" thickBot="1" x14ac:dyDescent="0.35">
      <c r="C457" s="109">
        <v>455</v>
      </c>
      <c r="D457" s="5" t="s">
        <v>237</v>
      </c>
      <c r="E457" s="2" t="s">
        <v>461</v>
      </c>
      <c r="F457" s="35" t="s">
        <v>455</v>
      </c>
      <c r="G457" s="10"/>
      <c r="H457" s="10"/>
      <c r="I457" s="10"/>
    </row>
    <row r="458" spans="3:9" ht="19.5" thickBot="1" x14ac:dyDescent="0.35">
      <c r="C458" s="109">
        <v>456</v>
      </c>
      <c r="D458" s="5" t="s">
        <v>26</v>
      </c>
      <c r="E458" s="2" t="s">
        <v>493</v>
      </c>
      <c r="F458" s="35" t="s">
        <v>455</v>
      </c>
      <c r="G458" s="10"/>
      <c r="H458" s="10"/>
      <c r="I458" s="10"/>
    </row>
    <row r="459" spans="3:9" ht="19.5" thickBot="1" x14ac:dyDescent="0.35">
      <c r="C459" s="109">
        <v>457</v>
      </c>
      <c r="D459" s="5" t="s">
        <v>380</v>
      </c>
      <c r="E459" s="2" t="s">
        <v>504</v>
      </c>
      <c r="F459" s="35" t="s">
        <v>455</v>
      </c>
      <c r="G459" s="10"/>
      <c r="H459" s="10"/>
      <c r="I459" s="10"/>
    </row>
    <row r="460" spans="3:9" ht="19.5" thickBot="1" x14ac:dyDescent="0.35">
      <c r="C460" s="109">
        <v>458</v>
      </c>
      <c r="D460" s="5" t="s">
        <v>395</v>
      </c>
      <c r="E460" s="2" t="s">
        <v>562</v>
      </c>
      <c r="F460" s="35" t="s">
        <v>455</v>
      </c>
      <c r="G460" s="10"/>
      <c r="H460" s="10"/>
      <c r="I460" s="10"/>
    </row>
    <row r="461" spans="3:9" ht="19.5" thickBot="1" x14ac:dyDescent="0.35">
      <c r="C461" s="109">
        <v>459</v>
      </c>
      <c r="D461" s="5" t="s">
        <v>405</v>
      </c>
      <c r="E461" s="2"/>
      <c r="F461" s="35" t="s">
        <v>455</v>
      </c>
      <c r="G461" s="10"/>
      <c r="H461" s="10"/>
      <c r="I461" s="10"/>
    </row>
    <row r="462" spans="3:9" ht="18.75" x14ac:dyDescent="0.3">
      <c r="C462" s="109">
        <v>460</v>
      </c>
      <c r="D462" s="5" t="s">
        <v>209</v>
      </c>
      <c r="E462" s="2" t="s">
        <v>456</v>
      </c>
      <c r="F462" s="35" t="s">
        <v>455</v>
      </c>
      <c r="G462" s="10"/>
      <c r="H462" s="10"/>
      <c r="I462" s="10"/>
    </row>
    <row r="463" spans="3:9" ht="19.5" thickBot="1" x14ac:dyDescent="0.35">
      <c r="C463" s="109">
        <v>461</v>
      </c>
      <c r="D463" s="5" t="s">
        <v>171</v>
      </c>
      <c r="E463" s="2" t="s">
        <v>461</v>
      </c>
      <c r="F463" s="36" t="s">
        <v>455</v>
      </c>
      <c r="G463" s="10"/>
      <c r="H463" s="10"/>
      <c r="I463" s="10"/>
    </row>
    <row r="464" spans="3:9" ht="19.5" thickBot="1" x14ac:dyDescent="0.35">
      <c r="C464" s="109">
        <v>462</v>
      </c>
      <c r="D464" s="5" t="s">
        <v>391</v>
      </c>
      <c r="E464" s="2" t="s">
        <v>461</v>
      </c>
      <c r="F464" s="35" t="s">
        <v>455</v>
      </c>
      <c r="G464" s="10"/>
      <c r="H464" s="10"/>
      <c r="I464" s="10"/>
    </row>
    <row r="465" spans="3:9" ht="19.5" thickBot="1" x14ac:dyDescent="0.35">
      <c r="C465" s="109">
        <v>463</v>
      </c>
      <c r="D465" s="5" t="s">
        <v>125</v>
      </c>
      <c r="E465" s="2" t="s">
        <v>478</v>
      </c>
      <c r="F465" s="35" t="s">
        <v>455</v>
      </c>
      <c r="G465" s="10"/>
      <c r="H465" s="10"/>
      <c r="I465" s="10"/>
    </row>
    <row r="466" spans="3:9" ht="19.5" thickBot="1" x14ac:dyDescent="0.35">
      <c r="C466" s="109">
        <v>464</v>
      </c>
      <c r="D466" s="5" t="s">
        <v>75</v>
      </c>
      <c r="E466" s="2" t="s">
        <v>480</v>
      </c>
      <c r="F466" s="35" t="s">
        <v>455</v>
      </c>
      <c r="G466" s="10"/>
      <c r="H466" s="10"/>
      <c r="I466" s="10"/>
    </row>
    <row r="467" spans="3:9" ht="19.5" thickBot="1" x14ac:dyDescent="0.35">
      <c r="C467" s="109">
        <v>465</v>
      </c>
      <c r="D467" s="5" t="s">
        <v>344</v>
      </c>
      <c r="E467" s="2" t="s">
        <v>504</v>
      </c>
      <c r="F467" s="35" t="s">
        <v>455</v>
      </c>
      <c r="G467" s="10"/>
      <c r="H467" s="10"/>
      <c r="I467" s="10"/>
    </row>
    <row r="468" spans="3:9" ht="19.5" thickBot="1" x14ac:dyDescent="0.35">
      <c r="C468" s="109">
        <v>466</v>
      </c>
      <c r="D468" s="13" t="s">
        <v>206</v>
      </c>
      <c r="E468" s="2" t="s">
        <v>530</v>
      </c>
      <c r="F468" s="35" t="s">
        <v>489</v>
      </c>
      <c r="G468" s="10"/>
      <c r="H468" s="10"/>
      <c r="I468" s="10"/>
    </row>
    <row r="469" spans="3:9" ht="19.5" thickBot="1" x14ac:dyDescent="0.35">
      <c r="C469" s="109">
        <v>467</v>
      </c>
      <c r="D469" s="5" t="s">
        <v>278</v>
      </c>
      <c r="E469" s="2" t="s">
        <v>530</v>
      </c>
      <c r="F469" s="35" t="s">
        <v>455</v>
      </c>
      <c r="G469" s="10"/>
      <c r="H469" s="10"/>
      <c r="I469" s="10"/>
    </row>
    <row r="470" spans="3:9" ht="19.5" thickBot="1" x14ac:dyDescent="0.35">
      <c r="C470" s="109">
        <v>468</v>
      </c>
      <c r="D470" s="5" t="s">
        <v>581</v>
      </c>
      <c r="E470" s="2" t="s">
        <v>569</v>
      </c>
      <c r="F470" s="35" t="s">
        <v>455</v>
      </c>
      <c r="G470" s="10"/>
      <c r="H470" s="10"/>
      <c r="I470" s="10"/>
    </row>
    <row r="471" spans="3:9" ht="19.5" thickBot="1" x14ac:dyDescent="0.35">
      <c r="C471" s="109">
        <v>469</v>
      </c>
      <c r="D471" s="5" t="s">
        <v>384</v>
      </c>
      <c r="E471" s="2" t="s">
        <v>575</v>
      </c>
      <c r="F471" s="35" t="s">
        <v>455</v>
      </c>
      <c r="G471" s="10"/>
      <c r="H471" s="10"/>
      <c r="I471" s="10"/>
    </row>
    <row r="472" spans="3:9" ht="19.5" thickBot="1" x14ac:dyDescent="0.35">
      <c r="C472" s="109">
        <v>470</v>
      </c>
      <c r="D472" s="5" t="s">
        <v>583</v>
      </c>
      <c r="E472" s="2"/>
      <c r="F472" s="35" t="s">
        <v>455</v>
      </c>
      <c r="G472" s="10"/>
      <c r="H472" s="10"/>
      <c r="I472" s="10"/>
    </row>
    <row r="473" spans="3:9" ht="19.5" thickBot="1" x14ac:dyDescent="0.35">
      <c r="C473" s="109">
        <v>471</v>
      </c>
      <c r="D473" s="5" t="s">
        <v>360</v>
      </c>
      <c r="E473" s="2"/>
      <c r="F473" s="35" t="s">
        <v>455</v>
      </c>
      <c r="G473" s="10"/>
      <c r="H473" s="10"/>
      <c r="I473" s="10"/>
    </row>
    <row r="474" spans="3:9" ht="19.5" thickBot="1" x14ac:dyDescent="0.35">
      <c r="C474" s="109">
        <v>472</v>
      </c>
      <c r="D474" s="5" t="s">
        <v>361</v>
      </c>
      <c r="E474" s="2"/>
      <c r="F474" s="35" t="s">
        <v>455</v>
      </c>
      <c r="G474" s="10"/>
      <c r="H474" s="10"/>
      <c r="I474" s="10"/>
    </row>
    <row r="475" spans="3:9" ht="19.5" thickBot="1" x14ac:dyDescent="0.35">
      <c r="C475" s="109">
        <v>473</v>
      </c>
      <c r="D475" s="5" t="s">
        <v>591</v>
      </c>
      <c r="E475" s="2"/>
      <c r="F475" s="35" t="s">
        <v>455</v>
      </c>
      <c r="G475" s="10"/>
      <c r="H475" s="10"/>
      <c r="I475" s="10"/>
    </row>
    <row r="476" spans="3:9" ht="19.5" thickBot="1" x14ac:dyDescent="0.35">
      <c r="C476" s="109">
        <v>474</v>
      </c>
      <c r="D476" s="5" t="s">
        <v>97</v>
      </c>
      <c r="E476" s="2" t="s">
        <v>456</v>
      </c>
      <c r="F476" s="35" t="s">
        <v>455</v>
      </c>
      <c r="G476" s="10"/>
      <c r="H476" s="10"/>
      <c r="I476" s="10"/>
    </row>
    <row r="477" spans="3:9" ht="19.5" thickBot="1" x14ac:dyDescent="0.35">
      <c r="C477" s="109">
        <v>475</v>
      </c>
      <c r="D477" s="5" t="s">
        <v>485</v>
      </c>
      <c r="E477" s="2" t="s">
        <v>480</v>
      </c>
      <c r="F477" s="35" t="s">
        <v>455</v>
      </c>
      <c r="G477" s="10"/>
      <c r="H477" s="10"/>
      <c r="I477" s="10"/>
    </row>
    <row r="478" spans="3:9" ht="19.5" thickBot="1" x14ac:dyDescent="0.35">
      <c r="C478" s="109">
        <v>476</v>
      </c>
      <c r="D478" s="5" t="s">
        <v>182</v>
      </c>
      <c r="E478" s="2" t="s">
        <v>488</v>
      </c>
      <c r="F478" s="35" t="s">
        <v>455</v>
      </c>
      <c r="G478" s="10"/>
      <c r="H478" s="10"/>
      <c r="I478" s="10"/>
    </row>
    <row r="479" spans="3:9" ht="19.5" thickBot="1" x14ac:dyDescent="0.35">
      <c r="C479" s="109">
        <v>477</v>
      </c>
      <c r="D479" s="5" t="s">
        <v>365</v>
      </c>
      <c r="E479" s="2" t="s">
        <v>524</v>
      </c>
      <c r="F479" s="35" t="s">
        <v>455</v>
      </c>
      <c r="G479" s="10"/>
      <c r="H479" s="10"/>
      <c r="I479" s="10"/>
    </row>
    <row r="480" spans="3:9" ht="19.5" thickBot="1" x14ac:dyDescent="0.35">
      <c r="C480" s="109">
        <v>478</v>
      </c>
      <c r="D480" s="5" t="s">
        <v>651</v>
      </c>
      <c r="E480" s="2" t="s">
        <v>530</v>
      </c>
      <c r="F480" s="35" t="s">
        <v>455</v>
      </c>
      <c r="G480" s="10"/>
      <c r="H480" s="10"/>
      <c r="I480" s="10"/>
    </row>
    <row r="481" spans="3:9" ht="19.5" thickBot="1" x14ac:dyDescent="0.35">
      <c r="C481" s="109">
        <v>479</v>
      </c>
      <c r="D481" s="5" t="s">
        <v>131</v>
      </c>
      <c r="E481" s="2" t="s">
        <v>530</v>
      </c>
      <c r="F481" s="35" t="s">
        <v>455</v>
      </c>
      <c r="G481" s="10"/>
      <c r="H481" s="10"/>
      <c r="I481" s="10"/>
    </row>
    <row r="482" spans="3:9" ht="19.5" thickBot="1" x14ac:dyDescent="0.35">
      <c r="C482" s="109">
        <v>480</v>
      </c>
      <c r="D482" s="5" t="s">
        <v>329</v>
      </c>
      <c r="E482" s="2" t="s">
        <v>562</v>
      </c>
      <c r="F482" s="35" t="s">
        <v>455</v>
      </c>
      <c r="G482" s="10"/>
      <c r="H482" s="10"/>
      <c r="I482" s="10"/>
    </row>
    <row r="483" spans="3:9" ht="19.5" thickBot="1" x14ac:dyDescent="0.35">
      <c r="C483" s="109">
        <v>481</v>
      </c>
      <c r="D483" s="5" t="s">
        <v>96</v>
      </c>
      <c r="E483" s="2" t="s">
        <v>569</v>
      </c>
      <c r="F483" s="35" t="s">
        <v>455</v>
      </c>
      <c r="G483" s="10"/>
      <c r="H483" s="10"/>
      <c r="I483" s="10"/>
    </row>
    <row r="484" spans="3:9" ht="19.5" thickBot="1" x14ac:dyDescent="0.35">
      <c r="C484" s="109">
        <v>482</v>
      </c>
      <c r="D484" s="5" t="s">
        <v>340</v>
      </c>
      <c r="E484" s="2" t="s">
        <v>573</v>
      </c>
      <c r="F484" s="35" t="s">
        <v>455</v>
      </c>
      <c r="G484" s="10"/>
      <c r="H484" s="10"/>
      <c r="I484" s="10"/>
    </row>
    <row r="485" spans="3:9" ht="19.5" thickBot="1" x14ac:dyDescent="0.35">
      <c r="C485" s="109">
        <v>483</v>
      </c>
      <c r="D485" s="5" t="s">
        <v>387</v>
      </c>
      <c r="E485" s="2" t="s">
        <v>575</v>
      </c>
      <c r="F485" s="35" t="s">
        <v>455</v>
      </c>
      <c r="G485" s="10"/>
      <c r="H485" s="10"/>
      <c r="I485" s="10"/>
    </row>
    <row r="486" spans="3:9" ht="19.5" thickBot="1" x14ac:dyDescent="0.35">
      <c r="C486" s="109">
        <v>484</v>
      </c>
      <c r="D486" s="5" t="s">
        <v>32</v>
      </c>
      <c r="E486" s="2"/>
      <c r="F486" s="35" t="s">
        <v>489</v>
      </c>
      <c r="G486" s="10"/>
      <c r="H486" s="10"/>
      <c r="I486" s="10"/>
    </row>
    <row r="487" spans="3:9" ht="19.5" thickBot="1" x14ac:dyDescent="0.35">
      <c r="C487" s="109">
        <v>485</v>
      </c>
      <c r="D487" s="5" t="s">
        <v>198</v>
      </c>
      <c r="E487" s="2" t="s">
        <v>461</v>
      </c>
      <c r="F487" s="35" t="s">
        <v>455</v>
      </c>
      <c r="G487" s="10"/>
      <c r="H487" s="10"/>
      <c r="I487" s="10"/>
    </row>
    <row r="488" spans="3:9" ht="19.5" thickBot="1" x14ac:dyDescent="0.35">
      <c r="C488" s="109">
        <v>486</v>
      </c>
      <c r="D488" s="5" t="s">
        <v>260</v>
      </c>
      <c r="E488" s="2" t="s">
        <v>461</v>
      </c>
      <c r="F488" s="35" t="s">
        <v>455</v>
      </c>
      <c r="G488" s="10"/>
      <c r="H488" s="10"/>
      <c r="I488" s="10"/>
    </row>
    <row r="489" spans="3:9" ht="19.5" thickBot="1" x14ac:dyDescent="0.35">
      <c r="C489" s="109">
        <v>487</v>
      </c>
      <c r="D489" s="5" t="s">
        <v>298</v>
      </c>
      <c r="E489" s="2" t="s">
        <v>493</v>
      </c>
      <c r="F489" s="35" t="s">
        <v>455</v>
      </c>
      <c r="G489" s="10"/>
      <c r="H489" s="10"/>
      <c r="I489" s="10"/>
    </row>
    <row r="490" spans="3:9" ht="19.5" thickBot="1" x14ac:dyDescent="0.35">
      <c r="C490" s="109">
        <v>488</v>
      </c>
      <c r="D490" s="5" t="s">
        <v>154</v>
      </c>
      <c r="E490" s="2" t="s">
        <v>504</v>
      </c>
      <c r="F490" s="35" t="s">
        <v>455</v>
      </c>
      <c r="G490" s="10"/>
      <c r="H490" s="10"/>
      <c r="I490" s="10"/>
    </row>
    <row r="491" spans="3:9" ht="19.5" thickBot="1" x14ac:dyDescent="0.35">
      <c r="C491" s="109">
        <v>489</v>
      </c>
      <c r="D491" s="5" t="s">
        <v>177</v>
      </c>
      <c r="E491" s="2" t="s">
        <v>511</v>
      </c>
      <c r="F491" s="35" t="s">
        <v>455</v>
      </c>
      <c r="G491" s="10"/>
      <c r="H491" s="10"/>
      <c r="I491" s="10"/>
    </row>
    <row r="492" spans="3:9" ht="19.5" thickBot="1" x14ac:dyDescent="0.35">
      <c r="C492" s="109">
        <v>490</v>
      </c>
      <c r="D492" s="5" t="s">
        <v>123</v>
      </c>
      <c r="E492" s="2" t="s">
        <v>524</v>
      </c>
      <c r="F492" s="35" t="s">
        <v>455</v>
      </c>
      <c r="G492" s="10"/>
      <c r="H492" s="10"/>
      <c r="I492" s="10"/>
    </row>
    <row r="493" spans="3:9" ht="19.5" thickBot="1" x14ac:dyDescent="0.35">
      <c r="C493" s="109">
        <v>491</v>
      </c>
      <c r="D493" s="5" t="s">
        <v>89</v>
      </c>
      <c r="E493" s="2" t="s">
        <v>530</v>
      </c>
      <c r="F493" s="35" t="s">
        <v>455</v>
      </c>
      <c r="G493" s="10"/>
      <c r="H493" s="10"/>
      <c r="I493" s="10"/>
    </row>
    <row r="494" spans="3:9" ht="19.5" thickBot="1" x14ac:dyDescent="0.35">
      <c r="C494" s="109">
        <v>492</v>
      </c>
      <c r="D494" s="5" t="s">
        <v>120</v>
      </c>
      <c r="E494" s="2" t="s">
        <v>549</v>
      </c>
      <c r="F494" s="35" t="s">
        <v>455</v>
      </c>
      <c r="G494" s="10"/>
      <c r="H494" s="10"/>
      <c r="I494" s="10"/>
    </row>
    <row r="495" spans="3:9" ht="19.5" thickBot="1" x14ac:dyDescent="0.35">
      <c r="C495" s="109">
        <v>493</v>
      </c>
      <c r="D495" s="5" t="s">
        <v>40</v>
      </c>
      <c r="E495" s="2" t="s">
        <v>575</v>
      </c>
      <c r="F495" s="35" t="s">
        <v>455</v>
      </c>
      <c r="G495" s="10"/>
      <c r="H495" s="10"/>
      <c r="I495" s="10"/>
    </row>
    <row r="496" spans="3:9" ht="19.5" thickBot="1" x14ac:dyDescent="0.35">
      <c r="C496" s="109">
        <v>494</v>
      </c>
      <c r="D496" s="5" t="s">
        <v>303</v>
      </c>
      <c r="E496" s="2"/>
      <c r="F496" s="35" t="s">
        <v>455</v>
      </c>
      <c r="G496" s="10"/>
      <c r="H496" s="10"/>
      <c r="I496" s="10"/>
    </row>
    <row r="497" spans="3:9" ht="19.5" thickBot="1" x14ac:dyDescent="0.35">
      <c r="C497" s="109">
        <v>495</v>
      </c>
      <c r="D497" s="5" t="s">
        <v>386</v>
      </c>
      <c r="E497" s="2"/>
      <c r="F497" s="35" t="s">
        <v>455</v>
      </c>
      <c r="G497" s="10"/>
      <c r="H497" s="10"/>
      <c r="I497" s="10"/>
    </row>
    <row r="498" spans="3:9" ht="19.5" thickBot="1" x14ac:dyDescent="0.35">
      <c r="C498" s="109">
        <v>496</v>
      </c>
      <c r="D498" s="5" t="s">
        <v>122</v>
      </c>
      <c r="E498" s="2" t="s">
        <v>461</v>
      </c>
      <c r="F498" s="35" t="s">
        <v>455</v>
      </c>
      <c r="G498" s="10"/>
      <c r="H498" s="10"/>
      <c r="I498" s="10"/>
    </row>
    <row r="499" spans="3:9" ht="19.5" thickBot="1" x14ac:dyDescent="0.35">
      <c r="C499" s="109">
        <v>497</v>
      </c>
      <c r="D499" s="5" t="s">
        <v>264</v>
      </c>
      <c r="E499" s="2" t="s">
        <v>461</v>
      </c>
      <c r="F499" s="35" t="s">
        <v>455</v>
      </c>
      <c r="G499" s="10"/>
      <c r="H499" s="10"/>
      <c r="I499" s="10"/>
    </row>
    <row r="500" spans="3:9" ht="19.5" thickBot="1" x14ac:dyDescent="0.35">
      <c r="C500" s="109">
        <v>498</v>
      </c>
      <c r="D500" s="5" t="s">
        <v>599</v>
      </c>
      <c r="E500" s="2" t="s">
        <v>480</v>
      </c>
      <c r="F500" s="35" t="s">
        <v>455</v>
      </c>
      <c r="G500" s="10"/>
      <c r="H500" s="10"/>
      <c r="I500" s="10"/>
    </row>
    <row r="501" spans="3:9" ht="19.5" thickBot="1" x14ac:dyDescent="0.35">
      <c r="C501" s="109">
        <v>499</v>
      </c>
      <c r="D501" s="5" t="s">
        <v>323</v>
      </c>
      <c r="E501" s="2" t="s">
        <v>501</v>
      </c>
      <c r="F501" s="35" t="s">
        <v>455</v>
      </c>
      <c r="G501" s="10"/>
      <c r="H501" s="10"/>
      <c r="I501" s="10"/>
    </row>
    <row r="502" spans="3:9" ht="19.5" thickBot="1" x14ac:dyDescent="0.35">
      <c r="C502" s="109">
        <v>500</v>
      </c>
      <c r="D502" s="5" t="s">
        <v>337</v>
      </c>
      <c r="E502" s="2" t="s">
        <v>556</v>
      </c>
      <c r="F502" s="35" t="s">
        <v>455</v>
      </c>
      <c r="G502" s="10"/>
      <c r="H502" s="10"/>
      <c r="I502" s="10"/>
    </row>
    <row r="503" spans="3:9" ht="19.5" thickBot="1" x14ac:dyDescent="0.35">
      <c r="C503" s="109">
        <v>501</v>
      </c>
      <c r="D503" s="5" t="s">
        <v>266</v>
      </c>
      <c r="E503" s="2"/>
      <c r="F503" s="35" t="s">
        <v>455</v>
      </c>
      <c r="G503" s="10"/>
      <c r="H503" s="10"/>
      <c r="I503" s="10"/>
    </row>
    <row r="504" spans="3:9" ht="19.5" thickBot="1" x14ac:dyDescent="0.35">
      <c r="C504" s="109">
        <v>502</v>
      </c>
      <c r="D504" s="5" t="s">
        <v>93</v>
      </c>
      <c r="E504" s="2" t="s">
        <v>461</v>
      </c>
      <c r="F504" s="35" t="s">
        <v>455</v>
      </c>
      <c r="G504" s="10"/>
      <c r="H504" s="10"/>
      <c r="I504" s="10"/>
    </row>
    <row r="505" spans="3:9" ht="19.5" thickBot="1" x14ac:dyDescent="0.35">
      <c r="C505" s="109">
        <v>503</v>
      </c>
      <c r="D505" s="5" t="s">
        <v>330</v>
      </c>
      <c r="E505" s="2" t="s">
        <v>530</v>
      </c>
      <c r="F505" s="35" t="s">
        <v>455</v>
      </c>
      <c r="G505" s="10"/>
      <c r="H505" s="10"/>
      <c r="I505" s="10"/>
    </row>
    <row r="506" spans="3:9" ht="19.5" thickBot="1" x14ac:dyDescent="0.35">
      <c r="C506" s="109">
        <v>504</v>
      </c>
      <c r="D506" s="5" t="s">
        <v>54</v>
      </c>
      <c r="E506" s="2" t="s">
        <v>549</v>
      </c>
      <c r="F506" s="35" t="s">
        <v>455</v>
      </c>
      <c r="G506" s="10"/>
      <c r="H506" s="10"/>
      <c r="I506" s="10"/>
    </row>
    <row r="507" spans="3:9" ht="19.5" thickBot="1" x14ac:dyDescent="0.35">
      <c r="C507" s="109">
        <v>505</v>
      </c>
      <c r="D507" s="5" t="s">
        <v>301</v>
      </c>
      <c r="E507" s="2"/>
      <c r="F507" s="35" t="s">
        <v>455</v>
      </c>
      <c r="G507" s="10"/>
      <c r="H507" s="10"/>
      <c r="I507" s="10"/>
    </row>
    <row r="508" spans="3:9" ht="19.5" thickBot="1" x14ac:dyDescent="0.35">
      <c r="C508" s="109">
        <v>506</v>
      </c>
      <c r="D508" s="5" t="s">
        <v>328</v>
      </c>
      <c r="E508" s="2" t="s">
        <v>456</v>
      </c>
      <c r="F508" s="35" t="s">
        <v>455</v>
      </c>
      <c r="G508" s="10"/>
      <c r="H508" s="10"/>
      <c r="I508" s="10"/>
    </row>
    <row r="509" spans="3:9" ht="19.5" thickBot="1" x14ac:dyDescent="0.35">
      <c r="C509" s="109">
        <v>507</v>
      </c>
      <c r="D509" s="5" t="s">
        <v>134</v>
      </c>
      <c r="E509" s="2" t="s">
        <v>461</v>
      </c>
      <c r="F509" s="35" t="s">
        <v>455</v>
      </c>
      <c r="G509" s="10"/>
      <c r="H509" s="10"/>
      <c r="I509" s="10"/>
    </row>
    <row r="510" spans="3:9" ht="19.5" thickBot="1" x14ac:dyDescent="0.35">
      <c r="C510" s="109">
        <v>508</v>
      </c>
      <c r="D510" s="5" t="s">
        <v>73</v>
      </c>
      <c r="E510" s="2" t="s">
        <v>530</v>
      </c>
      <c r="F510" s="35" t="s">
        <v>455</v>
      </c>
      <c r="G510" s="10"/>
      <c r="H510" s="10"/>
      <c r="I510" s="10"/>
    </row>
    <row r="511" spans="3:9" ht="19.5" thickBot="1" x14ac:dyDescent="0.35">
      <c r="C511" s="109">
        <v>509</v>
      </c>
      <c r="D511" s="5" t="s">
        <v>95</v>
      </c>
      <c r="E511" s="2" t="s">
        <v>530</v>
      </c>
      <c r="F511" s="35" t="s">
        <v>455</v>
      </c>
      <c r="G511" s="10"/>
      <c r="H511" s="10"/>
      <c r="I511" s="10"/>
    </row>
    <row r="512" spans="3:9" ht="19.5" thickBot="1" x14ac:dyDescent="0.35">
      <c r="C512" s="109">
        <v>510</v>
      </c>
      <c r="D512" s="5" t="s">
        <v>268</v>
      </c>
      <c r="E512" s="2" t="s">
        <v>530</v>
      </c>
      <c r="F512" s="35" t="s">
        <v>455</v>
      </c>
      <c r="G512" s="10"/>
      <c r="H512" s="10"/>
      <c r="I512" s="10"/>
    </row>
    <row r="513" spans="3:9" ht="19.5" thickBot="1" x14ac:dyDescent="0.35">
      <c r="C513" s="109">
        <v>511</v>
      </c>
      <c r="D513" s="5" t="s">
        <v>78</v>
      </c>
      <c r="E513" s="2" t="s">
        <v>545</v>
      </c>
      <c r="F513" s="35" t="s">
        <v>455</v>
      </c>
      <c r="G513" s="10"/>
      <c r="H513" s="10"/>
      <c r="I513" s="10"/>
    </row>
    <row r="514" spans="3:9" ht="19.5" thickBot="1" x14ac:dyDescent="0.35">
      <c r="C514" s="109">
        <v>512</v>
      </c>
      <c r="D514" s="5" t="s">
        <v>35</v>
      </c>
      <c r="E514" s="2" t="s">
        <v>562</v>
      </c>
      <c r="F514" s="35" t="s">
        <v>489</v>
      </c>
      <c r="G514" s="10"/>
      <c r="H514" s="10"/>
      <c r="I514" s="10"/>
    </row>
    <row r="515" spans="3:9" ht="19.5" thickBot="1" x14ac:dyDescent="0.35">
      <c r="C515" s="109">
        <v>513</v>
      </c>
      <c r="D515" s="5" t="s">
        <v>107</v>
      </c>
      <c r="E515" s="2" t="s">
        <v>562</v>
      </c>
      <c r="F515" s="35" t="s">
        <v>455</v>
      </c>
      <c r="G515" s="10"/>
      <c r="H515" s="10"/>
      <c r="I515" s="10"/>
    </row>
    <row r="516" spans="3:9" ht="19.5" thickBot="1" x14ac:dyDescent="0.35">
      <c r="C516" s="109">
        <v>514</v>
      </c>
      <c r="D516" s="5" t="s">
        <v>228</v>
      </c>
      <c r="E516" s="2"/>
      <c r="F516" s="35" t="s">
        <v>455</v>
      </c>
      <c r="G516" s="10"/>
      <c r="H516" s="10"/>
      <c r="I516" s="10"/>
    </row>
    <row r="517" spans="3:9" ht="19.5" thickBot="1" x14ac:dyDescent="0.35">
      <c r="C517" s="109">
        <v>515</v>
      </c>
      <c r="D517" s="5" t="s">
        <v>595</v>
      </c>
      <c r="E517" s="2" t="s">
        <v>461</v>
      </c>
      <c r="F517" s="35" t="s">
        <v>455</v>
      </c>
      <c r="G517" s="10"/>
      <c r="H517" s="10"/>
      <c r="I517" s="10"/>
    </row>
    <row r="518" spans="3:9" ht="19.5" thickBot="1" x14ac:dyDescent="0.35">
      <c r="C518" s="109">
        <v>516</v>
      </c>
      <c r="D518" s="5" t="s">
        <v>342</v>
      </c>
      <c r="E518" s="2" t="s">
        <v>461</v>
      </c>
      <c r="F518" s="35" t="s">
        <v>455</v>
      </c>
      <c r="G518" s="10"/>
      <c r="H518" s="10"/>
      <c r="I518" s="10"/>
    </row>
    <row r="519" spans="3:9" ht="19.5" thickBot="1" x14ac:dyDescent="0.35">
      <c r="C519" s="109">
        <v>517</v>
      </c>
      <c r="D519" s="5" t="s">
        <v>53</v>
      </c>
      <c r="E519" s="2" t="s">
        <v>478</v>
      </c>
      <c r="F519" s="35" t="s">
        <v>455</v>
      </c>
      <c r="G519" s="10"/>
      <c r="H519" s="10"/>
      <c r="I519" s="10"/>
    </row>
    <row r="520" spans="3:9" ht="19.5" thickBot="1" x14ac:dyDescent="0.35">
      <c r="C520" s="109">
        <v>518</v>
      </c>
      <c r="D520" s="5" t="s">
        <v>190</v>
      </c>
      <c r="E520" s="2" t="s">
        <v>480</v>
      </c>
      <c r="F520" s="35" t="s">
        <v>455</v>
      </c>
      <c r="G520" s="10"/>
      <c r="H520" s="10"/>
      <c r="I520" s="10"/>
    </row>
    <row r="521" spans="3:9" ht="19.5" thickBot="1" x14ac:dyDescent="0.35">
      <c r="C521" s="109">
        <v>519</v>
      </c>
      <c r="D521" s="5" t="s">
        <v>534</v>
      </c>
      <c r="E521" s="2" t="s">
        <v>530</v>
      </c>
      <c r="F521" s="35" t="s">
        <v>455</v>
      </c>
      <c r="G521" s="10"/>
      <c r="H521" s="10"/>
      <c r="I521" s="10"/>
    </row>
    <row r="522" spans="3:9" ht="19.5" thickBot="1" x14ac:dyDescent="0.35">
      <c r="C522" s="109">
        <v>520</v>
      </c>
      <c r="D522" s="96" t="s">
        <v>331</v>
      </c>
      <c r="E522" s="2" t="s">
        <v>530</v>
      </c>
      <c r="F522" s="35" t="s">
        <v>455</v>
      </c>
      <c r="G522" s="10"/>
      <c r="H522" s="10"/>
      <c r="I522" s="10"/>
    </row>
    <row r="523" spans="3:9" ht="19.5" thickBot="1" x14ac:dyDescent="0.35">
      <c r="C523" s="109">
        <v>521</v>
      </c>
      <c r="D523" s="5" t="s">
        <v>334</v>
      </c>
      <c r="E523" s="2" t="s">
        <v>530</v>
      </c>
      <c r="F523" s="35" t="s">
        <v>455</v>
      </c>
      <c r="G523" s="10"/>
      <c r="H523" s="10"/>
      <c r="I523" s="10"/>
    </row>
    <row r="524" spans="3:9" ht="19.5" thickBot="1" x14ac:dyDescent="0.35">
      <c r="C524" s="109">
        <v>522</v>
      </c>
      <c r="D524" s="5" t="s">
        <v>468</v>
      </c>
      <c r="E524" s="2" t="s">
        <v>461</v>
      </c>
      <c r="F524" s="35" t="s">
        <v>455</v>
      </c>
      <c r="G524" s="10"/>
      <c r="H524" s="10"/>
      <c r="I524" s="10"/>
    </row>
    <row r="525" spans="3:9" ht="19.5" thickBot="1" x14ac:dyDescent="0.35">
      <c r="C525" s="109">
        <v>523</v>
      </c>
      <c r="D525" s="5" t="s">
        <v>235</v>
      </c>
      <c r="E525" s="2" t="s">
        <v>461</v>
      </c>
      <c r="F525" s="35" t="s">
        <v>455</v>
      </c>
      <c r="G525" s="10"/>
      <c r="H525" s="10"/>
      <c r="I525" s="10"/>
    </row>
    <row r="526" spans="3:9" ht="19.5" thickBot="1" x14ac:dyDescent="0.35">
      <c r="C526" s="109">
        <v>524</v>
      </c>
      <c r="D526" s="5" t="s">
        <v>305</v>
      </c>
      <c r="E526" s="2" t="s">
        <v>461</v>
      </c>
      <c r="F526" s="35" t="s">
        <v>455</v>
      </c>
      <c r="G526" s="10"/>
      <c r="H526" s="10"/>
      <c r="I526" s="10"/>
    </row>
    <row r="527" spans="3:9" ht="19.5" thickBot="1" x14ac:dyDescent="0.35">
      <c r="C527" s="109">
        <v>525</v>
      </c>
      <c r="D527" s="5" t="s">
        <v>339</v>
      </c>
      <c r="E527" s="2" t="s">
        <v>461</v>
      </c>
      <c r="F527" s="35" t="s">
        <v>455</v>
      </c>
      <c r="G527" s="10"/>
      <c r="H527" s="10"/>
      <c r="I527" s="10"/>
    </row>
    <row r="528" spans="3:9" ht="19.5" thickBot="1" x14ac:dyDescent="0.35">
      <c r="C528" s="109">
        <v>526</v>
      </c>
      <c r="D528" s="5" t="s">
        <v>157</v>
      </c>
      <c r="E528" s="2" t="s">
        <v>504</v>
      </c>
      <c r="F528" s="35" t="s">
        <v>455</v>
      </c>
      <c r="G528" s="10"/>
      <c r="H528" s="10"/>
      <c r="I528" s="10"/>
    </row>
    <row r="529" spans="3:9" ht="18.75" x14ac:dyDescent="0.3">
      <c r="C529" s="109">
        <v>527</v>
      </c>
      <c r="D529" s="5" t="s">
        <v>541</v>
      </c>
      <c r="E529" s="2" t="s">
        <v>530</v>
      </c>
      <c r="F529" s="35" t="s">
        <v>455</v>
      </c>
      <c r="G529" s="10"/>
      <c r="H529" s="10"/>
      <c r="I529" s="10"/>
    </row>
    <row r="530" spans="3:9" ht="19.5" thickBot="1" x14ac:dyDescent="0.35">
      <c r="C530" s="109">
        <v>528</v>
      </c>
      <c r="D530" s="5" t="s">
        <v>151</v>
      </c>
      <c r="E530" s="2"/>
      <c r="F530" s="36" t="s">
        <v>455</v>
      </c>
      <c r="G530" s="10"/>
      <c r="H530" s="10"/>
      <c r="I530" s="10"/>
    </row>
    <row r="531" spans="3:9" ht="18.75" x14ac:dyDescent="0.3">
      <c r="C531" s="109">
        <v>529</v>
      </c>
      <c r="D531" s="5" t="s">
        <v>622</v>
      </c>
      <c r="E531" s="2"/>
      <c r="F531" s="35" t="s">
        <v>455</v>
      </c>
      <c r="G531" s="10"/>
      <c r="H531" s="10"/>
      <c r="I531" s="10"/>
    </row>
    <row r="532" spans="3:9" ht="18.75" x14ac:dyDescent="0.3">
      <c r="C532" s="109">
        <v>530</v>
      </c>
      <c r="D532" s="5" t="s">
        <v>658</v>
      </c>
      <c r="E532" s="97"/>
      <c r="F532" s="36" t="s">
        <v>455</v>
      </c>
      <c r="G532" s="10"/>
      <c r="H532" s="10"/>
      <c r="I532" s="10"/>
    </row>
    <row r="533" spans="3:9" ht="19.5" thickBot="1" x14ac:dyDescent="0.35">
      <c r="C533" s="109">
        <v>531</v>
      </c>
      <c r="D533" s="5" t="s">
        <v>470</v>
      </c>
      <c r="E533" s="2" t="s">
        <v>461</v>
      </c>
      <c r="F533" s="36" t="s">
        <v>455</v>
      </c>
      <c r="G533" s="10"/>
      <c r="H533" s="10"/>
      <c r="I533" s="10"/>
    </row>
    <row r="534" spans="3:9" ht="19.5" thickBot="1" x14ac:dyDescent="0.35">
      <c r="C534" s="109">
        <v>532</v>
      </c>
      <c r="D534" s="5" t="s">
        <v>471</v>
      </c>
      <c r="E534" s="2" t="s">
        <v>461</v>
      </c>
      <c r="F534" s="35" t="s">
        <v>455</v>
      </c>
      <c r="G534" s="10"/>
      <c r="H534" s="10"/>
      <c r="I534" s="10"/>
    </row>
    <row r="535" spans="3:9" ht="19.5" thickBot="1" x14ac:dyDescent="0.35">
      <c r="C535" s="109">
        <v>533</v>
      </c>
      <c r="D535" s="5" t="s">
        <v>495</v>
      </c>
      <c r="E535" s="2" t="s">
        <v>493</v>
      </c>
      <c r="F535" s="35" t="s">
        <v>455</v>
      </c>
      <c r="G535" s="10"/>
      <c r="H535" s="10"/>
      <c r="I535" s="10"/>
    </row>
    <row r="536" spans="3:9" ht="19.5" thickBot="1" x14ac:dyDescent="0.35">
      <c r="C536" s="109">
        <v>534</v>
      </c>
      <c r="D536" s="5" t="s">
        <v>550</v>
      </c>
      <c r="E536" s="2" t="s">
        <v>549</v>
      </c>
      <c r="F536" s="35" t="s">
        <v>455</v>
      </c>
      <c r="G536" s="10"/>
      <c r="H536" s="10"/>
      <c r="I536" s="10"/>
    </row>
    <row r="537" spans="3:9" ht="19.5" thickBot="1" x14ac:dyDescent="0.35">
      <c r="C537" s="109">
        <v>535</v>
      </c>
      <c r="D537" s="5" t="s">
        <v>86</v>
      </c>
      <c r="E537" s="2" t="s">
        <v>461</v>
      </c>
      <c r="F537" s="35" t="s">
        <v>455</v>
      </c>
      <c r="G537" s="10"/>
      <c r="H537" s="10"/>
      <c r="I537" s="10"/>
    </row>
    <row r="538" spans="3:9" ht="19.5" thickBot="1" x14ac:dyDescent="0.35">
      <c r="C538" s="109">
        <v>536</v>
      </c>
      <c r="D538" s="5" t="s">
        <v>564</v>
      </c>
      <c r="E538" s="2" t="s">
        <v>562</v>
      </c>
      <c r="F538" s="35" t="s">
        <v>455</v>
      </c>
      <c r="G538" s="10"/>
      <c r="H538" s="10"/>
      <c r="I538" s="10"/>
    </row>
    <row r="539" spans="3:9" ht="19.5" thickBot="1" x14ac:dyDescent="0.35">
      <c r="C539" s="109">
        <v>537</v>
      </c>
      <c r="D539" s="5" t="s">
        <v>250</v>
      </c>
      <c r="E539" s="2" t="s">
        <v>504</v>
      </c>
      <c r="F539" s="35" t="s">
        <v>455</v>
      </c>
      <c r="G539" s="10"/>
      <c r="H539" s="10"/>
      <c r="I539" s="10"/>
    </row>
    <row r="540" spans="3:9" ht="19.5" thickBot="1" x14ac:dyDescent="0.35">
      <c r="C540" s="109">
        <v>538</v>
      </c>
      <c r="D540" s="5" t="s">
        <v>43</v>
      </c>
      <c r="E540" s="2" t="s">
        <v>545</v>
      </c>
      <c r="F540" s="35" t="s">
        <v>455</v>
      </c>
      <c r="G540" s="10"/>
      <c r="H540" s="10"/>
      <c r="I540" s="10"/>
    </row>
    <row r="541" spans="3:9" ht="19.5" thickBot="1" x14ac:dyDescent="0.35">
      <c r="C541" s="109">
        <v>539</v>
      </c>
      <c r="D541" s="5" t="s">
        <v>44</v>
      </c>
      <c r="E541" s="2" t="s">
        <v>575</v>
      </c>
      <c r="F541" s="35" t="s">
        <v>455</v>
      </c>
      <c r="G541" s="10"/>
      <c r="H541" s="10"/>
      <c r="I541" s="10"/>
    </row>
    <row r="542" spans="3:9" ht="19.5" thickBot="1" x14ac:dyDescent="0.35">
      <c r="C542" s="109">
        <v>540</v>
      </c>
      <c r="D542" s="5" t="s">
        <v>203</v>
      </c>
      <c r="E542" s="2" t="s">
        <v>488</v>
      </c>
      <c r="F542" s="35" t="s">
        <v>455</v>
      </c>
      <c r="G542" s="10"/>
      <c r="H542" s="10"/>
      <c r="I542" s="10"/>
    </row>
    <row r="543" spans="3:9" ht="19.5" thickBot="1" x14ac:dyDescent="0.35">
      <c r="C543" s="109">
        <v>541</v>
      </c>
      <c r="D543" s="5" t="s">
        <v>472</v>
      </c>
      <c r="E543" s="2" t="s">
        <v>461</v>
      </c>
      <c r="F543" s="35" t="s">
        <v>455</v>
      </c>
      <c r="G543" s="10"/>
      <c r="H543" s="10"/>
      <c r="I543" s="10"/>
    </row>
    <row r="544" spans="3:9" ht="19.5" thickBot="1" x14ac:dyDescent="0.35">
      <c r="C544" s="109">
        <v>542</v>
      </c>
      <c r="D544" s="96" t="s">
        <v>649</v>
      </c>
      <c r="E544" s="131" t="s">
        <v>461</v>
      </c>
      <c r="F544" s="35" t="s">
        <v>455</v>
      </c>
      <c r="G544" s="10"/>
      <c r="H544" s="10"/>
      <c r="I544" s="10"/>
    </row>
    <row r="545" spans="3:9" ht="19.5" thickBot="1" x14ac:dyDescent="0.35">
      <c r="C545" s="109">
        <v>543</v>
      </c>
      <c r="D545" s="5" t="s">
        <v>653</v>
      </c>
      <c r="E545" s="131" t="s">
        <v>530</v>
      </c>
      <c r="F545" s="35" t="s">
        <v>455</v>
      </c>
      <c r="G545" s="10"/>
      <c r="H545" s="10"/>
      <c r="I545" s="10"/>
    </row>
    <row r="546" spans="3:9" ht="19.5" thickBot="1" x14ac:dyDescent="0.35">
      <c r="C546" s="109">
        <v>544</v>
      </c>
      <c r="D546" s="5" t="s">
        <v>566</v>
      </c>
      <c r="E546" s="2" t="s">
        <v>562</v>
      </c>
      <c r="F546" s="35" t="s">
        <v>455</v>
      </c>
      <c r="G546" s="10"/>
      <c r="H546" s="10"/>
      <c r="I546" s="10"/>
    </row>
    <row r="547" spans="3:9" ht="19.5" thickBot="1" x14ac:dyDescent="0.35">
      <c r="C547" s="109">
        <v>545</v>
      </c>
      <c r="D547" s="5" t="s">
        <v>586</v>
      </c>
      <c r="E547" s="2"/>
      <c r="F547" s="35" t="s">
        <v>455</v>
      </c>
      <c r="G547" s="10"/>
      <c r="H547" s="10"/>
      <c r="I547" s="10"/>
    </row>
    <row r="548" spans="3:9" ht="19.5" thickBot="1" x14ac:dyDescent="0.35">
      <c r="C548" s="109">
        <v>546</v>
      </c>
      <c r="D548" s="96" t="s">
        <v>648</v>
      </c>
      <c r="E548" s="131" t="s">
        <v>501</v>
      </c>
      <c r="F548" s="35" t="s">
        <v>455</v>
      </c>
      <c r="G548" s="10"/>
      <c r="H548" s="10"/>
      <c r="I548" s="10"/>
    </row>
    <row r="549" spans="3:9" ht="19.5" thickBot="1" x14ac:dyDescent="0.35">
      <c r="C549" s="109">
        <v>547</v>
      </c>
      <c r="D549" s="5" t="s">
        <v>654</v>
      </c>
      <c r="E549" s="131" t="s">
        <v>575</v>
      </c>
      <c r="F549" s="35" t="s">
        <v>455</v>
      </c>
      <c r="G549" s="10"/>
      <c r="H549" s="10"/>
      <c r="I549" s="10"/>
    </row>
    <row r="550" spans="3:9" ht="19.5" thickBot="1" x14ac:dyDescent="0.35">
      <c r="C550" s="109">
        <v>548</v>
      </c>
      <c r="D550" s="5" t="s">
        <v>318</v>
      </c>
      <c r="E550" s="2" t="s">
        <v>530</v>
      </c>
      <c r="F550" s="35" t="s">
        <v>455</v>
      </c>
      <c r="G550" s="10"/>
      <c r="H550" s="10"/>
      <c r="I550" s="10"/>
    </row>
    <row r="551" spans="3:9" ht="19.5" thickBot="1" x14ac:dyDescent="0.35">
      <c r="C551" s="109">
        <v>549</v>
      </c>
      <c r="D551" s="5" t="s">
        <v>652</v>
      </c>
      <c r="E551" s="97"/>
      <c r="F551" s="35" t="s">
        <v>455</v>
      </c>
      <c r="G551" s="10"/>
      <c r="H551" s="10"/>
      <c r="I551" s="10"/>
    </row>
    <row r="552" spans="3:9" ht="18.75" x14ac:dyDescent="0.3">
      <c r="C552" s="109">
        <v>550</v>
      </c>
      <c r="D552" s="5" t="s">
        <v>655</v>
      </c>
      <c r="E552" s="97"/>
      <c r="F552" s="35" t="s">
        <v>455</v>
      </c>
      <c r="G552" s="10"/>
      <c r="H552" s="10"/>
      <c r="I552" s="10"/>
    </row>
    <row r="553" spans="3:9" ht="19.5" thickBot="1" x14ac:dyDescent="0.35">
      <c r="C553" s="109">
        <v>551</v>
      </c>
      <c r="D553" s="5" t="s">
        <v>72</v>
      </c>
      <c r="E553" s="2" t="s">
        <v>456</v>
      </c>
      <c r="F553" s="36" t="s">
        <v>455</v>
      </c>
      <c r="G553" s="10"/>
      <c r="H553" s="10"/>
      <c r="I553" s="10"/>
    </row>
    <row r="554" spans="3:9" ht="19.5" thickBot="1" x14ac:dyDescent="0.35">
      <c r="C554" s="109">
        <v>552</v>
      </c>
      <c r="D554" s="5" t="s">
        <v>121</v>
      </c>
      <c r="E554" s="2" t="s">
        <v>530</v>
      </c>
      <c r="F554" s="35" t="s">
        <v>455</v>
      </c>
      <c r="G554" s="10"/>
      <c r="H554" s="10"/>
      <c r="I554" s="10"/>
    </row>
    <row r="555" spans="3:9" ht="19.5" thickBot="1" x14ac:dyDescent="0.35">
      <c r="C555" s="109">
        <v>553</v>
      </c>
      <c r="D555" s="5" t="s">
        <v>656</v>
      </c>
      <c r="E555" s="131" t="s">
        <v>501</v>
      </c>
      <c r="F555" s="35" t="s">
        <v>455</v>
      </c>
      <c r="G555" s="10"/>
      <c r="H555" s="10"/>
      <c r="I555" s="10"/>
    </row>
    <row r="556" spans="3:9" ht="19.5" thickBot="1" x14ac:dyDescent="0.35">
      <c r="C556" s="109">
        <v>554</v>
      </c>
      <c r="D556" s="5" t="s">
        <v>657</v>
      </c>
      <c r="E556" s="97"/>
      <c r="F556" s="35" t="s">
        <v>455</v>
      </c>
      <c r="G556" s="10"/>
      <c r="H556" s="10"/>
      <c r="I556" s="10"/>
    </row>
    <row r="557" spans="3:9" ht="18.75" x14ac:dyDescent="0.3">
      <c r="C557" s="109">
        <v>555</v>
      </c>
      <c r="D557" s="5" t="s">
        <v>567</v>
      </c>
      <c r="E557" s="2" t="s">
        <v>562</v>
      </c>
      <c r="F557" s="35" t="s">
        <v>455</v>
      </c>
      <c r="G557" s="10"/>
      <c r="H557" s="10"/>
      <c r="I557" s="10"/>
    </row>
    <row r="558" spans="3:9" ht="19.5" thickBot="1" x14ac:dyDescent="0.35">
      <c r="C558" s="109">
        <v>556</v>
      </c>
      <c r="D558" s="5" t="s">
        <v>614</v>
      </c>
      <c r="E558" s="2" t="s">
        <v>530</v>
      </c>
      <c r="F558" s="36" t="s">
        <v>455</v>
      </c>
      <c r="G558" s="10"/>
      <c r="H558" s="10"/>
      <c r="I558" s="10"/>
    </row>
    <row r="559" spans="3:9" ht="19.5" thickBot="1" x14ac:dyDescent="0.35">
      <c r="C559" s="109">
        <v>557</v>
      </c>
      <c r="D559" s="5" t="s">
        <v>579</v>
      </c>
      <c r="E559" s="2"/>
      <c r="F559" s="35" t="s">
        <v>455</v>
      </c>
      <c r="G559" s="10"/>
      <c r="H559" s="10"/>
      <c r="I559" s="10"/>
    </row>
    <row r="560" spans="3:9" ht="19.5" thickBot="1" x14ac:dyDescent="0.35">
      <c r="C560" s="109">
        <v>558</v>
      </c>
      <c r="D560" s="5" t="s">
        <v>616</v>
      </c>
      <c r="E560" s="2" t="s">
        <v>549</v>
      </c>
      <c r="F560" s="35" t="s">
        <v>455</v>
      </c>
      <c r="G560" s="10"/>
      <c r="H560" s="10"/>
      <c r="I560" s="10"/>
    </row>
    <row r="561" spans="3:9" ht="19.5" thickBot="1" x14ac:dyDescent="0.35">
      <c r="C561" s="109">
        <v>559</v>
      </c>
      <c r="D561" s="11" t="s">
        <v>320</v>
      </c>
      <c r="E561" s="4" t="s">
        <v>493</v>
      </c>
      <c r="F561" s="35" t="s">
        <v>455</v>
      </c>
      <c r="G561" s="10"/>
      <c r="H561" s="10"/>
      <c r="I561" s="10"/>
    </row>
    <row r="562" spans="3:9" ht="19.5" thickBot="1" x14ac:dyDescent="0.35">
      <c r="C562" s="109">
        <v>560</v>
      </c>
      <c r="D562" s="5" t="s">
        <v>473</v>
      </c>
      <c r="E562" s="2" t="s">
        <v>461</v>
      </c>
      <c r="F562" s="35" t="s">
        <v>455</v>
      </c>
      <c r="G562" s="10"/>
      <c r="H562" s="10"/>
      <c r="I562" s="10"/>
    </row>
    <row r="563" spans="3:9" ht="19.5" thickBot="1" x14ac:dyDescent="0.35">
      <c r="C563" s="109">
        <v>561</v>
      </c>
      <c r="D563" s="11" t="s">
        <v>508</v>
      </c>
      <c r="E563" s="4" t="s">
        <v>504</v>
      </c>
      <c r="F563" s="35" t="s">
        <v>455</v>
      </c>
      <c r="G563" s="10"/>
      <c r="H563" s="10"/>
      <c r="I563" s="10"/>
    </row>
    <row r="564" spans="3:9" ht="19.5" thickBot="1" x14ac:dyDescent="0.35">
      <c r="C564" s="109">
        <v>562</v>
      </c>
      <c r="D564" s="5" t="s">
        <v>41</v>
      </c>
      <c r="E564" s="2"/>
      <c r="F564" s="35" t="s">
        <v>455</v>
      </c>
      <c r="G564" s="10"/>
      <c r="H564" s="10"/>
      <c r="I564" s="10"/>
    </row>
    <row r="565" spans="3:9" ht="19.5" thickBot="1" x14ac:dyDescent="0.35">
      <c r="C565" s="109">
        <v>563</v>
      </c>
      <c r="D565" s="5" t="s">
        <v>464</v>
      </c>
      <c r="E565" s="2" t="s">
        <v>461</v>
      </c>
      <c r="F565" s="35" t="s">
        <v>455</v>
      </c>
      <c r="G565" s="10"/>
      <c r="H565" s="10"/>
      <c r="I565" s="10"/>
    </row>
    <row r="566" spans="3:9" ht="19.5" thickBot="1" x14ac:dyDescent="0.35">
      <c r="C566" s="109">
        <v>564</v>
      </c>
      <c r="D566" s="5" t="s">
        <v>570</v>
      </c>
      <c r="E566" s="2" t="s">
        <v>569</v>
      </c>
      <c r="F566" s="35" t="s">
        <v>455</v>
      </c>
      <c r="G566" s="10"/>
      <c r="H566" s="10"/>
      <c r="I566" s="10"/>
    </row>
    <row r="567" spans="3:9" ht="19.5" thickBot="1" x14ac:dyDescent="0.35">
      <c r="C567" s="109">
        <v>565</v>
      </c>
      <c r="D567" s="5" t="s">
        <v>45</v>
      </c>
      <c r="E567" s="2" t="s">
        <v>575</v>
      </c>
      <c r="F567" s="35" t="s">
        <v>455</v>
      </c>
      <c r="G567" s="10"/>
      <c r="H567" s="10"/>
      <c r="I567" s="10"/>
    </row>
    <row r="568" spans="3:9" ht="19.5" thickBot="1" x14ac:dyDescent="0.35">
      <c r="C568" s="109">
        <v>566</v>
      </c>
      <c r="D568" s="5" t="s">
        <v>647</v>
      </c>
      <c r="E568" s="2"/>
      <c r="F568" s="35" t="s">
        <v>455</v>
      </c>
      <c r="G568" s="10"/>
      <c r="H568" s="10"/>
      <c r="I568" s="10"/>
    </row>
    <row r="569" spans="3:9" ht="19.5" thickBot="1" x14ac:dyDescent="0.35">
      <c r="C569" s="109">
        <v>567</v>
      </c>
      <c r="D569" s="5" t="s">
        <v>467</v>
      </c>
      <c r="E569" s="2" t="s">
        <v>461</v>
      </c>
      <c r="F569" s="35" t="s">
        <v>455</v>
      </c>
      <c r="G569" s="10"/>
      <c r="H569" s="10"/>
      <c r="I569" s="10"/>
    </row>
    <row r="570" spans="3:9" ht="19.5" thickBot="1" x14ac:dyDescent="0.35">
      <c r="C570" s="109">
        <v>568</v>
      </c>
      <c r="D570" s="96" t="s">
        <v>645</v>
      </c>
      <c r="E570" s="2" t="s">
        <v>549</v>
      </c>
      <c r="F570" s="35" t="s">
        <v>455</v>
      </c>
      <c r="G570" s="10"/>
      <c r="H570" s="10"/>
      <c r="I570" s="10"/>
    </row>
    <row r="571" spans="3:9" ht="19.5" thickBot="1" x14ac:dyDescent="0.35">
      <c r="C571" s="109">
        <v>569</v>
      </c>
      <c r="D571" s="5" t="s">
        <v>565</v>
      </c>
      <c r="E571" s="2" t="s">
        <v>562</v>
      </c>
      <c r="F571" s="35" t="s">
        <v>455</v>
      </c>
      <c r="G571" s="10"/>
      <c r="H571" s="10"/>
      <c r="I571" s="10"/>
    </row>
    <row r="572" spans="3:9" ht="19.5" thickBot="1" x14ac:dyDescent="0.35">
      <c r="C572" s="109">
        <v>570</v>
      </c>
      <c r="D572" s="5" t="s">
        <v>643</v>
      </c>
      <c r="E572" s="2" t="s">
        <v>575</v>
      </c>
      <c r="F572" s="35" t="s">
        <v>455</v>
      </c>
      <c r="G572" s="10"/>
      <c r="H572" s="10"/>
      <c r="I572" s="10"/>
    </row>
    <row r="573" spans="3:9" ht="19.5" thickBot="1" x14ac:dyDescent="0.35">
      <c r="C573" s="109">
        <v>571</v>
      </c>
      <c r="D573" s="5" t="s">
        <v>463</v>
      </c>
      <c r="E573" s="2" t="s">
        <v>461</v>
      </c>
      <c r="F573" s="35" t="s">
        <v>455</v>
      </c>
      <c r="G573" s="10"/>
      <c r="H573" s="10"/>
      <c r="I573" s="10"/>
    </row>
    <row r="574" spans="3:9" ht="19.5" thickBot="1" x14ac:dyDescent="0.35">
      <c r="C574" s="109">
        <v>572</v>
      </c>
      <c r="D574" s="5" t="s">
        <v>34</v>
      </c>
      <c r="E574" s="2" t="s">
        <v>504</v>
      </c>
      <c r="F574" s="35" t="s">
        <v>455</v>
      </c>
      <c r="G574" s="10"/>
      <c r="H574" s="10"/>
      <c r="I574" s="10"/>
    </row>
    <row r="575" spans="3:9" ht="19.5" thickBot="1" x14ac:dyDescent="0.35">
      <c r="C575" s="109">
        <v>573</v>
      </c>
      <c r="D575" s="5" t="s">
        <v>644</v>
      </c>
      <c r="E575" s="2" t="s">
        <v>549</v>
      </c>
      <c r="F575" s="35" t="s">
        <v>455</v>
      </c>
      <c r="G575" s="10"/>
      <c r="H575" s="10"/>
      <c r="I575" s="10"/>
    </row>
    <row r="576" spans="3:9" ht="19.5" thickBot="1" x14ac:dyDescent="0.35">
      <c r="C576" s="109">
        <v>574</v>
      </c>
      <c r="D576" s="5" t="s">
        <v>646</v>
      </c>
      <c r="E576" s="2"/>
      <c r="F576" s="35" t="s">
        <v>455</v>
      </c>
      <c r="G576" s="10"/>
      <c r="H576" s="10"/>
      <c r="I576" s="10"/>
    </row>
    <row r="577" spans="3:9" ht="19.5" thickBot="1" x14ac:dyDescent="0.35">
      <c r="C577" s="109">
        <v>575</v>
      </c>
      <c r="D577" s="5" t="s">
        <v>650</v>
      </c>
      <c r="E577" s="97"/>
      <c r="F577" s="35" t="s">
        <v>455</v>
      </c>
      <c r="G577" s="10"/>
      <c r="H577" s="10"/>
      <c r="I577" s="10"/>
    </row>
    <row r="578" spans="3:9" ht="19.5" thickBot="1" x14ac:dyDescent="0.35">
      <c r="C578" s="109">
        <v>576</v>
      </c>
      <c r="D578" s="5" t="s">
        <v>496</v>
      </c>
      <c r="E578" s="2" t="s">
        <v>493</v>
      </c>
      <c r="F578" s="35" t="s">
        <v>455</v>
      </c>
      <c r="G578" s="10"/>
      <c r="H578" s="10"/>
      <c r="I578" s="10"/>
    </row>
    <row r="579" spans="3:9" ht="19.5" thickBot="1" x14ac:dyDescent="0.35">
      <c r="C579" s="109">
        <v>577</v>
      </c>
      <c r="D579" s="5" t="s">
        <v>507</v>
      </c>
      <c r="E579" s="2" t="s">
        <v>504</v>
      </c>
      <c r="F579" s="35" t="s">
        <v>455</v>
      </c>
      <c r="G579" s="10"/>
      <c r="H579" s="10"/>
      <c r="I579" s="10"/>
    </row>
    <row r="580" spans="3:9" ht="18.75" x14ac:dyDescent="0.3">
      <c r="C580" s="109">
        <v>578</v>
      </c>
      <c r="D580" s="5" t="s">
        <v>538</v>
      </c>
      <c r="E580" s="2" t="s">
        <v>530</v>
      </c>
      <c r="F580" s="35" t="s">
        <v>455</v>
      </c>
      <c r="G580" s="10"/>
      <c r="H580" s="10"/>
      <c r="I580" s="10"/>
    </row>
  </sheetData>
  <mergeCells count="1">
    <mergeCell ref="D1:I1"/>
  </mergeCells>
  <conditionalFormatting sqref="F562:F580">
    <cfRule type="containsText" dxfId="10" priority="4" operator="containsText" text="MEDIO">
      <formula>NOT(ISERROR(SEARCH("MEDIO",F562)))</formula>
    </cfRule>
    <cfRule type="cellIs" dxfId="9" priority="5" operator="equal">
      <formula>"MEDIO"</formula>
    </cfRule>
    <cfRule type="cellIs" dxfId="8" priority="6" operator="equal">
      <formula>"COMPLETO"</formula>
    </cfRule>
  </conditionalFormatting>
  <conditionalFormatting sqref="F3:F561">
    <cfRule type="containsText" dxfId="7" priority="1" operator="containsText" text="MEDIO">
      <formula>NOT(ISERROR(SEARCH("MEDIO",F3)))</formula>
    </cfRule>
    <cfRule type="cellIs" dxfId="6" priority="2" operator="equal">
      <formula>"MEDIO"</formula>
    </cfRule>
    <cfRule type="cellIs" dxfId="5" priority="3" operator="equal">
      <formula>"COMPLETO"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19"/>
  <sheetViews>
    <sheetView tabSelected="1" zoomScaleNormal="100" workbookViewId="0"/>
  </sheetViews>
  <sheetFormatPr baseColWidth="10" defaultRowHeight="15" x14ac:dyDescent="0.25"/>
  <cols>
    <col min="1" max="1" width="45.28515625" customWidth="1"/>
    <col min="2" max="2" width="13" customWidth="1"/>
    <col min="3" max="3" width="79.28515625" customWidth="1"/>
    <col min="4" max="4" width="17.85546875" customWidth="1"/>
    <col min="17" max="17" width="11.140625" customWidth="1"/>
    <col min="22" max="22" width="15.5703125" customWidth="1"/>
    <col min="23" max="23" width="17.140625" customWidth="1"/>
    <col min="24" max="24" width="21.28515625" customWidth="1"/>
    <col min="25" max="25" width="18.5703125" customWidth="1"/>
    <col min="26" max="27" width="12.7109375" customWidth="1"/>
  </cols>
  <sheetData>
    <row r="1" spans="1:68" ht="57" customHeight="1" thickBot="1" x14ac:dyDescent="0.4">
      <c r="A1" s="81" t="s">
        <v>429</v>
      </c>
      <c r="B1" s="82" t="s">
        <v>427</v>
      </c>
      <c r="C1" s="83" t="s">
        <v>428</v>
      </c>
      <c r="D1" s="83" t="s">
        <v>450</v>
      </c>
      <c r="E1" s="84" t="s">
        <v>0</v>
      </c>
      <c r="F1" s="84" t="s">
        <v>1</v>
      </c>
      <c r="G1" s="84" t="s">
        <v>2</v>
      </c>
      <c r="H1" s="84" t="s">
        <v>3</v>
      </c>
      <c r="I1" s="85" t="s">
        <v>4</v>
      </c>
      <c r="J1" s="84" t="s">
        <v>5</v>
      </c>
      <c r="K1" s="84" t="s">
        <v>6</v>
      </c>
      <c r="L1" s="84" t="s">
        <v>7</v>
      </c>
      <c r="M1" s="84" t="s">
        <v>8</v>
      </c>
      <c r="N1" s="84" t="s">
        <v>9</v>
      </c>
      <c r="O1" s="86" t="s">
        <v>10</v>
      </c>
      <c r="P1" s="86" t="s">
        <v>11</v>
      </c>
      <c r="Q1" s="85" t="s">
        <v>435</v>
      </c>
      <c r="R1" s="85" t="s">
        <v>453</v>
      </c>
      <c r="S1" s="85" t="s">
        <v>452</v>
      </c>
      <c r="T1" s="85" t="s">
        <v>454</v>
      </c>
      <c r="U1" s="85" t="s">
        <v>451</v>
      </c>
      <c r="V1" s="85" t="s">
        <v>627</v>
      </c>
      <c r="W1" s="85" t="s">
        <v>632</v>
      </c>
      <c r="X1" s="85" t="s">
        <v>631</v>
      </c>
      <c r="Y1" s="85" t="s">
        <v>629</v>
      </c>
      <c r="Z1" s="85" t="s">
        <v>668</v>
      </c>
      <c r="AA1" s="87" t="s">
        <v>636</v>
      </c>
      <c r="AB1" s="76"/>
      <c r="AC1" s="76"/>
      <c r="AD1" s="76"/>
      <c r="AE1" s="76"/>
      <c r="AF1" s="76"/>
      <c r="AG1" s="77"/>
      <c r="AH1" s="9"/>
      <c r="AI1" s="9"/>
      <c r="AJ1" s="9"/>
      <c r="AK1" s="9"/>
      <c r="AL1" s="78"/>
      <c r="AM1" s="79"/>
      <c r="AN1" s="79"/>
      <c r="AO1" s="80"/>
      <c r="AP1" s="75"/>
      <c r="AQ1" s="9"/>
      <c r="AR1" s="9"/>
      <c r="AS1" s="9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7"/>
      <c r="BG1" s="9"/>
      <c r="BH1" s="9"/>
      <c r="BI1" s="9"/>
      <c r="BJ1" s="9"/>
      <c r="BK1" s="78"/>
      <c r="BL1" s="79"/>
      <c r="BM1" s="79"/>
      <c r="BN1" s="80"/>
      <c r="BO1" s="80"/>
      <c r="BP1" s="80"/>
    </row>
    <row r="2" spans="1:68" ht="15" customHeight="1" x14ac:dyDescent="0.25">
      <c r="A2" t="s">
        <v>106</v>
      </c>
      <c r="B2" s="73" t="s">
        <v>456</v>
      </c>
      <c r="C2" s="73"/>
      <c r="D2" s="73" t="s">
        <v>455</v>
      </c>
      <c r="E2" s="73">
        <v>45</v>
      </c>
      <c r="F2" s="73">
        <v>45</v>
      </c>
      <c r="G2" s="73">
        <v>45</v>
      </c>
      <c r="H2" s="73">
        <v>45</v>
      </c>
      <c r="I2" s="73">
        <v>45</v>
      </c>
      <c r="J2" s="73">
        <v>45</v>
      </c>
      <c r="K2">
        <v>45</v>
      </c>
      <c r="L2">
        <v>45</v>
      </c>
      <c r="M2">
        <v>0</v>
      </c>
      <c r="N2">
        <v>0</v>
      </c>
      <c r="O2">
        <v>0</v>
      </c>
      <c r="P2">
        <v>0</v>
      </c>
      <c r="Q2">
        <v>360</v>
      </c>
      <c r="R2" t="s">
        <v>626</v>
      </c>
      <c r="S2" t="s">
        <v>8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68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</row>
    <row r="4" spans="1:68" ht="27" customHeight="1" x14ac:dyDescent="0.25">
      <c r="A4" s="147" t="s">
        <v>634</v>
      </c>
      <c r="B4" s="147"/>
      <c r="C4" s="147"/>
      <c r="D4" s="147"/>
      <c r="E4" s="147"/>
      <c r="F4" s="147"/>
      <c r="G4" s="147"/>
      <c r="H4" s="147"/>
      <c r="I4" s="89"/>
      <c r="J4" s="89"/>
      <c r="K4" s="89"/>
    </row>
    <row r="6" spans="1:68" x14ac:dyDescent="0.25">
      <c r="A6" t="s">
        <v>635</v>
      </c>
      <c r="B6" s="146" t="str">
        <f>A2</f>
        <v xml:space="preserve">DIONICIO ORTIZ ROMERO </v>
      </c>
      <c r="C6" s="146"/>
      <c r="D6" s="146"/>
      <c r="E6" s="146"/>
      <c r="F6" s="146"/>
      <c r="G6" s="146"/>
      <c r="H6" s="146"/>
      <c r="I6" s="146"/>
    </row>
    <row r="7" spans="1:68" ht="19.5" customHeight="1" x14ac:dyDescent="0.25">
      <c r="A7" s="74"/>
      <c r="B7" s="74"/>
      <c r="C7" s="74"/>
      <c r="D7" s="74"/>
      <c r="E7" s="74"/>
      <c r="F7" s="74"/>
      <c r="G7" s="74"/>
      <c r="H7" s="74"/>
      <c r="I7" s="74"/>
    </row>
    <row r="14" spans="1:68" x14ac:dyDescent="0.25">
      <c r="A14" t="str">
        <f>A1</f>
        <v xml:space="preserve">NOMBRE DE USUARIO </v>
      </c>
      <c r="B14" t="str">
        <f>A2</f>
        <v xml:space="preserve">DIONICIO ORTIZ ROMERO </v>
      </c>
      <c r="E14" t="s">
        <v>637</v>
      </c>
      <c r="H14" s="10">
        <v>45</v>
      </c>
    </row>
    <row r="15" spans="1:68" x14ac:dyDescent="0.25">
      <c r="A15" t="str">
        <f>D1</f>
        <v>TIPO DE CONSUMIDOR</v>
      </c>
      <c r="B15" t="str">
        <f>D2</f>
        <v>COMPLETO</v>
      </c>
    </row>
    <row r="16" spans="1:68" x14ac:dyDescent="0.25">
      <c r="A16" t="str">
        <f>B1</f>
        <v>CALLE</v>
      </c>
      <c r="B16" t="str">
        <f>B2</f>
        <v>AV. LINDEROS</v>
      </c>
    </row>
    <row r="17" spans="1:6" ht="26.25" customHeight="1" x14ac:dyDescent="0.25">
      <c r="A17" s="88" t="str">
        <f>V1</f>
        <v xml:space="preserve">MES ADEUDO DE AÑOS PASADOS </v>
      </c>
      <c r="B17">
        <f>V2</f>
        <v>0</v>
      </c>
      <c r="D17" s="90" t="str">
        <f>Y1</f>
        <v>DEUDA DE LOS MESES PASADOS EN $$</v>
      </c>
      <c r="F17" s="10">
        <f>Y2</f>
        <v>0</v>
      </c>
    </row>
    <row r="18" spans="1:6" ht="29.25" customHeight="1" x14ac:dyDescent="0.25">
      <c r="A18" s="88" t="str">
        <f>W1</f>
        <v xml:space="preserve">MESES DE ADEUDO DEL AÑO EN CURSO </v>
      </c>
      <c r="B18">
        <f>W2</f>
        <v>0</v>
      </c>
      <c r="D18" s="90" t="str">
        <f>Z1</f>
        <v xml:space="preserve">DEUDA DEL AÑO 2021 $$ </v>
      </c>
      <c r="F18" s="10">
        <f>Z2</f>
        <v>0</v>
      </c>
    </row>
    <row r="19" spans="1:6" ht="20.25" customHeight="1" x14ac:dyDescent="0.4">
      <c r="A19" s="88" t="str">
        <f>X1</f>
        <v xml:space="preserve">MESES DE ADEUDO EN TOTAL HASTA EL AÑO EN CURSO </v>
      </c>
      <c r="B19">
        <f>X2</f>
        <v>0</v>
      </c>
      <c r="D19" s="88" t="str">
        <f>AA1</f>
        <v>DEUDA TOTAL  EN $$</v>
      </c>
      <c r="F19" s="91">
        <f>AA2</f>
        <v>0</v>
      </c>
    </row>
  </sheetData>
  <mergeCells count="2">
    <mergeCell ref="B6:I6"/>
    <mergeCell ref="A4:H4"/>
  </mergeCells>
  <pageMargins left="0.7" right="0.7" top="0.75" bottom="0.75" header="0.3" footer="0.3"/>
  <pageSetup scale="44" orientation="portrait" r:id="rId1"/>
  <colBreaks count="1" manualBreakCount="1">
    <brk id="8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Regis Usu.</vt:lpstr>
      <vt:lpstr>GASTOS</vt:lpstr>
      <vt:lpstr>calculos</vt:lpstr>
      <vt:lpstr>REGISTRO DE OTROS CONCEPTOS</vt:lpstr>
      <vt:lpstr>IFORME POR USUARIO</vt:lpstr>
      <vt:lpstr>'IFORME POR USUARIO'!Área_de_impresión</vt:lpstr>
      <vt:lpstr>'Regis Usu.'!Área_de_impresión</vt:lpstr>
      <vt:lpstr>ENERO</vt:lpstr>
      <vt:lpstr>Rmensual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JMHP</dc:creator>
  <cp:lastModifiedBy>Hernandez Perez Jose Miguel</cp:lastModifiedBy>
  <dcterms:created xsi:type="dcterms:W3CDTF">2014-04-04T00:04:37Z</dcterms:created>
  <dcterms:modified xsi:type="dcterms:W3CDTF">2022-12-06T05:20:48Z</dcterms:modified>
</cp:coreProperties>
</file>